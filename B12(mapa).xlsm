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5E76598C-4FDA-4C60-8675-B2AD6A07120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NaiwnaGęstość" sheetId="2" r:id="rId1"/>
    <sheet name="NaiwnyBayes_Petal" sheetId="4" r:id="rId2"/>
  </sheets>
  <functionGroups builtInGroupCount="19"/>
  <calcPr calcId="191029"/>
  <pivotCaches>
    <pivotCache cacheId="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2" l="1"/>
  <c r="H9" i="2" l="1"/>
  <c r="I9" i="2"/>
  <c r="J9" i="2"/>
  <c r="I8" i="2"/>
  <c r="J8" i="2"/>
  <c r="H8" i="2"/>
  <c r="J6" i="2"/>
  <c r="J7" i="2"/>
  <c r="I7" i="2"/>
  <c r="H7" i="2"/>
  <c r="I6" i="2"/>
  <c r="H6" i="2"/>
  <c r="I5" i="2"/>
  <c r="J5" i="2"/>
  <c r="H5" i="2"/>
  <c r="I4" i="2"/>
  <c r="J4" i="2"/>
  <c r="H4" i="2"/>
  <c r="I3" i="2"/>
  <c r="J3" i="2"/>
  <c r="H3" i="2"/>
  <c r="I2" i="2"/>
  <c r="J2" i="2" s="1"/>
  <c r="G2" i="4"/>
  <c r="H2" i="4"/>
  <c r="G3" i="4"/>
  <c r="H3" i="4"/>
  <c r="G4" i="4"/>
  <c r="H4" i="4"/>
  <c r="G5" i="4"/>
  <c r="H5" i="4"/>
  <c r="G6" i="4"/>
  <c r="H6" i="4"/>
  <c r="G7" i="4"/>
  <c r="H7" i="4"/>
  <c r="U7" i="4"/>
  <c r="G8" i="4"/>
  <c r="H8" i="4"/>
  <c r="G9" i="4"/>
  <c r="H9" i="4"/>
  <c r="Q9" i="4"/>
  <c r="R9" i="4"/>
  <c r="S9" i="4"/>
  <c r="T9" i="4"/>
  <c r="U9" i="4"/>
  <c r="G10" i="4"/>
  <c r="H10" i="4"/>
  <c r="Q10" i="4"/>
  <c r="R10" i="4"/>
  <c r="S10" i="4"/>
  <c r="T10" i="4"/>
  <c r="U10" i="4"/>
  <c r="G11" i="4"/>
  <c r="H11" i="4"/>
  <c r="Q11" i="4"/>
  <c r="Q50" i="4" s="1"/>
  <c r="R11" i="4"/>
  <c r="S11" i="4"/>
  <c r="T11" i="4"/>
  <c r="U11" i="4"/>
  <c r="G12" i="4"/>
  <c r="H12" i="4"/>
  <c r="Q12" i="4"/>
  <c r="R12" i="4"/>
  <c r="S12" i="4"/>
  <c r="T12" i="4"/>
  <c r="U12" i="4"/>
  <c r="G13" i="4"/>
  <c r="H13" i="4"/>
  <c r="Q13" i="4"/>
  <c r="R13" i="4"/>
  <c r="S13" i="4"/>
  <c r="T13" i="4"/>
  <c r="G14" i="4"/>
  <c r="H14" i="4"/>
  <c r="Q14" i="4"/>
  <c r="R14" i="4"/>
  <c r="S14" i="4"/>
  <c r="T14" i="4"/>
  <c r="G15" i="4"/>
  <c r="H15" i="4"/>
  <c r="Q15" i="4"/>
  <c r="R15" i="4"/>
  <c r="S15" i="4"/>
  <c r="T15" i="4"/>
  <c r="G16" i="4"/>
  <c r="H16" i="4"/>
  <c r="G17" i="4"/>
  <c r="H17" i="4"/>
  <c r="Q17" i="4"/>
  <c r="G18" i="4"/>
  <c r="H18" i="4"/>
  <c r="G19" i="4"/>
  <c r="H19" i="4"/>
  <c r="G20" i="4"/>
  <c r="H20" i="4"/>
  <c r="U20" i="4"/>
  <c r="G21" i="4"/>
  <c r="H21" i="4"/>
  <c r="G22" i="4"/>
  <c r="H22" i="4"/>
  <c r="Q22" i="4"/>
  <c r="R22" i="4"/>
  <c r="R48" i="4" s="1"/>
  <c r="S22" i="4"/>
  <c r="S48" i="4" s="1"/>
  <c r="T22" i="4"/>
  <c r="G23" i="4"/>
  <c r="H23" i="4"/>
  <c r="Q23" i="4"/>
  <c r="R23" i="4"/>
  <c r="S23" i="4"/>
  <c r="T23" i="4"/>
  <c r="T49" i="4" s="1"/>
  <c r="G24" i="4"/>
  <c r="H24" i="4"/>
  <c r="Q24" i="4"/>
  <c r="R24" i="4"/>
  <c r="S24" i="4"/>
  <c r="T24" i="4"/>
  <c r="G25" i="4"/>
  <c r="H25" i="4"/>
  <c r="Q25" i="4"/>
  <c r="Q51" i="4" s="1"/>
  <c r="R25" i="4"/>
  <c r="S25" i="4"/>
  <c r="T25" i="4"/>
  <c r="G26" i="4"/>
  <c r="H26" i="4"/>
  <c r="Q26" i="4"/>
  <c r="U22" i="4" s="1"/>
  <c r="R26" i="4"/>
  <c r="U23" i="4" s="1"/>
  <c r="S26" i="4"/>
  <c r="U24" i="4" s="1"/>
  <c r="T26" i="4"/>
  <c r="U25" i="4" s="1"/>
  <c r="G27" i="4"/>
  <c r="H27" i="4"/>
  <c r="Q27" i="4"/>
  <c r="R27" i="4"/>
  <c r="S27" i="4"/>
  <c r="T27" i="4"/>
  <c r="G28" i="4"/>
  <c r="H28" i="4"/>
  <c r="Q28" i="4"/>
  <c r="R28" i="4"/>
  <c r="S28" i="4"/>
  <c r="T28" i="4"/>
  <c r="G29" i="4"/>
  <c r="H29" i="4"/>
  <c r="G30" i="4"/>
  <c r="H30" i="4"/>
  <c r="Q30" i="4"/>
  <c r="G31" i="4"/>
  <c r="H31" i="4"/>
  <c r="G32" i="4"/>
  <c r="H32" i="4"/>
  <c r="G33" i="4"/>
  <c r="H33" i="4"/>
  <c r="U33" i="4"/>
  <c r="G34" i="4"/>
  <c r="H34" i="4"/>
  <c r="G35" i="4"/>
  <c r="H35" i="4"/>
  <c r="Q35" i="4"/>
  <c r="R35" i="4"/>
  <c r="S35" i="4"/>
  <c r="T35" i="4"/>
  <c r="G36" i="4"/>
  <c r="H36" i="4"/>
  <c r="Q36" i="4"/>
  <c r="R36" i="4"/>
  <c r="R49" i="4" s="1"/>
  <c r="S36" i="4"/>
  <c r="T36" i="4"/>
  <c r="G37" i="4"/>
  <c r="H37" i="4"/>
  <c r="Q37" i="4"/>
  <c r="R37" i="4"/>
  <c r="S37" i="4"/>
  <c r="T37" i="4"/>
  <c r="T50" i="4" s="1"/>
  <c r="G38" i="4"/>
  <c r="H38" i="4"/>
  <c r="Q38" i="4"/>
  <c r="R38" i="4"/>
  <c r="S38" i="4"/>
  <c r="T38" i="4"/>
  <c r="G39" i="4"/>
  <c r="H39" i="4"/>
  <c r="Q39" i="4"/>
  <c r="U35" i="4" s="1"/>
  <c r="R39" i="4"/>
  <c r="U36" i="4" s="1"/>
  <c r="S39" i="4"/>
  <c r="U37" i="4" s="1"/>
  <c r="T39" i="4"/>
  <c r="U38" i="4" s="1"/>
  <c r="G40" i="4"/>
  <c r="H40" i="4"/>
  <c r="Q40" i="4"/>
  <c r="R40" i="4"/>
  <c r="S40" i="4"/>
  <c r="T40" i="4"/>
  <c r="G41" i="4"/>
  <c r="H41" i="4"/>
  <c r="Q41" i="4"/>
  <c r="R41" i="4"/>
  <c r="S41" i="4"/>
  <c r="T41" i="4"/>
  <c r="G42" i="4"/>
  <c r="H42" i="4"/>
  <c r="G43" i="4"/>
  <c r="H43" i="4"/>
  <c r="Q43" i="4"/>
  <c r="G44" i="4"/>
  <c r="H44" i="4"/>
  <c r="G45" i="4"/>
  <c r="H45" i="4"/>
  <c r="G46" i="4"/>
  <c r="H46" i="4"/>
  <c r="G47" i="4"/>
  <c r="H47" i="4"/>
  <c r="G48" i="4"/>
  <c r="H48" i="4"/>
  <c r="Q48" i="4"/>
  <c r="T48" i="4"/>
  <c r="G49" i="4"/>
  <c r="H49" i="4"/>
  <c r="Q49" i="4"/>
  <c r="S49" i="4"/>
  <c r="G50" i="4"/>
  <c r="H50" i="4"/>
  <c r="R50" i="4"/>
  <c r="S50" i="4"/>
  <c r="G51" i="4"/>
  <c r="H51" i="4"/>
  <c r="R51" i="4"/>
  <c r="S51" i="4"/>
  <c r="T51" i="4"/>
  <c r="G52" i="4"/>
  <c r="H52" i="4"/>
  <c r="AG1" i="2" a="1"/>
  <c r="BM1" i="2" a="1"/>
  <c r="CS1" i="2" a="1"/>
  <c r="AC2" i="2" a="1"/>
  <c r="BI2" i="2" a="1"/>
  <c r="CO2" i="2" a="1"/>
  <c r="Y3" i="2" a="1"/>
  <c r="BE3" i="2" a="1"/>
  <c r="CK3" i="2" a="1"/>
  <c r="BB3" i="2" a="1"/>
  <c r="R1" i="2" a="1"/>
  <c r="AX1" i="2" a="1"/>
  <c r="CD1" i="2" a="1"/>
  <c r="DJ1" i="2" a="1"/>
  <c r="AT2" i="2" a="1"/>
  <c r="BZ2" i="2" a="1"/>
  <c r="V3" i="2" a="1"/>
  <c r="CT3" i="2" a="1"/>
  <c r="BW3" i="2" a="1"/>
  <c r="AA1" i="2" a="1"/>
  <c r="BG1" i="2" a="1"/>
  <c r="CM1" i="2" a="1"/>
  <c r="W2" i="2" a="1"/>
  <c r="BC2" i="2" a="1"/>
  <c r="CI2" i="2" a="1"/>
  <c r="W3" i="2" a="1"/>
  <c r="CA3" i="2" a="1"/>
  <c r="X3" i="2" a="1"/>
  <c r="CJ3" i="2" a="1"/>
  <c r="AJ1" i="2" a="1"/>
  <c r="BP1" i="2" a="1"/>
  <c r="CZ1" i="2" a="1"/>
  <c r="AJ2" i="2" a="1"/>
  <c r="BP2" i="2" a="1"/>
  <c r="CZ2" i="2" a="1"/>
  <c r="BL3" i="2" a="1"/>
  <c r="CO3" i="2" a="1"/>
  <c r="P1" i="2" a="1"/>
  <c r="N12" i="2" a="1"/>
  <c r="M23" i="2" a="1"/>
  <c r="L34" i="2" a="1"/>
  <c r="N44" i="2" a="1"/>
  <c r="M55" i="2" a="1"/>
  <c r="M58" i="2" a="1"/>
  <c r="N7" i="2" a="1"/>
  <c r="M18" i="2" a="1"/>
  <c r="L29" i="2" a="1"/>
  <c r="L41" i="2" a="1"/>
  <c r="L53" i="2" a="1"/>
  <c r="L73" i="2" a="1"/>
  <c r="M8" i="2" a="1"/>
  <c r="L19" i="2" a="1"/>
  <c r="M53" i="2" a="1"/>
  <c r="N93" i="2" a="1"/>
  <c r="L79" i="2" a="1"/>
  <c r="M32" i="2" a="1"/>
  <c r="M71" i="2" a="1"/>
  <c r="L40" i="2" a="1"/>
  <c r="L72" i="2" a="1"/>
  <c r="L94" i="2" a="1"/>
  <c r="M105" i="2" a="1"/>
  <c r="M17" i="2" a="1"/>
  <c r="N61" i="2" a="1"/>
  <c r="N81" i="2" a="1"/>
  <c r="L103" i="2" a="1"/>
  <c r="M41" i="2" a="1"/>
  <c r="M100" i="2" a="1"/>
  <c r="N58" i="2" a="1"/>
  <c r="N90" i="2" a="1"/>
  <c r="N30" i="2" a="1"/>
  <c r="L106" i="2" a="1"/>
  <c r="N62" i="2" a="1"/>
  <c r="M82" i="2" a="1"/>
  <c r="N103" i="2" a="1"/>
  <c r="N45" i="2" a="1"/>
  <c r="N73" i="2" a="1"/>
  <c r="N5" i="2" a="1"/>
  <c r="K3" i="4" a="1"/>
  <c r="K14" i="4" a="1"/>
  <c r="K22" i="4" a="1"/>
  <c r="K30" i="4" a="1"/>
  <c r="K38" i="4" a="1"/>
  <c r="K46" i="4" a="1"/>
  <c r="Y2" i="2" a="1"/>
  <c r="CX3" i="2" a="1"/>
  <c r="CH3" i="2" a="1"/>
  <c r="S2" i="2" a="1"/>
  <c r="AF1" i="2" a="1"/>
  <c r="DI3" i="2" a="1"/>
  <c r="N55" i="2" a="1"/>
  <c r="M70" i="2" a="1"/>
  <c r="N68" i="2" a="1"/>
  <c r="M79" i="2" a="1"/>
  <c r="L27" i="2" a="1"/>
  <c r="N108" i="2" a="1"/>
  <c r="AK1" i="2" a="1"/>
  <c r="BQ1" i="2" a="1"/>
  <c r="CW1" i="2" a="1"/>
  <c r="AG2" i="2" a="1"/>
  <c r="BM2" i="2" a="1"/>
  <c r="CS2" i="2" a="1"/>
  <c r="AC3" i="2" a="1"/>
  <c r="BI3" i="2" a="1"/>
  <c r="CD2" i="2" a="1"/>
  <c r="BJ3" i="2" a="1"/>
  <c r="V1" i="2" a="1"/>
  <c r="BB1" i="2" a="1"/>
  <c r="CH1" i="2" a="1"/>
  <c r="R2" i="2" a="1"/>
  <c r="AX2" i="2" a="1"/>
  <c r="CH2" i="2" a="1"/>
  <c r="AD3" i="2" a="1"/>
  <c r="DB3" i="2" a="1"/>
  <c r="CE3" i="2" a="1"/>
  <c r="AE1" i="2" a="1"/>
  <c r="BK1" i="2" a="1"/>
  <c r="CQ1" i="2" a="1"/>
  <c r="AA2" i="2" a="1"/>
  <c r="BG2" i="2" a="1"/>
  <c r="CM2" i="2" a="1"/>
  <c r="AA3" i="2" a="1"/>
  <c r="CM3" i="2" a="1"/>
  <c r="AF3" i="2" a="1"/>
  <c r="CV3" i="2" a="1"/>
  <c r="AN1" i="2" a="1"/>
  <c r="BT1" i="2" a="1"/>
  <c r="DD1" i="2" a="1"/>
  <c r="AN2" i="2" a="1"/>
  <c r="BT2" i="2" a="1"/>
  <c r="DH2" i="2" a="1"/>
  <c r="BT3" i="2" a="1"/>
  <c r="CW3" i="2" a="1"/>
  <c r="P2" i="2" a="1"/>
  <c r="L14" i="2" a="1"/>
  <c r="N24" i="2" a="1"/>
  <c r="M35" i="2" a="1"/>
  <c r="L46" i="2" a="1"/>
  <c r="N56" i="2" a="1"/>
  <c r="L61" i="2" a="1"/>
  <c r="L9" i="2" a="1"/>
  <c r="N19" i="2" a="1"/>
  <c r="M30" i="2" a="1"/>
  <c r="M42" i="2" a="1"/>
  <c r="M54" i="2" a="1"/>
  <c r="N75" i="2" a="1"/>
  <c r="N9" i="2" a="1"/>
  <c r="M20" i="2" a="1"/>
  <c r="M60" i="2" a="1"/>
  <c r="N95" i="2" a="1"/>
  <c r="L81" i="2" a="1"/>
  <c r="L36" i="2" a="1"/>
  <c r="N76" i="2" a="1"/>
  <c r="L47" i="2" a="1"/>
  <c r="N74" i="2" a="1"/>
  <c r="M96" i="2" a="1"/>
  <c r="N64" i="2" a="1"/>
  <c r="N22" i="2" a="1"/>
  <c r="M64" i="2" a="1"/>
  <c r="N83" i="2" a="1"/>
  <c r="L105" i="2" a="1"/>
  <c r="L62" i="2" a="1"/>
  <c r="N106" i="2" a="1"/>
  <c r="N79" i="2" a="1"/>
  <c r="L95" i="2" a="1"/>
  <c r="N37" i="2" a="1"/>
  <c r="L24" i="2" a="1"/>
  <c r="M65" i="2" a="1"/>
  <c r="N86" i="2" a="1"/>
  <c r="L108" i="2" a="1"/>
  <c r="M49" i="2" a="1"/>
  <c r="M76" i="2" a="1"/>
  <c r="M5" i="2" a="1"/>
  <c r="K2" i="4" a="1"/>
  <c r="K15" i="4" a="1"/>
  <c r="K23" i="4" a="1"/>
  <c r="K31" i="4" a="1"/>
  <c r="K39" i="4" a="1"/>
  <c r="K47" i="4" a="1"/>
  <c r="BE2" i="2" a="1"/>
  <c r="BZ1" i="2" a="1"/>
  <c r="BC1" i="2" a="1"/>
  <c r="DL2" i="2" a="1"/>
  <c r="CV2" i="2" a="1"/>
  <c r="N32" i="2" a="1"/>
  <c r="N39" i="2" a="1"/>
  <c r="L74" i="2" a="1"/>
  <c r="L99" i="2" a="1"/>
  <c r="L48" i="2" a="1"/>
  <c r="N38" i="2" a="1"/>
  <c r="K37" i="4" a="1"/>
  <c r="AO1" i="2" a="1"/>
  <c r="BU1" i="2" a="1"/>
  <c r="DA1" i="2" a="1"/>
  <c r="AK2" i="2" a="1"/>
  <c r="BQ2" i="2" a="1"/>
  <c r="CW2" i="2" a="1"/>
  <c r="AG3" i="2" a="1"/>
  <c r="BM3" i="2" a="1"/>
  <c r="DF2" i="2" a="1"/>
  <c r="BR3" i="2" a="1"/>
  <c r="Z1" i="2" a="1"/>
  <c r="BF1" i="2" a="1"/>
  <c r="CL1" i="2" a="1"/>
  <c r="V2" i="2" a="1"/>
  <c r="BB2" i="2" a="1"/>
  <c r="CL2" i="2" a="1"/>
  <c r="AL3" i="2" a="1"/>
  <c r="CY2" i="2" a="1"/>
  <c r="CI3" i="2" a="1"/>
  <c r="AI1" i="2" a="1"/>
  <c r="BO1" i="2" a="1"/>
  <c r="CU1" i="2" a="1"/>
  <c r="AE2" i="2" a="1"/>
  <c r="BK2" i="2" a="1"/>
  <c r="CQ2" i="2" a="1"/>
  <c r="AI3" i="2" a="1"/>
  <c r="CU3" i="2" a="1"/>
  <c r="AN3" i="2" a="1"/>
  <c r="DD3" i="2" a="1"/>
  <c r="AR1" i="2" a="1"/>
  <c r="BX1" i="2" a="1"/>
  <c r="DH1" i="2" a="1"/>
  <c r="AR2" i="2" a="1"/>
  <c r="BX2" i="2" a="1"/>
  <c r="T3" i="2" a="1"/>
  <c r="CB3" i="2" a="1"/>
  <c r="DJ3" i="2" a="1"/>
  <c r="L5" i="2" a="1"/>
  <c r="M15" i="2" a="1"/>
  <c r="L26" i="2" a="1"/>
  <c r="N36" i="2" a="1"/>
  <c r="M47" i="2" a="1"/>
  <c r="L58" i="2" a="1"/>
  <c r="N63" i="2" a="1"/>
  <c r="M10" i="2" a="1"/>
  <c r="L21" i="2" a="1"/>
  <c r="N31" i="2" a="1"/>
  <c r="N43" i="2" a="1"/>
  <c r="L57" i="2" a="1"/>
  <c r="N6" i="2" a="1"/>
  <c r="L11" i="2" a="1"/>
  <c r="N21" i="2" a="1"/>
  <c r="N78" i="2" a="1"/>
  <c r="L100" i="2" a="1"/>
  <c r="M87" i="2" a="1"/>
  <c r="L43" i="2" a="1"/>
  <c r="M85" i="2" a="1"/>
  <c r="N50" i="2" a="1"/>
  <c r="L77" i="2" a="1"/>
  <c r="M98" i="2" a="1"/>
  <c r="M75" i="2" a="1"/>
  <c r="N29" i="2" a="1"/>
  <c r="L67" i="2" a="1"/>
  <c r="L88" i="2" a="1"/>
  <c r="L55" i="2" a="1"/>
  <c r="N72" i="2" a="1"/>
  <c r="L23" i="2" a="1"/>
  <c r="L86" i="2" a="1"/>
  <c r="M103" i="2" a="1"/>
  <c r="M48" i="2" a="1"/>
  <c r="L31" i="2" a="1"/>
  <c r="L68" i="2" a="1"/>
  <c r="N88" i="2" a="1"/>
  <c r="N14" i="2" a="1"/>
  <c r="M56" i="2" a="1"/>
  <c r="M78" i="2" a="1"/>
  <c r="K51" i="4" a="1"/>
  <c r="K8" i="4" a="1"/>
  <c r="K16" i="4" a="1"/>
  <c r="K24" i="4" a="1"/>
  <c r="K32" i="4" a="1"/>
  <c r="K40" i="4" a="1"/>
  <c r="K48" i="4" a="1"/>
  <c r="K50" i="4" a="1"/>
  <c r="CO1" i="2" a="1"/>
  <c r="CG3" i="2" a="1"/>
  <c r="AP2" i="2" a="1"/>
  <c r="W1" i="2" a="1"/>
  <c r="BS3" i="2" a="1"/>
  <c r="AF2" i="2" a="1"/>
  <c r="M11" i="2" a="1"/>
  <c r="L17" i="2" a="1"/>
  <c r="N17" i="2" a="1"/>
  <c r="M69" i="2" a="1"/>
  <c r="L101" i="2" a="1"/>
  <c r="M80" i="2" a="1"/>
  <c r="K13" i="4" a="1"/>
  <c r="CN1" i="2" a="1"/>
  <c r="AS1" i="2" a="1"/>
  <c r="BY1" i="2" a="1"/>
  <c r="DE1" i="2" a="1"/>
  <c r="AO2" i="2" a="1"/>
  <c r="BU2" i="2" a="1"/>
  <c r="DA2" i="2" a="1"/>
  <c r="AK3" i="2" a="1"/>
  <c r="BQ3" i="2" a="1"/>
  <c r="R3" i="2" a="1"/>
  <c r="BZ3" i="2" a="1"/>
  <c r="AD1" i="2" a="1"/>
  <c r="BJ1" i="2" a="1"/>
  <c r="CP1" i="2" a="1"/>
  <c r="Z2" i="2" a="1"/>
  <c r="BF2" i="2" a="1"/>
  <c r="CP2" i="2" a="1"/>
  <c r="AX3" i="2" a="1"/>
  <c r="AE3" i="2" a="1"/>
  <c r="CQ3" i="2" a="1"/>
  <c r="AM1" i="2" a="1"/>
  <c r="BS1" i="2" a="1"/>
  <c r="CY1" i="2" a="1"/>
  <c r="AI2" i="2" a="1"/>
  <c r="BO2" i="2" a="1"/>
  <c r="CU2" i="2" a="1"/>
  <c r="AM3" i="2" a="1"/>
  <c r="DC3" i="2" a="1"/>
  <c r="AV3" i="2" a="1"/>
  <c r="DL3" i="2" a="1"/>
  <c r="AV1" i="2" a="1"/>
  <c r="CB1" i="2" a="1"/>
  <c r="DL1" i="2" a="1"/>
  <c r="AV2" i="2" a="1"/>
  <c r="CB2" i="2" a="1"/>
  <c r="AB3" i="2" a="1"/>
  <c r="CN3" i="2" a="1"/>
  <c r="DA3" i="2" a="1"/>
  <c r="L6" i="2" a="1"/>
  <c r="N16" i="2" a="1"/>
  <c r="M27" i="2" a="1"/>
  <c r="L38" i="2" a="1"/>
  <c r="N48" i="2" a="1"/>
  <c r="M59" i="2" a="1"/>
  <c r="M66" i="2" a="1"/>
  <c r="N11" i="2" a="1"/>
  <c r="M22" i="2" a="1"/>
  <c r="L33" i="2" a="1"/>
  <c r="L45" i="2" a="1"/>
  <c r="N59" i="2" a="1"/>
  <c r="L8" i="2" a="1"/>
  <c r="M12" i="2" a="1"/>
  <c r="M28" i="2" a="1"/>
  <c r="N80" i="2" a="1"/>
  <c r="L102" i="2" a="1"/>
  <c r="N91" i="2" a="1"/>
  <c r="N46" i="2" a="1"/>
  <c r="N89" i="2" a="1"/>
  <c r="N57" i="2" a="1"/>
  <c r="M81" i="2" a="1"/>
  <c r="N102" i="2" a="1"/>
  <c r="M86" i="2" a="1"/>
  <c r="M33" i="2" a="1"/>
  <c r="N69" i="2" a="1"/>
  <c r="L90" i="2" a="1"/>
  <c r="N77" i="2" a="1"/>
  <c r="L80" i="2" a="1"/>
  <c r="N26" i="2" a="1"/>
  <c r="N96" i="2" a="1"/>
  <c r="M95" i="2" a="1"/>
  <c r="L59" i="2" a="1"/>
  <c r="N34" i="2" a="1"/>
  <c r="N70" i="2" a="1"/>
  <c r="L91" i="2" a="1"/>
  <c r="L20" i="2" a="1"/>
  <c r="L60" i="2" a="1"/>
  <c r="N82" i="2" a="1"/>
  <c r="K49" i="4" a="1"/>
  <c r="K9" i="4" a="1"/>
  <c r="K17" i="4" a="1"/>
  <c r="K25" i="4" a="1"/>
  <c r="K33" i="4" a="1"/>
  <c r="K41" i="4" a="1"/>
  <c r="AC1" i="2" a="1"/>
  <c r="BA3" i="2" a="1"/>
  <c r="BV2" i="2" a="1"/>
  <c r="CE2" i="2" a="1"/>
  <c r="BL2" i="2" a="1"/>
  <c r="L54" i="2" a="1"/>
  <c r="N49" i="2" a="1"/>
  <c r="M102" i="2" a="1"/>
  <c r="M93" i="2" a="1"/>
  <c r="K29" i="4" a="1"/>
  <c r="Q1" i="2" a="1"/>
  <c r="AW1" i="2" a="1"/>
  <c r="CC1" i="2" a="1"/>
  <c r="DI1" i="2" a="1"/>
  <c r="AS2" i="2" a="1"/>
  <c r="BY2" i="2" a="1"/>
  <c r="DE2" i="2" a="1"/>
  <c r="AO3" i="2" a="1"/>
  <c r="BU3" i="2" a="1"/>
  <c r="Z3" i="2" a="1"/>
  <c r="CD3" i="2" a="1"/>
  <c r="AH1" i="2" a="1"/>
  <c r="BN1" i="2" a="1"/>
  <c r="CT1" i="2" a="1"/>
  <c r="AD2" i="2" a="1"/>
  <c r="BJ2" i="2" a="1"/>
  <c r="CT2" i="2" a="1"/>
  <c r="BF3" i="2" a="1"/>
  <c r="AQ3" i="2" a="1"/>
  <c r="CY3" i="2" a="1"/>
  <c r="AQ1" i="2" a="1"/>
  <c r="BW1" i="2" a="1"/>
  <c r="DC1" i="2" a="1"/>
  <c r="AM2" i="2" a="1"/>
  <c r="BS2" i="2" a="1"/>
  <c r="DC2" i="2" a="1"/>
  <c r="AU3" i="2" a="1"/>
  <c r="DK3" i="2" a="1"/>
  <c r="BH3" i="2" a="1"/>
  <c r="T1" i="2" a="1"/>
  <c r="AZ1" i="2" a="1"/>
  <c r="CF1" i="2" a="1"/>
  <c r="T2" i="2" a="1"/>
  <c r="AZ2" i="2" a="1"/>
  <c r="CJ2" i="2" a="1"/>
  <c r="AJ3" i="2" a="1"/>
  <c r="CR3" i="2" a="1"/>
  <c r="CS3" i="2" a="1"/>
  <c r="M7" i="2" a="1"/>
  <c r="L18" i="2" a="1"/>
  <c r="N28" i="2" a="1"/>
  <c r="M39" i="2" a="1"/>
  <c r="L50" i="2" a="1"/>
  <c r="N60" i="2" a="1"/>
  <c r="L69" i="2" a="1"/>
  <c r="L13" i="2" a="1"/>
  <c r="N23" i="2" a="1"/>
  <c r="M34" i="2" a="1"/>
  <c r="M46" i="2" a="1"/>
  <c r="M62" i="2" a="1"/>
  <c r="M9" i="2" a="1"/>
  <c r="N13" i="2" a="1"/>
  <c r="L32" i="2" a="1"/>
  <c r="L83" i="2" a="1"/>
  <c r="M104" i="2" a="1"/>
  <c r="L98" i="2" a="1"/>
  <c r="N53" i="2" a="1"/>
  <c r="L96" i="2" a="1"/>
  <c r="M61" i="2" a="1"/>
  <c r="M83" i="2" a="1"/>
  <c r="N104" i="2" a="1"/>
  <c r="L97" i="2" a="1"/>
  <c r="M40" i="2" a="1"/>
  <c r="M72" i="2" a="1"/>
  <c r="M92" i="2" a="1"/>
  <c r="L84" i="2" a="1"/>
  <c r="N92" i="2" a="1"/>
  <c r="N33" i="2" a="1"/>
  <c r="M107" i="2" a="1"/>
  <c r="L104" i="2" a="1"/>
  <c r="L70" i="2" a="1"/>
  <c r="N41" i="2" a="1"/>
  <c r="M73" i="2" a="1"/>
  <c r="L93" i="2" a="1"/>
  <c r="M24" i="2" a="1"/>
  <c r="L63" i="2" a="1"/>
  <c r="L89" i="2" a="1"/>
  <c r="K7" i="4" a="1"/>
  <c r="K10" i="4" a="1"/>
  <c r="K18" i="4" a="1"/>
  <c r="K26" i="4" a="1"/>
  <c r="K34" i="4" a="1"/>
  <c r="K42" i="4" a="1"/>
  <c r="K52" i="4" a="1"/>
  <c r="BI1" i="2" a="1"/>
  <c r="AT3" i="2" a="1"/>
  <c r="DJ2" i="2" a="1"/>
  <c r="AY2" i="2" a="1"/>
  <c r="BL1" i="2" a="1"/>
  <c r="P3" i="2" a="1"/>
  <c r="M6" i="2" a="1"/>
  <c r="L7" i="2" a="1"/>
  <c r="M36" i="2" a="1"/>
  <c r="N100" i="2" a="1"/>
  <c r="L56" i="2" a="1"/>
  <c r="K4" i="4" a="1"/>
  <c r="U1" i="2" a="1"/>
  <c r="BA1" i="2" a="1"/>
  <c r="CG1" i="2" a="1"/>
  <c r="Q2" i="2" a="1"/>
  <c r="AW2" i="2" a="1"/>
  <c r="CC2" i="2" a="1"/>
  <c r="DI2" i="2" a="1"/>
  <c r="AS3" i="2" a="1"/>
  <c r="BY3" i="2" a="1"/>
  <c r="AH3" i="2" a="1"/>
  <c r="CL3" i="2" a="1"/>
  <c r="AL1" i="2" a="1"/>
  <c r="BR1" i="2" a="1"/>
  <c r="CX1" i="2" a="1"/>
  <c r="AH2" i="2" a="1"/>
  <c r="BN2" i="2" a="1"/>
  <c r="CX2" i="2" a="1"/>
  <c r="BN3" i="2" a="1"/>
  <c r="AY3" i="2" a="1"/>
  <c r="DG3" i="2" a="1"/>
  <c r="AU1" i="2" a="1"/>
  <c r="CA1" i="2" a="1"/>
  <c r="DG1" i="2" a="1"/>
  <c r="AQ2" i="2" a="1"/>
  <c r="BW2" i="2" a="1"/>
  <c r="DG2" i="2" a="1"/>
  <c r="BC3" i="2" a="1"/>
  <c r="CF2" i="2" a="1"/>
  <c r="BP3" i="2" a="1"/>
  <c r="X1" i="2" a="1"/>
  <c r="BD1" i="2" a="1"/>
  <c r="CJ1" i="2" a="1"/>
  <c r="X2" i="2" a="1"/>
  <c r="BD2" i="2" a="1"/>
  <c r="CN2" i="2" a="1"/>
  <c r="AR3" i="2" a="1"/>
  <c r="CZ3" i="2" a="1"/>
  <c r="DE3" i="2" a="1"/>
  <c r="N8" i="2" a="1"/>
  <c r="M19" i="2" a="1"/>
  <c r="L30" i="2" a="1"/>
  <c r="N40" i="2" a="1"/>
  <c r="M51" i="2" a="1"/>
  <c r="M38" i="2" a="1"/>
  <c r="N71" i="2" a="1"/>
  <c r="M14" i="2" a="1"/>
  <c r="L25" i="2" a="1"/>
  <c r="N35" i="2" a="1"/>
  <c r="N47" i="2" a="1"/>
  <c r="L65" i="2" a="1"/>
  <c r="N10" i="2" a="1"/>
  <c r="L15" i="2" a="1"/>
  <c r="L39" i="2" a="1"/>
  <c r="L85" i="2" a="1"/>
  <c r="M106" i="2" a="1"/>
  <c r="L16" i="2" a="1"/>
  <c r="M57" i="2" a="1"/>
  <c r="N25" i="2" a="1"/>
  <c r="L64" i="2" a="1"/>
  <c r="N85" i="2" a="1"/>
  <c r="L107" i="2" a="1"/>
  <c r="N105" i="2" a="1"/>
  <c r="L44" i="2" a="1"/>
  <c r="L75" i="2" a="1"/>
  <c r="M94" i="2" a="1"/>
  <c r="M90" i="2" a="1"/>
  <c r="M101" i="2" a="1"/>
  <c r="M37" i="2" a="1"/>
  <c r="L52" i="2" a="1"/>
  <c r="M13" i="2" a="1"/>
  <c r="M84" i="2" a="1"/>
  <c r="M45" i="2" a="1"/>
  <c r="L76" i="2" a="1"/>
  <c r="M97" i="2" a="1"/>
  <c r="L28" i="2" a="1"/>
  <c r="N65" i="2" a="1"/>
  <c r="N99" i="2" a="1"/>
  <c r="K6" i="4" a="1"/>
  <c r="K11" i="4" a="1"/>
  <c r="K19" i="4" a="1"/>
  <c r="K27" i="4" a="1"/>
  <c r="K35" i="4" a="1"/>
  <c r="K43" i="4" a="1"/>
  <c r="CK2" i="2" a="1"/>
  <c r="DF1" i="2" a="1"/>
  <c r="CI1" i="2" a="1"/>
  <c r="CF3" i="2" a="1"/>
  <c r="BD3" i="2" a="1"/>
  <c r="M43" i="2" a="1"/>
  <c r="M50" i="2" a="1"/>
  <c r="M25" i="2" a="1"/>
  <c r="N54" i="2" a="1"/>
  <c r="L82" i="2" a="1"/>
  <c r="L71" i="2" a="1"/>
  <c r="K45" i="4" a="1"/>
  <c r="Y1" i="2" a="1"/>
  <c r="BE1" i="2" a="1"/>
  <c r="CK1" i="2" a="1"/>
  <c r="U2" i="2" a="1"/>
  <c r="BA2" i="2" a="1"/>
  <c r="CG2" i="2" a="1"/>
  <c r="Q3" i="2" a="1"/>
  <c r="AW3" i="2" a="1"/>
  <c r="CC3" i="2" a="1"/>
  <c r="AP3" i="2" a="1"/>
  <c r="CP3" i="2" a="1"/>
  <c r="AP1" i="2" a="1"/>
  <c r="BV1" i="2" a="1"/>
  <c r="DB1" i="2" a="1"/>
  <c r="AL2" i="2" a="1"/>
  <c r="BR2" i="2" a="1"/>
  <c r="DB2" i="2" a="1"/>
  <c r="BV3" i="2" a="1"/>
  <c r="BG3" i="2" a="1"/>
  <c r="S1" i="2" a="1"/>
  <c r="AY1" i="2" a="1"/>
  <c r="CE1" i="2" a="1"/>
  <c r="DK1" i="2" a="1"/>
  <c r="AU2" i="2" a="1"/>
  <c r="CA2" i="2" a="1"/>
  <c r="DK2" i="2" a="1"/>
  <c r="BK3" i="2" a="1"/>
  <c r="DD2" i="2" a="1"/>
  <c r="BX3" i="2" a="1"/>
  <c r="AB1" i="2" a="1"/>
  <c r="BH1" i="2" a="1"/>
  <c r="CR1" i="2" a="1"/>
  <c r="AB2" i="2" a="1"/>
  <c r="BH2" i="2" a="1"/>
  <c r="CR2" i="2" a="1"/>
  <c r="AZ3" i="2" a="1"/>
  <c r="DH3" i="2" a="1"/>
  <c r="DF3" i="2" a="1"/>
  <c r="L10" i="2" a="1"/>
  <c r="N20" i="2" a="1"/>
  <c r="M31" i="2" a="1"/>
  <c r="L42" i="2" a="1"/>
  <c r="N52" i="2" a="1"/>
  <c r="N51" i="2" a="1"/>
  <c r="M74" i="2" a="1"/>
  <c r="N15" i="2" a="1"/>
  <c r="M26" i="2" a="1"/>
  <c r="L37" i="2" a="1"/>
  <c r="L49" i="2" a="1"/>
  <c r="N67" i="2" a="1"/>
  <c r="L12" i="2" a="1"/>
  <c r="M16" i="2" a="1"/>
  <c r="N42" i="2" a="1"/>
  <c r="M89" i="2" a="1"/>
  <c r="L66" i="2" a="1"/>
  <c r="M21" i="2" a="1"/>
  <c r="M63" i="2" a="1"/>
  <c r="M29" i="2" a="1"/>
  <c r="N66" i="2" a="1"/>
  <c r="N87" i="2" a="1"/>
  <c r="M88" i="2" a="1"/>
  <c r="L87" i="2" a="1"/>
  <c r="L51" i="2" a="1"/>
  <c r="M77" i="2" a="1"/>
  <c r="N98" i="2" a="1"/>
  <c r="N94" i="2" a="1"/>
  <c r="N84" i="2" a="1"/>
  <c r="M44" i="2" a="1"/>
  <c r="M67" i="2" a="1"/>
  <c r="N18" i="2" a="1"/>
  <c r="N107" i="2" a="1"/>
  <c r="M52" i="2" a="1"/>
  <c r="L78" i="2" a="1"/>
  <c r="M99" i="2" a="1"/>
  <c r="L35" i="2" a="1"/>
  <c r="M68" i="2" a="1"/>
  <c r="M108" i="2" a="1"/>
  <c r="K5" i="4" a="1"/>
  <c r="K12" i="4" a="1"/>
  <c r="K20" i="4" a="1"/>
  <c r="K28" i="4" a="1"/>
  <c r="K36" i="4" a="1"/>
  <c r="K44" i="4" a="1"/>
  <c r="U3" i="2" a="1"/>
  <c r="AT1" i="2" a="1"/>
  <c r="BO3" i="2" a="1"/>
  <c r="S3" i="2" a="1"/>
  <c r="CV1" i="2" a="1"/>
  <c r="L22" i="2" a="1"/>
  <c r="N27" i="2" a="1"/>
  <c r="M91" i="2" a="1"/>
  <c r="L92" i="2" a="1"/>
  <c r="N97" i="2" a="1"/>
  <c r="N101" i="2" a="1"/>
  <c r="K21" i="4" a="1"/>
  <c r="CN1" i="2" l="1"/>
  <c r="DF3" i="2"/>
  <c r="DE3" i="2"/>
  <c r="CS3" i="2"/>
  <c r="DA3" i="2"/>
  <c r="DJ3" i="2"/>
  <c r="CW3" i="2"/>
  <c r="CO3" i="2"/>
  <c r="DI3" i="2"/>
  <c r="DH3" i="2"/>
  <c r="CZ3" i="2"/>
  <c r="CR3" i="2"/>
  <c r="CN3" i="2"/>
  <c r="CB3" i="2"/>
  <c r="BT3" i="2"/>
  <c r="BL3" i="2"/>
  <c r="BD3" i="2"/>
  <c r="AZ3" i="2"/>
  <c r="AR3" i="2"/>
  <c r="AJ3" i="2"/>
  <c r="AB3" i="2"/>
  <c r="T3" i="2"/>
  <c r="DH2" i="2"/>
  <c r="CZ2" i="2"/>
  <c r="CV2" i="2"/>
  <c r="CR2" i="2"/>
  <c r="CN2" i="2"/>
  <c r="CJ2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DL1" i="2"/>
  <c r="DH1" i="2"/>
  <c r="DD1" i="2"/>
  <c r="CZ1" i="2"/>
  <c r="CV1" i="2"/>
  <c r="CR1" i="2"/>
  <c r="CJ1" i="2"/>
  <c r="CF1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DL3" i="2"/>
  <c r="DD3" i="2"/>
  <c r="CV3" i="2"/>
  <c r="CJ3" i="2"/>
  <c r="CF3" i="2"/>
  <c r="BX3" i="2"/>
  <c r="BP3" i="2"/>
  <c r="BH3" i="2"/>
  <c r="AV3" i="2"/>
  <c r="AN3" i="2"/>
  <c r="AF3" i="2"/>
  <c r="X3" i="2"/>
  <c r="DL2" i="2"/>
  <c r="DD2" i="2"/>
  <c r="CF2" i="2"/>
  <c r="DK3" i="2"/>
  <c r="DC3" i="2"/>
  <c r="CU3" i="2"/>
  <c r="CM3" i="2"/>
  <c r="CA3" i="2"/>
  <c r="BS3" i="2"/>
  <c r="BK3" i="2"/>
  <c r="BC3" i="2"/>
  <c r="AU3" i="2"/>
  <c r="AM3" i="2"/>
  <c r="AI3" i="2"/>
  <c r="AA3" i="2"/>
  <c r="W3" i="2"/>
  <c r="S3" i="2"/>
  <c r="DK2" i="2"/>
  <c r="DG2" i="2"/>
  <c r="DC2" i="2"/>
  <c r="CU2" i="2"/>
  <c r="CQ2" i="2"/>
  <c r="CM2" i="2"/>
  <c r="CI2" i="2"/>
  <c r="CE2" i="2"/>
  <c r="CA2" i="2"/>
  <c r="BW2" i="2"/>
  <c r="BS2" i="2"/>
  <c r="BO2" i="2"/>
  <c r="BK2" i="2"/>
  <c r="BG2" i="2"/>
  <c r="BC2" i="2"/>
  <c r="AY2" i="2"/>
  <c r="AU2" i="2"/>
  <c r="AQ2" i="2"/>
  <c r="AM2" i="2"/>
  <c r="AI2" i="2"/>
  <c r="AE2" i="2"/>
  <c r="AA2" i="2"/>
  <c r="W2" i="2"/>
  <c r="S2" i="2"/>
  <c r="DK1" i="2"/>
  <c r="DG1" i="2"/>
  <c r="DC1" i="2"/>
  <c r="CY1" i="2"/>
  <c r="CU1" i="2"/>
  <c r="CQ1" i="2"/>
  <c r="CM1" i="2"/>
  <c r="CI1" i="2"/>
  <c r="CE1" i="2"/>
  <c r="CA1" i="2"/>
  <c r="BW1" i="2"/>
  <c r="BS1" i="2"/>
  <c r="BO1" i="2"/>
  <c r="BK1" i="2"/>
  <c r="BG1" i="2"/>
  <c r="BC1" i="2"/>
  <c r="AY1" i="2"/>
  <c r="AU1" i="2"/>
  <c r="AQ1" i="2"/>
  <c r="AM1" i="2"/>
  <c r="AI1" i="2"/>
  <c r="AE1" i="2"/>
  <c r="AA1" i="2"/>
  <c r="W1" i="2"/>
  <c r="S1" i="2"/>
  <c r="DG3" i="2"/>
  <c r="CY3" i="2"/>
  <c r="CQ3" i="2"/>
  <c r="CI3" i="2"/>
  <c r="CE3" i="2"/>
  <c r="BW3" i="2"/>
  <c r="BO3" i="2"/>
  <c r="BG3" i="2"/>
  <c r="AY3" i="2"/>
  <c r="AQ3" i="2"/>
  <c r="AE3" i="2"/>
  <c r="CY2" i="2"/>
  <c r="DB3" i="2"/>
  <c r="CT3" i="2"/>
  <c r="CH3" i="2"/>
  <c r="BV3" i="2"/>
  <c r="BN3" i="2"/>
  <c r="BF3" i="2"/>
  <c r="AX3" i="2"/>
  <c r="AL3" i="2"/>
  <c r="AD3" i="2"/>
  <c r="V3" i="2"/>
  <c r="DJ2" i="2"/>
  <c r="DB2" i="2"/>
  <c r="CX2" i="2"/>
  <c r="CT2" i="2"/>
  <c r="CP2" i="2"/>
  <c r="CL2" i="2"/>
  <c r="CH2" i="2"/>
  <c r="BZ2" i="2"/>
  <c r="BV2" i="2"/>
  <c r="BR2" i="2"/>
  <c r="BN2" i="2"/>
  <c r="BJ2" i="2"/>
  <c r="BF2" i="2"/>
  <c r="BB2" i="2"/>
  <c r="AX2" i="2"/>
  <c r="AT2" i="2"/>
  <c r="AP2" i="2"/>
  <c r="AL2" i="2"/>
  <c r="AH2" i="2"/>
  <c r="AD2" i="2"/>
  <c r="Z2" i="2"/>
  <c r="V2" i="2"/>
  <c r="R2" i="2"/>
  <c r="DJ1" i="2"/>
  <c r="DF1" i="2"/>
  <c r="DB1" i="2"/>
  <c r="CX1" i="2"/>
  <c r="CT1" i="2"/>
  <c r="CP1" i="2"/>
  <c r="CL1" i="2"/>
  <c r="CH1" i="2"/>
  <c r="CD1" i="2"/>
  <c r="BZ1" i="2"/>
  <c r="BV1" i="2"/>
  <c r="BR1" i="2"/>
  <c r="BN1" i="2"/>
  <c r="BJ1" i="2"/>
  <c r="BF1" i="2"/>
  <c r="BB1" i="2"/>
  <c r="AX1" i="2"/>
  <c r="AT1" i="2"/>
  <c r="AP1" i="2"/>
  <c r="AL1" i="2"/>
  <c r="AH1" i="2"/>
  <c r="AD1" i="2"/>
  <c r="Z1" i="2"/>
  <c r="V1" i="2"/>
  <c r="R1" i="2"/>
  <c r="CX3" i="2"/>
  <c r="CP3" i="2"/>
  <c r="CL3" i="2"/>
  <c r="CD3" i="2"/>
  <c r="BZ3" i="2"/>
  <c r="BR3" i="2"/>
  <c r="BJ3" i="2"/>
  <c r="BB3" i="2"/>
  <c r="AT3" i="2"/>
  <c r="AP3" i="2"/>
  <c r="AH3" i="2"/>
  <c r="Z3" i="2"/>
  <c r="R3" i="2"/>
  <c r="DF2" i="2"/>
  <c r="CD2" i="2"/>
  <c r="CK3" i="2"/>
  <c r="CG3" i="2"/>
  <c r="CC3" i="2"/>
  <c r="BY3" i="2"/>
  <c r="BU3" i="2"/>
  <c r="BQ3" i="2"/>
  <c r="BM3" i="2"/>
  <c r="BI3" i="2"/>
  <c r="BE3" i="2"/>
  <c r="BA3" i="2"/>
  <c r="AW3" i="2"/>
  <c r="AS3" i="2"/>
  <c r="AO3" i="2"/>
  <c r="AK3" i="2"/>
  <c r="AG3" i="2"/>
  <c r="AC3" i="2"/>
  <c r="Y3" i="2"/>
  <c r="U3" i="2"/>
  <c r="Q3" i="2"/>
  <c r="DI2" i="2"/>
  <c r="DE2" i="2"/>
  <c r="DA2" i="2"/>
  <c r="CW2" i="2"/>
  <c r="CS2" i="2"/>
  <c r="CO2" i="2"/>
  <c r="CK2" i="2"/>
  <c r="CG2" i="2"/>
  <c r="CC2" i="2"/>
  <c r="BY2" i="2"/>
  <c r="BU2" i="2"/>
  <c r="BQ2" i="2"/>
  <c r="BM2" i="2"/>
  <c r="BI2" i="2"/>
  <c r="BE2" i="2"/>
  <c r="BA2" i="2"/>
  <c r="AW2" i="2"/>
  <c r="AS2" i="2"/>
  <c r="AO2" i="2"/>
  <c r="AK2" i="2"/>
  <c r="AG2" i="2"/>
  <c r="AC2" i="2"/>
  <c r="Y2" i="2"/>
  <c r="U2" i="2"/>
  <c r="Q2" i="2"/>
  <c r="DI1" i="2"/>
  <c r="DE1" i="2"/>
  <c r="DA1" i="2"/>
  <c r="CW1" i="2"/>
  <c r="CS1" i="2"/>
  <c r="CO1" i="2"/>
  <c r="CK1" i="2"/>
  <c r="CG1" i="2"/>
  <c r="CC1" i="2"/>
  <c r="BY1" i="2"/>
  <c r="BU1" i="2"/>
  <c r="BQ1" i="2"/>
  <c r="BM1" i="2"/>
  <c r="BI1" i="2"/>
  <c r="BE1" i="2"/>
  <c r="BA1" i="2"/>
  <c r="AW1" i="2"/>
  <c r="AS1" i="2"/>
  <c r="AO1" i="2"/>
  <c r="AK1" i="2"/>
  <c r="AG1" i="2"/>
  <c r="AC1" i="2"/>
  <c r="Y1" i="2"/>
  <c r="U1" i="2"/>
  <c r="Q1" i="2"/>
  <c r="P3" i="2"/>
  <c r="P1" i="2"/>
  <c r="P2" i="2"/>
  <c r="L5" i="2"/>
  <c r="CW5" i="2" s="1"/>
  <c r="N108" i="2"/>
  <c r="M108" i="2"/>
  <c r="N99" i="2"/>
  <c r="L89" i="2"/>
  <c r="N82" i="2"/>
  <c r="M78" i="2"/>
  <c r="M76" i="2"/>
  <c r="N73" i="2"/>
  <c r="L71" i="2"/>
  <c r="M68" i="2"/>
  <c r="N65" i="2"/>
  <c r="L63" i="2"/>
  <c r="L60" i="2"/>
  <c r="M56" i="2"/>
  <c r="M49" i="2"/>
  <c r="N45" i="2"/>
  <c r="N38" i="2"/>
  <c r="L35" i="2"/>
  <c r="L28" i="2"/>
  <c r="M24" i="2"/>
  <c r="L20" i="2"/>
  <c r="N14" i="2"/>
  <c r="L108" i="2"/>
  <c r="CT108" i="2" s="1"/>
  <c r="N103" i="2"/>
  <c r="N101" i="2"/>
  <c r="M99" i="2"/>
  <c r="M97" i="2"/>
  <c r="L93" i="2"/>
  <c r="L91" i="2"/>
  <c r="N88" i="2"/>
  <c r="N86" i="2"/>
  <c r="M82" i="2"/>
  <c r="M80" i="2"/>
  <c r="L78" i="2"/>
  <c r="L76" i="2"/>
  <c r="M73" i="2"/>
  <c r="N70" i="2"/>
  <c r="L68" i="2"/>
  <c r="M65" i="2"/>
  <c r="N62" i="2"/>
  <c r="L56" i="2"/>
  <c r="M52" i="2"/>
  <c r="M45" i="2"/>
  <c r="N41" i="2"/>
  <c r="N34" i="2"/>
  <c r="L31" i="2"/>
  <c r="L24" i="2"/>
  <c r="L106" i="2"/>
  <c r="AB106" i="2" s="1"/>
  <c r="M93" i="2"/>
  <c r="N107" i="2"/>
  <c r="M84" i="2"/>
  <c r="L70" i="2"/>
  <c r="L59" i="2"/>
  <c r="M48" i="2"/>
  <c r="N37" i="2"/>
  <c r="N30" i="2"/>
  <c r="L27" i="2"/>
  <c r="N18" i="2"/>
  <c r="M13" i="2"/>
  <c r="L104" i="2"/>
  <c r="CP104" i="2" s="1"/>
  <c r="M95" i="2"/>
  <c r="M103" i="2"/>
  <c r="L95" i="2"/>
  <c r="N90" i="2"/>
  <c r="L82" i="2"/>
  <c r="M67" i="2"/>
  <c r="L52" i="2"/>
  <c r="M107" i="2"/>
  <c r="N96" i="2"/>
  <c r="L86" i="2"/>
  <c r="N79" i="2"/>
  <c r="N58" i="2"/>
  <c r="L48" i="2"/>
  <c r="M44" i="2"/>
  <c r="M37" i="2"/>
  <c r="N33" i="2"/>
  <c r="N26" i="2"/>
  <c r="L23" i="2"/>
  <c r="N106" i="2"/>
  <c r="M100" i="2"/>
  <c r="N97" i="2"/>
  <c r="N84" i="2"/>
  <c r="M101" i="2"/>
  <c r="N92" i="2"/>
  <c r="L80" i="2"/>
  <c r="N72" i="2"/>
  <c r="L62" i="2"/>
  <c r="M41" i="2"/>
  <c r="L101" i="2"/>
  <c r="AU101" i="2" s="1"/>
  <c r="N94" i="2"/>
  <c r="M90" i="2"/>
  <c r="L84" i="2"/>
  <c r="N77" i="2"/>
  <c r="L55" i="2"/>
  <c r="L105" i="2"/>
  <c r="AO105" i="2" s="1"/>
  <c r="L103" i="2"/>
  <c r="BG103" i="2" s="1"/>
  <c r="N100" i="2"/>
  <c r="N98" i="2"/>
  <c r="M94" i="2"/>
  <c r="M92" i="2"/>
  <c r="L90" i="2"/>
  <c r="L88" i="2"/>
  <c r="N83" i="2"/>
  <c r="N81" i="2"/>
  <c r="M79" i="2"/>
  <c r="M77" i="2"/>
  <c r="L75" i="2"/>
  <c r="M72" i="2"/>
  <c r="N69" i="2"/>
  <c r="L67" i="2"/>
  <c r="M64" i="2"/>
  <c r="N61" i="2"/>
  <c r="N54" i="2"/>
  <c r="L51" i="2"/>
  <c r="L44" i="2"/>
  <c r="M40" i="2"/>
  <c r="M33" i="2"/>
  <c r="N29" i="2"/>
  <c r="N22" i="2"/>
  <c r="M17" i="2"/>
  <c r="M102" i="2"/>
  <c r="L87" i="2"/>
  <c r="N105" i="2"/>
  <c r="L97" i="2"/>
  <c r="BZ97" i="2" s="1"/>
  <c r="M86" i="2"/>
  <c r="M75" i="2"/>
  <c r="N64" i="2"/>
  <c r="M105" i="2"/>
  <c r="L99" i="2"/>
  <c r="DF99" i="2" s="1"/>
  <c r="M88" i="2"/>
  <c r="L107" i="2"/>
  <c r="BK107" i="2" s="1"/>
  <c r="N104" i="2"/>
  <c r="N102" i="2"/>
  <c r="M98" i="2"/>
  <c r="M96" i="2"/>
  <c r="L94" i="2"/>
  <c r="L92" i="2"/>
  <c r="N87" i="2"/>
  <c r="N85" i="2"/>
  <c r="M83" i="2"/>
  <c r="M81" i="2"/>
  <c r="L77" i="2"/>
  <c r="N74" i="2"/>
  <c r="L72" i="2"/>
  <c r="M69" i="2"/>
  <c r="N66" i="2"/>
  <c r="L64" i="2"/>
  <c r="M61" i="2"/>
  <c r="N57" i="2"/>
  <c r="N50" i="2"/>
  <c r="L47" i="2"/>
  <c r="L40" i="2"/>
  <c r="M36" i="2"/>
  <c r="M29" i="2"/>
  <c r="N25" i="2"/>
  <c r="L96" i="2"/>
  <c r="N89" i="2"/>
  <c r="M85" i="2"/>
  <c r="N76" i="2"/>
  <c r="M71" i="2"/>
  <c r="N68" i="2"/>
  <c r="M63" i="2"/>
  <c r="M57" i="2"/>
  <c r="N53" i="2"/>
  <c r="N46" i="2"/>
  <c r="L43" i="2"/>
  <c r="L36" i="2"/>
  <c r="M32" i="2"/>
  <c r="M25" i="2"/>
  <c r="M21" i="2"/>
  <c r="L16" i="2"/>
  <c r="L98" i="2"/>
  <c r="N91" i="2"/>
  <c r="M87" i="2"/>
  <c r="L81" i="2"/>
  <c r="L79" i="2"/>
  <c r="L74" i="2"/>
  <c r="L66" i="2"/>
  <c r="M106" i="2"/>
  <c r="M104" i="2"/>
  <c r="L102" i="2"/>
  <c r="L100" i="2"/>
  <c r="AO100" i="2" s="1"/>
  <c r="N95" i="2"/>
  <c r="N93" i="2"/>
  <c r="M91" i="2"/>
  <c r="M89" i="2"/>
  <c r="L85" i="2"/>
  <c r="L83" i="2"/>
  <c r="N80" i="2"/>
  <c r="N78" i="2"/>
  <c r="M60" i="2"/>
  <c r="M53" i="2"/>
  <c r="N49" i="2"/>
  <c r="N42" i="2"/>
  <c r="L39" i="2"/>
  <c r="L32" i="2"/>
  <c r="M28" i="2"/>
  <c r="N21" i="2"/>
  <c r="M20" i="2"/>
  <c r="L19" i="2"/>
  <c r="N17" i="2"/>
  <c r="M16" i="2"/>
  <c r="L15" i="2"/>
  <c r="N13" i="2"/>
  <c r="M12" i="2"/>
  <c r="L11" i="2"/>
  <c r="N9" i="2"/>
  <c r="M8" i="2"/>
  <c r="L7" i="2"/>
  <c r="L12" i="2"/>
  <c r="N10" i="2"/>
  <c r="M9" i="2"/>
  <c r="L8" i="2"/>
  <c r="N6" i="2"/>
  <c r="N75" i="2"/>
  <c r="L73" i="2"/>
  <c r="M70" i="2"/>
  <c r="N67" i="2"/>
  <c r="L65" i="2"/>
  <c r="M62" i="2"/>
  <c r="N59" i="2"/>
  <c r="L57" i="2"/>
  <c r="M54" i="2"/>
  <c r="L53" i="2"/>
  <c r="M50" i="2"/>
  <c r="L49" i="2"/>
  <c r="N47" i="2"/>
  <c r="M46" i="2"/>
  <c r="L45" i="2"/>
  <c r="N43" i="2"/>
  <c r="M42" i="2"/>
  <c r="L41" i="2"/>
  <c r="N39" i="2"/>
  <c r="L37" i="2"/>
  <c r="N35" i="2"/>
  <c r="M34" i="2"/>
  <c r="L33" i="2"/>
  <c r="N31" i="2"/>
  <c r="M30" i="2"/>
  <c r="L29" i="2"/>
  <c r="N27" i="2"/>
  <c r="M26" i="2"/>
  <c r="L25" i="2"/>
  <c r="N23" i="2"/>
  <c r="M22" i="2"/>
  <c r="L21" i="2"/>
  <c r="N19" i="2"/>
  <c r="M18" i="2"/>
  <c r="L17" i="2"/>
  <c r="N15" i="2"/>
  <c r="M14" i="2"/>
  <c r="L13" i="2"/>
  <c r="N11" i="2"/>
  <c r="M10" i="2"/>
  <c r="L9" i="2"/>
  <c r="N7" i="2"/>
  <c r="M6" i="2"/>
  <c r="M74" i="2"/>
  <c r="N71" i="2"/>
  <c r="L69" i="2"/>
  <c r="M66" i="2"/>
  <c r="N63" i="2"/>
  <c r="L61" i="2"/>
  <c r="M58" i="2"/>
  <c r="N55" i="2"/>
  <c r="N51" i="2"/>
  <c r="M38" i="2"/>
  <c r="N60" i="2"/>
  <c r="M59" i="2"/>
  <c r="L58" i="2"/>
  <c r="N56" i="2"/>
  <c r="M55" i="2"/>
  <c r="L54" i="2"/>
  <c r="N52" i="2"/>
  <c r="M51" i="2"/>
  <c r="L50" i="2"/>
  <c r="N48" i="2"/>
  <c r="M47" i="2"/>
  <c r="L46" i="2"/>
  <c r="N44" i="2"/>
  <c r="M43" i="2"/>
  <c r="L42" i="2"/>
  <c r="N40" i="2"/>
  <c r="M39" i="2"/>
  <c r="L38" i="2"/>
  <c r="N36" i="2"/>
  <c r="M35" i="2"/>
  <c r="L34" i="2"/>
  <c r="N32" i="2"/>
  <c r="M31" i="2"/>
  <c r="L30" i="2"/>
  <c r="N28" i="2"/>
  <c r="M27" i="2"/>
  <c r="L26" i="2"/>
  <c r="N24" i="2"/>
  <c r="M23" i="2"/>
  <c r="L22" i="2"/>
  <c r="N20" i="2"/>
  <c r="M19" i="2"/>
  <c r="L18" i="2"/>
  <c r="N16" i="2"/>
  <c r="M15" i="2"/>
  <c r="L14" i="2"/>
  <c r="N12" i="2"/>
  <c r="M11" i="2"/>
  <c r="L10" i="2"/>
  <c r="N8" i="2"/>
  <c r="M7" i="2"/>
  <c r="L6" i="2"/>
  <c r="N5" i="2"/>
  <c r="M5" i="2"/>
  <c r="K50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2" i="4"/>
  <c r="K3" i="4"/>
  <c r="K4" i="4"/>
  <c r="K5" i="4"/>
  <c r="K6" i="4"/>
  <c r="K7" i="4"/>
  <c r="K49" i="4"/>
  <c r="K51" i="4"/>
  <c r="K52" i="4"/>
  <c r="N35" i="4" a="1"/>
  <c r="L19" i="4" a="1"/>
  <c r="M46" i="4" a="1"/>
  <c r="N28" i="4" a="1"/>
  <c r="L34" i="4" a="1"/>
  <c r="M10" i="4" a="1"/>
  <c r="N45" i="4" a="1"/>
  <c r="L12" i="4" a="1"/>
  <c r="M33" i="4" a="1"/>
  <c r="N9" i="4" a="1"/>
  <c r="L13" i="4" a="1"/>
  <c r="M32" i="4" a="1"/>
  <c r="N8" i="4" a="1"/>
  <c r="L5" i="4" a="1"/>
  <c r="M31" i="4" a="1"/>
  <c r="N2" i="4" a="1"/>
  <c r="L30" i="4" a="1"/>
  <c r="M36" i="4" a="1"/>
  <c r="N20" i="4" a="1"/>
  <c r="M35" i="4" a="1"/>
  <c r="N11" i="4" a="1"/>
  <c r="L46" i="4" a="1"/>
  <c r="M28" i="4" a="1"/>
  <c r="N26" i="4" a="1"/>
  <c r="L10" i="4" a="1"/>
  <c r="M45" i="4" a="1"/>
  <c r="N50" i="4" a="1"/>
  <c r="L33" i="4" a="1"/>
  <c r="M9" i="4" a="1"/>
  <c r="N48" i="4" a="1"/>
  <c r="L32" i="4" a="1"/>
  <c r="M8" i="4" a="1"/>
  <c r="N47" i="4" a="1"/>
  <c r="L31" i="4" a="1"/>
  <c r="M2" i="4" a="1"/>
  <c r="N14" i="4" a="1"/>
  <c r="L36" i="4" a="1"/>
  <c r="M20" i="4" a="1"/>
  <c r="L35" i="4" a="1"/>
  <c r="M11" i="4" a="1"/>
  <c r="N22" i="4" a="1"/>
  <c r="L28" i="4" a="1"/>
  <c r="M26" i="4" a="1"/>
  <c r="N7" i="4" a="1"/>
  <c r="L45" i="4" a="1"/>
  <c r="M50" i="4" a="1"/>
  <c r="N25" i="4" a="1"/>
  <c r="L9" i="4" a="1"/>
  <c r="M48" i="4" a="1"/>
  <c r="N24" i="4" a="1"/>
  <c r="L8" i="4" a="1"/>
  <c r="M47" i="4" a="1"/>
  <c r="N23" i="4" a="1"/>
  <c r="L2" i="4" a="1"/>
  <c r="M14" i="4" a="1"/>
  <c r="N37" i="4" a="1"/>
  <c r="L20" i="4" a="1"/>
  <c r="N27" i="4" a="1"/>
  <c r="L11" i="4" a="1"/>
  <c r="M22" i="4" a="1"/>
  <c r="N42" i="4" a="1"/>
  <c r="L26" i="4" a="1"/>
  <c r="M7" i="4" a="1"/>
  <c r="N4" i="4" a="1"/>
  <c r="L50" i="4" a="1"/>
  <c r="M25" i="4" a="1"/>
  <c r="L49" i="4" a="1"/>
  <c r="L48" i="4" a="1"/>
  <c r="M24" i="4" a="1"/>
  <c r="L51" i="4" a="1"/>
  <c r="L47" i="4" a="1"/>
  <c r="M23" i="4" a="1"/>
  <c r="N38" i="4" a="1"/>
  <c r="L14" i="4" a="1"/>
  <c r="M37" i="4" a="1"/>
  <c r="L52" i="4" a="1"/>
  <c r="M27" i="4" a="1"/>
  <c r="N6" i="4" a="1"/>
  <c r="L22" i="4" a="1"/>
  <c r="M42" i="4" a="1"/>
  <c r="N18" i="4" a="1"/>
  <c r="L7" i="4" a="1"/>
  <c r="M4" i="4" a="1"/>
  <c r="N41" i="4" a="1"/>
  <c r="L25" i="4" a="1"/>
  <c r="M49" i="4" a="1"/>
  <c r="N40" i="4" a="1"/>
  <c r="L24" i="4" a="1"/>
  <c r="M51" i="4" a="1"/>
  <c r="N39" i="4" a="1"/>
  <c r="L23" i="4" a="1"/>
  <c r="M38" i="4" a="1"/>
  <c r="N29" i="4" a="1"/>
  <c r="L37" i="4" a="1"/>
  <c r="N43" i="4" a="1"/>
  <c r="L27" i="4" a="1"/>
  <c r="M6" i="4" a="1"/>
  <c r="N21" i="4" a="1"/>
  <c r="L42" i="4" a="1"/>
  <c r="M18" i="4" a="1"/>
  <c r="N3" i="4" a="1"/>
  <c r="L4" i="4" a="1"/>
  <c r="M41" i="4" a="1"/>
  <c r="N17" i="4" a="1"/>
  <c r="N49" i="4" a="1"/>
  <c r="M40" i="4" a="1"/>
  <c r="N16" i="4" a="1"/>
  <c r="N51" i="4" a="1"/>
  <c r="M39" i="4" a="1"/>
  <c r="N15" i="4" a="1"/>
  <c r="L38" i="4" a="1"/>
  <c r="M29" i="4" a="1"/>
  <c r="N44" i="4" a="1"/>
  <c r="M43" i="4" a="1"/>
  <c r="N19" i="4" a="1"/>
  <c r="L6" i="4" a="1"/>
  <c r="M21" i="4" a="1"/>
  <c r="N34" i="4" a="1"/>
  <c r="L18" i="4" a="1"/>
  <c r="M3" i="4" a="1"/>
  <c r="N12" i="4" a="1"/>
  <c r="L41" i="4" a="1"/>
  <c r="M17" i="4" a="1"/>
  <c r="N13" i="4" a="1"/>
  <c r="L40" i="4" a="1"/>
  <c r="M16" i="4" a="1"/>
  <c r="N5" i="4" a="1"/>
  <c r="L39" i="4" a="1"/>
  <c r="M15" i="4" a="1"/>
  <c r="N30" i="4" a="1"/>
  <c r="L29" i="4" a="1"/>
  <c r="M44" i="4" a="1"/>
  <c r="L43" i="4" a="1"/>
  <c r="M19" i="4" a="1"/>
  <c r="N46" i="4" a="1"/>
  <c r="L21" i="4" a="1"/>
  <c r="M34" i="4" a="1"/>
  <c r="N10" i="4" a="1"/>
  <c r="L3" i="4" a="1"/>
  <c r="M12" i="4" a="1"/>
  <c r="N33" i="4" a="1"/>
  <c r="L17" i="4" a="1"/>
  <c r="M13" i="4" a="1"/>
  <c r="N32" i="4" a="1"/>
  <c r="L16" i="4" a="1"/>
  <c r="M5" i="4" a="1"/>
  <c r="N31" i="4" a="1"/>
  <c r="L15" i="4" a="1"/>
  <c r="M30" i="4" a="1"/>
  <c r="N36" i="4" a="1"/>
  <c r="L44" i="4" a="1"/>
  <c r="P6" i="2" l="1"/>
  <c r="CB6" i="2"/>
  <c r="AO6" i="2"/>
  <c r="DA6" i="2"/>
  <c r="BV6" i="2"/>
  <c r="AI6" i="2"/>
  <c r="CU6" i="2"/>
  <c r="BH6" i="2"/>
  <c r="BY6" i="2"/>
  <c r="AT6" i="2"/>
  <c r="DF6" i="2"/>
  <c r="CQ6" i="2"/>
  <c r="X6" i="2"/>
  <c r="CJ6" i="2"/>
  <c r="AW6" i="2"/>
  <c r="DI6" i="2"/>
  <c r="R6" i="2"/>
  <c r="CD6" i="2"/>
  <c r="AQ6" i="2"/>
  <c r="DC6" i="2"/>
  <c r="BP6" i="2"/>
  <c r="U6" i="2"/>
  <c r="CG6" i="2"/>
  <c r="BB6" i="2"/>
  <c r="W6" i="2"/>
  <c r="AF6" i="2"/>
  <c r="CR6" i="2"/>
  <c r="BE6" i="2"/>
  <c r="Z6" i="2"/>
  <c r="CL6" i="2"/>
  <c r="AY6" i="2"/>
  <c r="DK6" i="2"/>
  <c r="BX6" i="2"/>
  <c r="AC6" i="2"/>
  <c r="CO6" i="2"/>
  <c r="BJ6" i="2"/>
  <c r="CI6" i="2"/>
  <c r="AN6" i="2"/>
  <c r="CZ6" i="2"/>
  <c r="BM6" i="2"/>
  <c r="AH6" i="2"/>
  <c r="CT6" i="2"/>
  <c r="BG6" i="2"/>
  <c r="T6" i="2"/>
  <c r="CF6" i="2"/>
  <c r="AK6" i="2"/>
  <c r="CW6" i="2"/>
  <c r="BR6" i="2"/>
  <c r="AV6" i="2"/>
  <c r="DH6" i="2"/>
  <c r="BU6" i="2"/>
  <c r="AP6" i="2"/>
  <c r="DB6" i="2"/>
  <c r="BO6" i="2"/>
  <c r="AB6" i="2"/>
  <c r="CN6" i="2"/>
  <c r="AS6" i="2"/>
  <c r="DE6" i="2"/>
  <c r="BZ6" i="2"/>
  <c r="BD6" i="2"/>
  <c r="Q6" i="2"/>
  <c r="CC6" i="2"/>
  <c r="AX6" i="2"/>
  <c r="DJ6" i="2"/>
  <c r="BW6" i="2"/>
  <c r="AJ6" i="2"/>
  <c r="CV6" i="2"/>
  <c r="BA6" i="2"/>
  <c r="V6" i="2"/>
  <c r="CH6" i="2"/>
  <c r="BL6" i="2"/>
  <c r="Y6" i="2"/>
  <c r="CK6" i="2"/>
  <c r="BF6" i="2"/>
  <c r="S6" i="2"/>
  <c r="CE6" i="2"/>
  <c r="AR6" i="2"/>
  <c r="DD6" i="2"/>
  <c r="BI6" i="2"/>
  <c r="AD6" i="2"/>
  <c r="CP6" i="2"/>
  <c r="AM6" i="2"/>
  <c r="BT6" i="2"/>
  <c r="BC6" i="2"/>
  <c r="AA6" i="2"/>
  <c r="AL6" i="2"/>
  <c r="CM6" i="2"/>
  <c r="AZ6" i="2"/>
  <c r="CX6" i="2"/>
  <c r="BK6" i="2"/>
  <c r="BS6" i="2"/>
  <c r="DL6" i="2"/>
  <c r="AU6" i="2"/>
  <c r="CA6" i="2"/>
  <c r="DG6" i="2"/>
  <c r="AG6" i="2"/>
  <c r="AE6" i="2"/>
  <c r="CS6" i="2"/>
  <c r="BN6" i="2"/>
  <c r="BQ6" i="2"/>
  <c r="CY6" i="2"/>
  <c r="P38" i="2"/>
  <c r="CB38" i="2"/>
  <c r="BE38" i="2"/>
  <c r="BG38" i="2"/>
  <c r="BQ38" i="2"/>
  <c r="AT38" i="2"/>
  <c r="X38" i="2"/>
  <c r="CJ38" i="2"/>
  <c r="BM38" i="2"/>
  <c r="BO38" i="2"/>
  <c r="BY38" i="2"/>
  <c r="BJ38" i="2"/>
  <c r="AF38" i="2"/>
  <c r="CR38" i="2"/>
  <c r="BU38" i="2"/>
  <c r="BW38" i="2"/>
  <c r="U38" i="2"/>
  <c r="CG38" i="2"/>
  <c r="BZ38" i="2"/>
  <c r="AN38" i="2"/>
  <c r="CZ38" i="2"/>
  <c r="Q38" i="2"/>
  <c r="CC38" i="2"/>
  <c r="S38" i="2"/>
  <c r="CE38" i="2"/>
  <c r="AC38" i="2"/>
  <c r="CO38" i="2"/>
  <c r="AV38" i="2"/>
  <c r="DH38" i="2"/>
  <c r="Y38" i="2"/>
  <c r="CK38" i="2"/>
  <c r="AA38" i="2"/>
  <c r="CM38" i="2"/>
  <c r="AK38" i="2"/>
  <c r="CW38" i="2"/>
  <c r="DF38" i="2"/>
  <c r="BD38" i="2"/>
  <c r="AG38" i="2"/>
  <c r="CS38" i="2"/>
  <c r="AI38" i="2"/>
  <c r="CU38" i="2"/>
  <c r="AS38" i="2"/>
  <c r="DE38" i="2"/>
  <c r="BL38" i="2"/>
  <c r="AO38" i="2"/>
  <c r="DA38" i="2"/>
  <c r="AQ38" i="2"/>
  <c r="DC38" i="2"/>
  <c r="BT38" i="2"/>
  <c r="AW38" i="2"/>
  <c r="DI38" i="2"/>
  <c r="AY38" i="2"/>
  <c r="DK38" i="2"/>
  <c r="BI38" i="2"/>
  <c r="AU38" i="2"/>
  <c r="R38" i="2"/>
  <c r="DL38" i="2"/>
  <c r="CH38" i="2"/>
  <c r="W38" i="2"/>
  <c r="BK38" i="2"/>
  <c r="AH38" i="2"/>
  <c r="CX38" i="2"/>
  <c r="AM38" i="2"/>
  <c r="CA38" i="2"/>
  <c r="AX38" i="2"/>
  <c r="T38" i="2"/>
  <c r="BC38" i="2"/>
  <c r="AD38" i="2"/>
  <c r="CQ38" i="2"/>
  <c r="BN38" i="2"/>
  <c r="AJ38" i="2"/>
  <c r="CP38" i="2"/>
  <c r="DG38" i="2"/>
  <c r="CD38" i="2"/>
  <c r="AZ38" i="2"/>
  <c r="V38" i="2"/>
  <c r="CI38" i="2"/>
  <c r="BA38" i="2"/>
  <c r="CT38" i="2"/>
  <c r="DJ38" i="2"/>
  <c r="CF38" i="2"/>
  <c r="BB38" i="2"/>
  <c r="AE38" i="2"/>
  <c r="CV38" i="2"/>
  <c r="BR38" i="2"/>
  <c r="BF38" i="2"/>
  <c r="BV38" i="2"/>
  <c r="CL38" i="2"/>
  <c r="AB38" i="2"/>
  <c r="BX38" i="2"/>
  <c r="BP38" i="2"/>
  <c r="DB38" i="2"/>
  <c r="BH38" i="2"/>
  <c r="AL38" i="2"/>
  <c r="AR38" i="2"/>
  <c r="CY38" i="2"/>
  <c r="AP38" i="2"/>
  <c r="DD38" i="2"/>
  <c r="Z38" i="2"/>
  <c r="CN38" i="2"/>
  <c r="BS38" i="2"/>
  <c r="AA33" i="2"/>
  <c r="CM33" i="2"/>
  <c r="CA33" i="2"/>
  <c r="Y33" i="2"/>
  <c r="DF33" i="2"/>
  <c r="AI33" i="2"/>
  <c r="CU33" i="2"/>
  <c r="W33" i="2"/>
  <c r="CI33" i="2"/>
  <c r="AQ33" i="2"/>
  <c r="DC33" i="2"/>
  <c r="AE33" i="2"/>
  <c r="CQ33" i="2"/>
  <c r="AT33" i="2"/>
  <c r="AY33" i="2"/>
  <c r="DK33" i="2"/>
  <c r="AM33" i="2"/>
  <c r="BG33" i="2"/>
  <c r="AU33" i="2"/>
  <c r="DG33" i="2"/>
  <c r="BP33" i="2"/>
  <c r="BO33" i="2"/>
  <c r="BW33" i="2"/>
  <c r="S33" i="2"/>
  <c r="CE33" i="2"/>
  <c r="CV33" i="2"/>
  <c r="BF33" i="2"/>
  <c r="AB33" i="2"/>
  <c r="DI33" i="2"/>
  <c r="CD33" i="2"/>
  <c r="AD33" i="2"/>
  <c r="DL33" i="2"/>
  <c r="CG33" i="2"/>
  <c r="AR33" i="2"/>
  <c r="BC33" i="2"/>
  <c r="BQ33" i="2"/>
  <c r="AL33" i="2"/>
  <c r="CO33" i="2"/>
  <c r="AO33" i="2"/>
  <c r="CR33" i="2"/>
  <c r="BB33" i="2"/>
  <c r="BK33" i="2"/>
  <c r="CB33" i="2"/>
  <c r="AW33" i="2"/>
  <c r="R33" i="2"/>
  <c r="CZ33" i="2"/>
  <c r="AZ33" i="2"/>
  <c r="U33" i="2"/>
  <c r="DB33" i="2"/>
  <c r="BM33" i="2"/>
  <c r="CJ33" i="2"/>
  <c r="BS33" i="2"/>
  <c r="CL33" i="2"/>
  <c r="BH33" i="2"/>
  <c r="AC33" i="2"/>
  <c r="DJ33" i="2"/>
  <c r="BJ33" i="2"/>
  <c r="AF33" i="2"/>
  <c r="BX33" i="2"/>
  <c r="CY33" i="2"/>
  <c r="AJ33" i="2"/>
  <c r="P33" i="2"/>
  <c r="CW33" i="2"/>
  <c r="BR33" i="2"/>
  <c r="AN33" i="2"/>
  <c r="BU33" i="2"/>
  <c r="AP33" i="2"/>
  <c r="CH33" i="2"/>
  <c r="BE33" i="2"/>
  <c r="Z33" i="2"/>
  <c r="DH33" i="2"/>
  <c r="CC33" i="2"/>
  <c r="AX33" i="2"/>
  <c r="CF33" i="2"/>
  <c r="BA33" i="2"/>
  <c r="CS33" i="2"/>
  <c r="BZ33" i="2"/>
  <c r="AK33" i="2"/>
  <c r="CN33" i="2"/>
  <c r="BI33" i="2"/>
  <c r="CP33" i="2"/>
  <c r="BL33" i="2"/>
  <c r="V33" i="2"/>
  <c r="DD33" i="2"/>
  <c r="CK33" i="2"/>
  <c r="AV33" i="2"/>
  <c r="Q33" i="2"/>
  <c r="CX33" i="2"/>
  <c r="BT33" i="2"/>
  <c r="T33" i="2"/>
  <c r="DA33" i="2"/>
  <c r="BV33" i="2"/>
  <c r="AG33" i="2"/>
  <c r="CT33" i="2"/>
  <c r="X33" i="2"/>
  <c r="DE33" i="2"/>
  <c r="AS33" i="2"/>
  <c r="BY33" i="2"/>
  <c r="AH33" i="2"/>
  <c r="BN33" i="2"/>
  <c r="BD33" i="2"/>
  <c r="V45" i="2"/>
  <c r="CH45" i="2"/>
  <c r="AU45" i="2"/>
  <c r="DG45" i="2"/>
  <c r="AF45" i="2"/>
  <c r="CR45" i="2"/>
  <c r="Q45" i="2"/>
  <c r="CC45" i="2"/>
  <c r="BN45" i="2"/>
  <c r="AD45" i="2"/>
  <c r="CP45" i="2"/>
  <c r="BC45" i="2"/>
  <c r="AN45" i="2"/>
  <c r="CZ45" i="2"/>
  <c r="Y45" i="2"/>
  <c r="CK45" i="2"/>
  <c r="BV45" i="2"/>
  <c r="AL45" i="2"/>
  <c r="CX45" i="2"/>
  <c r="BK45" i="2"/>
  <c r="AV45" i="2"/>
  <c r="DH45" i="2"/>
  <c r="AG45" i="2"/>
  <c r="CS45" i="2"/>
  <c r="R45" i="2"/>
  <c r="CD45" i="2"/>
  <c r="AT45" i="2"/>
  <c r="DF45" i="2"/>
  <c r="BS45" i="2"/>
  <c r="BD45" i="2"/>
  <c r="AO45" i="2"/>
  <c r="DA45" i="2"/>
  <c r="Z45" i="2"/>
  <c r="CL45" i="2"/>
  <c r="BB45" i="2"/>
  <c r="CA45" i="2"/>
  <c r="BL45" i="2"/>
  <c r="AW45" i="2"/>
  <c r="DI45" i="2"/>
  <c r="AH45" i="2"/>
  <c r="CT45" i="2"/>
  <c r="BJ45" i="2"/>
  <c r="W45" i="2"/>
  <c r="CI45" i="2"/>
  <c r="BR45" i="2"/>
  <c r="AE45" i="2"/>
  <c r="CQ45" i="2"/>
  <c r="P45" i="2"/>
  <c r="CB45" i="2"/>
  <c r="BM45" i="2"/>
  <c r="AX45" i="2"/>
  <c r="DJ45" i="2"/>
  <c r="BZ45" i="2"/>
  <c r="AM45" i="2"/>
  <c r="CY45" i="2"/>
  <c r="X45" i="2"/>
  <c r="CJ45" i="2"/>
  <c r="BU45" i="2"/>
  <c r="BF45" i="2"/>
  <c r="BT45" i="2"/>
  <c r="AZ45" i="2"/>
  <c r="DL45" i="2"/>
  <c r="BA45" i="2"/>
  <c r="AC45" i="2"/>
  <c r="BO45" i="2"/>
  <c r="BH45" i="2"/>
  <c r="CG45" i="2"/>
  <c r="AA45" i="2"/>
  <c r="BI45" i="2"/>
  <c r="CU45" i="2"/>
  <c r="BP45" i="2"/>
  <c r="BG45" i="2"/>
  <c r="CO45" i="2"/>
  <c r="BX45" i="2"/>
  <c r="CM45" i="2"/>
  <c r="T45" i="2"/>
  <c r="CF45" i="2"/>
  <c r="BE45" i="2"/>
  <c r="AB45" i="2"/>
  <c r="CN45" i="2"/>
  <c r="DB45" i="2"/>
  <c r="AR45" i="2"/>
  <c r="DD45" i="2"/>
  <c r="U45" i="2"/>
  <c r="AI45" i="2"/>
  <c r="CV45" i="2"/>
  <c r="DE45" i="2"/>
  <c r="AQ45" i="2"/>
  <c r="AK45" i="2"/>
  <c r="BW45" i="2"/>
  <c r="BQ45" i="2"/>
  <c r="DC45" i="2"/>
  <c r="DK45" i="2"/>
  <c r="CW45" i="2"/>
  <c r="AP45" i="2"/>
  <c r="AS45" i="2"/>
  <c r="BY45" i="2"/>
  <c r="AJ45" i="2"/>
  <c r="S45" i="2"/>
  <c r="AY45" i="2"/>
  <c r="CE45" i="2"/>
  <c r="BR8" i="2"/>
  <c r="AE8" i="2"/>
  <c r="CQ8" i="2"/>
  <c r="BL8" i="2"/>
  <c r="Y8" i="2"/>
  <c r="CK8" i="2"/>
  <c r="AX8" i="2"/>
  <c r="DJ8" i="2"/>
  <c r="BO8" i="2"/>
  <c r="AJ8" i="2"/>
  <c r="CV8" i="2"/>
  <c r="BZ8" i="2"/>
  <c r="AM8" i="2"/>
  <c r="CY8" i="2"/>
  <c r="BT8" i="2"/>
  <c r="AG8" i="2"/>
  <c r="CS8" i="2"/>
  <c r="BF8" i="2"/>
  <c r="BW8" i="2"/>
  <c r="AR8" i="2"/>
  <c r="DD8" i="2"/>
  <c r="AC8" i="2"/>
  <c r="V8" i="2"/>
  <c r="CH8" i="2"/>
  <c r="AU8" i="2"/>
  <c r="DG8" i="2"/>
  <c r="P8" i="2"/>
  <c r="CB8" i="2"/>
  <c r="AO8" i="2"/>
  <c r="DA8" i="2"/>
  <c r="BN8" i="2"/>
  <c r="S8" i="2"/>
  <c r="CE8" i="2"/>
  <c r="AZ8" i="2"/>
  <c r="DL8" i="2"/>
  <c r="U8" i="2"/>
  <c r="CO8" i="2"/>
  <c r="AD8" i="2"/>
  <c r="CP8" i="2"/>
  <c r="BC8" i="2"/>
  <c r="X8" i="2"/>
  <c r="CJ8" i="2"/>
  <c r="AW8" i="2"/>
  <c r="DI8" i="2"/>
  <c r="BV8" i="2"/>
  <c r="AA8" i="2"/>
  <c r="CM8" i="2"/>
  <c r="BH8" i="2"/>
  <c r="CG8" i="2"/>
  <c r="AL8" i="2"/>
  <c r="CX8" i="2"/>
  <c r="BK8" i="2"/>
  <c r="AF8" i="2"/>
  <c r="CR8" i="2"/>
  <c r="BE8" i="2"/>
  <c r="R8" i="2"/>
  <c r="CD8" i="2"/>
  <c r="AI8" i="2"/>
  <c r="CU8" i="2"/>
  <c r="BP8" i="2"/>
  <c r="AT8" i="2"/>
  <c r="DF8" i="2"/>
  <c r="BS8" i="2"/>
  <c r="AN8" i="2"/>
  <c r="CZ8" i="2"/>
  <c r="BM8" i="2"/>
  <c r="Z8" i="2"/>
  <c r="CL8" i="2"/>
  <c r="AQ8" i="2"/>
  <c r="DC8" i="2"/>
  <c r="BX8" i="2"/>
  <c r="BY8" i="2"/>
  <c r="BB8" i="2"/>
  <c r="CA8" i="2"/>
  <c r="AV8" i="2"/>
  <c r="DH8" i="2"/>
  <c r="BU8" i="2"/>
  <c r="AH8" i="2"/>
  <c r="CT8" i="2"/>
  <c r="AY8" i="2"/>
  <c r="DK8" i="2"/>
  <c r="T8" i="2"/>
  <c r="CF8" i="2"/>
  <c r="BJ8" i="2"/>
  <c r="CW8" i="2"/>
  <c r="W8" i="2"/>
  <c r="CI8" i="2"/>
  <c r="BD8" i="2"/>
  <c r="BG8" i="2"/>
  <c r="AS8" i="2"/>
  <c r="Q8" i="2"/>
  <c r="AB8" i="2"/>
  <c r="DE8" i="2"/>
  <c r="CC8" i="2"/>
  <c r="AP8" i="2"/>
  <c r="CN8" i="2"/>
  <c r="BA8" i="2"/>
  <c r="BI8" i="2"/>
  <c r="DB8" i="2"/>
  <c r="AK8" i="2"/>
  <c r="BQ8" i="2"/>
  <c r="BL102" i="2"/>
  <c r="BT102" i="2"/>
  <c r="P102" i="2"/>
  <c r="CB102" i="2"/>
  <c r="X102" i="2"/>
  <c r="CJ102" i="2"/>
  <c r="AF102" i="2"/>
  <c r="CR102" i="2"/>
  <c r="AN102" i="2"/>
  <c r="AV102" i="2"/>
  <c r="BD102" i="2"/>
  <c r="AR102" i="2"/>
  <c r="CH102" i="2"/>
  <c r="CT102" i="2"/>
  <c r="BE102" i="2"/>
  <c r="BF102" i="2"/>
  <c r="AW102" i="2"/>
  <c r="AC102" i="2"/>
  <c r="DF102" i="2"/>
  <c r="AO102" i="2"/>
  <c r="BK102" i="2"/>
  <c r="AZ102" i="2"/>
  <c r="CS102" i="2"/>
  <c r="W102" i="2"/>
  <c r="DB102" i="2"/>
  <c r="BO102" i="2"/>
  <c r="BQ102" i="2"/>
  <c r="BG102" i="2"/>
  <c r="AM102" i="2"/>
  <c r="AY102" i="2"/>
  <c r="BH102" i="2"/>
  <c r="V102" i="2"/>
  <c r="DA102" i="2"/>
  <c r="AH102" i="2"/>
  <c r="DJ102" i="2"/>
  <c r="BZ102" i="2"/>
  <c r="CA102" i="2"/>
  <c r="BR102" i="2"/>
  <c r="AX102" i="2"/>
  <c r="BJ102" i="2"/>
  <c r="CG102" i="2"/>
  <c r="CQ102" i="2"/>
  <c r="BP102" i="2"/>
  <c r="AG102" i="2"/>
  <c r="DI102" i="2"/>
  <c r="AS102" i="2"/>
  <c r="CK102" i="2"/>
  <c r="CL102" i="2"/>
  <c r="CC102" i="2"/>
  <c r="BI102" i="2"/>
  <c r="BU102" i="2"/>
  <c r="BX102" i="2"/>
  <c r="AQ102" i="2"/>
  <c r="BC102" i="2"/>
  <c r="CU102" i="2"/>
  <c r="CV102" i="2"/>
  <c r="CM102" i="2"/>
  <c r="BS102" i="2"/>
  <c r="CE102" i="2"/>
  <c r="BA102" i="2"/>
  <c r="T102" i="2"/>
  <c r="CF102" i="2"/>
  <c r="BB102" i="2"/>
  <c r="BN102" i="2"/>
  <c r="Y102" i="2"/>
  <c r="DC102" i="2"/>
  <c r="Z102" i="2"/>
  <c r="DD102" i="2"/>
  <c r="Q102" i="2"/>
  <c r="CW102" i="2"/>
  <c r="CD102" i="2"/>
  <c r="CP102" i="2"/>
  <c r="AB102" i="2"/>
  <c r="CN102" i="2"/>
  <c r="BM102" i="2"/>
  <c r="BY102" i="2"/>
  <c r="AI102" i="2"/>
  <c r="DK102" i="2"/>
  <c r="AK102" i="2"/>
  <c r="DL102" i="2"/>
  <c r="AA102" i="2"/>
  <c r="DE102" i="2"/>
  <c r="CO102" i="2"/>
  <c r="S102" i="2"/>
  <c r="AJ102" i="2"/>
  <c r="BW102" i="2"/>
  <c r="CI102" i="2"/>
  <c r="AT102" i="2"/>
  <c r="AU102" i="2"/>
  <c r="AL102" i="2"/>
  <c r="R102" i="2"/>
  <c r="CX102" i="2"/>
  <c r="AD102" i="2"/>
  <c r="DG102" i="2"/>
  <c r="BD90" i="2"/>
  <c r="BL90" i="2"/>
  <c r="BT90" i="2"/>
  <c r="P90" i="2"/>
  <c r="CB90" i="2"/>
  <c r="X90" i="2"/>
  <c r="CJ90" i="2"/>
  <c r="AF90" i="2"/>
  <c r="CR90" i="2"/>
  <c r="AN90" i="2"/>
  <c r="CZ90" i="2"/>
  <c r="AV90" i="2"/>
  <c r="AK90" i="2"/>
  <c r="DJ90" i="2"/>
  <c r="CA90" i="2"/>
  <c r="AY90" i="2"/>
  <c r="BK90" i="2"/>
  <c r="AQ90" i="2"/>
  <c r="CO90" i="2"/>
  <c r="V90" i="2"/>
  <c r="AW90" i="2"/>
  <c r="CK90" i="2"/>
  <c r="BI90" i="2"/>
  <c r="BU90" i="2"/>
  <c r="BA90" i="2"/>
  <c r="W90" i="2"/>
  <c r="CX90" i="2"/>
  <c r="AD90" i="2"/>
  <c r="BG90" i="2"/>
  <c r="R90" i="2"/>
  <c r="CT90" i="2"/>
  <c r="BS90" i="2"/>
  <c r="CD90" i="2"/>
  <c r="BM90" i="2"/>
  <c r="AH90" i="2"/>
  <c r="DG90" i="2"/>
  <c r="AL90" i="2"/>
  <c r="BQ90" i="2"/>
  <c r="AB90" i="2"/>
  <c r="DC90" i="2"/>
  <c r="CC90" i="2"/>
  <c r="CM90" i="2"/>
  <c r="BV90" i="2"/>
  <c r="AR90" i="2"/>
  <c r="AT90" i="2"/>
  <c r="BZ90" i="2"/>
  <c r="AM90" i="2"/>
  <c r="DK90" i="2"/>
  <c r="CL90" i="2"/>
  <c r="T90" i="2"/>
  <c r="CV90" i="2"/>
  <c r="CE90" i="2"/>
  <c r="BC90" i="2"/>
  <c r="BB90" i="2"/>
  <c r="CI90" i="2"/>
  <c r="AX90" i="2"/>
  <c r="S90" i="2"/>
  <c r="CU90" i="2"/>
  <c r="AE90" i="2"/>
  <c r="DE90" i="2"/>
  <c r="CN90" i="2"/>
  <c r="BN90" i="2"/>
  <c r="BJ90" i="2"/>
  <c r="Q90" i="2"/>
  <c r="CS90" i="2"/>
  <c r="BH90" i="2"/>
  <c r="AC90" i="2"/>
  <c r="DD90" i="2"/>
  <c r="AP90" i="2"/>
  <c r="U90" i="2"/>
  <c r="CW90" i="2"/>
  <c r="AA90" i="2"/>
  <c r="DB90" i="2"/>
  <c r="BR90" i="2"/>
  <c r="AO90" i="2"/>
  <c r="DL90" i="2"/>
  <c r="AZ90" i="2"/>
  <c r="AG90" i="2"/>
  <c r="DF90" i="2"/>
  <c r="CF90" i="2"/>
  <c r="Y90" i="2"/>
  <c r="CY90" i="2"/>
  <c r="Z90" i="2"/>
  <c r="BW90" i="2"/>
  <c r="AI90" i="2"/>
  <c r="DH90" i="2"/>
  <c r="BF90" i="2"/>
  <c r="BP90" i="2"/>
  <c r="AS90" i="2"/>
  <c r="BY90" i="2"/>
  <c r="BE90" i="2"/>
  <c r="CQ90" i="2"/>
  <c r="BO90" i="2"/>
  <c r="CH90" i="2"/>
  <c r="BX90" i="2"/>
  <c r="AU90" i="2"/>
  <c r="CG90" i="2"/>
  <c r="AJ90" i="2"/>
  <c r="CP90" i="2"/>
  <c r="DI90" i="2"/>
  <c r="BC80" i="2"/>
  <c r="BP80" i="2"/>
  <c r="AL80" i="2"/>
  <c r="AN80" i="2"/>
  <c r="CP80" i="2"/>
  <c r="CG80" i="2"/>
  <c r="BK80" i="2"/>
  <c r="BX80" i="2"/>
  <c r="AW80" i="2"/>
  <c r="AX80" i="2"/>
  <c r="S80" i="2"/>
  <c r="DA80" i="2"/>
  <c r="CR80" i="2"/>
  <c r="BS80" i="2"/>
  <c r="T80" i="2"/>
  <c r="CF80" i="2"/>
  <c r="BG80" i="2"/>
  <c r="BI80" i="2"/>
  <c r="AD80" i="2"/>
  <c r="DK80" i="2"/>
  <c r="U80" i="2"/>
  <c r="DB80" i="2"/>
  <c r="CH80" i="2"/>
  <c r="CA80" i="2"/>
  <c r="AB80" i="2"/>
  <c r="CN80" i="2"/>
  <c r="BR80" i="2"/>
  <c r="BT80" i="2"/>
  <c r="AO80" i="2"/>
  <c r="AF80" i="2"/>
  <c r="W80" i="2"/>
  <c r="CI80" i="2"/>
  <c r="AJ80" i="2"/>
  <c r="CV80" i="2"/>
  <c r="CC80" i="2"/>
  <c r="CD80" i="2"/>
  <c r="AY80" i="2"/>
  <c r="AP80" i="2"/>
  <c r="AE80" i="2"/>
  <c r="CQ80" i="2"/>
  <c r="AR80" i="2"/>
  <c r="DD80" i="2"/>
  <c r="CM80" i="2"/>
  <c r="CO80" i="2"/>
  <c r="BJ80" i="2"/>
  <c r="BA80" i="2"/>
  <c r="AM80" i="2"/>
  <c r="CY80" i="2"/>
  <c r="AZ80" i="2"/>
  <c r="DL80" i="2"/>
  <c r="Q80" i="2"/>
  <c r="CX80" i="2"/>
  <c r="R80" i="2"/>
  <c r="CZ80" i="2"/>
  <c r="BU80" i="2"/>
  <c r="BL80" i="2"/>
  <c r="AU80" i="2"/>
  <c r="DG80" i="2"/>
  <c r="BH80" i="2"/>
  <c r="AA80" i="2"/>
  <c r="DI80" i="2"/>
  <c r="AC80" i="2"/>
  <c r="DJ80" i="2"/>
  <c r="CE80" i="2"/>
  <c r="BV80" i="2"/>
  <c r="BM80" i="2"/>
  <c r="BN80" i="2"/>
  <c r="BO80" i="2"/>
  <c r="CL80" i="2"/>
  <c r="BW80" i="2"/>
  <c r="BY80" i="2"/>
  <c r="BZ80" i="2"/>
  <c r="AV80" i="2"/>
  <c r="CS80" i="2"/>
  <c r="CJ80" i="2"/>
  <c r="CK80" i="2"/>
  <c r="CW80" i="2"/>
  <c r="DC80" i="2"/>
  <c r="CT80" i="2"/>
  <c r="CU80" i="2"/>
  <c r="BQ80" i="2"/>
  <c r="V80" i="2"/>
  <c r="X80" i="2"/>
  <c r="DE80" i="2"/>
  <c r="Y80" i="2"/>
  <c r="DF80" i="2"/>
  <c r="BF80" i="2"/>
  <c r="AG80" i="2"/>
  <c r="AH80" i="2"/>
  <c r="AI80" i="2"/>
  <c r="AK80" i="2"/>
  <c r="CB80" i="2"/>
  <c r="AQ80" i="2"/>
  <c r="AS80" i="2"/>
  <c r="AT80" i="2"/>
  <c r="BB80" i="2"/>
  <c r="BD80" i="2"/>
  <c r="BE80" i="2"/>
  <c r="P80" i="2"/>
  <c r="DH80" i="2"/>
  <c r="Z80" i="2"/>
  <c r="BF59" i="2"/>
  <c r="AA59" i="2"/>
  <c r="CM59" i="2"/>
  <c r="BN59" i="2"/>
  <c r="AI59" i="2"/>
  <c r="CU59" i="2"/>
  <c r="BV59" i="2"/>
  <c r="AQ59" i="2"/>
  <c r="DC59" i="2"/>
  <c r="R59" i="2"/>
  <c r="CD59" i="2"/>
  <c r="AY59" i="2"/>
  <c r="DK59" i="2"/>
  <c r="Z59" i="2"/>
  <c r="CL59" i="2"/>
  <c r="BG59" i="2"/>
  <c r="AP59" i="2"/>
  <c r="DB59" i="2"/>
  <c r="BW59" i="2"/>
  <c r="AX59" i="2"/>
  <c r="AJ59" i="2"/>
  <c r="CV59" i="2"/>
  <c r="AT59" i="2"/>
  <c r="DF59" i="2"/>
  <c r="AM59" i="2"/>
  <c r="CY59" i="2"/>
  <c r="BI59" i="2"/>
  <c r="U59" i="2"/>
  <c r="BM59" i="2"/>
  <c r="Y59" i="2"/>
  <c r="AC59" i="2"/>
  <c r="BA59" i="2"/>
  <c r="CT59" i="2"/>
  <c r="AR59" i="2"/>
  <c r="DD59" i="2"/>
  <c r="BB59" i="2"/>
  <c r="AU59" i="2"/>
  <c r="DG59" i="2"/>
  <c r="CC59" i="2"/>
  <c r="AO59" i="2"/>
  <c r="CJ59" i="2"/>
  <c r="AW59" i="2"/>
  <c r="BU59" i="2"/>
  <c r="DJ59" i="2"/>
  <c r="S59" i="2"/>
  <c r="AZ59" i="2"/>
  <c r="DL59" i="2"/>
  <c r="BJ59" i="2"/>
  <c r="BC59" i="2"/>
  <c r="CZ59" i="2"/>
  <c r="BL59" i="2"/>
  <c r="DE59" i="2"/>
  <c r="BT59" i="2"/>
  <c r="CR59" i="2"/>
  <c r="BO59" i="2"/>
  <c r="BH59" i="2"/>
  <c r="BR59" i="2"/>
  <c r="BK59" i="2"/>
  <c r="CG59" i="2"/>
  <c r="CO59" i="2"/>
  <c r="CE59" i="2"/>
  <c r="BP59" i="2"/>
  <c r="BZ59" i="2"/>
  <c r="BS59" i="2"/>
  <c r="DA59" i="2"/>
  <c r="DI59" i="2"/>
  <c r="BX59" i="2"/>
  <c r="V59" i="2"/>
  <c r="CH59" i="2"/>
  <c r="CA59" i="2"/>
  <c r="T59" i="2"/>
  <c r="CF59" i="2"/>
  <c r="AD59" i="2"/>
  <c r="CP59" i="2"/>
  <c r="W59" i="2"/>
  <c r="CI59" i="2"/>
  <c r="Q59" i="2"/>
  <c r="X59" i="2"/>
  <c r="AH59" i="2"/>
  <c r="AB59" i="2"/>
  <c r="CN59" i="2"/>
  <c r="AL59" i="2"/>
  <c r="CX59" i="2"/>
  <c r="AE59" i="2"/>
  <c r="CQ59" i="2"/>
  <c r="AN59" i="2"/>
  <c r="AS59" i="2"/>
  <c r="AF59" i="2"/>
  <c r="BE59" i="2"/>
  <c r="CK59" i="2"/>
  <c r="BQ59" i="2"/>
  <c r="CB59" i="2"/>
  <c r="AG59" i="2"/>
  <c r="BD59" i="2"/>
  <c r="AV59" i="2"/>
  <c r="BY59" i="2"/>
  <c r="P59" i="2"/>
  <c r="CS59" i="2"/>
  <c r="CW59" i="2"/>
  <c r="DH59" i="2"/>
  <c r="AK59" i="2"/>
  <c r="BY91" i="2"/>
  <c r="AT91" i="2"/>
  <c r="DF91" i="2"/>
  <c r="W91" i="2"/>
  <c r="CI91" i="2"/>
  <c r="AF91" i="2"/>
  <c r="CR91" i="2"/>
  <c r="Q91" i="2"/>
  <c r="CC91" i="2"/>
  <c r="BF91" i="2"/>
  <c r="U91" i="2"/>
  <c r="CG91" i="2"/>
  <c r="BB91" i="2"/>
  <c r="AE91" i="2"/>
  <c r="CQ91" i="2"/>
  <c r="AN91" i="2"/>
  <c r="CZ91" i="2"/>
  <c r="Y91" i="2"/>
  <c r="CK91" i="2"/>
  <c r="AC91" i="2"/>
  <c r="CO91" i="2"/>
  <c r="BJ91" i="2"/>
  <c r="AM91" i="2"/>
  <c r="CY91" i="2"/>
  <c r="AV91" i="2"/>
  <c r="DH91" i="2"/>
  <c r="AG91" i="2"/>
  <c r="CS91" i="2"/>
  <c r="BV91" i="2"/>
  <c r="AK91" i="2"/>
  <c r="CW91" i="2"/>
  <c r="BR91" i="2"/>
  <c r="AU91" i="2"/>
  <c r="DG91" i="2"/>
  <c r="BD91" i="2"/>
  <c r="AO91" i="2"/>
  <c r="DA91" i="2"/>
  <c r="R91" i="2"/>
  <c r="AS91" i="2"/>
  <c r="DE91" i="2"/>
  <c r="BZ91" i="2"/>
  <c r="BC91" i="2"/>
  <c r="BL91" i="2"/>
  <c r="AW91" i="2"/>
  <c r="DI91" i="2"/>
  <c r="Z91" i="2"/>
  <c r="CL91" i="2"/>
  <c r="BA91" i="2"/>
  <c r="V91" i="2"/>
  <c r="CH91" i="2"/>
  <c r="BK91" i="2"/>
  <c r="BT91" i="2"/>
  <c r="BE91" i="2"/>
  <c r="AH91" i="2"/>
  <c r="BI91" i="2"/>
  <c r="AD91" i="2"/>
  <c r="CP91" i="2"/>
  <c r="BS91" i="2"/>
  <c r="P91" i="2"/>
  <c r="CB91" i="2"/>
  <c r="BM91" i="2"/>
  <c r="BQ91" i="2"/>
  <c r="AL91" i="2"/>
  <c r="CX91" i="2"/>
  <c r="CA91" i="2"/>
  <c r="X91" i="2"/>
  <c r="CJ91" i="2"/>
  <c r="BU91" i="2"/>
  <c r="AX91" i="2"/>
  <c r="BO91" i="2"/>
  <c r="BX91" i="2"/>
  <c r="BW91" i="2"/>
  <c r="AP91" i="2"/>
  <c r="S91" i="2"/>
  <c r="CE91" i="2"/>
  <c r="AB91" i="2"/>
  <c r="AJ91" i="2"/>
  <c r="BN91" i="2"/>
  <c r="AA91" i="2"/>
  <c r="CM91" i="2"/>
  <c r="CN91" i="2"/>
  <c r="CV91" i="2"/>
  <c r="AR91" i="2"/>
  <c r="BP91" i="2"/>
  <c r="CD91" i="2"/>
  <c r="AI91" i="2"/>
  <c r="CU91" i="2"/>
  <c r="DD91" i="2"/>
  <c r="BH91" i="2"/>
  <c r="CT91" i="2"/>
  <c r="AQ91" i="2"/>
  <c r="DC91" i="2"/>
  <c r="AZ91" i="2"/>
  <c r="DB91" i="2"/>
  <c r="AY91" i="2"/>
  <c r="DK91" i="2"/>
  <c r="T91" i="2"/>
  <c r="DL91" i="2"/>
  <c r="DJ91" i="2"/>
  <c r="BG91" i="2"/>
  <c r="CF91" i="2"/>
  <c r="BY20" i="2"/>
  <c r="AD20" i="2"/>
  <c r="CP20" i="2"/>
  <c r="AE20" i="2"/>
  <c r="CQ20" i="2"/>
  <c r="U20" i="2"/>
  <c r="CG20" i="2"/>
  <c r="AL20" i="2"/>
  <c r="CX20" i="2"/>
  <c r="AM20" i="2"/>
  <c r="CY20" i="2"/>
  <c r="AC20" i="2"/>
  <c r="CO20" i="2"/>
  <c r="AT20" i="2"/>
  <c r="DF20" i="2"/>
  <c r="AU20" i="2"/>
  <c r="DG20" i="2"/>
  <c r="AK20" i="2"/>
  <c r="CW20" i="2"/>
  <c r="BB20" i="2"/>
  <c r="BC20" i="2"/>
  <c r="AS20" i="2"/>
  <c r="DE20" i="2"/>
  <c r="BJ20" i="2"/>
  <c r="BK20" i="2"/>
  <c r="BA20" i="2"/>
  <c r="BR20" i="2"/>
  <c r="BS20" i="2"/>
  <c r="BI20" i="2"/>
  <c r="BQ20" i="2"/>
  <c r="V20" i="2"/>
  <c r="CH20" i="2"/>
  <c r="BL20" i="2"/>
  <c r="BU20" i="2"/>
  <c r="AH20" i="2"/>
  <c r="CT20" i="2"/>
  <c r="BO20" i="2"/>
  <c r="BT20" i="2"/>
  <c r="Q20" i="2"/>
  <c r="CC20" i="2"/>
  <c r="AP20" i="2"/>
  <c r="DB20" i="2"/>
  <c r="BW20" i="2"/>
  <c r="AZ20" i="2"/>
  <c r="P20" i="2"/>
  <c r="CB20" i="2"/>
  <c r="Y20" i="2"/>
  <c r="CK20" i="2"/>
  <c r="AX20" i="2"/>
  <c r="DJ20" i="2"/>
  <c r="S20" i="2"/>
  <c r="CE20" i="2"/>
  <c r="DL20" i="2"/>
  <c r="BX20" i="2"/>
  <c r="X20" i="2"/>
  <c r="CJ20" i="2"/>
  <c r="AG20" i="2"/>
  <c r="CS20" i="2"/>
  <c r="BF20" i="2"/>
  <c r="AA20" i="2"/>
  <c r="CM20" i="2"/>
  <c r="W20" i="2"/>
  <c r="AF20" i="2"/>
  <c r="CR20" i="2"/>
  <c r="AO20" i="2"/>
  <c r="DA20" i="2"/>
  <c r="BN20" i="2"/>
  <c r="AI20" i="2"/>
  <c r="CU20" i="2"/>
  <c r="BP20" i="2"/>
  <c r="CA20" i="2"/>
  <c r="AN20" i="2"/>
  <c r="CZ20" i="2"/>
  <c r="AW20" i="2"/>
  <c r="DI20" i="2"/>
  <c r="BV20" i="2"/>
  <c r="AQ20" i="2"/>
  <c r="DC20" i="2"/>
  <c r="BZ20" i="2"/>
  <c r="CI20" i="2"/>
  <c r="AV20" i="2"/>
  <c r="DH20" i="2"/>
  <c r="BE20" i="2"/>
  <c r="R20" i="2"/>
  <c r="CD20" i="2"/>
  <c r="AY20" i="2"/>
  <c r="DK20" i="2"/>
  <c r="BD20" i="2"/>
  <c r="BM20" i="2"/>
  <c r="Z20" i="2"/>
  <c r="CL20" i="2"/>
  <c r="BG20" i="2"/>
  <c r="BH20" i="2"/>
  <c r="DD20" i="2"/>
  <c r="T20" i="2"/>
  <c r="AB20" i="2"/>
  <c r="CF20" i="2"/>
  <c r="CN20" i="2"/>
  <c r="AR20" i="2"/>
  <c r="AJ20" i="2"/>
  <c r="CV20" i="2"/>
  <c r="U60" i="2"/>
  <c r="CG60" i="2"/>
  <c r="BB60" i="2"/>
  <c r="AC60" i="2"/>
  <c r="CO60" i="2"/>
  <c r="BJ60" i="2"/>
  <c r="AK60" i="2"/>
  <c r="CW60" i="2"/>
  <c r="BR60" i="2"/>
  <c r="AS60" i="2"/>
  <c r="DE60" i="2"/>
  <c r="BZ60" i="2"/>
  <c r="BA60" i="2"/>
  <c r="V60" i="2"/>
  <c r="CH60" i="2"/>
  <c r="BQ60" i="2"/>
  <c r="AL60" i="2"/>
  <c r="CX60" i="2"/>
  <c r="DF60" i="2"/>
  <c r="BK60" i="2"/>
  <c r="BU60" i="2"/>
  <c r="BN60" i="2"/>
  <c r="CM60" i="2"/>
  <c r="CU60" i="2"/>
  <c r="BS60" i="2"/>
  <c r="Q60" i="2"/>
  <c r="CC60" i="2"/>
  <c r="BV60" i="2"/>
  <c r="DH60" i="2"/>
  <c r="CA60" i="2"/>
  <c r="Y60" i="2"/>
  <c r="CK60" i="2"/>
  <c r="R60" i="2"/>
  <c r="CD60" i="2"/>
  <c r="BI60" i="2"/>
  <c r="W60" i="2"/>
  <c r="CI60" i="2"/>
  <c r="AG60" i="2"/>
  <c r="CS60" i="2"/>
  <c r="Z60" i="2"/>
  <c r="CL60" i="2"/>
  <c r="X60" i="2"/>
  <c r="AB60" i="2"/>
  <c r="P60" i="2"/>
  <c r="BY60" i="2"/>
  <c r="AE60" i="2"/>
  <c r="CQ60" i="2"/>
  <c r="AO60" i="2"/>
  <c r="DA60" i="2"/>
  <c r="AH60" i="2"/>
  <c r="CT60" i="2"/>
  <c r="AR60" i="2"/>
  <c r="AY60" i="2"/>
  <c r="AJ60" i="2"/>
  <c r="AD60" i="2"/>
  <c r="AM60" i="2"/>
  <c r="CY60" i="2"/>
  <c r="AW60" i="2"/>
  <c r="DI60" i="2"/>
  <c r="AP60" i="2"/>
  <c r="DB60" i="2"/>
  <c r="BO60" i="2"/>
  <c r="AA60" i="2"/>
  <c r="BT60" i="2"/>
  <c r="AI60" i="2"/>
  <c r="BG60" i="2"/>
  <c r="AT60" i="2"/>
  <c r="AU60" i="2"/>
  <c r="DG60" i="2"/>
  <c r="BE60" i="2"/>
  <c r="AX60" i="2"/>
  <c r="DJ60" i="2"/>
  <c r="CJ60" i="2"/>
  <c r="AV60" i="2"/>
  <c r="CN60" i="2"/>
  <c r="BD60" i="2"/>
  <c r="CB60" i="2"/>
  <c r="CP60" i="2"/>
  <c r="BC60" i="2"/>
  <c r="BM60" i="2"/>
  <c r="BF60" i="2"/>
  <c r="DD60" i="2"/>
  <c r="BP60" i="2"/>
  <c r="DK60" i="2"/>
  <c r="BX60" i="2"/>
  <c r="CV60" i="2"/>
  <c r="S60" i="2"/>
  <c r="CF60" i="2"/>
  <c r="CR60" i="2"/>
  <c r="AN60" i="2"/>
  <c r="AQ60" i="2"/>
  <c r="BH60" i="2"/>
  <c r="BW60" i="2"/>
  <c r="CE60" i="2"/>
  <c r="AZ60" i="2"/>
  <c r="T60" i="2"/>
  <c r="CZ60" i="2"/>
  <c r="BL60" i="2"/>
  <c r="AF60" i="2"/>
  <c r="DL60" i="2"/>
  <c r="DC60" i="2"/>
  <c r="Z108" i="2"/>
  <c r="S103" i="2"/>
  <c r="CD108" i="2"/>
  <c r="DH102" i="2"/>
  <c r="BR5" i="2"/>
  <c r="AW105" i="2"/>
  <c r="DG107" i="2"/>
  <c r="AE100" i="2"/>
  <c r="DC103" i="2"/>
  <c r="CQ100" i="2"/>
  <c r="CC105" i="2"/>
  <c r="AT107" i="2"/>
  <c r="W18" i="2"/>
  <c r="CI18" i="2"/>
  <c r="AN18" i="2"/>
  <c r="CZ18" i="2"/>
  <c r="AO18" i="2"/>
  <c r="DA18" i="2"/>
  <c r="AE18" i="2"/>
  <c r="CQ18" i="2"/>
  <c r="AV18" i="2"/>
  <c r="DH18" i="2"/>
  <c r="AW18" i="2"/>
  <c r="DI18" i="2"/>
  <c r="AM18" i="2"/>
  <c r="CY18" i="2"/>
  <c r="BD18" i="2"/>
  <c r="BE18" i="2"/>
  <c r="AU18" i="2"/>
  <c r="DG18" i="2"/>
  <c r="BL18" i="2"/>
  <c r="BM18" i="2"/>
  <c r="BC18" i="2"/>
  <c r="BT18" i="2"/>
  <c r="BU18" i="2"/>
  <c r="BK18" i="2"/>
  <c r="P18" i="2"/>
  <c r="CB18" i="2"/>
  <c r="Q18" i="2"/>
  <c r="CC18" i="2"/>
  <c r="BS18" i="2"/>
  <c r="CA18" i="2"/>
  <c r="AF18" i="2"/>
  <c r="CR18" i="2"/>
  <c r="CS18" i="2"/>
  <c r="BV18" i="2"/>
  <c r="S18" i="2"/>
  <c r="CE18" i="2"/>
  <c r="AR18" i="2"/>
  <c r="DD18" i="2"/>
  <c r="BY18" i="2"/>
  <c r="R18" i="2"/>
  <c r="CD18" i="2"/>
  <c r="AA18" i="2"/>
  <c r="CM18" i="2"/>
  <c r="AZ18" i="2"/>
  <c r="DL18" i="2"/>
  <c r="U18" i="2"/>
  <c r="CG18" i="2"/>
  <c r="BZ18" i="2"/>
  <c r="X18" i="2"/>
  <c r="Z18" i="2"/>
  <c r="CL18" i="2"/>
  <c r="AI18" i="2"/>
  <c r="CU18" i="2"/>
  <c r="BH18" i="2"/>
  <c r="AC18" i="2"/>
  <c r="CO18" i="2"/>
  <c r="CJ18" i="2"/>
  <c r="AH18" i="2"/>
  <c r="CT18" i="2"/>
  <c r="AQ18" i="2"/>
  <c r="DC18" i="2"/>
  <c r="BP18" i="2"/>
  <c r="AK18" i="2"/>
  <c r="CW18" i="2"/>
  <c r="AP18" i="2"/>
  <c r="DB18" i="2"/>
  <c r="AY18" i="2"/>
  <c r="DK18" i="2"/>
  <c r="BX18" i="2"/>
  <c r="AS18" i="2"/>
  <c r="DE18" i="2"/>
  <c r="BR18" i="2"/>
  <c r="CP18" i="2"/>
  <c r="Y18" i="2"/>
  <c r="AX18" i="2"/>
  <c r="DJ18" i="2"/>
  <c r="BG18" i="2"/>
  <c r="T18" i="2"/>
  <c r="CF18" i="2"/>
  <c r="BA18" i="2"/>
  <c r="AG18" i="2"/>
  <c r="BF18" i="2"/>
  <c r="BO18" i="2"/>
  <c r="AB18" i="2"/>
  <c r="CN18" i="2"/>
  <c r="BI18" i="2"/>
  <c r="BJ18" i="2"/>
  <c r="CK18" i="2"/>
  <c r="BN18" i="2"/>
  <c r="BW18" i="2"/>
  <c r="AJ18" i="2"/>
  <c r="CV18" i="2"/>
  <c r="BQ18" i="2"/>
  <c r="CH18" i="2"/>
  <c r="AT18" i="2"/>
  <c r="V18" i="2"/>
  <c r="DF18" i="2"/>
  <c r="AL18" i="2"/>
  <c r="BB18" i="2"/>
  <c r="AD18" i="2"/>
  <c r="CX18" i="2"/>
  <c r="AM50" i="2"/>
  <c r="CY50" i="2"/>
  <c r="AU50" i="2"/>
  <c r="DG50" i="2"/>
  <c r="BC50" i="2"/>
  <c r="BK50" i="2"/>
  <c r="BS50" i="2"/>
  <c r="W50" i="2"/>
  <c r="CI50" i="2"/>
  <c r="AE50" i="2"/>
  <c r="CQ50" i="2"/>
  <c r="CA50" i="2"/>
  <c r="BG50" i="2"/>
  <c r="CD50" i="2"/>
  <c r="BJ50" i="2"/>
  <c r="BV50" i="2"/>
  <c r="CH50" i="2"/>
  <c r="BO50" i="2"/>
  <c r="CO50" i="2"/>
  <c r="BU50" i="2"/>
  <c r="CG50" i="2"/>
  <c r="CS50" i="2"/>
  <c r="BW50" i="2"/>
  <c r="R50" i="2"/>
  <c r="CZ50" i="2"/>
  <c r="CF50" i="2"/>
  <c r="CR50" i="2"/>
  <c r="V50" i="2"/>
  <c r="DD50" i="2"/>
  <c r="S50" i="2"/>
  <c r="CE50" i="2"/>
  <c r="AC50" i="2"/>
  <c r="DJ50" i="2"/>
  <c r="CP50" i="2"/>
  <c r="U50" i="2"/>
  <c r="DB50" i="2"/>
  <c r="AG50" i="2"/>
  <c r="AA50" i="2"/>
  <c r="CM50" i="2"/>
  <c r="AN50" i="2"/>
  <c r="T50" i="2"/>
  <c r="DA50" i="2"/>
  <c r="AF50" i="2"/>
  <c r="AR50" i="2"/>
  <c r="AI50" i="2"/>
  <c r="CU50" i="2"/>
  <c r="AX50" i="2"/>
  <c r="AD50" i="2"/>
  <c r="DL50" i="2"/>
  <c r="AY50" i="2"/>
  <c r="DK50" i="2"/>
  <c r="BT50" i="2"/>
  <c r="AZ50" i="2"/>
  <c r="BL50" i="2"/>
  <c r="BX50" i="2"/>
  <c r="DC50" i="2"/>
  <c r="BB50" i="2"/>
  <c r="BD50" i="2"/>
  <c r="BP50" i="2"/>
  <c r="P50" i="2"/>
  <c r="CW50" i="2"/>
  <c r="BM50" i="2"/>
  <c r="BN50" i="2"/>
  <c r="BZ50" i="2"/>
  <c r="Z50" i="2"/>
  <c r="DH50" i="2"/>
  <c r="AO50" i="2"/>
  <c r="BY50" i="2"/>
  <c r="CK50" i="2"/>
  <c r="AK50" i="2"/>
  <c r="AB50" i="2"/>
  <c r="CJ50" i="2"/>
  <c r="CV50" i="2"/>
  <c r="AV50" i="2"/>
  <c r="CN50" i="2"/>
  <c r="DI50" i="2"/>
  <c r="AP50" i="2"/>
  <c r="CT50" i="2"/>
  <c r="Y50" i="2"/>
  <c r="DF50" i="2"/>
  <c r="BF50" i="2"/>
  <c r="BA50" i="2"/>
  <c r="X50" i="2"/>
  <c r="DE50" i="2"/>
  <c r="AJ50" i="2"/>
  <c r="BQ50" i="2"/>
  <c r="BI50" i="2"/>
  <c r="AH50" i="2"/>
  <c r="AT50" i="2"/>
  <c r="CB50" i="2"/>
  <c r="Q50" i="2"/>
  <c r="AL50" i="2"/>
  <c r="BE50" i="2"/>
  <c r="AQ50" i="2"/>
  <c r="AS50" i="2"/>
  <c r="CX50" i="2"/>
  <c r="AW50" i="2"/>
  <c r="CL50" i="2"/>
  <c r="BH50" i="2"/>
  <c r="BR50" i="2"/>
  <c r="CC50" i="2"/>
  <c r="AU69" i="2"/>
  <c r="DG69" i="2"/>
  <c r="AF69" i="2"/>
  <c r="AW69" i="2"/>
  <c r="DI69" i="2"/>
  <c r="AI69" i="2"/>
  <c r="CU69" i="2"/>
  <c r="AR69" i="2"/>
  <c r="DD69" i="2"/>
  <c r="BC69" i="2"/>
  <c r="AN69" i="2"/>
  <c r="BE69" i="2"/>
  <c r="AQ69" i="2"/>
  <c r="DC69" i="2"/>
  <c r="AZ69" i="2"/>
  <c r="BK69" i="2"/>
  <c r="AV69" i="2"/>
  <c r="BM69" i="2"/>
  <c r="AY69" i="2"/>
  <c r="DK69" i="2"/>
  <c r="BH69" i="2"/>
  <c r="BS69" i="2"/>
  <c r="BD69" i="2"/>
  <c r="BU69" i="2"/>
  <c r="BG69" i="2"/>
  <c r="BP69" i="2"/>
  <c r="CA69" i="2"/>
  <c r="BL69" i="2"/>
  <c r="Q69" i="2"/>
  <c r="CC69" i="2"/>
  <c r="BO69" i="2"/>
  <c r="BX69" i="2"/>
  <c r="W69" i="2"/>
  <c r="CI69" i="2"/>
  <c r="BT69" i="2"/>
  <c r="Y69" i="2"/>
  <c r="CK69" i="2"/>
  <c r="BW69" i="2"/>
  <c r="T69" i="2"/>
  <c r="CF69" i="2"/>
  <c r="AE69" i="2"/>
  <c r="CQ69" i="2"/>
  <c r="P69" i="2"/>
  <c r="CB69" i="2"/>
  <c r="AG69" i="2"/>
  <c r="CS69" i="2"/>
  <c r="S69" i="2"/>
  <c r="CE69" i="2"/>
  <c r="AM69" i="2"/>
  <c r="CY69" i="2"/>
  <c r="X69" i="2"/>
  <c r="AO69" i="2"/>
  <c r="DA69" i="2"/>
  <c r="AA69" i="2"/>
  <c r="CM69" i="2"/>
  <c r="AJ69" i="2"/>
  <c r="CV69" i="2"/>
  <c r="CR69" i="2"/>
  <c r="AL69" i="2"/>
  <c r="Z69" i="2"/>
  <c r="BR69" i="2"/>
  <c r="BV69" i="2"/>
  <c r="AS69" i="2"/>
  <c r="DL69" i="2"/>
  <c r="DH69" i="2"/>
  <c r="BI69" i="2"/>
  <c r="U69" i="2"/>
  <c r="AT69" i="2"/>
  <c r="CL69" i="2"/>
  <c r="CO69" i="2"/>
  <c r="BB69" i="2"/>
  <c r="CD69" i="2"/>
  <c r="AP69" i="2"/>
  <c r="BQ69" i="2"/>
  <c r="DB69" i="2"/>
  <c r="DE69" i="2"/>
  <c r="CT69" i="2"/>
  <c r="BJ69" i="2"/>
  <c r="CJ69" i="2"/>
  <c r="BN69" i="2"/>
  <c r="DJ69" i="2"/>
  <c r="CG69" i="2"/>
  <c r="CZ69" i="2"/>
  <c r="AK69" i="2"/>
  <c r="CW69" i="2"/>
  <c r="V69" i="2"/>
  <c r="AH69" i="2"/>
  <c r="AB69" i="2"/>
  <c r="BF69" i="2"/>
  <c r="AC69" i="2"/>
  <c r="AD69" i="2"/>
  <c r="CX69" i="2"/>
  <c r="DF69" i="2"/>
  <c r="CN69" i="2"/>
  <c r="BZ69" i="2"/>
  <c r="R69" i="2"/>
  <c r="AX69" i="2"/>
  <c r="BA69" i="2"/>
  <c r="BY69" i="2"/>
  <c r="CH69" i="2"/>
  <c r="CP69" i="2"/>
  <c r="BR13" i="2"/>
  <c r="W13" i="2"/>
  <c r="CI13" i="2"/>
  <c r="BZ13" i="2"/>
  <c r="AE13" i="2"/>
  <c r="CQ13" i="2"/>
  <c r="V13" i="2"/>
  <c r="CH13" i="2"/>
  <c r="AM13" i="2"/>
  <c r="CY13" i="2"/>
  <c r="AD13" i="2"/>
  <c r="CP13" i="2"/>
  <c r="AU13" i="2"/>
  <c r="DG13" i="2"/>
  <c r="AL13" i="2"/>
  <c r="CX13" i="2"/>
  <c r="BC13" i="2"/>
  <c r="AT13" i="2"/>
  <c r="DF13" i="2"/>
  <c r="BK13" i="2"/>
  <c r="BB13" i="2"/>
  <c r="BS13" i="2"/>
  <c r="X13" i="2"/>
  <c r="CJ13" i="2"/>
  <c r="AW13" i="2"/>
  <c r="DI13" i="2"/>
  <c r="R13" i="2"/>
  <c r="CD13" i="2"/>
  <c r="BO13" i="2"/>
  <c r="BP13" i="2"/>
  <c r="CG13" i="2"/>
  <c r="AF13" i="2"/>
  <c r="CR13" i="2"/>
  <c r="BE13" i="2"/>
  <c r="Z13" i="2"/>
  <c r="CL13" i="2"/>
  <c r="BW13" i="2"/>
  <c r="BX13" i="2"/>
  <c r="CA13" i="2"/>
  <c r="AN13" i="2"/>
  <c r="CZ13" i="2"/>
  <c r="BM13" i="2"/>
  <c r="AH13" i="2"/>
  <c r="CT13" i="2"/>
  <c r="S13" i="2"/>
  <c r="CE13" i="2"/>
  <c r="T13" i="2"/>
  <c r="CF13" i="2"/>
  <c r="AV13" i="2"/>
  <c r="DH13" i="2"/>
  <c r="BU13" i="2"/>
  <c r="AP13" i="2"/>
  <c r="DB13" i="2"/>
  <c r="AA13" i="2"/>
  <c r="CM13" i="2"/>
  <c r="AB13" i="2"/>
  <c r="CN13" i="2"/>
  <c r="BD13" i="2"/>
  <c r="Q13" i="2"/>
  <c r="CC13" i="2"/>
  <c r="AX13" i="2"/>
  <c r="DJ13" i="2"/>
  <c r="AI13" i="2"/>
  <c r="CU13" i="2"/>
  <c r="AJ13" i="2"/>
  <c r="CV13" i="2"/>
  <c r="BL13" i="2"/>
  <c r="Y13" i="2"/>
  <c r="CK13" i="2"/>
  <c r="BF13" i="2"/>
  <c r="AQ13" i="2"/>
  <c r="DC13" i="2"/>
  <c r="AR13" i="2"/>
  <c r="DD13" i="2"/>
  <c r="AC13" i="2"/>
  <c r="AK13" i="2"/>
  <c r="BT13" i="2"/>
  <c r="AG13" i="2"/>
  <c r="CS13" i="2"/>
  <c r="BN13" i="2"/>
  <c r="AY13" i="2"/>
  <c r="DK13" i="2"/>
  <c r="AZ13" i="2"/>
  <c r="DL13" i="2"/>
  <c r="BJ13" i="2"/>
  <c r="P13" i="2"/>
  <c r="CB13" i="2"/>
  <c r="AO13" i="2"/>
  <c r="DA13" i="2"/>
  <c r="BV13" i="2"/>
  <c r="BG13" i="2"/>
  <c r="BH13" i="2"/>
  <c r="U13" i="2"/>
  <c r="CO13" i="2"/>
  <c r="BA13" i="2"/>
  <c r="CW13" i="2"/>
  <c r="AS13" i="2"/>
  <c r="BQ13" i="2"/>
  <c r="DE13" i="2"/>
  <c r="BY13" i="2"/>
  <c r="BI13" i="2"/>
  <c r="BL32" i="2"/>
  <c r="AZ32" i="2"/>
  <c r="DL32" i="2"/>
  <c r="AO32" i="2"/>
  <c r="BT32" i="2"/>
  <c r="BH32" i="2"/>
  <c r="AY32" i="2"/>
  <c r="P32" i="2"/>
  <c r="CB32" i="2"/>
  <c r="BP32" i="2"/>
  <c r="BJ32" i="2"/>
  <c r="X32" i="2"/>
  <c r="CJ32" i="2"/>
  <c r="BX32" i="2"/>
  <c r="AF32" i="2"/>
  <c r="CR32" i="2"/>
  <c r="T32" i="2"/>
  <c r="CF32" i="2"/>
  <c r="CE32" i="2"/>
  <c r="AN32" i="2"/>
  <c r="CZ32" i="2"/>
  <c r="AB32" i="2"/>
  <c r="CN32" i="2"/>
  <c r="AV32" i="2"/>
  <c r="DH32" i="2"/>
  <c r="BD32" i="2"/>
  <c r="AR32" i="2"/>
  <c r="DD32" i="2"/>
  <c r="CV32" i="2"/>
  <c r="BU32" i="2"/>
  <c r="BV32" i="2"/>
  <c r="AQ32" i="2"/>
  <c r="CT32" i="2"/>
  <c r="AT32" i="2"/>
  <c r="CW32" i="2"/>
  <c r="BG32" i="2"/>
  <c r="R32" i="2"/>
  <c r="CP32" i="2"/>
  <c r="CG32" i="2"/>
  <c r="BB32" i="2"/>
  <c r="W32" i="2"/>
  <c r="DE32" i="2"/>
  <c r="BE32" i="2"/>
  <c r="Z32" i="2"/>
  <c r="DG32" i="2"/>
  <c r="BR32" i="2"/>
  <c r="CY32" i="2"/>
  <c r="DA32" i="2"/>
  <c r="CQ32" i="2"/>
  <c r="BM32" i="2"/>
  <c r="AH32" i="2"/>
  <c r="BO32" i="2"/>
  <c r="AK32" i="2"/>
  <c r="CC32" i="2"/>
  <c r="DK32" i="2"/>
  <c r="U32" i="2"/>
  <c r="DB32" i="2"/>
  <c r="BW32" i="2"/>
  <c r="AS32" i="2"/>
  <c r="BZ32" i="2"/>
  <c r="AU32" i="2"/>
  <c r="CM32" i="2"/>
  <c r="AE32" i="2"/>
  <c r="CH32" i="2"/>
  <c r="BC32" i="2"/>
  <c r="CK32" i="2"/>
  <c r="BF32" i="2"/>
  <c r="Q32" i="2"/>
  <c r="CX32" i="2"/>
  <c r="AP32" i="2"/>
  <c r="CS32" i="2"/>
  <c r="BN32" i="2"/>
  <c r="CU32" i="2"/>
  <c r="BQ32" i="2"/>
  <c r="AA32" i="2"/>
  <c r="DI32" i="2"/>
  <c r="S32" i="2"/>
  <c r="BA32" i="2"/>
  <c r="V32" i="2"/>
  <c r="DC32" i="2"/>
  <c r="BY32" i="2"/>
  <c r="Y32" i="2"/>
  <c r="DF32" i="2"/>
  <c r="CA32" i="2"/>
  <c r="AL32" i="2"/>
  <c r="AJ32" i="2"/>
  <c r="AD32" i="2"/>
  <c r="BK32" i="2"/>
  <c r="AG32" i="2"/>
  <c r="CI32" i="2"/>
  <c r="AI32" i="2"/>
  <c r="CL32" i="2"/>
  <c r="AW32" i="2"/>
  <c r="AC32" i="2"/>
  <c r="DJ32" i="2"/>
  <c r="AM32" i="2"/>
  <c r="BS32" i="2"/>
  <c r="AX32" i="2"/>
  <c r="BI32" i="2"/>
  <c r="CD32" i="2"/>
  <c r="CO32" i="2"/>
  <c r="BG83" i="2"/>
  <c r="AK83" i="2"/>
  <c r="CW83" i="2"/>
  <c r="AD83" i="2"/>
  <c r="CP83" i="2"/>
  <c r="BO83" i="2"/>
  <c r="AS83" i="2"/>
  <c r="DE83" i="2"/>
  <c r="AL83" i="2"/>
  <c r="CX83" i="2"/>
  <c r="BW83" i="2"/>
  <c r="BA83" i="2"/>
  <c r="AT83" i="2"/>
  <c r="DF83" i="2"/>
  <c r="S83" i="2"/>
  <c r="CE83" i="2"/>
  <c r="BI83" i="2"/>
  <c r="BB83" i="2"/>
  <c r="AA83" i="2"/>
  <c r="CM83" i="2"/>
  <c r="BQ83" i="2"/>
  <c r="BJ83" i="2"/>
  <c r="AI83" i="2"/>
  <c r="CU83" i="2"/>
  <c r="BY83" i="2"/>
  <c r="BR83" i="2"/>
  <c r="AQ83" i="2"/>
  <c r="DC83" i="2"/>
  <c r="U83" i="2"/>
  <c r="CG83" i="2"/>
  <c r="BZ83" i="2"/>
  <c r="AY83" i="2"/>
  <c r="DK83" i="2"/>
  <c r="AC83" i="2"/>
  <c r="CO83" i="2"/>
  <c r="V83" i="2"/>
  <c r="CH83" i="2"/>
  <c r="AE83" i="2"/>
  <c r="CQ83" i="2"/>
  <c r="P83" i="2"/>
  <c r="CB83" i="2"/>
  <c r="Q83" i="2"/>
  <c r="CC83" i="2"/>
  <c r="AP83" i="2"/>
  <c r="BX83" i="2"/>
  <c r="R83" i="2"/>
  <c r="AM83" i="2"/>
  <c r="CY83" i="2"/>
  <c r="X83" i="2"/>
  <c r="CJ83" i="2"/>
  <c r="Y83" i="2"/>
  <c r="CK83" i="2"/>
  <c r="AH83" i="2"/>
  <c r="BV83" i="2"/>
  <c r="DD83" i="2"/>
  <c r="AX83" i="2"/>
  <c r="AU83" i="2"/>
  <c r="DG83" i="2"/>
  <c r="AF83" i="2"/>
  <c r="CR83" i="2"/>
  <c r="AG83" i="2"/>
  <c r="CS83" i="2"/>
  <c r="BN83" i="2"/>
  <c r="DB83" i="2"/>
  <c r="CD83" i="2"/>
  <c r="BC83" i="2"/>
  <c r="AN83" i="2"/>
  <c r="CZ83" i="2"/>
  <c r="AO83" i="2"/>
  <c r="DA83" i="2"/>
  <c r="CT83" i="2"/>
  <c r="DJ83" i="2"/>
  <c r="T83" i="2"/>
  <c r="BK83" i="2"/>
  <c r="AV83" i="2"/>
  <c r="DH83" i="2"/>
  <c r="AW83" i="2"/>
  <c r="DI83" i="2"/>
  <c r="AZ83" i="2"/>
  <c r="BS83" i="2"/>
  <c r="BD83" i="2"/>
  <c r="BE83" i="2"/>
  <c r="AJ83" i="2"/>
  <c r="CF83" i="2"/>
  <c r="CA83" i="2"/>
  <c r="BL83" i="2"/>
  <c r="BM83" i="2"/>
  <c r="BP83" i="2"/>
  <c r="W83" i="2"/>
  <c r="CI83" i="2"/>
  <c r="BT83" i="2"/>
  <c r="BU83" i="2"/>
  <c r="CV83" i="2"/>
  <c r="AR83" i="2"/>
  <c r="CL83" i="2"/>
  <c r="DL83" i="2"/>
  <c r="BH83" i="2"/>
  <c r="CN83" i="2"/>
  <c r="Z83" i="2"/>
  <c r="BF83" i="2"/>
  <c r="AB83" i="2"/>
  <c r="BV98" i="2"/>
  <c r="AQ98" i="2"/>
  <c r="DC98" i="2"/>
  <c r="T98" i="2"/>
  <c r="CF98" i="2"/>
  <c r="AC98" i="2"/>
  <c r="CO98" i="2"/>
  <c r="BZ98" i="2"/>
  <c r="R98" i="2"/>
  <c r="CD98" i="2"/>
  <c r="AY98" i="2"/>
  <c r="DK98" i="2"/>
  <c r="AB98" i="2"/>
  <c r="CN98" i="2"/>
  <c r="AK98" i="2"/>
  <c r="CW98" i="2"/>
  <c r="V98" i="2"/>
  <c r="CH98" i="2"/>
  <c r="Z98" i="2"/>
  <c r="CL98" i="2"/>
  <c r="BG98" i="2"/>
  <c r="AJ98" i="2"/>
  <c r="CV98" i="2"/>
  <c r="AS98" i="2"/>
  <c r="DE98" i="2"/>
  <c r="AD98" i="2"/>
  <c r="AH98" i="2"/>
  <c r="BO98" i="2"/>
  <c r="AR98" i="2"/>
  <c r="DD98" i="2"/>
  <c r="BA98" i="2"/>
  <c r="AL98" i="2"/>
  <c r="AP98" i="2"/>
  <c r="BW98" i="2"/>
  <c r="AZ98" i="2"/>
  <c r="DL98" i="2"/>
  <c r="BI98" i="2"/>
  <c r="AT98" i="2"/>
  <c r="AX98" i="2"/>
  <c r="S98" i="2"/>
  <c r="CE98" i="2"/>
  <c r="BH98" i="2"/>
  <c r="BQ98" i="2"/>
  <c r="BB98" i="2"/>
  <c r="BF98" i="2"/>
  <c r="AA98" i="2"/>
  <c r="CM98" i="2"/>
  <c r="BP98" i="2"/>
  <c r="BY98" i="2"/>
  <c r="BN98" i="2"/>
  <c r="AI98" i="2"/>
  <c r="CU98" i="2"/>
  <c r="BX98" i="2"/>
  <c r="U98" i="2"/>
  <c r="CG98" i="2"/>
  <c r="BR98" i="2"/>
  <c r="BL98" i="2"/>
  <c r="DA98" i="2"/>
  <c r="DB98" i="2"/>
  <c r="CP98" i="2"/>
  <c r="AG98" i="2"/>
  <c r="BS98" i="2"/>
  <c r="CT98" i="2"/>
  <c r="BJ98" i="2"/>
  <c r="BT98" i="2"/>
  <c r="Q98" i="2"/>
  <c r="DF98" i="2"/>
  <c r="BM98" i="2"/>
  <c r="CS98" i="2"/>
  <c r="P98" i="2"/>
  <c r="CB98" i="2"/>
  <c r="AW98" i="2"/>
  <c r="CQ98" i="2"/>
  <c r="DI98" i="2"/>
  <c r="X98" i="2"/>
  <c r="CJ98" i="2"/>
  <c r="AU98" i="2"/>
  <c r="CC98" i="2"/>
  <c r="DG98" i="2"/>
  <c r="AF98" i="2"/>
  <c r="CR98" i="2"/>
  <c r="CA98" i="2"/>
  <c r="CY98" i="2"/>
  <c r="DJ98" i="2"/>
  <c r="AN98" i="2"/>
  <c r="CZ98" i="2"/>
  <c r="CX98" i="2"/>
  <c r="W98" i="2"/>
  <c r="Y98" i="2"/>
  <c r="AV98" i="2"/>
  <c r="DH98" i="2"/>
  <c r="BC98" i="2"/>
  <c r="BE98" i="2"/>
  <c r="AE98" i="2"/>
  <c r="BD98" i="2"/>
  <c r="CI98" i="2"/>
  <c r="CK98" i="2"/>
  <c r="BK98" i="2"/>
  <c r="AM98" i="2"/>
  <c r="T96" i="2"/>
  <c r="CF96" i="2"/>
  <c r="BA96" i="2"/>
  <c r="AD96" i="2"/>
  <c r="CP96" i="2"/>
  <c r="AM96" i="2"/>
  <c r="CY96" i="2"/>
  <c r="X96" i="2"/>
  <c r="CJ96" i="2"/>
  <c r="AB96" i="2"/>
  <c r="CN96" i="2"/>
  <c r="BI96" i="2"/>
  <c r="AL96" i="2"/>
  <c r="CX96" i="2"/>
  <c r="AU96" i="2"/>
  <c r="DG96" i="2"/>
  <c r="AF96" i="2"/>
  <c r="CR96" i="2"/>
  <c r="AJ96" i="2"/>
  <c r="CV96" i="2"/>
  <c r="BQ96" i="2"/>
  <c r="AT96" i="2"/>
  <c r="DF96" i="2"/>
  <c r="BC96" i="2"/>
  <c r="AN96" i="2"/>
  <c r="CZ96" i="2"/>
  <c r="AR96" i="2"/>
  <c r="DD96" i="2"/>
  <c r="BY96" i="2"/>
  <c r="BB96" i="2"/>
  <c r="BK96" i="2"/>
  <c r="AV96" i="2"/>
  <c r="DH96" i="2"/>
  <c r="AZ96" i="2"/>
  <c r="DL96" i="2"/>
  <c r="U96" i="2"/>
  <c r="CG96" i="2"/>
  <c r="BJ96" i="2"/>
  <c r="BS96" i="2"/>
  <c r="BD96" i="2"/>
  <c r="BH96" i="2"/>
  <c r="AC96" i="2"/>
  <c r="CO96" i="2"/>
  <c r="BR96" i="2"/>
  <c r="CA96" i="2"/>
  <c r="BL96" i="2"/>
  <c r="BP96" i="2"/>
  <c r="AK96" i="2"/>
  <c r="CW96" i="2"/>
  <c r="BZ96" i="2"/>
  <c r="W96" i="2"/>
  <c r="CI96" i="2"/>
  <c r="BT96" i="2"/>
  <c r="BX96" i="2"/>
  <c r="AS96" i="2"/>
  <c r="DE96" i="2"/>
  <c r="V96" i="2"/>
  <c r="CH96" i="2"/>
  <c r="AE96" i="2"/>
  <c r="CQ96" i="2"/>
  <c r="P96" i="2"/>
  <c r="CB96" i="2"/>
  <c r="BV96" i="2"/>
  <c r="BM96" i="2"/>
  <c r="BO96" i="2"/>
  <c r="AO96" i="2"/>
  <c r="Q96" i="2"/>
  <c r="R96" i="2"/>
  <c r="CD96" i="2"/>
  <c r="CS96" i="2"/>
  <c r="CU96" i="2"/>
  <c r="BU96" i="2"/>
  <c r="AW96" i="2"/>
  <c r="Z96" i="2"/>
  <c r="CL96" i="2"/>
  <c r="S96" i="2"/>
  <c r="DA96" i="2"/>
  <c r="AQ96" i="2"/>
  <c r="CC96" i="2"/>
  <c r="AH96" i="2"/>
  <c r="CT96" i="2"/>
  <c r="AA96" i="2"/>
  <c r="BW96" i="2"/>
  <c r="DI96" i="2"/>
  <c r="AP96" i="2"/>
  <c r="DB96" i="2"/>
  <c r="Y96" i="2"/>
  <c r="BG96" i="2"/>
  <c r="DC96" i="2"/>
  <c r="DK96" i="2"/>
  <c r="AX96" i="2"/>
  <c r="DJ96" i="2"/>
  <c r="BE96" i="2"/>
  <c r="AY96" i="2"/>
  <c r="CM96" i="2"/>
  <c r="BF96" i="2"/>
  <c r="CK96" i="2"/>
  <c r="BN96" i="2"/>
  <c r="AG96" i="2"/>
  <c r="AI96" i="2"/>
  <c r="AU97" i="2"/>
  <c r="DG97" i="2"/>
  <c r="P97" i="2"/>
  <c r="CB97" i="2"/>
  <c r="BE97" i="2"/>
  <c r="BN97" i="2"/>
  <c r="AY97" i="2"/>
  <c r="DK97" i="2"/>
  <c r="BC97" i="2"/>
  <c r="X97" i="2"/>
  <c r="CJ97" i="2"/>
  <c r="BM97" i="2"/>
  <c r="BV97" i="2"/>
  <c r="BG97" i="2"/>
  <c r="BK97" i="2"/>
  <c r="AF97" i="2"/>
  <c r="CR97" i="2"/>
  <c r="BU97" i="2"/>
  <c r="R97" i="2"/>
  <c r="CD97" i="2"/>
  <c r="BO97" i="2"/>
  <c r="BS97" i="2"/>
  <c r="AN97" i="2"/>
  <c r="CZ97" i="2"/>
  <c r="Q97" i="2"/>
  <c r="CC97" i="2"/>
  <c r="Z97" i="2"/>
  <c r="CL97" i="2"/>
  <c r="BW97" i="2"/>
  <c r="CA97" i="2"/>
  <c r="AV97" i="2"/>
  <c r="DH97" i="2"/>
  <c r="Y97" i="2"/>
  <c r="CK97" i="2"/>
  <c r="AH97" i="2"/>
  <c r="CT97" i="2"/>
  <c r="S97" i="2"/>
  <c r="CE97" i="2"/>
  <c r="W97" i="2"/>
  <c r="CI97" i="2"/>
  <c r="BD97" i="2"/>
  <c r="AG97" i="2"/>
  <c r="CS97" i="2"/>
  <c r="AP97" i="2"/>
  <c r="DB97" i="2"/>
  <c r="AA97" i="2"/>
  <c r="CM97" i="2"/>
  <c r="AE97" i="2"/>
  <c r="CQ97" i="2"/>
  <c r="BL97" i="2"/>
  <c r="AO97" i="2"/>
  <c r="DA97" i="2"/>
  <c r="AX97" i="2"/>
  <c r="DJ97" i="2"/>
  <c r="AI97" i="2"/>
  <c r="AM97" i="2"/>
  <c r="CY97" i="2"/>
  <c r="BT97" i="2"/>
  <c r="AW97" i="2"/>
  <c r="DI97" i="2"/>
  <c r="BF97" i="2"/>
  <c r="AQ97" i="2"/>
  <c r="DC97" i="2"/>
  <c r="CU97" i="2"/>
  <c r="AK97" i="2"/>
  <c r="CW97" i="2"/>
  <c r="AZ97" i="2"/>
  <c r="CH97" i="2"/>
  <c r="AS97" i="2"/>
  <c r="DE97" i="2"/>
  <c r="CF97" i="2"/>
  <c r="BA97" i="2"/>
  <c r="DL97" i="2"/>
  <c r="AB97" i="2"/>
  <c r="AD97" i="2"/>
  <c r="BI97" i="2"/>
  <c r="BH97" i="2"/>
  <c r="BJ97" i="2"/>
  <c r="AJ97" i="2"/>
  <c r="BQ97" i="2"/>
  <c r="CN97" i="2"/>
  <c r="CP97" i="2"/>
  <c r="BP97" i="2"/>
  <c r="AR97" i="2"/>
  <c r="BY97" i="2"/>
  <c r="CV97" i="2"/>
  <c r="AL97" i="2"/>
  <c r="BX97" i="2"/>
  <c r="U97" i="2"/>
  <c r="CG97" i="2"/>
  <c r="V97" i="2"/>
  <c r="BR97" i="2"/>
  <c r="DD97" i="2"/>
  <c r="AC97" i="2"/>
  <c r="CO97" i="2"/>
  <c r="T97" i="2"/>
  <c r="BB97" i="2"/>
  <c r="CX97" i="2"/>
  <c r="V84" i="2"/>
  <c r="CH84" i="2"/>
  <c r="BL84" i="2"/>
  <c r="BE84" i="2"/>
  <c r="AD84" i="2"/>
  <c r="CP84" i="2"/>
  <c r="BT84" i="2"/>
  <c r="BM84" i="2"/>
  <c r="AL84" i="2"/>
  <c r="CX84" i="2"/>
  <c r="P84" i="2"/>
  <c r="CB84" i="2"/>
  <c r="BU84" i="2"/>
  <c r="AT84" i="2"/>
  <c r="DF84" i="2"/>
  <c r="X84" i="2"/>
  <c r="Q84" i="2"/>
  <c r="CC84" i="2"/>
  <c r="BB84" i="2"/>
  <c r="AF84" i="2"/>
  <c r="Y84" i="2"/>
  <c r="CK84" i="2"/>
  <c r="BJ84" i="2"/>
  <c r="AN84" i="2"/>
  <c r="AG84" i="2"/>
  <c r="CS84" i="2"/>
  <c r="BR84" i="2"/>
  <c r="AV84" i="2"/>
  <c r="AO84" i="2"/>
  <c r="DA84" i="2"/>
  <c r="BZ84" i="2"/>
  <c r="BD84" i="2"/>
  <c r="AW84" i="2"/>
  <c r="DI84" i="2"/>
  <c r="BF84" i="2"/>
  <c r="AQ84" i="2"/>
  <c r="DC84" i="2"/>
  <c r="AR84" i="2"/>
  <c r="DD84" i="2"/>
  <c r="AE84" i="2"/>
  <c r="CA84" i="2"/>
  <c r="BN84" i="2"/>
  <c r="AY84" i="2"/>
  <c r="DK84" i="2"/>
  <c r="AZ84" i="2"/>
  <c r="DL84" i="2"/>
  <c r="BK84" i="2"/>
  <c r="CY84" i="2"/>
  <c r="BV84" i="2"/>
  <c r="BG84" i="2"/>
  <c r="BH84" i="2"/>
  <c r="CO84" i="2"/>
  <c r="AM84" i="2"/>
  <c r="CG84" i="2"/>
  <c r="R84" i="2"/>
  <c r="CD84" i="2"/>
  <c r="BO84" i="2"/>
  <c r="BP84" i="2"/>
  <c r="DH84" i="2"/>
  <c r="AK84" i="2"/>
  <c r="BS84" i="2"/>
  <c r="Z84" i="2"/>
  <c r="CL84" i="2"/>
  <c r="BW84" i="2"/>
  <c r="BX84" i="2"/>
  <c r="AC84" i="2"/>
  <c r="BQ84" i="2"/>
  <c r="CR84" i="2"/>
  <c r="AS84" i="2"/>
  <c r="AH84" i="2"/>
  <c r="CT84" i="2"/>
  <c r="S84" i="2"/>
  <c r="CE84" i="2"/>
  <c r="T84" i="2"/>
  <c r="CF84" i="2"/>
  <c r="BI84" i="2"/>
  <c r="CQ84" i="2"/>
  <c r="BY84" i="2"/>
  <c r="AP84" i="2"/>
  <c r="DB84" i="2"/>
  <c r="AA84" i="2"/>
  <c r="CM84" i="2"/>
  <c r="AB84" i="2"/>
  <c r="CN84" i="2"/>
  <c r="CJ84" i="2"/>
  <c r="CW84" i="2"/>
  <c r="AX84" i="2"/>
  <c r="DJ84" i="2"/>
  <c r="AI84" i="2"/>
  <c r="CU84" i="2"/>
  <c r="AJ84" i="2"/>
  <c r="CV84" i="2"/>
  <c r="DG84" i="2"/>
  <c r="AU84" i="2"/>
  <c r="U84" i="2"/>
  <c r="BA84" i="2"/>
  <c r="CZ84" i="2"/>
  <c r="DE84" i="2"/>
  <c r="W84" i="2"/>
  <c r="CI84" i="2"/>
  <c r="BC84" i="2"/>
  <c r="CA104" i="2"/>
  <c r="X104" i="2"/>
  <c r="CJ104" i="2"/>
  <c r="BE104" i="2"/>
  <c r="BF104" i="2"/>
  <c r="AY104" i="2"/>
  <c r="DK104" i="2"/>
  <c r="AJ104" i="2"/>
  <c r="CV104" i="2"/>
  <c r="AS104" i="2"/>
  <c r="DE104" i="2"/>
  <c r="W104" i="2"/>
  <c r="CI104" i="2"/>
  <c r="AF104" i="2"/>
  <c r="CR104" i="2"/>
  <c r="BM104" i="2"/>
  <c r="BN104" i="2"/>
  <c r="BG104" i="2"/>
  <c r="AR104" i="2"/>
  <c r="DD104" i="2"/>
  <c r="BA104" i="2"/>
  <c r="AE104" i="2"/>
  <c r="CQ104" i="2"/>
  <c r="AN104" i="2"/>
  <c r="CZ104" i="2"/>
  <c r="BU104" i="2"/>
  <c r="BV104" i="2"/>
  <c r="BO104" i="2"/>
  <c r="AZ104" i="2"/>
  <c r="DL104" i="2"/>
  <c r="BI104" i="2"/>
  <c r="BJ104" i="2"/>
  <c r="AM104" i="2"/>
  <c r="CY104" i="2"/>
  <c r="AV104" i="2"/>
  <c r="DH104" i="2"/>
  <c r="Q104" i="2"/>
  <c r="CC104" i="2"/>
  <c r="R104" i="2"/>
  <c r="CD104" i="2"/>
  <c r="BW104" i="2"/>
  <c r="BH104" i="2"/>
  <c r="BQ104" i="2"/>
  <c r="AU104" i="2"/>
  <c r="DG104" i="2"/>
  <c r="BD104" i="2"/>
  <c r="Y104" i="2"/>
  <c r="CK104" i="2"/>
  <c r="Z104" i="2"/>
  <c r="CL104" i="2"/>
  <c r="S104" i="2"/>
  <c r="CE104" i="2"/>
  <c r="BP104" i="2"/>
  <c r="BY104" i="2"/>
  <c r="BR104" i="2"/>
  <c r="BZ104" i="2"/>
  <c r="BC104" i="2"/>
  <c r="BL104" i="2"/>
  <c r="AG104" i="2"/>
  <c r="CS104" i="2"/>
  <c r="AH104" i="2"/>
  <c r="CT104" i="2"/>
  <c r="AA104" i="2"/>
  <c r="CM104" i="2"/>
  <c r="BX104" i="2"/>
  <c r="U104" i="2"/>
  <c r="CG104" i="2"/>
  <c r="BK104" i="2"/>
  <c r="BT104" i="2"/>
  <c r="AO104" i="2"/>
  <c r="DA104" i="2"/>
  <c r="AP104" i="2"/>
  <c r="DB104" i="2"/>
  <c r="AI104" i="2"/>
  <c r="CU104" i="2"/>
  <c r="T104" i="2"/>
  <c r="CF104" i="2"/>
  <c r="BS104" i="2"/>
  <c r="P104" i="2"/>
  <c r="CB104" i="2"/>
  <c r="AW104" i="2"/>
  <c r="DI104" i="2"/>
  <c r="AX104" i="2"/>
  <c r="DJ104" i="2"/>
  <c r="AQ104" i="2"/>
  <c r="DC104" i="2"/>
  <c r="AB104" i="2"/>
  <c r="CN104" i="2"/>
  <c r="AK104" i="2"/>
  <c r="CW104" i="2"/>
  <c r="BB104" i="2"/>
  <c r="BV70" i="2"/>
  <c r="BX70" i="2"/>
  <c r="BJ70" i="2"/>
  <c r="BS70" i="2"/>
  <c r="R70" i="2"/>
  <c r="CD70" i="2"/>
  <c r="T70" i="2"/>
  <c r="CF70" i="2"/>
  <c r="BR70" i="2"/>
  <c r="Z70" i="2"/>
  <c r="CL70" i="2"/>
  <c r="AB70" i="2"/>
  <c r="CN70" i="2"/>
  <c r="BZ70" i="2"/>
  <c r="W70" i="2"/>
  <c r="CI70" i="2"/>
  <c r="AH70" i="2"/>
  <c r="CT70" i="2"/>
  <c r="AJ70" i="2"/>
  <c r="CV70" i="2"/>
  <c r="V70" i="2"/>
  <c r="CH70" i="2"/>
  <c r="AP70" i="2"/>
  <c r="DB70" i="2"/>
  <c r="AR70" i="2"/>
  <c r="DD70" i="2"/>
  <c r="AD70" i="2"/>
  <c r="CP70" i="2"/>
  <c r="AM70" i="2"/>
  <c r="CY70" i="2"/>
  <c r="AX70" i="2"/>
  <c r="DJ70" i="2"/>
  <c r="AZ70" i="2"/>
  <c r="DL70" i="2"/>
  <c r="AL70" i="2"/>
  <c r="CX70" i="2"/>
  <c r="BF70" i="2"/>
  <c r="BH70" i="2"/>
  <c r="AT70" i="2"/>
  <c r="DF70" i="2"/>
  <c r="BN70" i="2"/>
  <c r="BP70" i="2"/>
  <c r="BB70" i="2"/>
  <c r="DG70" i="2"/>
  <c r="BY70" i="2"/>
  <c r="AV70" i="2"/>
  <c r="BO70" i="2"/>
  <c r="CW70" i="2"/>
  <c r="CZ70" i="2"/>
  <c r="CO70" i="2"/>
  <c r="BL70" i="2"/>
  <c r="CE70" i="2"/>
  <c r="Q70" i="2"/>
  <c r="AE70" i="2"/>
  <c r="AA70" i="2"/>
  <c r="DE70" i="2"/>
  <c r="CB70" i="2"/>
  <c r="CU70" i="2"/>
  <c r="CC70" i="2"/>
  <c r="Y70" i="2"/>
  <c r="AU70" i="2"/>
  <c r="AQ70" i="2"/>
  <c r="CR70" i="2"/>
  <c r="DK70" i="2"/>
  <c r="U70" i="2"/>
  <c r="X70" i="2"/>
  <c r="CK70" i="2"/>
  <c r="BC70" i="2"/>
  <c r="BG70" i="2"/>
  <c r="DH70" i="2"/>
  <c r="AK70" i="2"/>
  <c r="AN70" i="2"/>
  <c r="AG70" i="2"/>
  <c r="BK70" i="2"/>
  <c r="BW70" i="2"/>
  <c r="AC70" i="2"/>
  <c r="S70" i="2"/>
  <c r="BA70" i="2"/>
  <c r="BD70" i="2"/>
  <c r="CS70" i="2"/>
  <c r="CA70" i="2"/>
  <c r="CM70" i="2"/>
  <c r="AS70" i="2"/>
  <c r="P70" i="2"/>
  <c r="AI70" i="2"/>
  <c r="BQ70" i="2"/>
  <c r="BT70" i="2"/>
  <c r="CQ70" i="2"/>
  <c r="DC70" i="2"/>
  <c r="BI70" i="2"/>
  <c r="AF70" i="2"/>
  <c r="AY70" i="2"/>
  <c r="CG70" i="2"/>
  <c r="CJ70" i="2"/>
  <c r="BM70" i="2"/>
  <c r="BU70" i="2"/>
  <c r="AO70" i="2"/>
  <c r="AW70" i="2"/>
  <c r="DA70" i="2"/>
  <c r="DI70" i="2"/>
  <c r="BE70" i="2"/>
  <c r="BO93" i="2"/>
  <c r="AJ93" i="2"/>
  <c r="CV93" i="2"/>
  <c r="BY93" i="2"/>
  <c r="V93" i="2"/>
  <c r="CH93" i="2"/>
  <c r="BS93" i="2"/>
  <c r="BW93" i="2"/>
  <c r="AR93" i="2"/>
  <c r="DD93" i="2"/>
  <c r="U93" i="2"/>
  <c r="CG93" i="2"/>
  <c r="AD93" i="2"/>
  <c r="CP93" i="2"/>
  <c r="CA93" i="2"/>
  <c r="S93" i="2"/>
  <c r="CE93" i="2"/>
  <c r="AZ93" i="2"/>
  <c r="DL93" i="2"/>
  <c r="AC93" i="2"/>
  <c r="CO93" i="2"/>
  <c r="AL93" i="2"/>
  <c r="CX93" i="2"/>
  <c r="W93" i="2"/>
  <c r="CI93" i="2"/>
  <c r="AA93" i="2"/>
  <c r="CM93" i="2"/>
  <c r="BH93" i="2"/>
  <c r="AK93" i="2"/>
  <c r="CW93" i="2"/>
  <c r="AT93" i="2"/>
  <c r="DF93" i="2"/>
  <c r="AE93" i="2"/>
  <c r="CQ93" i="2"/>
  <c r="AI93" i="2"/>
  <c r="CU93" i="2"/>
  <c r="BP93" i="2"/>
  <c r="AS93" i="2"/>
  <c r="DE93" i="2"/>
  <c r="BB93" i="2"/>
  <c r="AM93" i="2"/>
  <c r="CY93" i="2"/>
  <c r="AQ93" i="2"/>
  <c r="DC93" i="2"/>
  <c r="BX93" i="2"/>
  <c r="BA93" i="2"/>
  <c r="BJ93" i="2"/>
  <c r="AU93" i="2"/>
  <c r="DG93" i="2"/>
  <c r="AY93" i="2"/>
  <c r="DK93" i="2"/>
  <c r="T93" i="2"/>
  <c r="CF93" i="2"/>
  <c r="BI93" i="2"/>
  <c r="BR93" i="2"/>
  <c r="BC93" i="2"/>
  <c r="BG93" i="2"/>
  <c r="AB93" i="2"/>
  <c r="CN93" i="2"/>
  <c r="BQ93" i="2"/>
  <c r="BZ93" i="2"/>
  <c r="BK93" i="2"/>
  <c r="BE93" i="2"/>
  <c r="DH93" i="2"/>
  <c r="DJ93" i="2"/>
  <c r="CJ93" i="2"/>
  <c r="Z93" i="2"/>
  <c r="BL93" i="2"/>
  <c r="CT93" i="2"/>
  <c r="BM93" i="2"/>
  <c r="BF93" i="2"/>
  <c r="CR93" i="2"/>
  <c r="BU93" i="2"/>
  <c r="AP93" i="2"/>
  <c r="CL93" i="2"/>
  <c r="Q93" i="2"/>
  <c r="CC93" i="2"/>
  <c r="AN93" i="2"/>
  <c r="BV93" i="2"/>
  <c r="Y93" i="2"/>
  <c r="CK93" i="2"/>
  <c r="BT93" i="2"/>
  <c r="DB93" i="2"/>
  <c r="AG93" i="2"/>
  <c r="CS93" i="2"/>
  <c r="CZ93" i="2"/>
  <c r="P93" i="2"/>
  <c r="R93" i="2"/>
  <c r="AO93" i="2"/>
  <c r="DA93" i="2"/>
  <c r="AV93" i="2"/>
  <c r="AX93" i="2"/>
  <c r="X93" i="2"/>
  <c r="AW93" i="2"/>
  <c r="DI93" i="2"/>
  <c r="CB93" i="2"/>
  <c r="CD93" i="2"/>
  <c r="BD93" i="2"/>
  <c r="AF93" i="2"/>
  <c r="BN93" i="2"/>
  <c r="W63" i="2"/>
  <c r="AE63" i="2"/>
  <c r="AM63" i="2"/>
  <c r="P63" i="2"/>
  <c r="CB63" i="2"/>
  <c r="Z63" i="2"/>
  <c r="CL63" i="2"/>
  <c r="S63" i="2"/>
  <c r="CE63" i="2"/>
  <c r="DA63" i="2"/>
  <c r="CC63" i="2"/>
  <c r="DE63" i="2"/>
  <c r="CH63" i="2"/>
  <c r="CW63" i="2"/>
  <c r="X63" i="2"/>
  <c r="CJ63" i="2"/>
  <c r="AH63" i="2"/>
  <c r="CT63" i="2"/>
  <c r="AA63" i="2"/>
  <c r="CM63" i="2"/>
  <c r="CP63" i="2"/>
  <c r="CV63" i="2"/>
  <c r="DI63" i="2"/>
  <c r="AF63" i="2"/>
  <c r="CR63" i="2"/>
  <c r="AP63" i="2"/>
  <c r="DB63" i="2"/>
  <c r="AI63" i="2"/>
  <c r="CU63" i="2"/>
  <c r="Y63" i="2"/>
  <c r="DD63" i="2"/>
  <c r="AC63" i="2"/>
  <c r="DG63" i="2"/>
  <c r="T63" i="2"/>
  <c r="AN63" i="2"/>
  <c r="CZ63" i="2"/>
  <c r="AX63" i="2"/>
  <c r="DJ63" i="2"/>
  <c r="AQ63" i="2"/>
  <c r="DC63" i="2"/>
  <c r="AO63" i="2"/>
  <c r="AS63" i="2"/>
  <c r="Q63" i="2"/>
  <c r="AJ63" i="2"/>
  <c r="AV63" i="2"/>
  <c r="DH63" i="2"/>
  <c r="BF63" i="2"/>
  <c r="AY63" i="2"/>
  <c r="DK63" i="2"/>
  <c r="BB63" i="2"/>
  <c r="AB63" i="2"/>
  <c r="BE63" i="2"/>
  <c r="AG63" i="2"/>
  <c r="AW63" i="2"/>
  <c r="BD63" i="2"/>
  <c r="BN63" i="2"/>
  <c r="BG63" i="2"/>
  <c r="BP63" i="2"/>
  <c r="AR63" i="2"/>
  <c r="BR63" i="2"/>
  <c r="AU63" i="2"/>
  <c r="BJ63" i="2"/>
  <c r="BL63" i="2"/>
  <c r="BV63" i="2"/>
  <c r="BO63" i="2"/>
  <c r="CA63" i="2"/>
  <c r="BC63" i="2"/>
  <c r="CF63" i="2"/>
  <c r="BI63" i="2"/>
  <c r="BX63" i="2"/>
  <c r="BT63" i="2"/>
  <c r="R63" i="2"/>
  <c r="CD63" i="2"/>
  <c r="BW63" i="2"/>
  <c r="CO63" i="2"/>
  <c r="BQ63" i="2"/>
  <c r="CQ63" i="2"/>
  <c r="BU63" i="2"/>
  <c r="CI63" i="2"/>
  <c r="AK63" i="2"/>
  <c r="DF63" i="2"/>
  <c r="AZ63" i="2"/>
  <c r="BK63" i="2"/>
  <c r="AT63" i="2"/>
  <c r="BY63" i="2"/>
  <c r="CS63" i="2"/>
  <c r="V63" i="2"/>
  <c r="AD63" i="2"/>
  <c r="CK63" i="2"/>
  <c r="BZ63" i="2"/>
  <c r="CG63" i="2"/>
  <c r="AL63" i="2"/>
  <c r="CX63" i="2"/>
  <c r="BA63" i="2"/>
  <c r="DL63" i="2"/>
  <c r="CY63" i="2"/>
  <c r="BS63" i="2"/>
  <c r="BM63" i="2"/>
  <c r="U63" i="2"/>
  <c r="BH63" i="2"/>
  <c r="CN63" i="2"/>
  <c r="AC89" i="2"/>
  <c r="CO89" i="2"/>
  <c r="AK89" i="2"/>
  <c r="CW89" i="2"/>
  <c r="AS89" i="2"/>
  <c r="DE89" i="2"/>
  <c r="BA89" i="2"/>
  <c r="BI89" i="2"/>
  <c r="BQ89" i="2"/>
  <c r="BY89" i="2"/>
  <c r="U89" i="2"/>
  <c r="CG89" i="2"/>
  <c r="AY89" i="2"/>
  <c r="DK89" i="2"/>
  <c r="BB89" i="2"/>
  <c r="CS89" i="2"/>
  <c r="BN89" i="2"/>
  <c r="CA89" i="2"/>
  <c r="BF89" i="2"/>
  <c r="AB89" i="2"/>
  <c r="DI89" i="2"/>
  <c r="BG89" i="2"/>
  <c r="BL89" i="2"/>
  <c r="W89" i="2"/>
  <c r="DD89" i="2"/>
  <c r="BZ89" i="2"/>
  <c r="CK89" i="2"/>
  <c r="BR89" i="2"/>
  <c r="AM89" i="2"/>
  <c r="BO89" i="2"/>
  <c r="BV89" i="2"/>
  <c r="AG89" i="2"/>
  <c r="CJ89" i="2"/>
  <c r="CV89" i="2"/>
  <c r="CB89" i="2"/>
  <c r="AW89" i="2"/>
  <c r="BW89" i="2"/>
  <c r="CH89" i="2"/>
  <c r="AR89" i="2"/>
  <c r="CT89" i="2"/>
  <c r="Y89" i="2"/>
  <c r="DG89" i="2"/>
  <c r="CL89" i="2"/>
  <c r="BH89" i="2"/>
  <c r="S89" i="2"/>
  <c r="CE89" i="2"/>
  <c r="CR89" i="2"/>
  <c r="BC89" i="2"/>
  <c r="X89" i="2"/>
  <c r="DF89" i="2"/>
  <c r="AJ89" i="2"/>
  <c r="P89" i="2"/>
  <c r="CX89" i="2"/>
  <c r="BS89" i="2"/>
  <c r="AA89" i="2"/>
  <c r="CM89" i="2"/>
  <c r="V89" i="2"/>
  <c r="DB89" i="2"/>
  <c r="BM89" i="2"/>
  <c r="AH89" i="2"/>
  <c r="AU89" i="2"/>
  <c r="Z89" i="2"/>
  <c r="DH89" i="2"/>
  <c r="CC89" i="2"/>
  <c r="AI89" i="2"/>
  <c r="CU89" i="2"/>
  <c r="AF89" i="2"/>
  <c r="BX89" i="2"/>
  <c r="AT89" i="2"/>
  <c r="BE89" i="2"/>
  <c r="AL89" i="2"/>
  <c r="AQ89" i="2"/>
  <c r="DC89" i="2"/>
  <c r="AP89" i="2"/>
  <c r="CI89" i="2"/>
  <c r="BD89" i="2"/>
  <c r="BP89" i="2"/>
  <c r="AV89" i="2"/>
  <c r="Q89" i="2"/>
  <c r="CY89" i="2"/>
  <c r="CN89" i="2"/>
  <c r="AN89" i="2"/>
  <c r="BU89" i="2"/>
  <c r="CF89" i="2"/>
  <c r="AX89" i="2"/>
  <c r="AO89" i="2"/>
  <c r="CQ89" i="2"/>
  <c r="AE89" i="2"/>
  <c r="BJ89" i="2"/>
  <c r="T89" i="2"/>
  <c r="DL89" i="2"/>
  <c r="BT89" i="2"/>
  <c r="DA89" i="2"/>
  <c r="CD89" i="2"/>
  <c r="BK89" i="2"/>
  <c r="CP89" i="2"/>
  <c r="AZ89" i="2"/>
  <c r="R89" i="2"/>
  <c r="CZ89" i="2"/>
  <c r="AD89" i="2"/>
  <c r="DJ89" i="2"/>
  <c r="AP102" i="2"/>
  <c r="R108" i="2"/>
  <c r="AE102" i="2"/>
  <c r="AD104" i="2"/>
  <c r="CK105" i="2"/>
  <c r="CH104" i="2"/>
  <c r="AP108" i="2"/>
  <c r="CP5" i="2"/>
  <c r="AS99" i="2"/>
  <c r="BV102" i="2"/>
  <c r="CM103" i="2"/>
  <c r="CE106" i="2"/>
  <c r="BT30" i="2"/>
  <c r="AG30" i="2"/>
  <c r="CS30" i="2"/>
  <c r="BV30" i="2"/>
  <c r="AA30" i="2"/>
  <c r="CM30" i="2"/>
  <c r="BP30" i="2"/>
  <c r="BJ30" i="2"/>
  <c r="P30" i="2"/>
  <c r="CB30" i="2"/>
  <c r="AO30" i="2"/>
  <c r="DA30" i="2"/>
  <c r="R30" i="2"/>
  <c r="CD30" i="2"/>
  <c r="AI30" i="2"/>
  <c r="CU30" i="2"/>
  <c r="BX30" i="2"/>
  <c r="BR30" i="2"/>
  <c r="X30" i="2"/>
  <c r="CJ30" i="2"/>
  <c r="AW30" i="2"/>
  <c r="DI30" i="2"/>
  <c r="Z30" i="2"/>
  <c r="CL30" i="2"/>
  <c r="AQ30" i="2"/>
  <c r="DC30" i="2"/>
  <c r="T30" i="2"/>
  <c r="CF30" i="2"/>
  <c r="BZ30" i="2"/>
  <c r="AU30" i="2"/>
  <c r="AF30" i="2"/>
  <c r="BE30" i="2"/>
  <c r="AH30" i="2"/>
  <c r="CT30" i="2"/>
  <c r="AY30" i="2"/>
  <c r="DK30" i="2"/>
  <c r="AB30" i="2"/>
  <c r="V30" i="2"/>
  <c r="CH30" i="2"/>
  <c r="AN30" i="2"/>
  <c r="BM30" i="2"/>
  <c r="AP30" i="2"/>
  <c r="DB30" i="2"/>
  <c r="BG30" i="2"/>
  <c r="AJ30" i="2"/>
  <c r="AD30" i="2"/>
  <c r="CP30" i="2"/>
  <c r="CW30" i="2"/>
  <c r="AV30" i="2"/>
  <c r="BU30" i="2"/>
  <c r="AX30" i="2"/>
  <c r="DJ30" i="2"/>
  <c r="BO30" i="2"/>
  <c r="AR30" i="2"/>
  <c r="AL30" i="2"/>
  <c r="CX30" i="2"/>
  <c r="BD30" i="2"/>
  <c r="Q30" i="2"/>
  <c r="CC30" i="2"/>
  <c r="BF30" i="2"/>
  <c r="BW30" i="2"/>
  <c r="AZ30" i="2"/>
  <c r="U30" i="2"/>
  <c r="BL30" i="2"/>
  <c r="Y30" i="2"/>
  <c r="CK30" i="2"/>
  <c r="BN30" i="2"/>
  <c r="S30" i="2"/>
  <c r="CE30" i="2"/>
  <c r="BH30" i="2"/>
  <c r="AC30" i="2"/>
  <c r="BB30" i="2"/>
  <c r="CA30" i="2"/>
  <c r="CG30" i="2"/>
  <c r="AM30" i="2"/>
  <c r="CY30" i="2"/>
  <c r="AE30" i="2"/>
  <c r="BS30" i="2"/>
  <c r="BC30" i="2"/>
  <c r="BK30" i="2"/>
  <c r="CR30" i="2"/>
  <c r="CI30" i="2"/>
  <c r="CO30" i="2"/>
  <c r="DH30" i="2"/>
  <c r="AT30" i="2"/>
  <c r="CZ30" i="2"/>
  <c r="W30" i="2"/>
  <c r="DE30" i="2"/>
  <c r="AK30" i="2"/>
  <c r="DF30" i="2"/>
  <c r="BI30" i="2"/>
  <c r="BQ30" i="2"/>
  <c r="CN30" i="2"/>
  <c r="CQ30" i="2"/>
  <c r="BA30" i="2"/>
  <c r="DD30" i="2"/>
  <c r="DG30" i="2"/>
  <c r="BY30" i="2"/>
  <c r="AS30" i="2"/>
  <c r="DL30" i="2"/>
  <c r="CV30" i="2"/>
  <c r="BH25" i="2"/>
  <c r="BY25" i="2"/>
  <c r="AL25" i="2"/>
  <c r="CX25" i="2"/>
  <c r="BC25" i="2"/>
  <c r="BP25" i="2"/>
  <c r="U25" i="2"/>
  <c r="CG25" i="2"/>
  <c r="AT25" i="2"/>
  <c r="DF25" i="2"/>
  <c r="BK25" i="2"/>
  <c r="BX25" i="2"/>
  <c r="AC25" i="2"/>
  <c r="CO25" i="2"/>
  <c r="BB25" i="2"/>
  <c r="BS25" i="2"/>
  <c r="T25" i="2"/>
  <c r="CF25" i="2"/>
  <c r="AK25" i="2"/>
  <c r="CW25" i="2"/>
  <c r="BJ25" i="2"/>
  <c r="AB25" i="2"/>
  <c r="CN25" i="2"/>
  <c r="AS25" i="2"/>
  <c r="DE25" i="2"/>
  <c r="BR25" i="2"/>
  <c r="W25" i="2"/>
  <c r="CI25" i="2"/>
  <c r="AJ25" i="2"/>
  <c r="CV25" i="2"/>
  <c r="BA25" i="2"/>
  <c r="BZ25" i="2"/>
  <c r="AR25" i="2"/>
  <c r="DD25" i="2"/>
  <c r="BI25" i="2"/>
  <c r="V25" i="2"/>
  <c r="CH25" i="2"/>
  <c r="AZ25" i="2"/>
  <c r="DL25" i="2"/>
  <c r="BQ25" i="2"/>
  <c r="AD25" i="2"/>
  <c r="CP25" i="2"/>
  <c r="AE25" i="2"/>
  <c r="AF25" i="2"/>
  <c r="CR25" i="2"/>
  <c r="BE25" i="2"/>
  <c r="R25" i="2"/>
  <c r="CD25" i="2"/>
  <c r="AI25" i="2"/>
  <c r="BO25" i="2"/>
  <c r="AM25" i="2"/>
  <c r="AN25" i="2"/>
  <c r="CZ25" i="2"/>
  <c r="BM25" i="2"/>
  <c r="Z25" i="2"/>
  <c r="CL25" i="2"/>
  <c r="CU25" i="2"/>
  <c r="AY25" i="2"/>
  <c r="AU25" i="2"/>
  <c r="AV25" i="2"/>
  <c r="DH25" i="2"/>
  <c r="BU25" i="2"/>
  <c r="AH25" i="2"/>
  <c r="CT25" i="2"/>
  <c r="DK25" i="2"/>
  <c r="CA25" i="2"/>
  <c r="BD25" i="2"/>
  <c r="Q25" i="2"/>
  <c r="CC25" i="2"/>
  <c r="AP25" i="2"/>
  <c r="DB25" i="2"/>
  <c r="AA25" i="2"/>
  <c r="AQ25" i="2"/>
  <c r="CQ25" i="2"/>
  <c r="BL25" i="2"/>
  <c r="Y25" i="2"/>
  <c r="CK25" i="2"/>
  <c r="AX25" i="2"/>
  <c r="DJ25" i="2"/>
  <c r="CM25" i="2"/>
  <c r="DC25" i="2"/>
  <c r="BG25" i="2"/>
  <c r="CY25" i="2"/>
  <c r="BT25" i="2"/>
  <c r="AG25" i="2"/>
  <c r="CS25" i="2"/>
  <c r="BF25" i="2"/>
  <c r="BW25" i="2"/>
  <c r="DG25" i="2"/>
  <c r="P25" i="2"/>
  <c r="CB25" i="2"/>
  <c r="AO25" i="2"/>
  <c r="DA25" i="2"/>
  <c r="BN25" i="2"/>
  <c r="X25" i="2"/>
  <c r="CJ25" i="2"/>
  <c r="AW25" i="2"/>
  <c r="DI25" i="2"/>
  <c r="BV25" i="2"/>
  <c r="CE25" i="2"/>
  <c r="S25" i="2"/>
  <c r="BR65" i="2"/>
  <c r="BU65" i="2"/>
  <c r="CD65" i="2"/>
  <c r="BI65" i="2"/>
  <c r="CF65" i="2"/>
  <c r="BN65" i="2"/>
  <c r="BY65" i="2"/>
  <c r="BZ65" i="2"/>
  <c r="Q65" i="2"/>
  <c r="CC65" i="2"/>
  <c r="CN65" i="2"/>
  <c r="BT65" i="2"/>
  <c r="CQ65" i="2"/>
  <c r="BX65" i="2"/>
  <c r="CJ65" i="2"/>
  <c r="V65" i="2"/>
  <c r="CH65" i="2"/>
  <c r="Y65" i="2"/>
  <c r="CK65" i="2"/>
  <c r="R65" i="2"/>
  <c r="CY65" i="2"/>
  <c r="CE65" i="2"/>
  <c r="T65" i="2"/>
  <c r="DB65" i="2"/>
  <c r="CI65" i="2"/>
  <c r="CU65" i="2"/>
  <c r="AD65" i="2"/>
  <c r="CP65" i="2"/>
  <c r="AG65" i="2"/>
  <c r="CS65" i="2"/>
  <c r="AB65" i="2"/>
  <c r="DJ65" i="2"/>
  <c r="CO65" i="2"/>
  <c r="AE65" i="2"/>
  <c r="DL65" i="2"/>
  <c r="CT65" i="2"/>
  <c r="X65" i="2"/>
  <c r="DE65" i="2"/>
  <c r="AL65" i="2"/>
  <c r="CX65" i="2"/>
  <c r="AO65" i="2"/>
  <c r="DA65" i="2"/>
  <c r="AM65" i="2"/>
  <c r="S65" i="2"/>
  <c r="CZ65" i="2"/>
  <c r="AP65" i="2"/>
  <c r="W65" i="2"/>
  <c r="DD65" i="2"/>
  <c r="AI65" i="2"/>
  <c r="AT65" i="2"/>
  <c r="DF65" i="2"/>
  <c r="AW65" i="2"/>
  <c r="DI65" i="2"/>
  <c r="AX65" i="2"/>
  <c r="AC65" i="2"/>
  <c r="DK65" i="2"/>
  <c r="AZ65" i="2"/>
  <c r="AH65" i="2"/>
  <c r="AS65" i="2"/>
  <c r="BB65" i="2"/>
  <c r="BE65" i="2"/>
  <c r="BH65" i="2"/>
  <c r="AN65" i="2"/>
  <c r="BK65" i="2"/>
  <c r="AR65" i="2"/>
  <c r="BJ65" i="2"/>
  <c r="BM65" i="2"/>
  <c r="BS65" i="2"/>
  <c r="AY65" i="2"/>
  <c r="BV65" i="2"/>
  <c r="BC65" i="2"/>
  <c r="BO65" i="2"/>
  <c r="Z65" i="2"/>
  <c r="DG65" i="2"/>
  <c r="BG65" i="2"/>
  <c r="BL65" i="2"/>
  <c r="BD65" i="2"/>
  <c r="AJ65" i="2"/>
  <c r="AK65" i="2"/>
  <c r="CW65" i="2"/>
  <c r="DC65" i="2"/>
  <c r="AU65" i="2"/>
  <c r="CB65" i="2"/>
  <c r="BA65" i="2"/>
  <c r="BF65" i="2"/>
  <c r="AQ65" i="2"/>
  <c r="CR65" i="2"/>
  <c r="BP65" i="2"/>
  <c r="CG65" i="2"/>
  <c r="CA65" i="2"/>
  <c r="AA65" i="2"/>
  <c r="CL65" i="2"/>
  <c r="AF65" i="2"/>
  <c r="CV65" i="2"/>
  <c r="BW65" i="2"/>
  <c r="P65" i="2"/>
  <c r="U65" i="2"/>
  <c r="AV65" i="2"/>
  <c r="DH65" i="2"/>
  <c r="BQ65" i="2"/>
  <c r="CM65" i="2"/>
  <c r="BH15" i="2"/>
  <c r="BY15" i="2"/>
  <c r="BP15" i="2"/>
  <c r="U15" i="2"/>
  <c r="CG15" i="2"/>
  <c r="BX15" i="2"/>
  <c r="AC15" i="2"/>
  <c r="CO15" i="2"/>
  <c r="T15" i="2"/>
  <c r="CF15" i="2"/>
  <c r="AK15" i="2"/>
  <c r="CW15" i="2"/>
  <c r="AB15" i="2"/>
  <c r="CN15" i="2"/>
  <c r="AS15" i="2"/>
  <c r="DE15" i="2"/>
  <c r="AJ15" i="2"/>
  <c r="CV15" i="2"/>
  <c r="BA15" i="2"/>
  <c r="AR15" i="2"/>
  <c r="DD15" i="2"/>
  <c r="BI15" i="2"/>
  <c r="BZ15" i="2"/>
  <c r="AM15" i="2"/>
  <c r="CY15" i="2"/>
  <c r="BT15" i="2"/>
  <c r="BE15" i="2"/>
  <c r="BF15" i="2"/>
  <c r="S15" i="2"/>
  <c r="AA15" i="2"/>
  <c r="V15" i="2"/>
  <c r="CH15" i="2"/>
  <c r="AU15" i="2"/>
  <c r="DG15" i="2"/>
  <c r="P15" i="2"/>
  <c r="CB15" i="2"/>
  <c r="BM15" i="2"/>
  <c r="BN15" i="2"/>
  <c r="CE15" i="2"/>
  <c r="CM15" i="2"/>
  <c r="AZ15" i="2"/>
  <c r="AD15" i="2"/>
  <c r="CP15" i="2"/>
  <c r="BC15" i="2"/>
  <c r="X15" i="2"/>
  <c r="CJ15" i="2"/>
  <c r="BU15" i="2"/>
  <c r="BV15" i="2"/>
  <c r="DL15" i="2"/>
  <c r="AL15" i="2"/>
  <c r="CX15" i="2"/>
  <c r="BK15" i="2"/>
  <c r="AF15" i="2"/>
  <c r="CR15" i="2"/>
  <c r="Q15" i="2"/>
  <c r="CC15" i="2"/>
  <c r="R15" i="2"/>
  <c r="CD15" i="2"/>
  <c r="BW15" i="2"/>
  <c r="AT15" i="2"/>
  <c r="DF15" i="2"/>
  <c r="BS15" i="2"/>
  <c r="AN15" i="2"/>
  <c r="CZ15" i="2"/>
  <c r="Y15" i="2"/>
  <c r="CK15" i="2"/>
  <c r="Z15" i="2"/>
  <c r="CL15" i="2"/>
  <c r="BQ15" i="2"/>
  <c r="BB15" i="2"/>
  <c r="CA15" i="2"/>
  <c r="AV15" i="2"/>
  <c r="DH15" i="2"/>
  <c r="AG15" i="2"/>
  <c r="CS15" i="2"/>
  <c r="AH15" i="2"/>
  <c r="CT15" i="2"/>
  <c r="BJ15" i="2"/>
  <c r="W15" i="2"/>
  <c r="CI15" i="2"/>
  <c r="BD15" i="2"/>
  <c r="AO15" i="2"/>
  <c r="DA15" i="2"/>
  <c r="AP15" i="2"/>
  <c r="DB15" i="2"/>
  <c r="BR15" i="2"/>
  <c r="AE15" i="2"/>
  <c r="CQ15" i="2"/>
  <c r="BL15" i="2"/>
  <c r="AW15" i="2"/>
  <c r="DI15" i="2"/>
  <c r="AX15" i="2"/>
  <c r="DJ15" i="2"/>
  <c r="AY15" i="2"/>
  <c r="DK15" i="2"/>
  <c r="AQ15" i="2"/>
  <c r="AI15" i="2"/>
  <c r="DC15" i="2"/>
  <c r="BG15" i="2"/>
  <c r="CU15" i="2"/>
  <c r="BO15" i="2"/>
  <c r="AQ39" i="2"/>
  <c r="T39" i="2"/>
  <c r="V39" i="2"/>
  <c r="AF39" i="2"/>
  <c r="BU39" i="2"/>
  <c r="AY39" i="2"/>
  <c r="AB39" i="2"/>
  <c r="AD39" i="2"/>
  <c r="AN39" i="2"/>
  <c r="CF39" i="2"/>
  <c r="BG39" i="2"/>
  <c r="AJ39" i="2"/>
  <c r="AL39" i="2"/>
  <c r="AV39" i="2"/>
  <c r="CN39" i="2"/>
  <c r="BO39" i="2"/>
  <c r="AR39" i="2"/>
  <c r="AT39" i="2"/>
  <c r="BD39" i="2"/>
  <c r="BW39" i="2"/>
  <c r="AZ39" i="2"/>
  <c r="BB39" i="2"/>
  <c r="BL39" i="2"/>
  <c r="DD39" i="2"/>
  <c r="S39" i="2"/>
  <c r="BH39" i="2"/>
  <c r="BJ39" i="2"/>
  <c r="BT39" i="2"/>
  <c r="Y39" i="2"/>
  <c r="DL39" i="2"/>
  <c r="AA39" i="2"/>
  <c r="BP39" i="2"/>
  <c r="BR39" i="2"/>
  <c r="AI39" i="2"/>
  <c r="BX39" i="2"/>
  <c r="BZ39" i="2"/>
  <c r="X39" i="2"/>
  <c r="BV39" i="2"/>
  <c r="AS39" i="2"/>
  <c r="DG39" i="2"/>
  <c r="CR39" i="2"/>
  <c r="AX39" i="2"/>
  <c r="CG39" i="2"/>
  <c r="BI39" i="2"/>
  <c r="AE39" i="2"/>
  <c r="CZ39" i="2"/>
  <c r="CO39" i="2"/>
  <c r="BY39" i="2"/>
  <c r="AU39" i="2"/>
  <c r="Q39" i="2"/>
  <c r="DH39" i="2"/>
  <c r="CC39" i="2"/>
  <c r="CW39" i="2"/>
  <c r="CH39" i="2"/>
  <c r="BK39" i="2"/>
  <c r="AG39" i="2"/>
  <c r="DE39" i="2"/>
  <c r="CP39" i="2"/>
  <c r="CA39" i="2"/>
  <c r="AW39" i="2"/>
  <c r="CS39" i="2"/>
  <c r="AO39" i="2"/>
  <c r="Z39" i="2"/>
  <c r="CX39" i="2"/>
  <c r="P39" i="2"/>
  <c r="BE39" i="2"/>
  <c r="AP39" i="2"/>
  <c r="DF39" i="2"/>
  <c r="CQ39" i="2"/>
  <c r="CB39" i="2"/>
  <c r="CV39" i="2"/>
  <c r="BF39" i="2"/>
  <c r="AC39" i="2"/>
  <c r="CY39" i="2"/>
  <c r="CJ39" i="2"/>
  <c r="R39" i="2"/>
  <c r="CD39" i="2"/>
  <c r="AH39" i="2"/>
  <c r="CL39" i="2"/>
  <c r="BN39" i="2"/>
  <c r="CT39" i="2"/>
  <c r="CK39" i="2"/>
  <c r="DB39" i="2"/>
  <c r="BC39" i="2"/>
  <c r="CM39" i="2"/>
  <c r="CI39" i="2"/>
  <c r="DA39" i="2"/>
  <c r="U39" i="2"/>
  <c r="DJ39" i="2"/>
  <c r="CE39" i="2"/>
  <c r="BM39" i="2"/>
  <c r="DI39" i="2"/>
  <c r="AK39" i="2"/>
  <c r="BS39" i="2"/>
  <c r="BQ39" i="2"/>
  <c r="W39" i="2"/>
  <c r="DK39" i="2"/>
  <c r="DC39" i="2"/>
  <c r="BA39" i="2"/>
  <c r="CU39" i="2"/>
  <c r="AM39" i="2"/>
  <c r="AW85" i="2"/>
  <c r="DI85" i="2"/>
  <c r="T85" i="2"/>
  <c r="CF85" i="2"/>
  <c r="BE85" i="2"/>
  <c r="AB85" i="2"/>
  <c r="CN85" i="2"/>
  <c r="BM85" i="2"/>
  <c r="AJ85" i="2"/>
  <c r="CV85" i="2"/>
  <c r="BU85" i="2"/>
  <c r="AR85" i="2"/>
  <c r="DD85" i="2"/>
  <c r="Q85" i="2"/>
  <c r="CC85" i="2"/>
  <c r="AZ85" i="2"/>
  <c r="DL85" i="2"/>
  <c r="Y85" i="2"/>
  <c r="CK85" i="2"/>
  <c r="BH85" i="2"/>
  <c r="AG85" i="2"/>
  <c r="CS85" i="2"/>
  <c r="BP85" i="2"/>
  <c r="AO85" i="2"/>
  <c r="DA85" i="2"/>
  <c r="BX85" i="2"/>
  <c r="U85" i="2"/>
  <c r="CG85" i="2"/>
  <c r="BR85" i="2"/>
  <c r="BS85" i="2"/>
  <c r="AF85" i="2"/>
  <c r="DK85" i="2"/>
  <c r="BF85" i="2"/>
  <c r="CD85" i="2"/>
  <c r="AP85" i="2"/>
  <c r="AC85" i="2"/>
  <c r="CO85" i="2"/>
  <c r="BZ85" i="2"/>
  <c r="CA85" i="2"/>
  <c r="AY85" i="2"/>
  <c r="CB85" i="2"/>
  <c r="CZ85" i="2"/>
  <c r="BL85" i="2"/>
  <c r="AK85" i="2"/>
  <c r="CW85" i="2"/>
  <c r="V85" i="2"/>
  <c r="CH85" i="2"/>
  <c r="W85" i="2"/>
  <c r="CI85" i="2"/>
  <c r="BV85" i="2"/>
  <c r="CU85" i="2"/>
  <c r="CE85" i="2"/>
  <c r="X85" i="2"/>
  <c r="AS85" i="2"/>
  <c r="DE85" i="2"/>
  <c r="AD85" i="2"/>
  <c r="CP85" i="2"/>
  <c r="AE85" i="2"/>
  <c r="CQ85" i="2"/>
  <c r="CR85" i="2"/>
  <c r="DB85" i="2"/>
  <c r="AQ85" i="2"/>
  <c r="BA85" i="2"/>
  <c r="AL85" i="2"/>
  <c r="CX85" i="2"/>
  <c r="AM85" i="2"/>
  <c r="CY85" i="2"/>
  <c r="DJ85" i="2"/>
  <c r="AH85" i="2"/>
  <c r="BN85" i="2"/>
  <c r="BI85" i="2"/>
  <c r="AT85" i="2"/>
  <c r="AU85" i="2"/>
  <c r="DG85" i="2"/>
  <c r="BD85" i="2"/>
  <c r="R85" i="2"/>
  <c r="CJ85" i="2"/>
  <c r="BQ85" i="2"/>
  <c r="BB85" i="2"/>
  <c r="BC85" i="2"/>
  <c r="BW85" i="2"/>
  <c r="P85" i="2"/>
  <c r="AN85" i="2"/>
  <c r="BY85" i="2"/>
  <c r="BJ85" i="2"/>
  <c r="BK85" i="2"/>
  <c r="CT85" i="2"/>
  <c r="AI85" i="2"/>
  <c r="BG85" i="2"/>
  <c r="S85" i="2"/>
  <c r="DF85" i="2"/>
  <c r="AX85" i="2"/>
  <c r="AA85" i="2"/>
  <c r="DC85" i="2"/>
  <c r="Z85" i="2"/>
  <c r="BT85" i="2"/>
  <c r="CM85" i="2"/>
  <c r="AV85" i="2"/>
  <c r="DH85" i="2"/>
  <c r="BO85" i="2"/>
  <c r="CL85" i="2"/>
  <c r="W16" i="2"/>
  <c r="CI16" i="2"/>
  <c r="AN16" i="2"/>
  <c r="AE16" i="2"/>
  <c r="CQ16" i="2"/>
  <c r="AV16" i="2"/>
  <c r="AM16" i="2"/>
  <c r="CY16" i="2"/>
  <c r="BD16" i="2"/>
  <c r="AU16" i="2"/>
  <c r="DG16" i="2"/>
  <c r="BL16" i="2"/>
  <c r="BC16" i="2"/>
  <c r="BT16" i="2"/>
  <c r="BK16" i="2"/>
  <c r="P16" i="2"/>
  <c r="CB16" i="2"/>
  <c r="BS16" i="2"/>
  <c r="X16" i="2"/>
  <c r="AO16" i="2"/>
  <c r="DA16" i="2"/>
  <c r="BN16" i="2"/>
  <c r="AI16" i="2"/>
  <c r="T16" i="2"/>
  <c r="CF16" i="2"/>
  <c r="U16" i="2"/>
  <c r="CG16" i="2"/>
  <c r="AW16" i="2"/>
  <c r="DI16" i="2"/>
  <c r="BV16" i="2"/>
  <c r="AQ16" i="2"/>
  <c r="AB16" i="2"/>
  <c r="CN16" i="2"/>
  <c r="AC16" i="2"/>
  <c r="CO16" i="2"/>
  <c r="BE16" i="2"/>
  <c r="R16" i="2"/>
  <c r="CD16" i="2"/>
  <c r="AJ16" i="2"/>
  <c r="AK16" i="2"/>
  <c r="CW16" i="2"/>
  <c r="AT16" i="2"/>
  <c r="AY16" i="2"/>
  <c r="BM16" i="2"/>
  <c r="Z16" i="2"/>
  <c r="CL16" i="2"/>
  <c r="AR16" i="2"/>
  <c r="AS16" i="2"/>
  <c r="DE16" i="2"/>
  <c r="BZ16" i="2"/>
  <c r="CE16" i="2"/>
  <c r="CA16" i="2"/>
  <c r="BU16" i="2"/>
  <c r="AH16" i="2"/>
  <c r="CT16" i="2"/>
  <c r="AZ16" i="2"/>
  <c r="BA16" i="2"/>
  <c r="AL16" i="2"/>
  <c r="CV16" i="2"/>
  <c r="CX16" i="2"/>
  <c r="Q16" i="2"/>
  <c r="CC16" i="2"/>
  <c r="AP16" i="2"/>
  <c r="DB16" i="2"/>
  <c r="BH16" i="2"/>
  <c r="BI16" i="2"/>
  <c r="BW16" i="2"/>
  <c r="DL16" i="2"/>
  <c r="AF16" i="2"/>
  <c r="Y16" i="2"/>
  <c r="CK16" i="2"/>
  <c r="AX16" i="2"/>
  <c r="DJ16" i="2"/>
  <c r="S16" i="2"/>
  <c r="BP16" i="2"/>
  <c r="BQ16" i="2"/>
  <c r="CU16" i="2"/>
  <c r="AG16" i="2"/>
  <c r="CS16" i="2"/>
  <c r="BF16" i="2"/>
  <c r="AA16" i="2"/>
  <c r="BX16" i="2"/>
  <c r="BY16" i="2"/>
  <c r="DK16" i="2"/>
  <c r="CZ16" i="2"/>
  <c r="DF16" i="2"/>
  <c r="BJ16" i="2"/>
  <c r="CR16" i="2"/>
  <c r="CM16" i="2"/>
  <c r="DD16" i="2"/>
  <c r="BR16" i="2"/>
  <c r="BG16" i="2"/>
  <c r="V16" i="2"/>
  <c r="BB16" i="2"/>
  <c r="CJ16" i="2"/>
  <c r="BO16" i="2"/>
  <c r="CH16" i="2"/>
  <c r="DC16" i="2"/>
  <c r="CP16" i="2"/>
  <c r="DH16" i="2"/>
  <c r="AD16" i="2"/>
  <c r="AQ64" i="2"/>
  <c r="DC64" i="2"/>
  <c r="AT64" i="2"/>
  <c r="DF64" i="2"/>
  <c r="CS64" i="2"/>
  <c r="BY64" i="2"/>
  <c r="CV64" i="2"/>
  <c r="CC64" i="2"/>
  <c r="CO64" i="2"/>
  <c r="AY64" i="2"/>
  <c r="DK64" i="2"/>
  <c r="BB64" i="2"/>
  <c r="Q64" i="2"/>
  <c r="DD64" i="2"/>
  <c r="CJ64" i="2"/>
  <c r="T64" i="2"/>
  <c r="DG64" i="2"/>
  <c r="CN64" i="2"/>
  <c r="CZ64" i="2"/>
  <c r="BG64" i="2"/>
  <c r="BJ64" i="2"/>
  <c r="AE64" i="2"/>
  <c r="CT64" i="2"/>
  <c r="AG64" i="2"/>
  <c r="CY64" i="2"/>
  <c r="Y64" i="2"/>
  <c r="DJ64" i="2"/>
  <c r="BO64" i="2"/>
  <c r="BR64" i="2"/>
  <c r="AP64" i="2"/>
  <c r="R64" i="2"/>
  <c r="DE64" i="2"/>
  <c r="AU64" i="2"/>
  <c r="X64" i="2"/>
  <c r="DI64" i="2"/>
  <c r="AM64" i="2"/>
  <c r="BW64" i="2"/>
  <c r="U64" i="2"/>
  <c r="BZ64" i="2"/>
  <c r="BC64" i="2"/>
  <c r="AF64" i="2"/>
  <c r="BE64" i="2"/>
  <c r="AJ64" i="2"/>
  <c r="AX64" i="2"/>
  <c r="S64" i="2"/>
  <c r="CE64" i="2"/>
  <c r="AC64" i="2"/>
  <c r="V64" i="2"/>
  <c r="CH64" i="2"/>
  <c r="BM64" i="2"/>
  <c r="AR64" i="2"/>
  <c r="BP64" i="2"/>
  <c r="AW64" i="2"/>
  <c r="BI64" i="2"/>
  <c r="AA64" i="2"/>
  <c r="CM64" i="2"/>
  <c r="AK64" i="2"/>
  <c r="AD64" i="2"/>
  <c r="CP64" i="2"/>
  <c r="BX64" i="2"/>
  <c r="BD64" i="2"/>
  <c r="CA64" i="2"/>
  <c r="BH64" i="2"/>
  <c r="AI64" i="2"/>
  <c r="CU64" i="2"/>
  <c r="AS64" i="2"/>
  <c r="AL64" i="2"/>
  <c r="CX64" i="2"/>
  <c r="CI64" i="2"/>
  <c r="BN64" i="2"/>
  <c r="CK64" i="2"/>
  <c r="BS64" i="2"/>
  <c r="CD64" i="2"/>
  <c r="BT64" i="2"/>
  <c r="AN64" i="2"/>
  <c r="CR64" i="2"/>
  <c r="BQ64" i="2"/>
  <c r="AZ64" i="2"/>
  <c r="BF64" i="2"/>
  <c r="DH64" i="2"/>
  <c r="BL64" i="2"/>
  <c r="CG64" i="2"/>
  <c r="BK64" i="2"/>
  <c r="CW64" i="2"/>
  <c r="BU64" i="2"/>
  <c r="CF64" i="2"/>
  <c r="AV64" i="2"/>
  <c r="DB64" i="2"/>
  <c r="CQ64" i="2"/>
  <c r="CL64" i="2"/>
  <c r="AB64" i="2"/>
  <c r="AH64" i="2"/>
  <c r="DA64" i="2"/>
  <c r="BV64" i="2"/>
  <c r="CB64" i="2"/>
  <c r="Z64" i="2"/>
  <c r="DL64" i="2"/>
  <c r="BA64" i="2"/>
  <c r="W64" i="2"/>
  <c r="AO64" i="2"/>
  <c r="P64" i="2"/>
  <c r="AF107" i="2"/>
  <c r="CR107" i="2"/>
  <c r="AO107" i="2"/>
  <c r="DA107" i="2"/>
  <c r="BV107" i="2"/>
  <c r="BW107" i="2"/>
  <c r="BP107" i="2"/>
  <c r="BJ107" i="2"/>
  <c r="W107" i="2"/>
  <c r="CQ107" i="2"/>
  <c r="AN107" i="2"/>
  <c r="CZ107" i="2"/>
  <c r="AW107" i="2"/>
  <c r="DI107" i="2"/>
  <c r="R107" i="2"/>
  <c r="CD107" i="2"/>
  <c r="S107" i="2"/>
  <c r="CE107" i="2"/>
  <c r="BX107" i="2"/>
  <c r="U107" i="2"/>
  <c r="BR107" i="2"/>
  <c r="AV107" i="2"/>
  <c r="DH107" i="2"/>
  <c r="BE107" i="2"/>
  <c r="Z107" i="2"/>
  <c r="CL107" i="2"/>
  <c r="AA107" i="2"/>
  <c r="CM107" i="2"/>
  <c r="T107" i="2"/>
  <c r="CF107" i="2"/>
  <c r="AK107" i="2"/>
  <c r="BZ107" i="2"/>
  <c r="AU107" i="2"/>
  <c r="CY107" i="2"/>
  <c r="BD107" i="2"/>
  <c r="BM107" i="2"/>
  <c r="CO107" i="2"/>
  <c r="AH107" i="2"/>
  <c r="CT107" i="2"/>
  <c r="BY107" i="2"/>
  <c r="AI107" i="2"/>
  <c r="CU107" i="2"/>
  <c r="DE107" i="2"/>
  <c r="AB107" i="2"/>
  <c r="CN107" i="2"/>
  <c r="BA107" i="2"/>
  <c r="AC107" i="2"/>
  <c r="V107" i="2"/>
  <c r="CH107" i="2"/>
  <c r="BL107" i="2"/>
  <c r="BU107" i="2"/>
  <c r="AP107" i="2"/>
  <c r="DB107" i="2"/>
  <c r="AQ107" i="2"/>
  <c r="DC107" i="2"/>
  <c r="AJ107" i="2"/>
  <c r="CV107" i="2"/>
  <c r="BQ107" i="2"/>
  <c r="AS107" i="2"/>
  <c r="AD107" i="2"/>
  <c r="CP107" i="2"/>
  <c r="BS107" i="2"/>
  <c r="BT107" i="2"/>
  <c r="Q107" i="2"/>
  <c r="CC107" i="2"/>
  <c r="AX107" i="2"/>
  <c r="DJ107" i="2"/>
  <c r="AY107" i="2"/>
  <c r="DK107" i="2"/>
  <c r="AR107" i="2"/>
  <c r="DD107" i="2"/>
  <c r="CG107" i="2"/>
  <c r="BI107" i="2"/>
  <c r="AL107" i="2"/>
  <c r="CX107" i="2"/>
  <c r="P107" i="2"/>
  <c r="CB107" i="2"/>
  <c r="Y107" i="2"/>
  <c r="CK107" i="2"/>
  <c r="BF107" i="2"/>
  <c r="BG107" i="2"/>
  <c r="AZ107" i="2"/>
  <c r="DL107" i="2"/>
  <c r="CW107" i="2"/>
  <c r="X107" i="2"/>
  <c r="CJ107" i="2"/>
  <c r="AG107" i="2"/>
  <c r="CS107" i="2"/>
  <c r="BN107" i="2"/>
  <c r="BO107" i="2"/>
  <c r="BH107" i="2"/>
  <c r="BB107" i="2"/>
  <c r="BG44" i="2"/>
  <c r="T44" i="2"/>
  <c r="CF44" i="2"/>
  <c r="BQ44" i="2"/>
  <c r="BB44" i="2"/>
  <c r="AM44" i="2"/>
  <c r="CY44" i="2"/>
  <c r="BO44" i="2"/>
  <c r="AB44" i="2"/>
  <c r="CN44" i="2"/>
  <c r="BY44" i="2"/>
  <c r="BJ44" i="2"/>
  <c r="AU44" i="2"/>
  <c r="DG44" i="2"/>
  <c r="BW44" i="2"/>
  <c r="AJ44" i="2"/>
  <c r="CV44" i="2"/>
  <c r="U44" i="2"/>
  <c r="CG44" i="2"/>
  <c r="BR44" i="2"/>
  <c r="BC44" i="2"/>
  <c r="S44" i="2"/>
  <c r="CE44" i="2"/>
  <c r="AR44" i="2"/>
  <c r="DD44" i="2"/>
  <c r="AC44" i="2"/>
  <c r="CO44" i="2"/>
  <c r="BZ44" i="2"/>
  <c r="BK44" i="2"/>
  <c r="AA44" i="2"/>
  <c r="CM44" i="2"/>
  <c r="AZ44" i="2"/>
  <c r="DL44" i="2"/>
  <c r="AK44" i="2"/>
  <c r="CW44" i="2"/>
  <c r="V44" i="2"/>
  <c r="CH44" i="2"/>
  <c r="BS44" i="2"/>
  <c r="AI44" i="2"/>
  <c r="CU44" i="2"/>
  <c r="BH44" i="2"/>
  <c r="AQ44" i="2"/>
  <c r="DC44" i="2"/>
  <c r="BP44" i="2"/>
  <c r="BA44" i="2"/>
  <c r="AL44" i="2"/>
  <c r="CX44" i="2"/>
  <c r="W44" i="2"/>
  <c r="CI44" i="2"/>
  <c r="AY44" i="2"/>
  <c r="DK44" i="2"/>
  <c r="BX44" i="2"/>
  <c r="BI44" i="2"/>
  <c r="AT44" i="2"/>
  <c r="DF44" i="2"/>
  <c r="AE44" i="2"/>
  <c r="CQ44" i="2"/>
  <c r="Y44" i="2"/>
  <c r="CK44" i="2"/>
  <c r="CR44" i="2"/>
  <c r="AG44" i="2"/>
  <c r="CS44" i="2"/>
  <c r="AO44" i="2"/>
  <c r="DA44" i="2"/>
  <c r="AD44" i="2"/>
  <c r="AW44" i="2"/>
  <c r="DI44" i="2"/>
  <c r="CP44" i="2"/>
  <c r="BE44" i="2"/>
  <c r="Z44" i="2"/>
  <c r="AN44" i="2"/>
  <c r="CA44" i="2"/>
  <c r="BM44" i="2"/>
  <c r="BF44" i="2"/>
  <c r="DE44" i="2"/>
  <c r="Q44" i="2"/>
  <c r="CC44" i="2"/>
  <c r="BL44" i="2"/>
  <c r="CT44" i="2"/>
  <c r="AS44" i="2"/>
  <c r="BT44" i="2"/>
  <c r="BV44" i="2"/>
  <c r="DH44" i="2"/>
  <c r="CZ44" i="2"/>
  <c r="DB44" i="2"/>
  <c r="CL44" i="2"/>
  <c r="R44" i="2"/>
  <c r="AX44" i="2"/>
  <c r="AH44" i="2"/>
  <c r="CD44" i="2"/>
  <c r="BN44" i="2"/>
  <c r="P44" i="2"/>
  <c r="DJ44" i="2"/>
  <c r="BU44" i="2"/>
  <c r="AF44" i="2"/>
  <c r="AV44" i="2"/>
  <c r="AP44" i="2"/>
  <c r="BD44" i="2"/>
  <c r="CJ44" i="2"/>
  <c r="X44" i="2"/>
  <c r="CB44" i="2"/>
  <c r="Q75" i="2"/>
  <c r="S75" i="2"/>
  <c r="AV75" i="2"/>
  <c r="DH75" i="2"/>
  <c r="AG75" i="2"/>
  <c r="CS75" i="2"/>
  <c r="AQ75" i="2"/>
  <c r="DC75" i="2"/>
  <c r="BH75" i="2"/>
  <c r="BI75" i="2"/>
  <c r="DJ75" i="2"/>
  <c r="CQ75" i="2"/>
  <c r="BC75" i="2"/>
  <c r="BD75" i="2"/>
  <c r="AO75" i="2"/>
  <c r="DA75" i="2"/>
  <c r="AY75" i="2"/>
  <c r="DK75" i="2"/>
  <c r="BP75" i="2"/>
  <c r="BQ75" i="2"/>
  <c r="W75" i="2"/>
  <c r="Z75" i="2"/>
  <c r="BL75" i="2"/>
  <c r="AW75" i="2"/>
  <c r="DI75" i="2"/>
  <c r="BG75" i="2"/>
  <c r="BX75" i="2"/>
  <c r="BY75" i="2"/>
  <c r="AT75" i="2"/>
  <c r="AU75" i="2"/>
  <c r="CT75" i="2"/>
  <c r="BT75" i="2"/>
  <c r="BE75" i="2"/>
  <c r="BO75" i="2"/>
  <c r="T75" i="2"/>
  <c r="CF75" i="2"/>
  <c r="U75" i="2"/>
  <c r="CG75" i="2"/>
  <c r="BN75" i="2"/>
  <c r="BR75" i="2"/>
  <c r="CB75" i="2"/>
  <c r="BM75" i="2"/>
  <c r="BW75" i="2"/>
  <c r="AB75" i="2"/>
  <c r="CN75" i="2"/>
  <c r="AC75" i="2"/>
  <c r="CO75" i="2"/>
  <c r="CI75" i="2"/>
  <c r="CL75" i="2"/>
  <c r="AD75" i="2"/>
  <c r="X75" i="2"/>
  <c r="CJ75" i="2"/>
  <c r="BU75" i="2"/>
  <c r="R75" i="2"/>
  <c r="CE75" i="2"/>
  <c r="AJ75" i="2"/>
  <c r="CV75" i="2"/>
  <c r="AK75" i="2"/>
  <c r="CW75" i="2"/>
  <c r="DF75" i="2"/>
  <c r="DG75" i="2"/>
  <c r="AX75" i="2"/>
  <c r="AE75" i="2"/>
  <c r="AF75" i="2"/>
  <c r="CR75" i="2"/>
  <c r="CC75" i="2"/>
  <c r="AA75" i="2"/>
  <c r="CM75" i="2"/>
  <c r="AR75" i="2"/>
  <c r="DD75" i="2"/>
  <c r="AS75" i="2"/>
  <c r="DE75" i="2"/>
  <c r="BS75" i="2"/>
  <c r="BB75" i="2"/>
  <c r="AN75" i="2"/>
  <c r="CZ75" i="2"/>
  <c r="Y75" i="2"/>
  <c r="CK75" i="2"/>
  <c r="AI75" i="2"/>
  <c r="CU75" i="2"/>
  <c r="AZ75" i="2"/>
  <c r="DL75" i="2"/>
  <c r="BA75" i="2"/>
  <c r="CP75" i="2"/>
  <c r="BV75" i="2"/>
  <c r="BF75" i="2"/>
  <c r="BJ75" i="2"/>
  <c r="AP75" i="2"/>
  <c r="CA75" i="2"/>
  <c r="CD75" i="2"/>
  <c r="CH75" i="2"/>
  <c r="CX75" i="2"/>
  <c r="CY75" i="2"/>
  <c r="DB75" i="2"/>
  <c r="AH75" i="2"/>
  <c r="V75" i="2"/>
  <c r="BZ75" i="2"/>
  <c r="P75" i="2"/>
  <c r="AL75" i="2"/>
  <c r="AM75" i="2"/>
  <c r="BK75" i="2"/>
  <c r="Q52" i="2"/>
  <c r="CC52" i="2"/>
  <c r="BN52" i="2"/>
  <c r="BW52" i="2"/>
  <c r="T52" i="2"/>
  <c r="CF52" i="2"/>
  <c r="Y52" i="2"/>
  <c r="CK52" i="2"/>
  <c r="BV52" i="2"/>
  <c r="S52" i="2"/>
  <c r="CE52" i="2"/>
  <c r="AB52" i="2"/>
  <c r="CN52" i="2"/>
  <c r="AG52" i="2"/>
  <c r="CS52" i="2"/>
  <c r="R52" i="2"/>
  <c r="CD52" i="2"/>
  <c r="AA52" i="2"/>
  <c r="CM52" i="2"/>
  <c r="AJ52" i="2"/>
  <c r="CV52" i="2"/>
  <c r="AO52" i="2"/>
  <c r="DA52" i="2"/>
  <c r="Z52" i="2"/>
  <c r="CL52" i="2"/>
  <c r="AI52" i="2"/>
  <c r="CU52" i="2"/>
  <c r="AR52" i="2"/>
  <c r="DD52" i="2"/>
  <c r="AW52" i="2"/>
  <c r="DI52" i="2"/>
  <c r="AH52" i="2"/>
  <c r="CT52" i="2"/>
  <c r="AQ52" i="2"/>
  <c r="DC52" i="2"/>
  <c r="AZ52" i="2"/>
  <c r="DL52" i="2"/>
  <c r="BE52" i="2"/>
  <c r="BU52" i="2"/>
  <c r="BF52" i="2"/>
  <c r="BO52" i="2"/>
  <c r="BX52" i="2"/>
  <c r="DB52" i="2"/>
  <c r="BI52" i="2"/>
  <c r="BR52" i="2"/>
  <c r="AE52" i="2"/>
  <c r="CQ52" i="2"/>
  <c r="BM52" i="2"/>
  <c r="DJ52" i="2"/>
  <c r="BQ52" i="2"/>
  <c r="BZ52" i="2"/>
  <c r="AM52" i="2"/>
  <c r="CY52" i="2"/>
  <c r="AF52" i="2"/>
  <c r="AY52" i="2"/>
  <c r="BY52" i="2"/>
  <c r="V52" i="2"/>
  <c r="CH52" i="2"/>
  <c r="AU52" i="2"/>
  <c r="DG52" i="2"/>
  <c r="CR52" i="2"/>
  <c r="BG52" i="2"/>
  <c r="U52" i="2"/>
  <c r="CG52" i="2"/>
  <c r="AD52" i="2"/>
  <c r="CP52" i="2"/>
  <c r="BC52" i="2"/>
  <c r="DK52" i="2"/>
  <c r="AC52" i="2"/>
  <c r="CO52" i="2"/>
  <c r="AL52" i="2"/>
  <c r="CX52" i="2"/>
  <c r="BK52" i="2"/>
  <c r="AK52" i="2"/>
  <c r="CW52" i="2"/>
  <c r="AT52" i="2"/>
  <c r="DF52" i="2"/>
  <c r="BS52" i="2"/>
  <c r="X52" i="2"/>
  <c r="AP52" i="2"/>
  <c r="BH52" i="2"/>
  <c r="AS52" i="2"/>
  <c r="DE52" i="2"/>
  <c r="BB52" i="2"/>
  <c r="CA52" i="2"/>
  <c r="CJ52" i="2"/>
  <c r="CZ52" i="2"/>
  <c r="CI52" i="2"/>
  <c r="BL52" i="2"/>
  <c r="AN52" i="2"/>
  <c r="P52" i="2"/>
  <c r="CB52" i="2"/>
  <c r="AV52" i="2"/>
  <c r="DH52" i="2"/>
  <c r="BP52" i="2"/>
  <c r="BJ52" i="2"/>
  <c r="AX52" i="2"/>
  <c r="BA52" i="2"/>
  <c r="W52" i="2"/>
  <c r="BD52" i="2"/>
  <c r="BT52" i="2"/>
  <c r="BW76" i="2"/>
  <c r="BH76" i="2"/>
  <c r="BR76" i="2"/>
  <c r="W76" i="2"/>
  <c r="CI76" i="2"/>
  <c r="X76" i="2"/>
  <c r="CJ76" i="2"/>
  <c r="BU76" i="2"/>
  <c r="BV76" i="2"/>
  <c r="S76" i="2"/>
  <c r="CE76" i="2"/>
  <c r="BP76" i="2"/>
  <c r="BZ76" i="2"/>
  <c r="AE76" i="2"/>
  <c r="CQ76" i="2"/>
  <c r="AF76" i="2"/>
  <c r="CR76" i="2"/>
  <c r="CO76" i="2"/>
  <c r="CS76" i="2"/>
  <c r="AH76" i="2"/>
  <c r="Q76" i="2"/>
  <c r="AA76" i="2"/>
  <c r="CM76" i="2"/>
  <c r="BX76" i="2"/>
  <c r="V76" i="2"/>
  <c r="CH76" i="2"/>
  <c r="AM76" i="2"/>
  <c r="CY76" i="2"/>
  <c r="AN76" i="2"/>
  <c r="CZ76" i="2"/>
  <c r="DJ76" i="2"/>
  <c r="BE76" i="2"/>
  <c r="AK76" i="2"/>
  <c r="AI76" i="2"/>
  <c r="CU76" i="2"/>
  <c r="T76" i="2"/>
  <c r="CF76" i="2"/>
  <c r="AD76" i="2"/>
  <c r="CP76" i="2"/>
  <c r="AU76" i="2"/>
  <c r="DG76" i="2"/>
  <c r="AV76" i="2"/>
  <c r="DH76" i="2"/>
  <c r="BY76" i="2"/>
  <c r="BF76" i="2"/>
  <c r="AQ76" i="2"/>
  <c r="DC76" i="2"/>
  <c r="AB76" i="2"/>
  <c r="CN76" i="2"/>
  <c r="AL76" i="2"/>
  <c r="CX76" i="2"/>
  <c r="BC76" i="2"/>
  <c r="BD76" i="2"/>
  <c r="CT76" i="2"/>
  <c r="CC76" i="2"/>
  <c r="AO76" i="2"/>
  <c r="AY76" i="2"/>
  <c r="DK76" i="2"/>
  <c r="AJ76" i="2"/>
  <c r="CV76" i="2"/>
  <c r="AT76" i="2"/>
  <c r="DF76" i="2"/>
  <c r="BK76" i="2"/>
  <c r="BL76" i="2"/>
  <c r="CW76" i="2"/>
  <c r="BG76" i="2"/>
  <c r="AR76" i="2"/>
  <c r="DD76" i="2"/>
  <c r="BB76" i="2"/>
  <c r="BS76" i="2"/>
  <c r="BT76" i="2"/>
  <c r="AC76" i="2"/>
  <c r="AG76" i="2"/>
  <c r="BO76" i="2"/>
  <c r="AZ76" i="2"/>
  <c r="DL76" i="2"/>
  <c r="BJ76" i="2"/>
  <c r="CA76" i="2"/>
  <c r="P76" i="2"/>
  <c r="CB76" i="2"/>
  <c r="AX76" i="2"/>
  <c r="BA76" i="2"/>
  <c r="BI76" i="2"/>
  <c r="CD76" i="2"/>
  <c r="DI76" i="2"/>
  <c r="DA76" i="2"/>
  <c r="BQ76" i="2"/>
  <c r="U76" i="2"/>
  <c r="Y76" i="2"/>
  <c r="AP76" i="2"/>
  <c r="AS76" i="2"/>
  <c r="BM76" i="2"/>
  <c r="BN76" i="2"/>
  <c r="CG76" i="2"/>
  <c r="CK76" i="2"/>
  <c r="CL76" i="2"/>
  <c r="R76" i="2"/>
  <c r="DB76" i="2"/>
  <c r="DE76" i="2"/>
  <c r="Z76" i="2"/>
  <c r="AW76" i="2"/>
  <c r="AD28" i="2"/>
  <c r="BC28" i="2"/>
  <c r="AL28" i="2"/>
  <c r="BK28" i="2"/>
  <c r="AT28" i="2"/>
  <c r="BS28" i="2"/>
  <c r="BB28" i="2"/>
  <c r="CA28" i="2"/>
  <c r="BJ28" i="2"/>
  <c r="W28" i="2"/>
  <c r="BR28" i="2"/>
  <c r="AE28" i="2"/>
  <c r="V28" i="2"/>
  <c r="AU28" i="2"/>
  <c r="AW28" i="2"/>
  <c r="AI28" i="2"/>
  <c r="CD28" i="2"/>
  <c r="DC28" i="2"/>
  <c r="CF28" i="2"/>
  <c r="CW28" i="2"/>
  <c r="BY28" i="2"/>
  <c r="P28" i="2"/>
  <c r="DG28" i="2"/>
  <c r="BN28" i="2"/>
  <c r="BE28" i="2"/>
  <c r="AQ28" i="2"/>
  <c r="CL28" i="2"/>
  <c r="X28" i="2"/>
  <c r="DK28" i="2"/>
  <c r="CN28" i="2"/>
  <c r="DE28" i="2"/>
  <c r="CH28" i="2"/>
  <c r="AF28" i="2"/>
  <c r="CB28" i="2"/>
  <c r="BM28" i="2"/>
  <c r="AY28" i="2"/>
  <c r="CT28" i="2"/>
  <c r="AN28" i="2"/>
  <c r="CV28" i="2"/>
  <c r="AB28" i="2"/>
  <c r="CP28" i="2"/>
  <c r="AV28" i="2"/>
  <c r="CJ28" i="2"/>
  <c r="AM28" i="2"/>
  <c r="BU28" i="2"/>
  <c r="BG28" i="2"/>
  <c r="DB28" i="2"/>
  <c r="BD28" i="2"/>
  <c r="DD28" i="2"/>
  <c r="AR28" i="2"/>
  <c r="CX28" i="2"/>
  <c r="BL28" i="2"/>
  <c r="CR28" i="2"/>
  <c r="Q28" i="2"/>
  <c r="BO28" i="2"/>
  <c r="U28" i="2"/>
  <c r="DJ28" i="2"/>
  <c r="BT28" i="2"/>
  <c r="Z28" i="2"/>
  <c r="DL28" i="2"/>
  <c r="BH28" i="2"/>
  <c r="DF28" i="2"/>
  <c r="BZ28" i="2"/>
  <c r="CZ28" i="2"/>
  <c r="Y28" i="2"/>
  <c r="BW28" i="2"/>
  <c r="AK28" i="2"/>
  <c r="CE28" i="2"/>
  <c r="AP28" i="2"/>
  <c r="BX28" i="2"/>
  <c r="AC28" i="2"/>
  <c r="CI28" i="2"/>
  <c r="R28" i="2"/>
  <c r="DH28" i="2"/>
  <c r="AG28" i="2"/>
  <c r="S28" i="2"/>
  <c r="BA28" i="2"/>
  <c r="CM28" i="2"/>
  <c r="BF28" i="2"/>
  <c r="CG28" i="2"/>
  <c r="AS28" i="2"/>
  <c r="CQ28" i="2"/>
  <c r="AO28" i="2"/>
  <c r="AA28" i="2"/>
  <c r="BQ28" i="2"/>
  <c r="CU28" i="2"/>
  <c r="BV28" i="2"/>
  <c r="CO28" i="2"/>
  <c r="BI28" i="2"/>
  <c r="CY28" i="2"/>
  <c r="AX28" i="2"/>
  <c r="AH28" i="2"/>
  <c r="T28" i="2"/>
  <c r="CS28" i="2"/>
  <c r="DI28" i="2"/>
  <c r="CC28" i="2"/>
  <c r="AJ28" i="2"/>
  <c r="BP28" i="2"/>
  <c r="CK28" i="2"/>
  <c r="DA28" i="2"/>
  <c r="AZ28" i="2"/>
  <c r="CV106" i="2"/>
  <c r="BF101" i="2"/>
  <c r="BC107" i="2"/>
  <c r="BO103" i="2"/>
  <c r="CF106" i="2"/>
  <c r="V104" i="2"/>
  <c r="BV108" i="2"/>
  <c r="BF108" i="2"/>
  <c r="AT97" i="2"/>
  <c r="DA100" i="2"/>
  <c r="DA90" i="2"/>
  <c r="CE96" i="2"/>
  <c r="S106" i="2"/>
  <c r="BH10" i="2"/>
  <c r="U10" i="2"/>
  <c r="CG10" i="2"/>
  <c r="BB10" i="2"/>
  <c r="CA10" i="2"/>
  <c r="BE10" i="2"/>
  <c r="Z10" i="2"/>
  <c r="CL10" i="2"/>
  <c r="BG10" i="2"/>
  <c r="BP10" i="2"/>
  <c r="AC10" i="2"/>
  <c r="CO10" i="2"/>
  <c r="BJ10" i="2"/>
  <c r="W10" i="2"/>
  <c r="CI10" i="2"/>
  <c r="BM10" i="2"/>
  <c r="AH10" i="2"/>
  <c r="CT10" i="2"/>
  <c r="X10" i="2"/>
  <c r="CM10" i="2"/>
  <c r="BX10" i="2"/>
  <c r="AK10" i="2"/>
  <c r="CW10" i="2"/>
  <c r="BR10" i="2"/>
  <c r="AE10" i="2"/>
  <c r="CQ10" i="2"/>
  <c r="BU10" i="2"/>
  <c r="AP10" i="2"/>
  <c r="DB10" i="2"/>
  <c r="BD10" i="2"/>
  <c r="T10" i="2"/>
  <c r="CF10" i="2"/>
  <c r="AS10" i="2"/>
  <c r="DE10" i="2"/>
  <c r="BZ10" i="2"/>
  <c r="AM10" i="2"/>
  <c r="CY10" i="2"/>
  <c r="Q10" i="2"/>
  <c r="CC10" i="2"/>
  <c r="AX10" i="2"/>
  <c r="DJ10" i="2"/>
  <c r="CJ10" i="2"/>
  <c r="AB10" i="2"/>
  <c r="CN10" i="2"/>
  <c r="BA10" i="2"/>
  <c r="V10" i="2"/>
  <c r="CH10" i="2"/>
  <c r="AU10" i="2"/>
  <c r="DG10" i="2"/>
  <c r="Y10" i="2"/>
  <c r="CK10" i="2"/>
  <c r="BF10" i="2"/>
  <c r="AJ10" i="2"/>
  <c r="CV10" i="2"/>
  <c r="BI10" i="2"/>
  <c r="AD10" i="2"/>
  <c r="CP10" i="2"/>
  <c r="BC10" i="2"/>
  <c r="AG10" i="2"/>
  <c r="CS10" i="2"/>
  <c r="BN10" i="2"/>
  <c r="AR10" i="2"/>
  <c r="DD10" i="2"/>
  <c r="BQ10" i="2"/>
  <c r="AL10" i="2"/>
  <c r="CX10" i="2"/>
  <c r="BK10" i="2"/>
  <c r="AO10" i="2"/>
  <c r="DA10" i="2"/>
  <c r="BV10" i="2"/>
  <c r="AF10" i="2"/>
  <c r="BS10" i="2"/>
  <c r="CD10" i="2"/>
  <c r="BL10" i="2"/>
  <c r="AN10" i="2"/>
  <c r="CR10" i="2"/>
  <c r="BT10" i="2"/>
  <c r="P10" i="2"/>
  <c r="AZ10" i="2"/>
  <c r="CZ10" i="2"/>
  <c r="AQ10" i="2"/>
  <c r="AV10" i="2"/>
  <c r="DL10" i="2"/>
  <c r="BW10" i="2"/>
  <c r="CB10" i="2"/>
  <c r="CE10" i="2"/>
  <c r="DK10" i="2"/>
  <c r="AI10" i="2"/>
  <c r="DC10" i="2"/>
  <c r="DH10" i="2"/>
  <c r="BY10" i="2"/>
  <c r="AT10" i="2"/>
  <c r="AW10" i="2"/>
  <c r="BO10" i="2"/>
  <c r="AY10" i="2"/>
  <c r="DF10" i="2"/>
  <c r="DI10" i="2"/>
  <c r="CU10" i="2"/>
  <c r="R10" i="2"/>
  <c r="AA10" i="2"/>
  <c r="S10" i="2"/>
  <c r="AC42" i="2"/>
  <c r="AS42" i="2"/>
  <c r="BI42" i="2"/>
  <c r="BQ42" i="2"/>
  <c r="AD42" i="2"/>
  <c r="CP42" i="2"/>
  <c r="CA42" i="2"/>
  <c r="BL42" i="2"/>
  <c r="AW42" i="2"/>
  <c r="DI42" i="2"/>
  <c r="R42" i="2"/>
  <c r="CD42" i="2"/>
  <c r="BY42" i="2"/>
  <c r="AL42" i="2"/>
  <c r="CX42" i="2"/>
  <c r="W42" i="2"/>
  <c r="CI42" i="2"/>
  <c r="BT42" i="2"/>
  <c r="BE42" i="2"/>
  <c r="CG42" i="2"/>
  <c r="AT42" i="2"/>
  <c r="DF42" i="2"/>
  <c r="AE42" i="2"/>
  <c r="CQ42" i="2"/>
  <c r="P42" i="2"/>
  <c r="CB42" i="2"/>
  <c r="BM42" i="2"/>
  <c r="AH42" i="2"/>
  <c r="CO42" i="2"/>
  <c r="BB42" i="2"/>
  <c r="AM42" i="2"/>
  <c r="CY42" i="2"/>
  <c r="X42" i="2"/>
  <c r="CJ42" i="2"/>
  <c r="BU42" i="2"/>
  <c r="CW42" i="2"/>
  <c r="BJ42" i="2"/>
  <c r="AU42" i="2"/>
  <c r="DG42" i="2"/>
  <c r="AF42" i="2"/>
  <c r="CR42" i="2"/>
  <c r="Q42" i="2"/>
  <c r="CC42" i="2"/>
  <c r="AX42" i="2"/>
  <c r="DJ42" i="2"/>
  <c r="U42" i="2"/>
  <c r="DE42" i="2"/>
  <c r="BR42" i="2"/>
  <c r="AK42" i="2"/>
  <c r="BZ42" i="2"/>
  <c r="BK42" i="2"/>
  <c r="AV42" i="2"/>
  <c r="DH42" i="2"/>
  <c r="AG42" i="2"/>
  <c r="CS42" i="2"/>
  <c r="BA42" i="2"/>
  <c r="V42" i="2"/>
  <c r="CH42" i="2"/>
  <c r="BS42" i="2"/>
  <c r="BD42" i="2"/>
  <c r="AO42" i="2"/>
  <c r="DA42" i="2"/>
  <c r="AN42" i="2"/>
  <c r="BF42" i="2"/>
  <c r="AI42" i="2"/>
  <c r="CU42" i="2"/>
  <c r="CF42" i="2"/>
  <c r="AJ42" i="2"/>
  <c r="DD42" i="2"/>
  <c r="CZ42" i="2"/>
  <c r="Y42" i="2"/>
  <c r="BN42" i="2"/>
  <c r="AQ42" i="2"/>
  <c r="DC42" i="2"/>
  <c r="AB42" i="2"/>
  <c r="CV42" i="2"/>
  <c r="CK42" i="2"/>
  <c r="BV42" i="2"/>
  <c r="AY42" i="2"/>
  <c r="DK42" i="2"/>
  <c r="CN42" i="2"/>
  <c r="BC42" i="2"/>
  <c r="CL42" i="2"/>
  <c r="BG42" i="2"/>
  <c r="CT42" i="2"/>
  <c r="BO42" i="2"/>
  <c r="DB42" i="2"/>
  <c r="BW42" i="2"/>
  <c r="AP42" i="2"/>
  <c r="AA42" i="2"/>
  <c r="CM42" i="2"/>
  <c r="T42" i="2"/>
  <c r="AR42" i="2"/>
  <c r="BH42" i="2"/>
  <c r="Z42" i="2"/>
  <c r="S42" i="2"/>
  <c r="AZ42" i="2"/>
  <c r="CE42" i="2"/>
  <c r="DL42" i="2"/>
  <c r="BP42" i="2"/>
  <c r="BX42" i="2"/>
  <c r="AJ37" i="2"/>
  <c r="CV37" i="2"/>
  <c r="BA37" i="2"/>
  <c r="AD37" i="2"/>
  <c r="CP37" i="2"/>
  <c r="BS37" i="2"/>
  <c r="AF37" i="2"/>
  <c r="CR37" i="2"/>
  <c r="AP37" i="2"/>
  <c r="DB37" i="2"/>
  <c r="AR37" i="2"/>
  <c r="DD37" i="2"/>
  <c r="BI37" i="2"/>
  <c r="AL37" i="2"/>
  <c r="CX37" i="2"/>
  <c r="CA37" i="2"/>
  <c r="AN37" i="2"/>
  <c r="CZ37" i="2"/>
  <c r="AX37" i="2"/>
  <c r="DJ37" i="2"/>
  <c r="AZ37" i="2"/>
  <c r="BQ37" i="2"/>
  <c r="AT37" i="2"/>
  <c r="DF37" i="2"/>
  <c r="W37" i="2"/>
  <c r="CI37" i="2"/>
  <c r="AV37" i="2"/>
  <c r="DH37" i="2"/>
  <c r="BF37" i="2"/>
  <c r="BH37" i="2"/>
  <c r="BY37" i="2"/>
  <c r="BB37" i="2"/>
  <c r="AE37" i="2"/>
  <c r="CQ37" i="2"/>
  <c r="BD37" i="2"/>
  <c r="BN37" i="2"/>
  <c r="BP37" i="2"/>
  <c r="U37" i="2"/>
  <c r="CG37" i="2"/>
  <c r="BJ37" i="2"/>
  <c r="AM37" i="2"/>
  <c r="CY37" i="2"/>
  <c r="BL37" i="2"/>
  <c r="BV37" i="2"/>
  <c r="BE37" i="2"/>
  <c r="BX37" i="2"/>
  <c r="AC37" i="2"/>
  <c r="CO37" i="2"/>
  <c r="BR37" i="2"/>
  <c r="AU37" i="2"/>
  <c r="BT37" i="2"/>
  <c r="R37" i="2"/>
  <c r="CD37" i="2"/>
  <c r="CK37" i="2"/>
  <c r="T37" i="2"/>
  <c r="CF37" i="2"/>
  <c r="AK37" i="2"/>
  <c r="CW37" i="2"/>
  <c r="BZ37" i="2"/>
  <c r="BC37" i="2"/>
  <c r="P37" i="2"/>
  <c r="CB37" i="2"/>
  <c r="AB37" i="2"/>
  <c r="CN37" i="2"/>
  <c r="AS37" i="2"/>
  <c r="DE37" i="2"/>
  <c r="V37" i="2"/>
  <c r="CH37" i="2"/>
  <c r="BK37" i="2"/>
  <c r="X37" i="2"/>
  <c r="CJ37" i="2"/>
  <c r="AH37" i="2"/>
  <c r="CT37" i="2"/>
  <c r="BO37" i="2"/>
  <c r="Y37" i="2"/>
  <c r="CU37" i="2"/>
  <c r="AO37" i="2"/>
  <c r="DK37" i="2"/>
  <c r="BU37" i="2"/>
  <c r="Z37" i="2"/>
  <c r="AA37" i="2"/>
  <c r="DA37" i="2"/>
  <c r="CL37" i="2"/>
  <c r="BG37" i="2"/>
  <c r="CM37" i="2"/>
  <c r="AG37" i="2"/>
  <c r="DL37" i="2"/>
  <c r="BM37" i="2"/>
  <c r="CS37" i="2"/>
  <c r="AI37" i="2"/>
  <c r="Q37" i="2"/>
  <c r="AQ37" i="2"/>
  <c r="AW37" i="2"/>
  <c r="BW37" i="2"/>
  <c r="CC37" i="2"/>
  <c r="DC37" i="2"/>
  <c r="DG37" i="2"/>
  <c r="CE37" i="2"/>
  <c r="DI37" i="2"/>
  <c r="AY37" i="2"/>
  <c r="S37" i="2"/>
  <c r="BX49" i="2"/>
  <c r="T49" i="2"/>
  <c r="CF49" i="2"/>
  <c r="AB49" i="2"/>
  <c r="CN49" i="2"/>
  <c r="AJ49" i="2"/>
  <c r="CV49" i="2"/>
  <c r="AR49" i="2"/>
  <c r="DD49" i="2"/>
  <c r="BH49" i="2"/>
  <c r="BP49" i="2"/>
  <c r="AF49" i="2"/>
  <c r="CR49" i="2"/>
  <c r="CT49" i="2"/>
  <c r="BZ49" i="2"/>
  <c r="CL49" i="2"/>
  <c r="Q49" i="2"/>
  <c r="CX49" i="2"/>
  <c r="AN49" i="2"/>
  <c r="CZ49" i="2"/>
  <c r="W49" i="2"/>
  <c r="DE49" i="2"/>
  <c r="CK49" i="2"/>
  <c r="CW49" i="2"/>
  <c r="AA49" i="2"/>
  <c r="DI49" i="2"/>
  <c r="AV49" i="2"/>
  <c r="DH49" i="2"/>
  <c r="AH49" i="2"/>
  <c r="CU49" i="2"/>
  <c r="Z49" i="2"/>
  <c r="DG49" i="2"/>
  <c r="AL49" i="2"/>
  <c r="BD49" i="2"/>
  <c r="AS49" i="2"/>
  <c r="Y49" i="2"/>
  <c r="DF49" i="2"/>
  <c r="AK49" i="2"/>
  <c r="AW49" i="2"/>
  <c r="BL49" i="2"/>
  <c r="BC49" i="2"/>
  <c r="AI49" i="2"/>
  <c r="AU49" i="2"/>
  <c r="BG49" i="2"/>
  <c r="BT49" i="2"/>
  <c r="BN49" i="2"/>
  <c r="AT49" i="2"/>
  <c r="DL49" i="2"/>
  <c r="X49" i="2"/>
  <c r="CJ49" i="2"/>
  <c r="CI49" i="2"/>
  <c r="BO49" i="2"/>
  <c r="CA49" i="2"/>
  <c r="CM49" i="2"/>
  <c r="BS49" i="2"/>
  <c r="CE49" i="2"/>
  <c r="AE49" i="2"/>
  <c r="AZ49" i="2"/>
  <c r="BE49" i="2"/>
  <c r="CD49" i="2"/>
  <c r="CP49" i="2"/>
  <c r="AP49" i="2"/>
  <c r="V49" i="2"/>
  <c r="AQ49" i="2"/>
  <c r="BF49" i="2"/>
  <c r="CO49" i="2"/>
  <c r="S49" i="2"/>
  <c r="DA49" i="2"/>
  <c r="BA49" i="2"/>
  <c r="DC49" i="2"/>
  <c r="BQ49" i="2"/>
  <c r="R49" i="2"/>
  <c r="CY49" i="2"/>
  <c r="AD49" i="2"/>
  <c r="DK49" i="2"/>
  <c r="BK49" i="2"/>
  <c r="AC49" i="2"/>
  <c r="DJ49" i="2"/>
  <c r="AO49" i="2"/>
  <c r="BV49" i="2"/>
  <c r="P49" i="2"/>
  <c r="BY49" i="2"/>
  <c r="AM49" i="2"/>
  <c r="AY49" i="2"/>
  <c r="CG49" i="2"/>
  <c r="CB49" i="2"/>
  <c r="BR49" i="2"/>
  <c r="AX49" i="2"/>
  <c r="BJ49" i="2"/>
  <c r="CQ49" i="2"/>
  <c r="BU49" i="2"/>
  <c r="BI49" i="2"/>
  <c r="U49" i="2"/>
  <c r="AG49" i="2"/>
  <c r="BM49" i="2"/>
  <c r="CC49" i="2"/>
  <c r="DB49" i="2"/>
  <c r="BW49" i="2"/>
  <c r="CH49" i="2"/>
  <c r="CS49" i="2"/>
  <c r="BB49" i="2"/>
  <c r="AX12" i="2"/>
  <c r="AR12" i="2"/>
  <c r="AU12" i="2"/>
  <c r="P12" i="2"/>
  <c r="CB12" i="2"/>
  <c r="DC12" i="2"/>
  <c r="AI12" i="2"/>
  <c r="BF12" i="2"/>
  <c r="AZ12" i="2"/>
  <c r="BC12" i="2"/>
  <c r="X12" i="2"/>
  <c r="Q12" i="2"/>
  <c r="DK12" i="2"/>
  <c r="AY12" i="2"/>
  <c r="BN12" i="2"/>
  <c r="BH12" i="2"/>
  <c r="BK12" i="2"/>
  <c r="AF12" i="2"/>
  <c r="AG12" i="2"/>
  <c r="BO12" i="2"/>
  <c r="BV12" i="2"/>
  <c r="BP12" i="2"/>
  <c r="BS12" i="2"/>
  <c r="AN12" i="2"/>
  <c r="AW12" i="2"/>
  <c r="CE12" i="2"/>
  <c r="R12" i="2"/>
  <c r="CD12" i="2"/>
  <c r="BX12" i="2"/>
  <c r="CA12" i="2"/>
  <c r="AV12" i="2"/>
  <c r="BM12" i="2"/>
  <c r="CN12" i="2"/>
  <c r="Z12" i="2"/>
  <c r="T12" i="2"/>
  <c r="CF12" i="2"/>
  <c r="W12" i="2"/>
  <c r="BD12" i="2"/>
  <c r="CC12" i="2"/>
  <c r="CV12" i="2"/>
  <c r="AH12" i="2"/>
  <c r="AB12" i="2"/>
  <c r="AE12" i="2"/>
  <c r="BL12" i="2"/>
  <c r="CM12" i="2"/>
  <c r="DD12" i="2"/>
  <c r="AJ12" i="2"/>
  <c r="AM12" i="2"/>
  <c r="S12" i="2"/>
  <c r="AK12" i="2"/>
  <c r="CH12" i="2"/>
  <c r="Y12" i="2"/>
  <c r="CZ12" i="2"/>
  <c r="DA12" i="2"/>
  <c r="DL12" i="2"/>
  <c r="BA12" i="2"/>
  <c r="CP12" i="2"/>
  <c r="AO12" i="2"/>
  <c r="DH12" i="2"/>
  <c r="DI12" i="2"/>
  <c r="BQ12" i="2"/>
  <c r="CX12" i="2"/>
  <c r="BE12" i="2"/>
  <c r="AA12" i="2"/>
  <c r="AC12" i="2"/>
  <c r="BT12" i="2"/>
  <c r="CG12" i="2"/>
  <c r="DF12" i="2"/>
  <c r="BU12" i="2"/>
  <c r="AQ12" i="2"/>
  <c r="AS12" i="2"/>
  <c r="CO12" i="2"/>
  <c r="V12" i="2"/>
  <c r="CI12" i="2"/>
  <c r="BG12" i="2"/>
  <c r="BI12" i="2"/>
  <c r="AT12" i="2"/>
  <c r="BJ12" i="2"/>
  <c r="AP12" i="2"/>
  <c r="CW12" i="2"/>
  <c r="AL12" i="2"/>
  <c r="CQ12" i="2"/>
  <c r="BW12" i="2"/>
  <c r="BY12" i="2"/>
  <c r="CU12" i="2"/>
  <c r="DE12" i="2"/>
  <c r="BB12" i="2"/>
  <c r="CY12" i="2"/>
  <c r="CJ12" i="2"/>
  <c r="CK12" i="2"/>
  <c r="AD12" i="2"/>
  <c r="U12" i="2"/>
  <c r="BR12" i="2"/>
  <c r="DG12" i="2"/>
  <c r="CR12" i="2"/>
  <c r="CS12" i="2"/>
  <c r="BZ12" i="2"/>
  <c r="DB12" i="2"/>
  <c r="CT12" i="2"/>
  <c r="DJ12" i="2"/>
  <c r="CL12" i="2"/>
  <c r="AG66" i="2"/>
  <c r="CS66" i="2"/>
  <c r="AJ66" i="2"/>
  <c r="CV66" i="2"/>
  <c r="BN66" i="2"/>
  <c r="AT66" i="2"/>
  <c r="BQ66" i="2"/>
  <c r="AX66" i="2"/>
  <c r="BJ66" i="2"/>
  <c r="AO66" i="2"/>
  <c r="DA66" i="2"/>
  <c r="AR66" i="2"/>
  <c r="DD66" i="2"/>
  <c r="BY66" i="2"/>
  <c r="BD66" i="2"/>
  <c r="CA66" i="2"/>
  <c r="BI66" i="2"/>
  <c r="BT66" i="2"/>
  <c r="AW66" i="2"/>
  <c r="DI66" i="2"/>
  <c r="AZ66" i="2"/>
  <c r="DL66" i="2"/>
  <c r="CI66" i="2"/>
  <c r="BO66" i="2"/>
  <c r="CL66" i="2"/>
  <c r="BS66" i="2"/>
  <c r="CE66" i="2"/>
  <c r="BE66" i="2"/>
  <c r="BH66" i="2"/>
  <c r="CT66" i="2"/>
  <c r="BZ66" i="2"/>
  <c r="CW66" i="2"/>
  <c r="CD66" i="2"/>
  <c r="CP66" i="2"/>
  <c r="BM66" i="2"/>
  <c r="BP66" i="2"/>
  <c r="W66" i="2"/>
  <c r="DE66" i="2"/>
  <c r="CJ66" i="2"/>
  <c r="Z66" i="2"/>
  <c r="DG66" i="2"/>
  <c r="CO66" i="2"/>
  <c r="S66" i="2"/>
  <c r="CZ66" i="2"/>
  <c r="BU66" i="2"/>
  <c r="BX66" i="2"/>
  <c r="AH66" i="2"/>
  <c r="CU66" i="2"/>
  <c r="AK66" i="2"/>
  <c r="R66" i="2"/>
  <c r="CY66" i="2"/>
  <c r="AD66" i="2"/>
  <c r="DK66" i="2"/>
  <c r="Q66" i="2"/>
  <c r="CC66" i="2"/>
  <c r="T66" i="2"/>
  <c r="CF66" i="2"/>
  <c r="AS66" i="2"/>
  <c r="X66" i="2"/>
  <c r="DF66" i="2"/>
  <c r="AU66" i="2"/>
  <c r="AC66" i="2"/>
  <c r="DJ66" i="2"/>
  <c r="Y66" i="2"/>
  <c r="CK66" i="2"/>
  <c r="AB66" i="2"/>
  <c r="CN66" i="2"/>
  <c r="BC66" i="2"/>
  <c r="AI66" i="2"/>
  <c r="BF66" i="2"/>
  <c r="AM66" i="2"/>
  <c r="AY66" i="2"/>
  <c r="P66" i="2"/>
  <c r="CM66" i="2"/>
  <c r="U66" i="2"/>
  <c r="BA66" i="2"/>
  <c r="AN66" i="2"/>
  <c r="AE66" i="2"/>
  <c r="CB66" i="2"/>
  <c r="AP66" i="2"/>
  <c r="AQ66" i="2"/>
  <c r="AF66" i="2"/>
  <c r="AV66" i="2"/>
  <c r="DC66" i="2"/>
  <c r="V66" i="2"/>
  <c r="BR66" i="2"/>
  <c r="BV66" i="2"/>
  <c r="BB66" i="2"/>
  <c r="AL66" i="2"/>
  <c r="CR66" i="2"/>
  <c r="CX66" i="2"/>
  <c r="CG66" i="2"/>
  <c r="AA66" i="2"/>
  <c r="BL66" i="2"/>
  <c r="BK66" i="2"/>
  <c r="DH66" i="2"/>
  <c r="BG66" i="2"/>
  <c r="CQ66" i="2"/>
  <c r="BW66" i="2"/>
  <c r="CH66" i="2"/>
  <c r="DB66" i="2"/>
  <c r="AM87" i="2"/>
  <c r="CY87" i="2"/>
  <c r="AU87" i="2"/>
  <c r="DG87" i="2"/>
  <c r="R87" i="2"/>
  <c r="BC87" i="2"/>
  <c r="Z87" i="2"/>
  <c r="BK87" i="2"/>
  <c r="AH87" i="2"/>
  <c r="BS87" i="2"/>
  <c r="AP87" i="2"/>
  <c r="CA87" i="2"/>
  <c r="W87" i="2"/>
  <c r="CI87" i="2"/>
  <c r="AE87" i="2"/>
  <c r="CQ87" i="2"/>
  <c r="BI87" i="2"/>
  <c r="CF87" i="2"/>
  <c r="AO87" i="2"/>
  <c r="CT87" i="2"/>
  <c r="DF87" i="2"/>
  <c r="CL87" i="2"/>
  <c r="BG87" i="2"/>
  <c r="S87" i="2"/>
  <c r="BQ87" i="2"/>
  <c r="CR87" i="2"/>
  <c r="BB87" i="2"/>
  <c r="DD87" i="2"/>
  <c r="AD87" i="2"/>
  <c r="CV87" i="2"/>
  <c r="BR87" i="2"/>
  <c r="AA87" i="2"/>
  <c r="BY87" i="2"/>
  <c r="DB87" i="2"/>
  <c r="BM87" i="2"/>
  <c r="AB87" i="2"/>
  <c r="AT87" i="2"/>
  <c r="P87" i="2"/>
  <c r="DH87" i="2"/>
  <c r="CC87" i="2"/>
  <c r="BH87" i="2"/>
  <c r="AI87" i="2"/>
  <c r="U87" i="2"/>
  <c r="CG87" i="2"/>
  <c r="X87" i="2"/>
  <c r="DL87" i="2"/>
  <c r="BW87" i="2"/>
  <c r="AR87" i="2"/>
  <c r="BE87" i="2"/>
  <c r="AF87" i="2"/>
  <c r="CM87" i="2"/>
  <c r="AQ87" i="2"/>
  <c r="AC87" i="2"/>
  <c r="CO87" i="2"/>
  <c r="AN87" i="2"/>
  <c r="CH87" i="2"/>
  <c r="BD87" i="2"/>
  <c r="BO87" i="2"/>
  <c r="AV87" i="2"/>
  <c r="CX87" i="2"/>
  <c r="AK87" i="2"/>
  <c r="CW87" i="2"/>
  <c r="AZ87" i="2"/>
  <c r="CS87" i="2"/>
  <c r="BN87" i="2"/>
  <c r="BZ87" i="2"/>
  <c r="BF87" i="2"/>
  <c r="Q87" i="2"/>
  <c r="DI87" i="2"/>
  <c r="AS87" i="2"/>
  <c r="DE87" i="2"/>
  <c r="BL87" i="2"/>
  <c r="DC87" i="2"/>
  <c r="BX87" i="2"/>
  <c r="CK87" i="2"/>
  <c r="BP87" i="2"/>
  <c r="BA87" i="2"/>
  <c r="BV87" i="2"/>
  <c r="Y87" i="2"/>
  <c r="CJ87" i="2"/>
  <c r="CU87" i="2"/>
  <c r="CB87" i="2"/>
  <c r="AW87" i="2"/>
  <c r="AX87" i="2"/>
  <c r="AY87" i="2"/>
  <c r="BT87" i="2"/>
  <c r="CD87" i="2"/>
  <c r="CP87" i="2"/>
  <c r="CN87" i="2"/>
  <c r="CE87" i="2"/>
  <c r="CZ87" i="2"/>
  <c r="AG87" i="2"/>
  <c r="DJ87" i="2"/>
  <c r="V87" i="2"/>
  <c r="T87" i="2"/>
  <c r="DA87" i="2"/>
  <c r="DK87" i="2"/>
  <c r="AL87" i="2"/>
  <c r="AJ87" i="2"/>
  <c r="BJ87" i="2"/>
  <c r="BU87" i="2"/>
  <c r="BB51" i="2"/>
  <c r="AM51" i="2"/>
  <c r="CY51" i="2"/>
  <c r="AV51" i="2"/>
  <c r="DH51" i="2"/>
  <c r="BE51" i="2"/>
  <c r="BJ51" i="2"/>
  <c r="AU51" i="2"/>
  <c r="DG51" i="2"/>
  <c r="BD51" i="2"/>
  <c r="BM51" i="2"/>
  <c r="BR51" i="2"/>
  <c r="BC51" i="2"/>
  <c r="BL51" i="2"/>
  <c r="BU51" i="2"/>
  <c r="BZ51" i="2"/>
  <c r="BK51" i="2"/>
  <c r="BT51" i="2"/>
  <c r="Q51" i="2"/>
  <c r="CC51" i="2"/>
  <c r="V51" i="2"/>
  <c r="CH51" i="2"/>
  <c r="BS51" i="2"/>
  <c r="P51" i="2"/>
  <c r="CB51" i="2"/>
  <c r="Y51" i="2"/>
  <c r="CK51" i="2"/>
  <c r="AD51" i="2"/>
  <c r="CP51" i="2"/>
  <c r="AT51" i="2"/>
  <c r="DF51" i="2"/>
  <c r="AE51" i="2"/>
  <c r="CQ51" i="2"/>
  <c r="AN51" i="2"/>
  <c r="CZ51" i="2"/>
  <c r="AW51" i="2"/>
  <c r="DI51" i="2"/>
  <c r="CX51" i="2"/>
  <c r="CJ51" i="2"/>
  <c r="AH51" i="2"/>
  <c r="CT51" i="2"/>
  <c r="AQ51" i="2"/>
  <c r="DC51" i="2"/>
  <c r="BP51" i="2"/>
  <c r="BQ51" i="2"/>
  <c r="CR51" i="2"/>
  <c r="AP51" i="2"/>
  <c r="DB51" i="2"/>
  <c r="AY51" i="2"/>
  <c r="DK51" i="2"/>
  <c r="BX51" i="2"/>
  <c r="AG51" i="2"/>
  <c r="AX51" i="2"/>
  <c r="DJ51" i="2"/>
  <c r="BG51" i="2"/>
  <c r="T51" i="2"/>
  <c r="CF51" i="2"/>
  <c r="W51" i="2"/>
  <c r="AO51" i="2"/>
  <c r="BF51" i="2"/>
  <c r="BO51" i="2"/>
  <c r="AB51" i="2"/>
  <c r="CN51" i="2"/>
  <c r="CA51" i="2"/>
  <c r="CS51" i="2"/>
  <c r="BN51" i="2"/>
  <c r="BW51" i="2"/>
  <c r="AJ51" i="2"/>
  <c r="CV51" i="2"/>
  <c r="BI51" i="2"/>
  <c r="BY51" i="2"/>
  <c r="CI51" i="2"/>
  <c r="DA51" i="2"/>
  <c r="BV51" i="2"/>
  <c r="S51" i="2"/>
  <c r="CE51" i="2"/>
  <c r="AR51" i="2"/>
  <c r="DD51" i="2"/>
  <c r="X51" i="2"/>
  <c r="R51" i="2"/>
  <c r="CD51" i="2"/>
  <c r="AA51" i="2"/>
  <c r="CM51" i="2"/>
  <c r="AZ51" i="2"/>
  <c r="DL51" i="2"/>
  <c r="AS51" i="2"/>
  <c r="BA51" i="2"/>
  <c r="AF51" i="2"/>
  <c r="U51" i="2"/>
  <c r="DE51" i="2"/>
  <c r="CG51" i="2"/>
  <c r="AI51" i="2"/>
  <c r="AL51" i="2"/>
  <c r="CU51" i="2"/>
  <c r="Z51" i="2"/>
  <c r="AC51" i="2"/>
  <c r="CL51" i="2"/>
  <c r="BH51" i="2"/>
  <c r="CO51" i="2"/>
  <c r="AK51" i="2"/>
  <c r="CW51" i="2"/>
  <c r="BM78" i="2"/>
  <c r="AX78" i="2"/>
  <c r="DJ78" i="2"/>
  <c r="BH78" i="2"/>
  <c r="BZ78" i="2"/>
  <c r="AA78" i="2"/>
  <c r="AC78" i="2"/>
  <c r="DG78" i="2"/>
  <c r="CR78" i="2"/>
  <c r="BU78" i="2"/>
  <c r="BF78" i="2"/>
  <c r="BP78" i="2"/>
  <c r="V78" i="2"/>
  <c r="CH78" i="2"/>
  <c r="AQ78" i="2"/>
  <c r="AS78" i="2"/>
  <c r="DH78" i="2"/>
  <c r="Q78" i="2"/>
  <c r="CC78" i="2"/>
  <c r="BN78" i="2"/>
  <c r="BX78" i="2"/>
  <c r="AD78" i="2"/>
  <c r="CP78" i="2"/>
  <c r="BG78" i="2"/>
  <c r="BI78" i="2"/>
  <c r="CU78" i="2"/>
  <c r="Y78" i="2"/>
  <c r="CK78" i="2"/>
  <c r="BV78" i="2"/>
  <c r="T78" i="2"/>
  <c r="CF78" i="2"/>
  <c r="AL78" i="2"/>
  <c r="CX78" i="2"/>
  <c r="BW78" i="2"/>
  <c r="BY78" i="2"/>
  <c r="AE78" i="2"/>
  <c r="P78" i="2"/>
  <c r="AG78" i="2"/>
  <c r="CS78" i="2"/>
  <c r="R78" i="2"/>
  <c r="CD78" i="2"/>
  <c r="AB78" i="2"/>
  <c r="CN78" i="2"/>
  <c r="AT78" i="2"/>
  <c r="DF78" i="2"/>
  <c r="CM78" i="2"/>
  <c r="CO78" i="2"/>
  <c r="AU78" i="2"/>
  <c r="AF78" i="2"/>
  <c r="AO78" i="2"/>
  <c r="DA78" i="2"/>
  <c r="Z78" i="2"/>
  <c r="CL78" i="2"/>
  <c r="AJ78" i="2"/>
  <c r="CV78" i="2"/>
  <c r="BB78" i="2"/>
  <c r="DC78" i="2"/>
  <c r="DE78" i="2"/>
  <c r="BK78" i="2"/>
  <c r="AV78" i="2"/>
  <c r="AW78" i="2"/>
  <c r="DI78" i="2"/>
  <c r="AH78" i="2"/>
  <c r="CT78" i="2"/>
  <c r="AR78" i="2"/>
  <c r="DD78" i="2"/>
  <c r="BJ78" i="2"/>
  <c r="CA78" i="2"/>
  <c r="BL78" i="2"/>
  <c r="BE78" i="2"/>
  <c r="AP78" i="2"/>
  <c r="DB78" i="2"/>
  <c r="AZ78" i="2"/>
  <c r="DL78" i="2"/>
  <c r="BR78" i="2"/>
  <c r="CQ78" i="2"/>
  <c r="CB78" i="2"/>
  <c r="AI78" i="2"/>
  <c r="BQ78" i="2"/>
  <c r="BS78" i="2"/>
  <c r="AY78" i="2"/>
  <c r="CG78" i="2"/>
  <c r="CI78" i="2"/>
  <c r="BT78" i="2"/>
  <c r="BO78" i="2"/>
  <c r="CW78" i="2"/>
  <c r="CY78" i="2"/>
  <c r="BD78" i="2"/>
  <c r="CE78" i="2"/>
  <c r="X78" i="2"/>
  <c r="CJ78" i="2"/>
  <c r="DK78" i="2"/>
  <c r="U78" i="2"/>
  <c r="W78" i="2"/>
  <c r="AK78" i="2"/>
  <c r="AM78" i="2"/>
  <c r="S78" i="2"/>
  <c r="BA78" i="2"/>
  <c r="BC78" i="2"/>
  <c r="AN78" i="2"/>
  <c r="CZ78" i="2"/>
  <c r="AT35" i="2"/>
  <c r="DF35" i="2"/>
  <c r="BK35" i="2"/>
  <c r="AN35" i="2"/>
  <c r="CZ35" i="2"/>
  <c r="Q35" i="2"/>
  <c r="CC35" i="2"/>
  <c r="AP35" i="2"/>
  <c r="DB35" i="2"/>
  <c r="AZ35" i="2"/>
  <c r="DL35" i="2"/>
  <c r="BB35" i="2"/>
  <c r="BS35" i="2"/>
  <c r="AV35" i="2"/>
  <c r="DH35" i="2"/>
  <c r="Y35" i="2"/>
  <c r="CK35" i="2"/>
  <c r="AX35" i="2"/>
  <c r="DJ35" i="2"/>
  <c r="BH35" i="2"/>
  <c r="BJ35" i="2"/>
  <c r="CA35" i="2"/>
  <c r="BD35" i="2"/>
  <c r="AG35" i="2"/>
  <c r="CS35" i="2"/>
  <c r="BF35" i="2"/>
  <c r="BP35" i="2"/>
  <c r="BR35" i="2"/>
  <c r="W35" i="2"/>
  <c r="CI35" i="2"/>
  <c r="BL35" i="2"/>
  <c r="AO35" i="2"/>
  <c r="DA35" i="2"/>
  <c r="BN35" i="2"/>
  <c r="BX35" i="2"/>
  <c r="BZ35" i="2"/>
  <c r="AE35" i="2"/>
  <c r="CQ35" i="2"/>
  <c r="BT35" i="2"/>
  <c r="AW35" i="2"/>
  <c r="DI35" i="2"/>
  <c r="BV35" i="2"/>
  <c r="T35" i="2"/>
  <c r="CF35" i="2"/>
  <c r="V35" i="2"/>
  <c r="CH35" i="2"/>
  <c r="AM35" i="2"/>
  <c r="CY35" i="2"/>
  <c r="P35" i="2"/>
  <c r="CB35" i="2"/>
  <c r="BE35" i="2"/>
  <c r="R35" i="2"/>
  <c r="CD35" i="2"/>
  <c r="AB35" i="2"/>
  <c r="CN35" i="2"/>
  <c r="AI35" i="2"/>
  <c r="AD35" i="2"/>
  <c r="CP35" i="2"/>
  <c r="AU35" i="2"/>
  <c r="DG35" i="2"/>
  <c r="X35" i="2"/>
  <c r="CJ35" i="2"/>
  <c r="BM35" i="2"/>
  <c r="Z35" i="2"/>
  <c r="CL35" i="2"/>
  <c r="AL35" i="2"/>
  <c r="CX35" i="2"/>
  <c r="BC35" i="2"/>
  <c r="AF35" i="2"/>
  <c r="CR35" i="2"/>
  <c r="BU35" i="2"/>
  <c r="AH35" i="2"/>
  <c r="CT35" i="2"/>
  <c r="AR35" i="2"/>
  <c r="DD35" i="2"/>
  <c r="CU35" i="2"/>
  <c r="AJ35" i="2"/>
  <c r="BO35" i="2"/>
  <c r="BW35" i="2"/>
  <c r="CG35" i="2"/>
  <c r="CV35" i="2"/>
  <c r="DC35" i="2"/>
  <c r="AS35" i="2"/>
  <c r="BY35" i="2"/>
  <c r="S35" i="2"/>
  <c r="DE35" i="2"/>
  <c r="AY35" i="2"/>
  <c r="CE35" i="2"/>
  <c r="AK35" i="2"/>
  <c r="BQ35" i="2"/>
  <c r="CW35" i="2"/>
  <c r="AQ35" i="2"/>
  <c r="U35" i="2"/>
  <c r="BA35" i="2"/>
  <c r="CO35" i="2"/>
  <c r="DK35" i="2"/>
  <c r="AA35" i="2"/>
  <c r="BG35" i="2"/>
  <c r="CM35" i="2"/>
  <c r="BI35" i="2"/>
  <c r="AC35" i="2"/>
  <c r="AJ106" i="2"/>
  <c r="BU100" i="2"/>
  <c r="CN106" i="2"/>
  <c r="BK100" i="2"/>
  <c r="CZ102" i="2"/>
  <c r="AD5" i="2"/>
  <c r="V5" i="2"/>
  <c r="BP106" i="2"/>
  <c r="DJ108" i="2"/>
  <c r="T100" i="2"/>
  <c r="Y105" i="2"/>
  <c r="AH93" i="2"/>
  <c r="BD105" i="2"/>
  <c r="BO22" i="2"/>
  <c r="U22" i="2"/>
  <c r="BW22" i="2"/>
  <c r="S22" i="2"/>
  <c r="CE22" i="2"/>
  <c r="AA22" i="2"/>
  <c r="CM22" i="2"/>
  <c r="AI22" i="2"/>
  <c r="CU22" i="2"/>
  <c r="AQ22" i="2"/>
  <c r="DC22" i="2"/>
  <c r="AY22" i="2"/>
  <c r="DK22" i="2"/>
  <c r="BG22" i="2"/>
  <c r="AC22" i="2"/>
  <c r="CO22" i="2"/>
  <c r="BK22" i="2"/>
  <c r="X22" i="2"/>
  <c r="BE22" i="2"/>
  <c r="BV22" i="2"/>
  <c r="DD22" i="2"/>
  <c r="R22" i="2"/>
  <c r="BJ22" i="2"/>
  <c r="DJ22" i="2"/>
  <c r="AK22" i="2"/>
  <c r="CW22" i="2"/>
  <c r="BS22" i="2"/>
  <c r="AF22" i="2"/>
  <c r="BM22" i="2"/>
  <c r="CL22" i="2"/>
  <c r="AL22" i="2"/>
  <c r="CB22" i="2"/>
  <c r="AS22" i="2"/>
  <c r="DE22" i="2"/>
  <c r="CA22" i="2"/>
  <c r="AN22" i="2"/>
  <c r="BU22" i="2"/>
  <c r="DB22" i="2"/>
  <c r="BH22" i="2"/>
  <c r="CR22" i="2"/>
  <c r="BA22" i="2"/>
  <c r="W22" i="2"/>
  <c r="CI22" i="2"/>
  <c r="AV22" i="2"/>
  <c r="Q22" i="2"/>
  <c r="CC22" i="2"/>
  <c r="BZ22" i="2"/>
  <c r="DH22" i="2"/>
  <c r="BI22" i="2"/>
  <c r="AE22" i="2"/>
  <c r="CQ22" i="2"/>
  <c r="BD22" i="2"/>
  <c r="Y22" i="2"/>
  <c r="CK22" i="2"/>
  <c r="AJ22" i="2"/>
  <c r="CP22" i="2"/>
  <c r="AR22" i="2"/>
  <c r="BQ22" i="2"/>
  <c r="AM22" i="2"/>
  <c r="CY22" i="2"/>
  <c r="BL22" i="2"/>
  <c r="AG22" i="2"/>
  <c r="CS22" i="2"/>
  <c r="BF22" i="2"/>
  <c r="DF22" i="2"/>
  <c r="BY22" i="2"/>
  <c r="AU22" i="2"/>
  <c r="DG22" i="2"/>
  <c r="AO22" i="2"/>
  <c r="DA22" i="2"/>
  <c r="AH22" i="2"/>
  <c r="BX22" i="2"/>
  <c r="CG22" i="2"/>
  <c r="BC22" i="2"/>
  <c r="P22" i="2"/>
  <c r="AW22" i="2"/>
  <c r="DI22" i="2"/>
  <c r="BB22" i="2"/>
  <c r="CN22" i="2"/>
  <c r="AP22" i="2"/>
  <c r="BP22" i="2"/>
  <c r="BT22" i="2"/>
  <c r="CF22" i="2"/>
  <c r="CZ22" i="2"/>
  <c r="CV22" i="2"/>
  <c r="V22" i="2"/>
  <c r="DL22" i="2"/>
  <c r="AB22" i="2"/>
  <c r="BN22" i="2"/>
  <c r="AX22" i="2"/>
  <c r="CJ22" i="2"/>
  <c r="T22" i="2"/>
  <c r="CD22" i="2"/>
  <c r="BR22" i="2"/>
  <c r="AZ22" i="2"/>
  <c r="CT22" i="2"/>
  <c r="Z22" i="2"/>
  <c r="CH22" i="2"/>
  <c r="AT22" i="2"/>
  <c r="CX22" i="2"/>
  <c r="AD22" i="2"/>
  <c r="BS54" i="2"/>
  <c r="BD54" i="2"/>
  <c r="BM54" i="2"/>
  <c r="CA54" i="2"/>
  <c r="BL54" i="2"/>
  <c r="BU54" i="2"/>
  <c r="R54" i="2"/>
  <c r="W54" i="2"/>
  <c r="BT54" i="2"/>
  <c r="Q54" i="2"/>
  <c r="CC54" i="2"/>
  <c r="Z54" i="2"/>
  <c r="AE54" i="2"/>
  <c r="P54" i="2"/>
  <c r="CB54" i="2"/>
  <c r="Y54" i="2"/>
  <c r="CK54" i="2"/>
  <c r="AH54" i="2"/>
  <c r="AM54" i="2"/>
  <c r="X54" i="2"/>
  <c r="CJ54" i="2"/>
  <c r="AG54" i="2"/>
  <c r="CS54" i="2"/>
  <c r="AU54" i="2"/>
  <c r="BK54" i="2"/>
  <c r="AV54" i="2"/>
  <c r="DH54" i="2"/>
  <c r="BE54" i="2"/>
  <c r="BN54" i="2"/>
  <c r="AO54" i="2"/>
  <c r="AX54" i="2"/>
  <c r="AY54" i="2"/>
  <c r="DK54" i="2"/>
  <c r="U54" i="2"/>
  <c r="CG54" i="2"/>
  <c r="DD54" i="2"/>
  <c r="AW54" i="2"/>
  <c r="BF54" i="2"/>
  <c r="BG54" i="2"/>
  <c r="AC54" i="2"/>
  <c r="CO54" i="2"/>
  <c r="AD54" i="2"/>
  <c r="AL54" i="2"/>
  <c r="DA54" i="2"/>
  <c r="BV54" i="2"/>
  <c r="BO54" i="2"/>
  <c r="AK54" i="2"/>
  <c r="CW54" i="2"/>
  <c r="BJ54" i="2"/>
  <c r="BR54" i="2"/>
  <c r="DI54" i="2"/>
  <c r="CD54" i="2"/>
  <c r="BW54" i="2"/>
  <c r="AS54" i="2"/>
  <c r="DE54" i="2"/>
  <c r="CL54" i="2"/>
  <c r="CP54" i="2"/>
  <c r="BC54" i="2"/>
  <c r="AF54" i="2"/>
  <c r="S54" i="2"/>
  <c r="CE54" i="2"/>
  <c r="BA54" i="2"/>
  <c r="DB54" i="2"/>
  <c r="DF54" i="2"/>
  <c r="AN54" i="2"/>
  <c r="AA54" i="2"/>
  <c r="CM54" i="2"/>
  <c r="BI54" i="2"/>
  <c r="CR54" i="2"/>
  <c r="AI54" i="2"/>
  <c r="CU54" i="2"/>
  <c r="BQ54" i="2"/>
  <c r="BP54" i="2"/>
  <c r="BX54" i="2"/>
  <c r="CY54" i="2"/>
  <c r="CH54" i="2"/>
  <c r="CQ54" i="2"/>
  <c r="V54" i="2"/>
  <c r="BB54" i="2"/>
  <c r="AQ54" i="2"/>
  <c r="DG54" i="2"/>
  <c r="DC54" i="2"/>
  <c r="BY54" i="2"/>
  <c r="AT54" i="2"/>
  <c r="T54" i="2"/>
  <c r="BZ54" i="2"/>
  <c r="AZ54" i="2"/>
  <c r="AJ54" i="2"/>
  <c r="CT54" i="2"/>
  <c r="CF54" i="2"/>
  <c r="AB54" i="2"/>
  <c r="AP54" i="2"/>
  <c r="CN54" i="2"/>
  <c r="DJ54" i="2"/>
  <c r="CV54" i="2"/>
  <c r="BH54" i="2"/>
  <c r="CZ54" i="2"/>
  <c r="AR54" i="2"/>
  <c r="DL54" i="2"/>
  <c r="CI54" i="2"/>
  <c r="CX54" i="2"/>
  <c r="AX17" i="2"/>
  <c r="BF17" i="2"/>
  <c r="BN17" i="2"/>
  <c r="BV17" i="2"/>
  <c r="R17" i="2"/>
  <c r="CD17" i="2"/>
  <c r="Z17" i="2"/>
  <c r="CL17" i="2"/>
  <c r="AH17" i="2"/>
  <c r="CT17" i="2"/>
  <c r="BP17" i="2"/>
  <c r="AC17" i="2"/>
  <c r="AV17" i="2"/>
  <c r="AD17" i="2"/>
  <c r="BK17" i="2"/>
  <c r="BM17" i="2"/>
  <c r="BX17" i="2"/>
  <c r="AK17" i="2"/>
  <c r="BD17" i="2"/>
  <c r="AT17" i="2"/>
  <c r="CA17" i="2"/>
  <c r="CB17" i="2"/>
  <c r="T17" i="2"/>
  <c r="CF17" i="2"/>
  <c r="AS17" i="2"/>
  <c r="BL17" i="2"/>
  <c r="BJ17" i="2"/>
  <c r="CM17" i="2"/>
  <c r="CO17" i="2"/>
  <c r="AB17" i="2"/>
  <c r="CN17" i="2"/>
  <c r="BA17" i="2"/>
  <c r="BT17" i="2"/>
  <c r="BZ17" i="2"/>
  <c r="CW17" i="2"/>
  <c r="CX17" i="2"/>
  <c r="AJ17" i="2"/>
  <c r="BI17" i="2"/>
  <c r="P17" i="2"/>
  <c r="CK17" i="2"/>
  <c r="DE17" i="2"/>
  <c r="DF17" i="2"/>
  <c r="AP17" i="2"/>
  <c r="AR17" i="2"/>
  <c r="BQ17" i="2"/>
  <c r="X17" i="2"/>
  <c r="CV17" i="2"/>
  <c r="Q17" i="2"/>
  <c r="AZ17" i="2"/>
  <c r="BY17" i="2"/>
  <c r="AF17" i="2"/>
  <c r="DD17" i="2"/>
  <c r="BH17" i="2"/>
  <c r="U17" i="2"/>
  <c r="CG17" i="2"/>
  <c r="AN17" i="2"/>
  <c r="DL17" i="2"/>
  <c r="AU17" i="2"/>
  <c r="DG17" i="2"/>
  <c r="V17" i="2"/>
  <c r="BS17" i="2"/>
  <c r="DJ17" i="2"/>
  <c r="DK17" i="2"/>
  <c r="AE17" i="2"/>
  <c r="S17" i="2"/>
  <c r="AL17" i="2"/>
  <c r="CH17" i="2"/>
  <c r="Y17" i="2"/>
  <c r="AI17" i="2"/>
  <c r="BB17" i="2"/>
  <c r="CR17" i="2"/>
  <c r="AO17" i="2"/>
  <c r="AQ17" i="2"/>
  <c r="AG17" i="2"/>
  <c r="AY17" i="2"/>
  <c r="BR17" i="2"/>
  <c r="DA17" i="2"/>
  <c r="BE17" i="2"/>
  <c r="DC17" i="2"/>
  <c r="AW17" i="2"/>
  <c r="BO17" i="2"/>
  <c r="CE17" i="2"/>
  <c r="DI17" i="2"/>
  <c r="BU17" i="2"/>
  <c r="CC17" i="2"/>
  <c r="CQ17" i="2"/>
  <c r="W17" i="2"/>
  <c r="CI17" i="2"/>
  <c r="CU17" i="2"/>
  <c r="AA17" i="2"/>
  <c r="CP17" i="2"/>
  <c r="CZ17" i="2"/>
  <c r="AM17" i="2"/>
  <c r="CS17" i="2"/>
  <c r="CY17" i="2"/>
  <c r="DH17" i="2"/>
  <c r="BC17" i="2"/>
  <c r="DB17" i="2"/>
  <c r="BW17" i="2"/>
  <c r="CJ17" i="2"/>
  <c r="BG17" i="2"/>
  <c r="AQ7" i="2"/>
  <c r="DC7" i="2"/>
  <c r="BP7" i="2"/>
  <c r="AK7" i="2"/>
  <c r="CW7" i="2"/>
  <c r="BJ7" i="2"/>
  <c r="W7" i="2"/>
  <c r="CI7" i="2"/>
  <c r="AN7" i="2"/>
  <c r="CZ7" i="2"/>
  <c r="BU7" i="2"/>
  <c r="BN7" i="2"/>
  <c r="AY7" i="2"/>
  <c r="DK7" i="2"/>
  <c r="BX7" i="2"/>
  <c r="AS7" i="2"/>
  <c r="DE7" i="2"/>
  <c r="BR7" i="2"/>
  <c r="AE7" i="2"/>
  <c r="CQ7" i="2"/>
  <c r="AV7" i="2"/>
  <c r="DH7" i="2"/>
  <c r="Q7" i="2"/>
  <c r="CC7" i="2"/>
  <c r="BF7" i="2"/>
  <c r="BG7" i="2"/>
  <c r="T7" i="2"/>
  <c r="CF7" i="2"/>
  <c r="BA7" i="2"/>
  <c r="BZ7" i="2"/>
  <c r="AM7" i="2"/>
  <c r="CY7" i="2"/>
  <c r="BD7" i="2"/>
  <c r="Y7" i="2"/>
  <c r="CK7" i="2"/>
  <c r="BO7" i="2"/>
  <c r="AB7" i="2"/>
  <c r="CN7" i="2"/>
  <c r="BI7" i="2"/>
  <c r="V7" i="2"/>
  <c r="CH7" i="2"/>
  <c r="AU7" i="2"/>
  <c r="DG7" i="2"/>
  <c r="BL7" i="2"/>
  <c r="AG7" i="2"/>
  <c r="CS7" i="2"/>
  <c r="AX7" i="2"/>
  <c r="BW7" i="2"/>
  <c r="AJ7" i="2"/>
  <c r="CV7" i="2"/>
  <c r="BQ7" i="2"/>
  <c r="AD7" i="2"/>
  <c r="CP7" i="2"/>
  <c r="BC7" i="2"/>
  <c r="BT7" i="2"/>
  <c r="AO7" i="2"/>
  <c r="DA7" i="2"/>
  <c r="DJ7" i="2"/>
  <c r="S7" i="2"/>
  <c r="CE7" i="2"/>
  <c r="AR7" i="2"/>
  <c r="DD7" i="2"/>
  <c r="BY7" i="2"/>
  <c r="AL7" i="2"/>
  <c r="CX7" i="2"/>
  <c r="BK7" i="2"/>
  <c r="P7" i="2"/>
  <c r="CB7" i="2"/>
  <c r="AW7" i="2"/>
  <c r="DI7" i="2"/>
  <c r="AA7" i="2"/>
  <c r="CM7" i="2"/>
  <c r="AZ7" i="2"/>
  <c r="DL7" i="2"/>
  <c r="U7" i="2"/>
  <c r="CG7" i="2"/>
  <c r="AT7" i="2"/>
  <c r="DF7" i="2"/>
  <c r="BS7" i="2"/>
  <c r="X7" i="2"/>
  <c r="CJ7" i="2"/>
  <c r="BE7" i="2"/>
  <c r="AI7" i="2"/>
  <c r="CU7" i="2"/>
  <c r="BH7" i="2"/>
  <c r="AC7" i="2"/>
  <c r="AF7" i="2"/>
  <c r="CO7" i="2"/>
  <c r="CR7" i="2"/>
  <c r="R7" i="2"/>
  <c r="CD7" i="2"/>
  <c r="AP7" i="2"/>
  <c r="DB7" i="2"/>
  <c r="BB7" i="2"/>
  <c r="BM7" i="2"/>
  <c r="Z7" i="2"/>
  <c r="AH7" i="2"/>
  <c r="CA7" i="2"/>
  <c r="CL7" i="2"/>
  <c r="CT7" i="2"/>
  <c r="BV7" i="2"/>
  <c r="BB74" i="2"/>
  <c r="BD74" i="2"/>
  <c r="BJ74" i="2"/>
  <c r="BL74" i="2"/>
  <c r="BR74" i="2"/>
  <c r="BT74" i="2"/>
  <c r="BZ74" i="2"/>
  <c r="P74" i="2"/>
  <c r="CB74" i="2"/>
  <c r="V74" i="2"/>
  <c r="CH74" i="2"/>
  <c r="X74" i="2"/>
  <c r="CJ74" i="2"/>
  <c r="AD74" i="2"/>
  <c r="CP74" i="2"/>
  <c r="AF74" i="2"/>
  <c r="CR74" i="2"/>
  <c r="AL74" i="2"/>
  <c r="CX74" i="2"/>
  <c r="AN74" i="2"/>
  <c r="CZ74" i="2"/>
  <c r="AT74" i="2"/>
  <c r="DF74" i="2"/>
  <c r="AV74" i="2"/>
  <c r="DH74" i="2"/>
  <c r="R74" i="2"/>
  <c r="BU74" i="2"/>
  <c r="AZ74" i="2"/>
  <c r="BN74" i="2"/>
  <c r="CK74" i="2"/>
  <c r="CL74" i="2"/>
  <c r="CS74" i="2"/>
  <c r="CW74" i="2"/>
  <c r="AB74" i="2"/>
  <c r="CE74" i="2"/>
  <c r="BK74" i="2"/>
  <c r="BX74" i="2"/>
  <c r="CU74" i="2"/>
  <c r="CV74" i="2"/>
  <c r="AG74" i="2"/>
  <c r="AM74" i="2"/>
  <c r="CO74" i="2"/>
  <c r="BV74" i="2"/>
  <c r="CI74" i="2"/>
  <c r="Y74" i="2"/>
  <c r="DE74" i="2"/>
  <c r="Z74" i="2"/>
  <c r="DG74" i="2"/>
  <c r="BW74" i="2"/>
  <c r="AK74" i="2"/>
  <c r="AX74" i="2"/>
  <c r="S74" i="2"/>
  <c r="DA74" i="2"/>
  <c r="CF74" i="2"/>
  <c r="CT74" i="2"/>
  <c r="AI74" i="2"/>
  <c r="AJ74" i="2"/>
  <c r="CY74" i="2"/>
  <c r="CC74" i="2"/>
  <c r="BH74" i="2"/>
  <c r="AC74" i="2"/>
  <c r="DK74" i="2"/>
  <c r="CQ74" i="2"/>
  <c r="W74" i="2"/>
  <c r="DD74" i="2"/>
  <c r="AS74" i="2"/>
  <c r="AU74" i="2"/>
  <c r="DC74" i="2"/>
  <c r="AQ74" i="2"/>
  <c r="BS74" i="2"/>
  <c r="AO74" i="2"/>
  <c r="T74" i="2"/>
  <c r="DB74" i="2"/>
  <c r="AH74" i="2"/>
  <c r="BE74" i="2"/>
  <c r="BF74" i="2"/>
  <c r="AY74" i="2"/>
  <c r="AE74" i="2"/>
  <c r="DL74" i="2"/>
  <c r="AR74" i="2"/>
  <c r="BO74" i="2"/>
  <c r="BP74" i="2"/>
  <c r="U74" i="2"/>
  <c r="AA74" i="2"/>
  <c r="BI74" i="2"/>
  <c r="AP74" i="2"/>
  <c r="BC74" i="2"/>
  <c r="BY74" i="2"/>
  <c r="CA74" i="2"/>
  <c r="BM74" i="2"/>
  <c r="BQ74" i="2"/>
  <c r="CN74" i="2"/>
  <c r="CD74" i="2"/>
  <c r="DI74" i="2"/>
  <c r="AW74" i="2"/>
  <c r="BA74" i="2"/>
  <c r="CG74" i="2"/>
  <c r="CM74" i="2"/>
  <c r="DJ74" i="2"/>
  <c r="Q74" i="2"/>
  <c r="BG74" i="2"/>
  <c r="AN92" i="2"/>
  <c r="CZ92" i="2"/>
  <c r="BU92" i="2"/>
  <c r="AX92" i="2"/>
  <c r="DJ92" i="2"/>
  <c r="BG92" i="2"/>
  <c r="AR92" i="2"/>
  <c r="DD92" i="2"/>
  <c r="U92" i="2"/>
  <c r="CG92" i="2"/>
  <c r="AV92" i="2"/>
  <c r="DH92" i="2"/>
  <c r="Q92" i="2"/>
  <c r="CC92" i="2"/>
  <c r="BF92" i="2"/>
  <c r="BO92" i="2"/>
  <c r="AZ92" i="2"/>
  <c r="DL92" i="2"/>
  <c r="BD92" i="2"/>
  <c r="Y92" i="2"/>
  <c r="CK92" i="2"/>
  <c r="BN92" i="2"/>
  <c r="BW92" i="2"/>
  <c r="BH92" i="2"/>
  <c r="AK92" i="2"/>
  <c r="CW92" i="2"/>
  <c r="BL92" i="2"/>
  <c r="AG92" i="2"/>
  <c r="CS92" i="2"/>
  <c r="BV92" i="2"/>
  <c r="S92" i="2"/>
  <c r="CE92" i="2"/>
  <c r="BP92" i="2"/>
  <c r="BT92" i="2"/>
  <c r="AO92" i="2"/>
  <c r="DA92" i="2"/>
  <c r="R92" i="2"/>
  <c r="CD92" i="2"/>
  <c r="AA92" i="2"/>
  <c r="CM92" i="2"/>
  <c r="BX92" i="2"/>
  <c r="BA92" i="2"/>
  <c r="P92" i="2"/>
  <c r="CB92" i="2"/>
  <c r="AW92" i="2"/>
  <c r="DI92" i="2"/>
  <c r="Z92" i="2"/>
  <c r="CL92" i="2"/>
  <c r="AI92" i="2"/>
  <c r="CU92" i="2"/>
  <c r="T92" i="2"/>
  <c r="CF92" i="2"/>
  <c r="X92" i="2"/>
  <c r="CJ92" i="2"/>
  <c r="BE92" i="2"/>
  <c r="AH92" i="2"/>
  <c r="CT92" i="2"/>
  <c r="AQ92" i="2"/>
  <c r="DC92" i="2"/>
  <c r="AB92" i="2"/>
  <c r="CN92" i="2"/>
  <c r="AF92" i="2"/>
  <c r="CR92" i="2"/>
  <c r="BM92" i="2"/>
  <c r="AP92" i="2"/>
  <c r="DB92" i="2"/>
  <c r="AY92" i="2"/>
  <c r="DK92" i="2"/>
  <c r="AJ92" i="2"/>
  <c r="CV92" i="2"/>
  <c r="AC92" i="2"/>
  <c r="AD92" i="2"/>
  <c r="CP92" i="2"/>
  <c r="AU92" i="2"/>
  <c r="AS92" i="2"/>
  <c r="AL92" i="2"/>
  <c r="CX92" i="2"/>
  <c r="AM92" i="2"/>
  <c r="DG92" i="2"/>
  <c r="BI92" i="2"/>
  <c r="AT92" i="2"/>
  <c r="DF92" i="2"/>
  <c r="CY92" i="2"/>
  <c r="BQ92" i="2"/>
  <c r="BB92" i="2"/>
  <c r="BY92" i="2"/>
  <c r="BJ92" i="2"/>
  <c r="BC92" i="2"/>
  <c r="BK92" i="2"/>
  <c r="AE92" i="2"/>
  <c r="CO92" i="2"/>
  <c r="BR92" i="2"/>
  <c r="BS92" i="2"/>
  <c r="W92" i="2"/>
  <c r="CQ92" i="2"/>
  <c r="DE92" i="2"/>
  <c r="BZ92" i="2"/>
  <c r="CI92" i="2"/>
  <c r="V92" i="2"/>
  <c r="CH92" i="2"/>
  <c r="CA92" i="2"/>
  <c r="AU99" i="2"/>
  <c r="DG99" i="2"/>
  <c r="BC99" i="2"/>
  <c r="V99" i="2"/>
  <c r="BK99" i="2"/>
  <c r="AD99" i="2"/>
  <c r="BS99" i="2"/>
  <c r="P99" i="2"/>
  <c r="AL99" i="2"/>
  <c r="CA99" i="2"/>
  <c r="X99" i="2"/>
  <c r="AT99" i="2"/>
  <c r="W99" i="2"/>
  <c r="CI99" i="2"/>
  <c r="AF99" i="2"/>
  <c r="AE99" i="2"/>
  <c r="CQ99" i="2"/>
  <c r="AN99" i="2"/>
  <c r="AM99" i="2"/>
  <c r="CY99" i="2"/>
  <c r="AA99" i="2"/>
  <c r="CM99" i="2"/>
  <c r="AV99" i="2"/>
  <c r="BH99" i="2"/>
  <c r="CZ99" i="2"/>
  <c r="DA99" i="2"/>
  <c r="CR99" i="2"/>
  <c r="BX99" i="2"/>
  <c r="CJ99" i="2"/>
  <c r="AI99" i="2"/>
  <c r="CU99" i="2"/>
  <c r="BF99" i="2"/>
  <c r="BR99" i="2"/>
  <c r="T99" i="2"/>
  <c r="DJ99" i="2"/>
  <c r="U99" i="2"/>
  <c r="DL99" i="2"/>
  <c r="DB99" i="2"/>
  <c r="CH99" i="2"/>
  <c r="CT99" i="2"/>
  <c r="CV99" i="2"/>
  <c r="AQ99" i="2"/>
  <c r="DC99" i="2"/>
  <c r="BQ99" i="2"/>
  <c r="CC99" i="2"/>
  <c r="AJ99" i="2"/>
  <c r="AK99" i="2"/>
  <c r="Y99" i="2"/>
  <c r="CS99" i="2"/>
  <c r="DE99" i="2"/>
  <c r="AY99" i="2"/>
  <c r="DK99" i="2"/>
  <c r="CB99" i="2"/>
  <c r="CN99" i="2"/>
  <c r="AX99" i="2"/>
  <c r="AZ99" i="2"/>
  <c r="AO99" i="2"/>
  <c r="DD99" i="2"/>
  <c r="AB99" i="2"/>
  <c r="BG99" i="2"/>
  <c r="CL99" i="2"/>
  <c r="CX99" i="2"/>
  <c r="BI99" i="2"/>
  <c r="BJ99" i="2"/>
  <c r="BA99" i="2"/>
  <c r="Z99" i="2"/>
  <c r="AR99" i="2"/>
  <c r="BO99" i="2"/>
  <c r="CW99" i="2"/>
  <c r="R99" i="2"/>
  <c r="DI99" i="2"/>
  <c r="BT99" i="2"/>
  <c r="BU99" i="2"/>
  <c r="BL99" i="2"/>
  <c r="AP99" i="2"/>
  <c r="BD99" i="2"/>
  <c r="BW99" i="2"/>
  <c r="Q99" i="2"/>
  <c r="DH99" i="2"/>
  <c r="AH99" i="2"/>
  <c r="CD99" i="2"/>
  <c r="CF99" i="2"/>
  <c r="BV99" i="2"/>
  <c r="BB99" i="2"/>
  <c r="BN99" i="2"/>
  <c r="S99" i="2"/>
  <c r="CE99" i="2"/>
  <c r="AG99" i="2"/>
  <c r="AW99" i="2"/>
  <c r="CO99" i="2"/>
  <c r="CP99" i="2"/>
  <c r="CG99" i="2"/>
  <c r="BM99" i="2"/>
  <c r="BY99" i="2"/>
  <c r="AK101" i="2"/>
  <c r="CW101" i="2"/>
  <c r="AS101" i="2"/>
  <c r="DE101" i="2"/>
  <c r="BA101" i="2"/>
  <c r="BI101" i="2"/>
  <c r="BQ101" i="2"/>
  <c r="BY101" i="2"/>
  <c r="U101" i="2"/>
  <c r="CG101" i="2"/>
  <c r="AC101" i="2"/>
  <c r="CO101" i="2"/>
  <c r="Q101" i="2"/>
  <c r="CC101" i="2"/>
  <c r="P101" i="2"/>
  <c r="CX101" i="2"/>
  <c r="AB101" i="2"/>
  <c r="DJ101" i="2"/>
  <c r="BT101" i="2"/>
  <c r="BV101" i="2"/>
  <c r="BL101" i="2"/>
  <c r="AR101" i="2"/>
  <c r="BD101" i="2"/>
  <c r="CL101" i="2"/>
  <c r="Y101" i="2"/>
  <c r="CK101" i="2"/>
  <c r="AA101" i="2"/>
  <c r="DH101" i="2"/>
  <c r="AM101" i="2"/>
  <c r="CE101" i="2"/>
  <c r="CF101" i="2"/>
  <c r="BW101" i="2"/>
  <c r="BC101" i="2"/>
  <c r="BO101" i="2"/>
  <c r="AG101" i="2"/>
  <c r="CS101" i="2"/>
  <c r="AL101" i="2"/>
  <c r="AX101" i="2"/>
  <c r="CP101" i="2"/>
  <c r="CQ101" i="2"/>
  <c r="CH101" i="2"/>
  <c r="BN101" i="2"/>
  <c r="BZ101" i="2"/>
  <c r="AO101" i="2"/>
  <c r="DA101" i="2"/>
  <c r="AV101" i="2"/>
  <c r="BH101" i="2"/>
  <c r="S101" i="2"/>
  <c r="CZ101" i="2"/>
  <c r="T101" i="2"/>
  <c r="DB101" i="2"/>
  <c r="CR101" i="2"/>
  <c r="BX101" i="2"/>
  <c r="CJ101" i="2"/>
  <c r="BP101" i="2"/>
  <c r="AW101" i="2"/>
  <c r="DI101" i="2"/>
  <c r="BG101" i="2"/>
  <c r="BS101" i="2"/>
  <c r="AD101" i="2"/>
  <c r="DK101" i="2"/>
  <c r="AE101" i="2"/>
  <c r="DL101" i="2"/>
  <c r="V101" i="2"/>
  <c r="DC101" i="2"/>
  <c r="CI101" i="2"/>
  <c r="CU101" i="2"/>
  <c r="BE101" i="2"/>
  <c r="BR101" i="2"/>
  <c r="CD101" i="2"/>
  <c r="AN101" i="2"/>
  <c r="AP101" i="2"/>
  <c r="AF101" i="2"/>
  <c r="CT101" i="2"/>
  <c r="X101" i="2"/>
  <c r="DF101" i="2"/>
  <c r="BM101" i="2"/>
  <c r="CB101" i="2"/>
  <c r="CN101" i="2"/>
  <c r="AY101" i="2"/>
  <c r="AZ101" i="2"/>
  <c r="AQ101" i="2"/>
  <c r="W101" i="2"/>
  <c r="DD101" i="2"/>
  <c r="AI101" i="2"/>
  <c r="BU101" i="2"/>
  <c r="CM101" i="2"/>
  <c r="R101" i="2"/>
  <c r="CY101" i="2"/>
  <c r="BJ101" i="2"/>
  <c r="BK101" i="2"/>
  <c r="BB101" i="2"/>
  <c r="AH101" i="2"/>
  <c r="AT101" i="2"/>
  <c r="AW48" i="2"/>
  <c r="DI48" i="2"/>
  <c r="AH48" i="2"/>
  <c r="BE48" i="2"/>
  <c r="AP48" i="2"/>
  <c r="P48" i="2"/>
  <c r="BM48" i="2"/>
  <c r="AX48" i="2"/>
  <c r="X48" i="2"/>
  <c r="BU48" i="2"/>
  <c r="BF48" i="2"/>
  <c r="AF48" i="2"/>
  <c r="Q48" i="2"/>
  <c r="CC48" i="2"/>
  <c r="AN48" i="2"/>
  <c r="AV48" i="2"/>
  <c r="AG48" i="2"/>
  <c r="CS48" i="2"/>
  <c r="R48" i="2"/>
  <c r="BD48" i="2"/>
  <c r="AO48" i="2"/>
  <c r="DA48" i="2"/>
  <c r="Z48" i="2"/>
  <c r="BQ48" i="2"/>
  <c r="DJ48" i="2"/>
  <c r="CP48" i="2"/>
  <c r="DB48" i="2"/>
  <c r="S48" i="2"/>
  <c r="BY48" i="2"/>
  <c r="AB48" i="2"/>
  <c r="CZ48" i="2"/>
  <c r="DL48" i="2"/>
  <c r="AI48" i="2"/>
  <c r="U48" i="2"/>
  <c r="CG48" i="2"/>
  <c r="AR48" i="2"/>
  <c r="DK48" i="2"/>
  <c r="AE48" i="2"/>
  <c r="AY48" i="2"/>
  <c r="AC48" i="2"/>
  <c r="CO48" i="2"/>
  <c r="BH48" i="2"/>
  <c r="AD48" i="2"/>
  <c r="AU48" i="2"/>
  <c r="BL48" i="2"/>
  <c r="Y48" i="2"/>
  <c r="AK48" i="2"/>
  <c r="CW48" i="2"/>
  <c r="BS48" i="2"/>
  <c r="AT48" i="2"/>
  <c r="BK48" i="2"/>
  <c r="BW48" i="2"/>
  <c r="CK48" i="2"/>
  <c r="AS48" i="2"/>
  <c r="DE48" i="2"/>
  <c r="CD48" i="2"/>
  <c r="BJ48" i="2"/>
  <c r="BI48" i="2"/>
  <c r="CY48" i="2"/>
  <c r="CE48" i="2"/>
  <c r="CQ48" i="2"/>
  <c r="DC48" i="2"/>
  <c r="BT48" i="2"/>
  <c r="BV48" i="2"/>
  <c r="CI48" i="2"/>
  <c r="CU48" i="2"/>
  <c r="AM48" i="2"/>
  <c r="AA48" i="2"/>
  <c r="BG48" i="2"/>
  <c r="CF48" i="2"/>
  <c r="CT48" i="2"/>
  <c r="DF48" i="2"/>
  <c r="BC48" i="2"/>
  <c r="DD48" i="2"/>
  <c r="V48" i="2"/>
  <c r="BP48" i="2"/>
  <c r="T48" i="2"/>
  <c r="AL48" i="2"/>
  <c r="CA48" i="2"/>
  <c r="BA48" i="2"/>
  <c r="CN48" i="2"/>
  <c r="CH48" i="2"/>
  <c r="AJ48" i="2"/>
  <c r="BB48" i="2"/>
  <c r="CL48" i="2"/>
  <c r="AQ48" i="2"/>
  <c r="CR48" i="2"/>
  <c r="AZ48" i="2"/>
  <c r="BO48" i="2"/>
  <c r="CV48" i="2"/>
  <c r="BN48" i="2"/>
  <c r="BZ48" i="2"/>
  <c r="DG48" i="2"/>
  <c r="CJ48" i="2"/>
  <c r="BX48" i="2"/>
  <c r="W48" i="2"/>
  <c r="CB48" i="2"/>
  <c r="CM48" i="2"/>
  <c r="CX48" i="2"/>
  <c r="DH48" i="2"/>
  <c r="BR48" i="2"/>
  <c r="AS82" i="2"/>
  <c r="BF82" i="2"/>
  <c r="CN82" i="2"/>
  <c r="CP82" i="2"/>
  <c r="BK82" i="2"/>
  <c r="BB82" i="2"/>
  <c r="BA82" i="2"/>
  <c r="BN82" i="2"/>
  <c r="Q82" i="2"/>
  <c r="CY82" i="2"/>
  <c r="S82" i="2"/>
  <c r="CZ82" i="2"/>
  <c r="BU82" i="2"/>
  <c r="BL82" i="2"/>
  <c r="BI82" i="2"/>
  <c r="BV82" i="2"/>
  <c r="AB82" i="2"/>
  <c r="DH82" i="2"/>
  <c r="AD82" i="2"/>
  <c r="CF82" i="2"/>
  <c r="BW82" i="2"/>
  <c r="BQ82" i="2"/>
  <c r="R82" i="2"/>
  <c r="CD82" i="2"/>
  <c r="AM82" i="2"/>
  <c r="AN82" i="2"/>
  <c r="CQ82" i="2"/>
  <c r="CH82" i="2"/>
  <c r="BY82" i="2"/>
  <c r="Z82" i="2"/>
  <c r="CL82" i="2"/>
  <c r="AW82" i="2"/>
  <c r="AY82" i="2"/>
  <c r="T82" i="2"/>
  <c r="DA82" i="2"/>
  <c r="CR82" i="2"/>
  <c r="U82" i="2"/>
  <c r="CG82" i="2"/>
  <c r="AH82" i="2"/>
  <c r="CT82" i="2"/>
  <c r="BH82" i="2"/>
  <c r="BJ82" i="2"/>
  <c r="AE82" i="2"/>
  <c r="DJ82" i="2"/>
  <c r="V82" i="2"/>
  <c r="DC82" i="2"/>
  <c r="AC82" i="2"/>
  <c r="CO82" i="2"/>
  <c r="AP82" i="2"/>
  <c r="DB82" i="2"/>
  <c r="BS82" i="2"/>
  <c r="BT82" i="2"/>
  <c r="AO82" i="2"/>
  <c r="AF82" i="2"/>
  <c r="DK82" i="2"/>
  <c r="AK82" i="2"/>
  <c r="CW82" i="2"/>
  <c r="AX82" i="2"/>
  <c r="CC82" i="2"/>
  <c r="CE82" i="2"/>
  <c r="AZ82" i="2"/>
  <c r="AQ82" i="2"/>
  <c r="BC82" i="2"/>
  <c r="AI82" i="2"/>
  <c r="AJ82" i="2"/>
  <c r="CM82" i="2"/>
  <c r="BM82" i="2"/>
  <c r="AT82" i="2"/>
  <c r="AU82" i="2"/>
  <c r="BX82" i="2"/>
  <c r="BD82" i="2"/>
  <c r="BE82" i="2"/>
  <c r="BG82" i="2"/>
  <c r="CI82" i="2"/>
  <c r="BO82" i="2"/>
  <c r="BP82" i="2"/>
  <c r="P82" i="2"/>
  <c r="CS82" i="2"/>
  <c r="BZ82" i="2"/>
  <c r="CA82" i="2"/>
  <c r="CX82" i="2"/>
  <c r="W82" i="2"/>
  <c r="DD82" i="2"/>
  <c r="CJ82" i="2"/>
  <c r="CK82" i="2"/>
  <c r="AL82" i="2"/>
  <c r="AG82" i="2"/>
  <c r="DL82" i="2"/>
  <c r="CU82" i="2"/>
  <c r="CV82" i="2"/>
  <c r="AA82" i="2"/>
  <c r="DI82" i="2"/>
  <c r="AR82" i="2"/>
  <c r="X82" i="2"/>
  <c r="DE82" i="2"/>
  <c r="Y82" i="2"/>
  <c r="DF82" i="2"/>
  <c r="DG82" i="2"/>
  <c r="AV82" i="2"/>
  <c r="CB82" i="2"/>
  <c r="BR82" i="2"/>
  <c r="AX27" i="2"/>
  <c r="BO27" i="2"/>
  <c r="AB27" i="2"/>
  <c r="CN27" i="2"/>
  <c r="AS27" i="2"/>
  <c r="BW27" i="2"/>
  <c r="AJ27" i="2"/>
  <c r="CV27" i="2"/>
  <c r="S27" i="2"/>
  <c r="CE27" i="2"/>
  <c r="AR27" i="2"/>
  <c r="DD27" i="2"/>
  <c r="AA27" i="2"/>
  <c r="CM27" i="2"/>
  <c r="AZ27" i="2"/>
  <c r="DL27" i="2"/>
  <c r="R27" i="2"/>
  <c r="AI27" i="2"/>
  <c r="CU27" i="2"/>
  <c r="BH27" i="2"/>
  <c r="Z27" i="2"/>
  <c r="AQ27" i="2"/>
  <c r="DC27" i="2"/>
  <c r="BP27" i="2"/>
  <c r="AH27" i="2"/>
  <c r="AY27" i="2"/>
  <c r="DK27" i="2"/>
  <c r="AP27" i="2"/>
  <c r="BG27" i="2"/>
  <c r="T27" i="2"/>
  <c r="CF27" i="2"/>
  <c r="V27" i="2"/>
  <c r="CH27" i="2"/>
  <c r="BT27" i="2"/>
  <c r="BF27" i="2"/>
  <c r="DE27" i="2"/>
  <c r="BK27" i="2"/>
  <c r="CS27" i="2"/>
  <c r="AW27" i="2"/>
  <c r="Y27" i="2"/>
  <c r="AD27" i="2"/>
  <c r="CP27" i="2"/>
  <c r="P27" i="2"/>
  <c r="CB27" i="2"/>
  <c r="BV27" i="2"/>
  <c r="CA27" i="2"/>
  <c r="DI27" i="2"/>
  <c r="BN27" i="2"/>
  <c r="BC27" i="2"/>
  <c r="BX27" i="2"/>
  <c r="AL27" i="2"/>
  <c r="CX27" i="2"/>
  <c r="X27" i="2"/>
  <c r="CJ27" i="2"/>
  <c r="CL27" i="2"/>
  <c r="CQ27" i="2"/>
  <c r="CD27" i="2"/>
  <c r="BS27" i="2"/>
  <c r="AT27" i="2"/>
  <c r="DF27" i="2"/>
  <c r="AF27" i="2"/>
  <c r="CR27" i="2"/>
  <c r="DB27" i="2"/>
  <c r="DG27" i="2"/>
  <c r="CT27" i="2"/>
  <c r="W27" i="2"/>
  <c r="CI27" i="2"/>
  <c r="U27" i="2"/>
  <c r="BB27" i="2"/>
  <c r="AN27" i="2"/>
  <c r="CZ27" i="2"/>
  <c r="AM27" i="2"/>
  <c r="DJ27" i="2"/>
  <c r="BA27" i="2"/>
  <c r="CY27" i="2"/>
  <c r="AC27" i="2"/>
  <c r="BJ27" i="2"/>
  <c r="AV27" i="2"/>
  <c r="DH27" i="2"/>
  <c r="BI27" i="2"/>
  <c r="AU27" i="2"/>
  <c r="BQ27" i="2"/>
  <c r="AK27" i="2"/>
  <c r="BR27" i="2"/>
  <c r="BD27" i="2"/>
  <c r="BY27" i="2"/>
  <c r="BM27" i="2"/>
  <c r="CG27" i="2"/>
  <c r="BZ27" i="2"/>
  <c r="BL27" i="2"/>
  <c r="AG27" i="2"/>
  <c r="CO27" i="2"/>
  <c r="AO27" i="2"/>
  <c r="CC27" i="2"/>
  <c r="Q27" i="2"/>
  <c r="CW27" i="2"/>
  <c r="CK27" i="2"/>
  <c r="BE27" i="2"/>
  <c r="AE27" i="2"/>
  <c r="BU27" i="2"/>
  <c r="DA27" i="2"/>
  <c r="AO56" i="2"/>
  <c r="DA56" i="2"/>
  <c r="BV56" i="2"/>
  <c r="AQ56" i="2"/>
  <c r="AW56" i="2"/>
  <c r="DI56" i="2"/>
  <c r="R56" i="2"/>
  <c r="CD56" i="2"/>
  <c r="AY56" i="2"/>
  <c r="BE56" i="2"/>
  <c r="Z56" i="2"/>
  <c r="CL56" i="2"/>
  <c r="BG56" i="2"/>
  <c r="BM56" i="2"/>
  <c r="AH56" i="2"/>
  <c r="CT56" i="2"/>
  <c r="BO56" i="2"/>
  <c r="BU56" i="2"/>
  <c r="AP56" i="2"/>
  <c r="DB56" i="2"/>
  <c r="Q56" i="2"/>
  <c r="CC56" i="2"/>
  <c r="Y56" i="2"/>
  <c r="CK56" i="2"/>
  <c r="BF56" i="2"/>
  <c r="AA56" i="2"/>
  <c r="AG56" i="2"/>
  <c r="CE56" i="2"/>
  <c r="AC56" i="2"/>
  <c r="CO56" i="2"/>
  <c r="V56" i="2"/>
  <c r="CH56" i="2"/>
  <c r="CS56" i="2"/>
  <c r="AX56" i="2"/>
  <c r="CM56" i="2"/>
  <c r="AK56" i="2"/>
  <c r="CW56" i="2"/>
  <c r="AD56" i="2"/>
  <c r="CP56" i="2"/>
  <c r="P56" i="2"/>
  <c r="W56" i="2"/>
  <c r="AM56" i="2"/>
  <c r="BN56" i="2"/>
  <c r="CU56" i="2"/>
  <c r="AS56" i="2"/>
  <c r="DE56" i="2"/>
  <c r="AL56" i="2"/>
  <c r="CX56" i="2"/>
  <c r="X56" i="2"/>
  <c r="BL56" i="2"/>
  <c r="BS56" i="2"/>
  <c r="BC56" i="2"/>
  <c r="CB56" i="2"/>
  <c r="DJ56" i="2"/>
  <c r="DC56" i="2"/>
  <c r="T56" i="2"/>
  <c r="BA56" i="2"/>
  <c r="AT56" i="2"/>
  <c r="DF56" i="2"/>
  <c r="AF56" i="2"/>
  <c r="CI56" i="2"/>
  <c r="AE56" i="2"/>
  <c r="CN56" i="2"/>
  <c r="AU56" i="2"/>
  <c r="AZ56" i="2"/>
  <c r="CA56" i="2"/>
  <c r="DK56" i="2"/>
  <c r="AB56" i="2"/>
  <c r="BI56" i="2"/>
  <c r="BB56" i="2"/>
  <c r="AN56" i="2"/>
  <c r="DD56" i="2"/>
  <c r="BP56" i="2"/>
  <c r="DH56" i="2"/>
  <c r="BT56" i="2"/>
  <c r="BX56" i="2"/>
  <c r="CV56" i="2"/>
  <c r="S56" i="2"/>
  <c r="AJ56" i="2"/>
  <c r="BQ56" i="2"/>
  <c r="BJ56" i="2"/>
  <c r="AV56" i="2"/>
  <c r="CJ56" i="2"/>
  <c r="CQ56" i="2"/>
  <c r="CR56" i="2"/>
  <c r="AI56" i="2"/>
  <c r="AR56" i="2"/>
  <c r="BY56" i="2"/>
  <c r="BR56" i="2"/>
  <c r="BD56" i="2"/>
  <c r="DG56" i="2"/>
  <c r="DL56" i="2"/>
  <c r="BW56" i="2"/>
  <c r="U56" i="2"/>
  <c r="CG56" i="2"/>
  <c r="BZ56" i="2"/>
  <c r="BK56" i="2"/>
  <c r="BH56" i="2"/>
  <c r="CY56" i="2"/>
  <c r="CF56" i="2"/>
  <c r="CZ56" i="2"/>
  <c r="AK71" i="2"/>
  <c r="CW71" i="2"/>
  <c r="AM71" i="2"/>
  <c r="CY71" i="2"/>
  <c r="Y71" i="2"/>
  <c r="CK71" i="2"/>
  <c r="AH71" i="2"/>
  <c r="AS71" i="2"/>
  <c r="DE71" i="2"/>
  <c r="AU71" i="2"/>
  <c r="DG71" i="2"/>
  <c r="AG71" i="2"/>
  <c r="CS71" i="2"/>
  <c r="BA71" i="2"/>
  <c r="BC71" i="2"/>
  <c r="AO71" i="2"/>
  <c r="DA71" i="2"/>
  <c r="AX71" i="2"/>
  <c r="DJ71" i="2"/>
  <c r="BI71" i="2"/>
  <c r="BK71" i="2"/>
  <c r="AW71" i="2"/>
  <c r="DI71" i="2"/>
  <c r="BQ71" i="2"/>
  <c r="BS71" i="2"/>
  <c r="BE71" i="2"/>
  <c r="BY71" i="2"/>
  <c r="CA71" i="2"/>
  <c r="BM71" i="2"/>
  <c r="U71" i="2"/>
  <c r="CG71" i="2"/>
  <c r="W71" i="2"/>
  <c r="CI71" i="2"/>
  <c r="BU71" i="2"/>
  <c r="AC71" i="2"/>
  <c r="CO71" i="2"/>
  <c r="AE71" i="2"/>
  <c r="CQ71" i="2"/>
  <c r="Q71" i="2"/>
  <c r="CC71" i="2"/>
  <c r="CL71" i="2"/>
  <c r="V71" i="2"/>
  <c r="CZ71" i="2"/>
  <c r="BW71" i="2"/>
  <c r="CP71" i="2"/>
  <c r="AB71" i="2"/>
  <c r="AJ71" i="2"/>
  <c r="R71" i="2"/>
  <c r="CT71" i="2"/>
  <c r="AL71" i="2"/>
  <c r="CM71" i="2"/>
  <c r="DF71" i="2"/>
  <c r="P71" i="2"/>
  <c r="S71" i="2"/>
  <c r="CN71" i="2"/>
  <c r="CV71" i="2"/>
  <c r="Z71" i="2"/>
  <c r="DB71" i="2"/>
  <c r="BB71" i="2"/>
  <c r="DC71" i="2"/>
  <c r="AF71" i="2"/>
  <c r="AI71" i="2"/>
  <c r="AP71" i="2"/>
  <c r="BR71" i="2"/>
  <c r="X71" i="2"/>
  <c r="AV71" i="2"/>
  <c r="AY71" i="2"/>
  <c r="AR71" i="2"/>
  <c r="BF71" i="2"/>
  <c r="CH71" i="2"/>
  <c r="AN71" i="2"/>
  <c r="AD71" i="2"/>
  <c r="BL71" i="2"/>
  <c r="BO71" i="2"/>
  <c r="DD71" i="2"/>
  <c r="AZ71" i="2"/>
  <c r="BN71" i="2"/>
  <c r="CX71" i="2"/>
  <c r="BD71" i="2"/>
  <c r="AA71" i="2"/>
  <c r="AT71" i="2"/>
  <c r="CB71" i="2"/>
  <c r="CE71" i="2"/>
  <c r="DL71" i="2"/>
  <c r="BV71" i="2"/>
  <c r="BT71" i="2"/>
  <c r="AQ71" i="2"/>
  <c r="BJ71" i="2"/>
  <c r="CR71" i="2"/>
  <c r="CU71" i="2"/>
  <c r="CD71" i="2"/>
  <c r="CJ71" i="2"/>
  <c r="BG71" i="2"/>
  <c r="BZ71" i="2"/>
  <c r="DH71" i="2"/>
  <c r="DK71" i="2"/>
  <c r="BH71" i="2"/>
  <c r="T71" i="2"/>
  <c r="CF71" i="2"/>
  <c r="BP71" i="2"/>
  <c r="BX71" i="2"/>
  <c r="BU105" i="2"/>
  <c r="CK99" i="2"/>
  <c r="BZ99" i="2"/>
  <c r="U102" i="2"/>
  <c r="BN108" i="2"/>
  <c r="DG101" i="2"/>
  <c r="AE107" i="2"/>
  <c r="DA105" i="2"/>
  <c r="CI107" i="2"/>
  <c r="AC99" i="2"/>
  <c r="BJ5" i="2"/>
  <c r="CO104" i="2"/>
  <c r="AA34" i="2"/>
  <c r="CE34" i="2"/>
  <c r="AJ34" i="2"/>
  <c r="CV34" i="2"/>
  <c r="BY34" i="2"/>
  <c r="BB34" i="2"/>
  <c r="CA34" i="2"/>
  <c r="BD34" i="2"/>
  <c r="Y34" i="2"/>
  <c r="CK34" i="2"/>
  <c r="S34" i="2"/>
  <c r="CM34" i="2"/>
  <c r="AR34" i="2"/>
  <c r="DD34" i="2"/>
  <c r="U34" i="2"/>
  <c r="CG34" i="2"/>
  <c r="BJ34" i="2"/>
  <c r="W34" i="2"/>
  <c r="CI34" i="2"/>
  <c r="BL34" i="2"/>
  <c r="AG34" i="2"/>
  <c r="CS34" i="2"/>
  <c r="AI34" i="2"/>
  <c r="CU34" i="2"/>
  <c r="AZ34" i="2"/>
  <c r="DL34" i="2"/>
  <c r="AC34" i="2"/>
  <c r="CO34" i="2"/>
  <c r="BR34" i="2"/>
  <c r="AE34" i="2"/>
  <c r="CQ34" i="2"/>
  <c r="BT34" i="2"/>
  <c r="AO34" i="2"/>
  <c r="DA34" i="2"/>
  <c r="AQ34" i="2"/>
  <c r="DC34" i="2"/>
  <c r="BH34" i="2"/>
  <c r="AK34" i="2"/>
  <c r="CW34" i="2"/>
  <c r="BZ34" i="2"/>
  <c r="AM34" i="2"/>
  <c r="CY34" i="2"/>
  <c r="P34" i="2"/>
  <c r="CB34" i="2"/>
  <c r="AW34" i="2"/>
  <c r="DI34" i="2"/>
  <c r="BF34" i="2"/>
  <c r="AY34" i="2"/>
  <c r="DK34" i="2"/>
  <c r="BP34" i="2"/>
  <c r="AS34" i="2"/>
  <c r="DE34" i="2"/>
  <c r="V34" i="2"/>
  <c r="CH34" i="2"/>
  <c r="AU34" i="2"/>
  <c r="DG34" i="2"/>
  <c r="X34" i="2"/>
  <c r="BE34" i="2"/>
  <c r="CZ34" i="2"/>
  <c r="BG34" i="2"/>
  <c r="BX34" i="2"/>
  <c r="BA34" i="2"/>
  <c r="AD34" i="2"/>
  <c r="CP34" i="2"/>
  <c r="BC34" i="2"/>
  <c r="AF34" i="2"/>
  <c r="BM34" i="2"/>
  <c r="BO34" i="2"/>
  <c r="T34" i="2"/>
  <c r="CF34" i="2"/>
  <c r="BI34" i="2"/>
  <c r="AL34" i="2"/>
  <c r="CX34" i="2"/>
  <c r="BK34" i="2"/>
  <c r="AN34" i="2"/>
  <c r="BU34" i="2"/>
  <c r="BW34" i="2"/>
  <c r="AB34" i="2"/>
  <c r="CN34" i="2"/>
  <c r="BQ34" i="2"/>
  <c r="AT34" i="2"/>
  <c r="DF34" i="2"/>
  <c r="BS34" i="2"/>
  <c r="AV34" i="2"/>
  <c r="Q34" i="2"/>
  <c r="CC34" i="2"/>
  <c r="DJ34" i="2"/>
  <c r="Z34" i="2"/>
  <c r="CJ34" i="2"/>
  <c r="BN34" i="2"/>
  <c r="DB34" i="2"/>
  <c r="AH34" i="2"/>
  <c r="BV34" i="2"/>
  <c r="DH34" i="2"/>
  <c r="R34" i="2"/>
  <c r="CD34" i="2"/>
  <c r="AP34" i="2"/>
  <c r="AX34" i="2"/>
  <c r="CR34" i="2"/>
  <c r="CL34" i="2"/>
  <c r="CT34" i="2"/>
  <c r="AS29" i="2"/>
  <c r="DE29" i="2"/>
  <c r="BR29" i="2"/>
  <c r="AU29" i="2"/>
  <c r="DG29" i="2"/>
  <c r="BL29" i="2"/>
  <c r="AO29" i="2"/>
  <c r="DA29" i="2"/>
  <c r="BV29" i="2"/>
  <c r="AI29" i="2"/>
  <c r="CU29" i="2"/>
  <c r="AJ29" i="2"/>
  <c r="BA29" i="2"/>
  <c r="BZ29" i="2"/>
  <c r="BC29" i="2"/>
  <c r="BT29" i="2"/>
  <c r="AW29" i="2"/>
  <c r="DI29" i="2"/>
  <c r="R29" i="2"/>
  <c r="CD29" i="2"/>
  <c r="AQ29" i="2"/>
  <c r="DC29" i="2"/>
  <c r="CV29" i="2"/>
  <c r="BI29" i="2"/>
  <c r="V29" i="2"/>
  <c r="CH29" i="2"/>
  <c r="BK29" i="2"/>
  <c r="P29" i="2"/>
  <c r="CB29" i="2"/>
  <c r="BE29" i="2"/>
  <c r="Z29" i="2"/>
  <c r="CL29" i="2"/>
  <c r="AY29" i="2"/>
  <c r="DK29" i="2"/>
  <c r="BQ29" i="2"/>
  <c r="AD29" i="2"/>
  <c r="CP29" i="2"/>
  <c r="BS29" i="2"/>
  <c r="X29" i="2"/>
  <c r="CJ29" i="2"/>
  <c r="BM29" i="2"/>
  <c r="AH29" i="2"/>
  <c r="CT29" i="2"/>
  <c r="BG29" i="2"/>
  <c r="BY29" i="2"/>
  <c r="AL29" i="2"/>
  <c r="CX29" i="2"/>
  <c r="CA29" i="2"/>
  <c r="AF29" i="2"/>
  <c r="CR29" i="2"/>
  <c r="BU29" i="2"/>
  <c r="AP29" i="2"/>
  <c r="DB29" i="2"/>
  <c r="BO29" i="2"/>
  <c r="U29" i="2"/>
  <c r="CG29" i="2"/>
  <c r="AT29" i="2"/>
  <c r="DF29" i="2"/>
  <c r="W29" i="2"/>
  <c r="CI29" i="2"/>
  <c r="AN29" i="2"/>
  <c r="CZ29" i="2"/>
  <c r="Q29" i="2"/>
  <c r="CC29" i="2"/>
  <c r="AX29" i="2"/>
  <c r="DJ29" i="2"/>
  <c r="BW29" i="2"/>
  <c r="AC29" i="2"/>
  <c r="CO29" i="2"/>
  <c r="BB29" i="2"/>
  <c r="AE29" i="2"/>
  <c r="CQ29" i="2"/>
  <c r="AV29" i="2"/>
  <c r="DH29" i="2"/>
  <c r="Y29" i="2"/>
  <c r="CK29" i="2"/>
  <c r="BF29" i="2"/>
  <c r="AK29" i="2"/>
  <c r="CW29" i="2"/>
  <c r="BJ29" i="2"/>
  <c r="AM29" i="2"/>
  <c r="CY29" i="2"/>
  <c r="BD29" i="2"/>
  <c r="AG29" i="2"/>
  <c r="CS29" i="2"/>
  <c r="BN29" i="2"/>
  <c r="AA29" i="2"/>
  <c r="CM29" i="2"/>
  <c r="AZ29" i="2"/>
  <c r="BP29" i="2"/>
  <c r="DL29" i="2"/>
  <c r="S29" i="2"/>
  <c r="CE29" i="2"/>
  <c r="BH29" i="2"/>
  <c r="BX29" i="2"/>
  <c r="AR29" i="2"/>
  <c r="DD29" i="2"/>
  <c r="T29" i="2"/>
  <c r="CF29" i="2"/>
  <c r="AB29" i="2"/>
  <c r="CN29" i="2"/>
  <c r="BN41" i="2"/>
  <c r="R41" i="2"/>
  <c r="CD41" i="2"/>
  <c r="AH41" i="2"/>
  <c r="CT41" i="2"/>
  <c r="BF41" i="2"/>
  <c r="BO41" i="2"/>
  <c r="AZ41" i="2"/>
  <c r="DL41" i="2"/>
  <c r="AK41" i="2"/>
  <c r="CW41" i="2"/>
  <c r="V41" i="2"/>
  <c r="CH41" i="2"/>
  <c r="BC41" i="2"/>
  <c r="BV41" i="2"/>
  <c r="BW41" i="2"/>
  <c r="BH41" i="2"/>
  <c r="AS41" i="2"/>
  <c r="DE41" i="2"/>
  <c r="AD41" i="2"/>
  <c r="CP41" i="2"/>
  <c r="CL41" i="2"/>
  <c r="S41" i="2"/>
  <c r="CE41" i="2"/>
  <c r="BP41" i="2"/>
  <c r="BA41" i="2"/>
  <c r="AL41" i="2"/>
  <c r="CX41" i="2"/>
  <c r="BS41" i="2"/>
  <c r="DB41" i="2"/>
  <c r="AA41" i="2"/>
  <c r="CM41" i="2"/>
  <c r="BX41" i="2"/>
  <c r="BI41" i="2"/>
  <c r="AT41" i="2"/>
  <c r="DF41" i="2"/>
  <c r="DJ41" i="2"/>
  <c r="AI41" i="2"/>
  <c r="CU41" i="2"/>
  <c r="T41" i="2"/>
  <c r="CF41" i="2"/>
  <c r="BQ41" i="2"/>
  <c r="BB41" i="2"/>
  <c r="W41" i="2"/>
  <c r="CI41" i="2"/>
  <c r="Z41" i="2"/>
  <c r="AQ41" i="2"/>
  <c r="DC41" i="2"/>
  <c r="AP41" i="2"/>
  <c r="AY41" i="2"/>
  <c r="DK41" i="2"/>
  <c r="AJ41" i="2"/>
  <c r="CV41" i="2"/>
  <c r="U41" i="2"/>
  <c r="CG41" i="2"/>
  <c r="BR41" i="2"/>
  <c r="AX41" i="2"/>
  <c r="BG41" i="2"/>
  <c r="AR41" i="2"/>
  <c r="DD41" i="2"/>
  <c r="AC41" i="2"/>
  <c r="CO41" i="2"/>
  <c r="BZ41" i="2"/>
  <c r="BJ41" i="2"/>
  <c r="AU41" i="2"/>
  <c r="BT41" i="2"/>
  <c r="BM41" i="2"/>
  <c r="AB41" i="2"/>
  <c r="BK41" i="2"/>
  <c r="P41" i="2"/>
  <c r="CB41" i="2"/>
  <c r="CN41" i="2"/>
  <c r="CA41" i="2"/>
  <c r="X41" i="2"/>
  <c r="CJ41" i="2"/>
  <c r="CQ41" i="2"/>
  <c r="AF41" i="2"/>
  <c r="CR41" i="2"/>
  <c r="CY41" i="2"/>
  <c r="AN41" i="2"/>
  <c r="CZ41" i="2"/>
  <c r="DG41" i="2"/>
  <c r="AV41" i="2"/>
  <c r="DH41" i="2"/>
  <c r="BY41" i="2"/>
  <c r="AM41" i="2"/>
  <c r="BL41" i="2"/>
  <c r="BU41" i="2"/>
  <c r="Y41" i="2"/>
  <c r="CS41" i="2"/>
  <c r="AE41" i="2"/>
  <c r="BD41" i="2"/>
  <c r="BE41" i="2"/>
  <c r="CK41" i="2"/>
  <c r="AO41" i="2"/>
  <c r="DA41" i="2"/>
  <c r="Q41" i="2"/>
  <c r="AW41" i="2"/>
  <c r="DI41" i="2"/>
  <c r="CC41" i="2"/>
  <c r="AG41" i="2"/>
  <c r="AR53" i="2"/>
  <c r="DD53" i="2"/>
  <c r="AC53" i="2"/>
  <c r="CO53" i="2"/>
  <c r="AL53" i="2"/>
  <c r="CX53" i="2"/>
  <c r="AZ53" i="2"/>
  <c r="DL53" i="2"/>
  <c r="AK53" i="2"/>
  <c r="CW53" i="2"/>
  <c r="AT53" i="2"/>
  <c r="DF53" i="2"/>
  <c r="BC53" i="2"/>
  <c r="BH53" i="2"/>
  <c r="AS53" i="2"/>
  <c r="DE53" i="2"/>
  <c r="BB53" i="2"/>
  <c r="BK53" i="2"/>
  <c r="BP53" i="2"/>
  <c r="BA53" i="2"/>
  <c r="BJ53" i="2"/>
  <c r="BS53" i="2"/>
  <c r="BX53" i="2"/>
  <c r="BI53" i="2"/>
  <c r="BR53" i="2"/>
  <c r="T53" i="2"/>
  <c r="CF53" i="2"/>
  <c r="AJ53" i="2"/>
  <c r="CV53" i="2"/>
  <c r="U53" i="2"/>
  <c r="CG53" i="2"/>
  <c r="AD53" i="2"/>
  <c r="CP53" i="2"/>
  <c r="AM53" i="2"/>
  <c r="CY53" i="2"/>
  <c r="W53" i="2"/>
  <c r="X53" i="2"/>
  <c r="CJ53" i="2"/>
  <c r="AG53" i="2"/>
  <c r="BF53" i="2"/>
  <c r="CU53" i="2"/>
  <c r="DC53" i="2"/>
  <c r="AE53" i="2"/>
  <c r="AF53" i="2"/>
  <c r="CR53" i="2"/>
  <c r="AO53" i="2"/>
  <c r="BN53" i="2"/>
  <c r="AB53" i="2"/>
  <c r="BQ53" i="2"/>
  <c r="AU53" i="2"/>
  <c r="AN53" i="2"/>
  <c r="CZ53" i="2"/>
  <c r="AW53" i="2"/>
  <c r="BV53" i="2"/>
  <c r="CN53" i="2"/>
  <c r="BY53" i="2"/>
  <c r="CA53" i="2"/>
  <c r="AV53" i="2"/>
  <c r="DH53" i="2"/>
  <c r="BE53" i="2"/>
  <c r="R53" i="2"/>
  <c r="CD53" i="2"/>
  <c r="BG53" i="2"/>
  <c r="CI53" i="2"/>
  <c r="BD53" i="2"/>
  <c r="BM53" i="2"/>
  <c r="Z53" i="2"/>
  <c r="CL53" i="2"/>
  <c r="DA53" i="2"/>
  <c r="V53" i="2"/>
  <c r="CQ53" i="2"/>
  <c r="BL53" i="2"/>
  <c r="BU53" i="2"/>
  <c r="AH53" i="2"/>
  <c r="CT53" i="2"/>
  <c r="BZ53" i="2"/>
  <c r="DG53" i="2"/>
  <c r="BT53" i="2"/>
  <c r="Q53" i="2"/>
  <c r="CC53" i="2"/>
  <c r="AP53" i="2"/>
  <c r="DB53" i="2"/>
  <c r="P53" i="2"/>
  <c r="S53" i="2"/>
  <c r="CB53" i="2"/>
  <c r="AX53" i="2"/>
  <c r="CE53" i="2"/>
  <c r="AA53" i="2"/>
  <c r="AI53" i="2"/>
  <c r="CH53" i="2"/>
  <c r="DJ53" i="2"/>
  <c r="BO53" i="2"/>
  <c r="DK53" i="2"/>
  <c r="CK53" i="2"/>
  <c r="AQ53" i="2"/>
  <c r="CS53" i="2"/>
  <c r="BW53" i="2"/>
  <c r="Y53" i="2"/>
  <c r="AY53" i="2"/>
  <c r="DI53" i="2"/>
  <c r="CM53" i="2"/>
  <c r="AA73" i="2"/>
  <c r="CM73" i="2"/>
  <c r="AC73" i="2"/>
  <c r="CO73" i="2"/>
  <c r="AI73" i="2"/>
  <c r="CU73" i="2"/>
  <c r="AK73" i="2"/>
  <c r="CW73" i="2"/>
  <c r="AQ73" i="2"/>
  <c r="DC73" i="2"/>
  <c r="AS73" i="2"/>
  <c r="DE73" i="2"/>
  <c r="AY73" i="2"/>
  <c r="DK73" i="2"/>
  <c r="BA73" i="2"/>
  <c r="BG73" i="2"/>
  <c r="BI73" i="2"/>
  <c r="BO73" i="2"/>
  <c r="BQ73" i="2"/>
  <c r="BW73" i="2"/>
  <c r="BY73" i="2"/>
  <c r="S73" i="2"/>
  <c r="CE73" i="2"/>
  <c r="U73" i="2"/>
  <c r="CG73" i="2"/>
  <c r="AG73" i="2"/>
  <c r="CJ73" i="2"/>
  <c r="BP73" i="2"/>
  <c r="CC73" i="2"/>
  <c r="R73" i="2"/>
  <c r="CZ73" i="2"/>
  <c r="T73" i="2"/>
  <c r="DA73" i="2"/>
  <c r="CL73" i="2"/>
  <c r="BB73" i="2"/>
  <c r="AR73" i="2"/>
  <c r="CT73" i="2"/>
  <c r="CA73" i="2"/>
  <c r="CN73" i="2"/>
  <c r="AD73" i="2"/>
  <c r="DJ73" i="2"/>
  <c r="AE73" i="2"/>
  <c r="DL73" i="2"/>
  <c r="CR73" i="2"/>
  <c r="BC73" i="2"/>
  <c r="X73" i="2"/>
  <c r="DF73" i="2"/>
  <c r="CK73" i="2"/>
  <c r="Q73" i="2"/>
  <c r="CY73" i="2"/>
  <c r="AN73" i="2"/>
  <c r="AO73" i="2"/>
  <c r="BF73" i="2"/>
  <c r="BM73" i="2"/>
  <c r="AH73" i="2"/>
  <c r="CV73" i="2"/>
  <c r="AB73" i="2"/>
  <c r="DI73" i="2"/>
  <c r="AX73" i="2"/>
  <c r="AZ73" i="2"/>
  <c r="BX73" i="2"/>
  <c r="AT73" i="2"/>
  <c r="Y73" i="2"/>
  <c r="DG73" i="2"/>
  <c r="AM73" i="2"/>
  <c r="BJ73" i="2"/>
  <c r="BK73" i="2"/>
  <c r="AL73" i="2"/>
  <c r="AP73" i="2"/>
  <c r="CI73" i="2"/>
  <c r="BD73" i="2"/>
  <c r="AJ73" i="2"/>
  <c r="AW73" i="2"/>
  <c r="BT73" i="2"/>
  <c r="BU73" i="2"/>
  <c r="CB73" i="2"/>
  <c r="CH73" i="2"/>
  <c r="CS73" i="2"/>
  <c r="BN73" i="2"/>
  <c r="AU73" i="2"/>
  <c r="BH73" i="2"/>
  <c r="CD73" i="2"/>
  <c r="CF73" i="2"/>
  <c r="W73" i="2"/>
  <c r="DD73" i="2"/>
  <c r="BZ73" i="2"/>
  <c r="BE73" i="2"/>
  <c r="BS73" i="2"/>
  <c r="CP73" i="2"/>
  <c r="CQ73" i="2"/>
  <c r="AV73" i="2"/>
  <c r="AF73" i="2"/>
  <c r="P73" i="2"/>
  <c r="V73" i="2"/>
  <c r="Z73" i="2"/>
  <c r="CX73" i="2"/>
  <c r="BL73" i="2"/>
  <c r="BR73" i="2"/>
  <c r="DB73" i="2"/>
  <c r="DH73" i="2"/>
  <c r="BV73" i="2"/>
  <c r="AX19" i="2"/>
  <c r="DJ19" i="2"/>
  <c r="BO19" i="2"/>
  <c r="BP19" i="2"/>
  <c r="BF19" i="2"/>
  <c r="BW19" i="2"/>
  <c r="BX19" i="2"/>
  <c r="BN19" i="2"/>
  <c r="S19" i="2"/>
  <c r="CE19" i="2"/>
  <c r="T19" i="2"/>
  <c r="CF19" i="2"/>
  <c r="BV19" i="2"/>
  <c r="AA19" i="2"/>
  <c r="CM19" i="2"/>
  <c r="AB19" i="2"/>
  <c r="CN19" i="2"/>
  <c r="R19" i="2"/>
  <c r="CD19" i="2"/>
  <c r="AI19" i="2"/>
  <c r="CU19" i="2"/>
  <c r="AJ19" i="2"/>
  <c r="CV19" i="2"/>
  <c r="Z19" i="2"/>
  <c r="CL19" i="2"/>
  <c r="AQ19" i="2"/>
  <c r="DC19" i="2"/>
  <c r="AR19" i="2"/>
  <c r="DD19" i="2"/>
  <c r="AH19" i="2"/>
  <c r="CT19" i="2"/>
  <c r="AP19" i="2"/>
  <c r="DB19" i="2"/>
  <c r="BG19" i="2"/>
  <c r="AK19" i="2"/>
  <c r="CW19" i="2"/>
  <c r="AT19" i="2"/>
  <c r="DF19" i="2"/>
  <c r="BS19" i="2"/>
  <c r="AN19" i="2"/>
  <c r="CZ19" i="2"/>
  <c r="CK19" i="2"/>
  <c r="AW19" i="2"/>
  <c r="AZ19" i="2"/>
  <c r="AS19" i="2"/>
  <c r="DE19" i="2"/>
  <c r="BB19" i="2"/>
  <c r="CA19" i="2"/>
  <c r="AV19" i="2"/>
  <c r="DH19" i="2"/>
  <c r="DI19" i="2"/>
  <c r="BH19" i="2"/>
  <c r="BA19" i="2"/>
  <c r="BJ19" i="2"/>
  <c r="W19" i="2"/>
  <c r="CI19" i="2"/>
  <c r="BD19" i="2"/>
  <c r="AO19" i="2"/>
  <c r="DL19" i="2"/>
  <c r="BI19" i="2"/>
  <c r="BR19" i="2"/>
  <c r="AE19" i="2"/>
  <c r="CQ19" i="2"/>
  <c r="BL19" i="2"/>
  <c r="DA19" i="2"/>
  <c r="AY19" i="2"/>
  <c r="BQ19" i="2"/>
  <c r="BZ19" i="2"/>
  <c r="AM19" i="2"/>
  <c r="CY19" i="2"/>
  <c r="BT19" i="2"/>
  <c r="DK19" i="2"/>
  <c r="BY19" i="2"/>
  <c r="V19" i="2"/>
  <c r="CH19" i="2"/>
  <c r="AU19" i="2"/>
  <c r="DG19" i="2"/>
  <c r="P19" i="2"/>
  <c r="CB19" i="2"/>
  <c r="AG19" i="2"/>
  <c r="U19" i="2"/>
  <c r="CG19" i="2"/>
  <c r="AD19" i="2"/>
  <c r="CP19" i="2"/>
  <c r="BC19" i="2"/>
  <c r="X19" i="2"/>
  <c r="CJ19" i="2"/>
  <c r="CS19" i="2"/>
  <c r="AC19" i="2"/>
  <c r="CO19" i="2"/>
  <c r="AL19" i="2"/>
  <c r="CX19" i="2"/>
  <c r="BK19" i="2"/>
  <c r="AF19" i="2"/>
  <c r="CR19" i="2"/>
  <c r="Y19" i="2"/>
  <c r="BE19" i="2"/>
  <c r="BM19" i="2"/>
  <c r="Q19" i="2"/>
  <c r="BU19" i="2"/>
  <c r="CC19" i="2"/>
  <c r="AB79" i="2"/>
  <c r="CN79" i="2"/>
  <c r="W79" i="2"/>
  <c r="AO79" i="2"/>
  <c r="DA79" i="2"/>
  <c r="BA79" i="2"/>
  <c r="BB79" i="2"/>
  <c r="DF79" i="2"/>
  <c r="CW79" i="2"/>
  <c r="AJ79" i="2"/>
  <c r="CV79" i="2"/>
  <c r="U79" i="2"/>
  <c r="AE79" i="2"/>
  <c r="AW79" i="2"/>
  <c r="DI79" i="2"/>
  <c r="BL79" i="2"/>
  <c r="BN79" i="2"/>
  <c r="Z79" i="2"/>
  <c r="DG79" i="2"/>
  <c r="AR79" i="2"/>
  <c r="DD79" i="2"/>
  <c r="AC79" i="2"/>
  <c r="AM79" i="2"/>
  <c r="BE79" i="2"/>
  <c r="BW79" i="2"/>
  <c r="BY79" i="2"/>
  <c r="AP79" i="2"/>
  <c r="AA79" i="2"/>
  <c r="CX79" i="2"/>
  <c r="AZ79" i="2"/>
  <c r="DL79" i="2"/>
  <c r="AK79" i="2"/>
  <c r="AU79" i="2"/>
  <c r="BM79" i="2"/>
  <c r="CH79" i="2"/>
  <c r="CI79" i="2"/>
  <c r="BD79" i="2"/>
  <c r="AQ79" i="2"/>
  <c r="BH79" i="2"/>
  <c r="AS79" i="2"/>
  <c r="BC79" i="2"/>
  <c r="BU79" i="2"/>
  <c r="CR79" i="2"/>
  <c r="CT79" i="2"/>
  <c r="BO79" i="2"/>
  <c r="BF79" i="2"/>
  <c r="BP79" i="2"/>
  <c r="Q79" i="2"/>
  <c r="CC79" i="2"/>
  <c r="DC79" i="2"/>
  <c r="DE79" i="2"/>
  <c r="BZ79" i="2"/>
  <c r="BQ79" i="2"/>
  <c r="BX79" i="2"/>
  <c r="Y79" i="2"/>
  <c r="CK79" i="2"/>
  <c r="V79" i="2"/>
  <c r="X79" i="2"/>
  <c r="CJ79" i="2"/>
  <c r="CA79" i="2"/>
  <c r="T79" i="2"/>
  <c r="CF79" i="2"/>
  <c r="AG79" i="2"/>
  <c r="CS79" i="2"/>
  <c r="AL79" i="2"/>
  <c r="AN79" i="2"/>
  <c r="CU79" i="2"/>
  <c r="CL79" i="2"/>
  <c r="BR79" i="2"/>
  <c r="CD79" i="2"/>
  <c r="CE79" i="2"/>
  <c r="BK79" i="2"/>
  <c r="S79" i="2"/>
  <c r="CB79" i="2"/>
  <c r="CO79" i="2"/>
  <c r="CP79" i="2"/>
  <c r="CM79" i="2"/>
  <c r="CY79" i="2"/>
  <c r="CZ79" i="2"/>
  <c r="CG79" i="2"/>
  <c r="DH79" i="2"/>
  <c r="P79" i="2"/>
  <c r="DJ79" i="2"/>
  <c r="R79" i="2"/>
  <c r="DK79" i="2"/>
  <c r="BV79" i="2"/>
  <c r="AF79" i="2"/>
  <c r="AH79" i="2"/>
  <c r="AY79" i="2"/>
  <c r="CQ79" i="2"/>
  <c r="AD79" i="2"/>
  <c r="AV79" i="2"/>
  <c r="AX79" i="2"/>
  <c r="AT79" i="2"/>
  <c r="BI79" i="2"/>
  <c r="BJ79" i="2"/>
  <c r="BG79" i="2"/>
  <c r="BS79" i="2"/>
  <c r="BT79" i="2"/>
  <c r="DB79" i="2"/>
  <c r="AI79" i="2"/>
  <c r="AM40" i="2"/>
  <c r="CY40" i="2"/>
  <c r="AU40" i="2"/>
  <c r="DG40" i="2"/>
  <c r="BC40" i="2"/>
  <c r="BS40" i="2"/>
  <c r="CA40" i="2"/>
  <c r="W40" i="2"/>
  <c r="AN40" i="2"/>
  <c r="CZ40" i="2"/>
  <c r="Y40" i="2"/>
  <c r="CK40" i="2"/>
  <c r="BV40" i="2"/>
  <c r="BG40" i="2"/>
  <c r="AB40" i="2"/>
  <c r="CN40" i="2"/>
  <c r="AE40" i="2"/>
  <c r="AV40" i="2"/>
  <c r="DH40" i="2"/>
  <c r="AG40" i="2"/>
  <c r="CS40" i="2"/>
  <c r="R40" i="2"/>
  <c r="CD40" i="2"/>
  <c r="BO40" i="2"/>
  <c r="BK40" i="2"/>
  <c r="BD40" i="2"/>
  <c r="AO40" i="2"/>
  <c r="DA40" i="2"/>
  <c r="Z40" i="2"/>
  <c r="CL40" i="2"/>
  <c r="BW40" i="2"/>
  <c r="AR40" i="2"/>
  <c r="DD40" i="2"/>
  <c r="CI40" i="2"/>
  <c r="BL40" i="2"/>
  <c r="AW40" i="2"/>
  <c r="DI40" i="2"/>
  <c r="AH40" i="2"/>
  <c r="CT40" i="2"/>
  <c r="S40" i="2"/>
  <c r="CE40" i="2"/>
  <c r="CQ40" i="2"/>
  <c r="BT40" i="2"/>
  <c r="BE40" i="2"/>
  <c r="AP40" i="2"/>
  <c r="DB40" i="2"/>
  <c r="AA40" i="2"/>
  <c r="CM40" i="2"/>
  <c r="BH40" i="2"/>
  <c r="P40" i="2"/>
  <c r="CB40" i="2"/>
  <c r="X40" i="2"/>
  <c r="CJ40" i="2"/>
  <c r="BU40" i="2"/>
  <c r="BF40" i="2"/>
  <c r="AQ40" i="2"/>
  <c r="DC40" i="2"/>
  <c r="AF40" i="2"/>
  <c r="CR40" i="2"/>
  <c r="Q40" i="2"/>
  <c r="CC40" i="2"/>
  <c r="BN40" i="2"/>
  <c r="AY40" i="2"/>
  <c r="DK40" i="2"/>
  <c r="BM40" i="2"/>
  <c r="AZ40" i="2"/>
  <c r="AS40" i="2"/>
  <c r="DE40" i="2"/>
  <c r="BP40" i="2"/>
  <c r="BA40" i="2"/>
  <c r="BX40" i="2"/>
  <c r="BI40" i="2"/>
  <c r="CF40" i="2"/>
  <c r="BQ40" i="2"/>
  <c r="CV40" i="2"/>
  <c r="BY40" i="2"/>
  <c r="AD40" i="2"/>
  <c r="BB40" i="2"/>
  <c r="AX40" i="2"/>
  <c r="DL40" i="2"/>
  <c r="U40" i="2"/>
  <c r="CG40" i="2"/>
  <c r="CP40" i="2"/>
  <c r="CU40" i="2"/>
  <c r="AJ40" i="2"/>
  <c r="AK40" i="2"/>
  <c r="CW40" i="2"/>
  <c r="CX40" i="2"/>
  <c r="T40" i="2"/>
  <c r="CO40" i="2"/>
  <c r="DJ40" i="2"/>
  <c r="AT40" i="2"/>
  <c r="DF40" i="2"/>
  <c r="BZ40" i="2"/>
  <c r="AI40" i="2"/>
  <c r="AL40" i="2"/>
  <c r="BR40" i="2"/>
  <c r="AC40" i="2"/>
  <c r="V40" i="2"/>
  <c r="BJ40" i="2"/>
  <c r="CH40" i="2"/>
  <c r="BL72" i="2"/>
  <c r="BN72" i="2"/>
  <c r="BT72" i="2"/>
  <c r="BV72" i="2"/>
  <c r="P72" i="2"/>
  <c r="CB72" i="2"/>
  <c r="R72" i="2"/>
  <c r="CD72" i="2"/>
  <c r="X72" i="2"/>
  <c r="CJ72" i="2"/>
  <c r="Z72" i="2"/>
  <c r="CL72" i="2"/>
  <c r="AF72" i="2"/>
  <c r="CR72" i="2"/>
  <c r="AH72" i="2"/>
  <c r="CT72" i="2"/>
  <c r="T72" i="2"/>
  <c r="AN72" i="2"/>
  <c r="CZ72" i="2"/>
  <c r="AP72" i="2"/>
  <c r="DB72" i="2"/>
  <c r="AB72" i="2"/>
  <c r="AV72" i="2"/>
  <c r="DH72" i="2"/>
  <c r="AX72" i="2"/>
  <c r="DJ72" i="2"/>
  <c r="AJ72" i="2"/>
  <c r="BD72" i="2"/>
  <c r="BF72" i="2"/>
  <c r="AR72" i="2"/>
  <c r="AW72" i="2"/>
  <c r="CY72" i="2"/>
  <c r="CF72" i="2"/>
  <c r="CS72" i="2"/>
  <c r="AA72" i="2"/>
  <c r="AD72" i="2"/>
  <c r="BW72" i="2"/>
  <c r="BH72" i="2"/>
  <c r="S72" i="2"/>
  <c r="DK72" i="2"/>
  <c r="CP72" i="2"/>
  <c r="DD72" i="2"/>
  <c r="AQ72" i="2"/>
  <c r="AT72" i="2"/>
  <c r="BR72" i="2"/>
  <c r="AI72" i="2"/>
  <c r="DA72" i="2"/>
  <c r="Y72" i="2"/>
  <c r="BC72" i="2"/>
  <c r="BE72" i="2"/>
  <c r="BA72" i="2"/>
  <c r="BG72" i="2"/>
  <c r="U72" i="2"/>
  <c r="CC72" i="2"/>
  <c r="AY72" i="2"/>
  <c r="V72" i="2"/>
  <c r="DL72" i="2"/>
  <c r="AO72" i="2"/>
  <c r="BO72" i="2"/>
  <c r="BP72" i="2"/>
  <c r="CQ72" i="2"/>
  <c r="CW72" i="2"/>
  <c r="AC72" i="2"/>
  <c r="CN72" i="2"/>
  <c r="BI72" i="2"/>
  <c r="AL72" i="2"/>
  <c r="BB72" i="2"/>
  <c r="BY72" i="2"/>
  <c r="BZ72" i="2"/>
  <c r="AK72" i="2"/>
  <c r="CX72" i="2"/>
  <c r="BS72" i="2"/>
  <c r="AZ72" i="2"/>
  <c r="BM72" i="2"/>
  <c r="CI72" i="2"/>
  <c r="CK72" i="2"/>
  <c r="BK72" i="2"/>
  <c r="AS72" i="2"/>
  <c r="Q72" i="2"/>
  <c r="DI72" i="2"/>
  <c r="CE72" i="2"/>
  <c r="BJ72" i="2"/>
  <c r="BX72" i="2"/>
  <c r="CU72" i="2"/>
  <c r="CV72" i="2"/>
  <c r="DC72" i="2"/>
  <c r="BQ72" i="2"/>
  <c r="AG72" i="2"/>
  <c r="CO72" i="2"/>
  <c r="BU72" i="2"/>
  <c r="CH72" i="2"/>
  <c r="DE72" i="2"/>
  <c r="DF72" i="2"/>
  <c r="DG72" i="2"/>
  <c r="W72" i="2"/>
  <c r="CA72" i="2"/>
  <c r="CG72" i="2"/>
  <c r="CM72" i="2"/>
  <c r="AE72" i="2"/>
  <c r="AM72" i="2"/>
  <c r="AU72" i="2"/>
  <c r="AD94" i="2"/>
  <c r="CP94" i="2"/>
  <c r="BK94" i="2"/>
  <c r="AN94" i="2"/>
  <c r="CZ94" i="2"/>
  <c r="AW94" i="2"/>
  <c r="DI94" i="2"/>
  <c r="AH94" i="2"/>
  <c r="CT94" i="2"/>
  <c r="AL94" i="2"/>
  <c r="CX94" i="2"/>
  <c r="BS94" i="2"/>
  <c r="AV94" i="2"/>
  <c r="DH94" i="2"/>
  <c r="BE94" i="2"/>
  <c r="AP94" i="2"/>
  <c r="DB94" i="2"/>
  <c r="AT94" i="2"/>
  <c r="DF94" i="2"/>
  <c r="CA94" i="2"/>
  <c r="BD94" i="2"/>
  <c r="BM94" i="2"/>
  <c r="AX94" i="2"/>
  <c r="DJ94" i="2"/>
  <c r="BB94" i="2"/>
  <c r="W94" i="2"/>
  <c r="CI94" i="2"/>
  <c r="BL94" i="2"/>
  <c r="BU94" i="2"/>
  <c r="BF94" i="2"/>
  <c r="BJ94" i="2"/>
  <c r="AE94" i="2"/>
  <c r="CQ94" i="2"/>
  <c r="BT94" i="2"/>
  <c r="Q94" i="2"/>
  <c r="CC94" i="2"/>
  <c r="BN94" i="2"/>
  <c r="BR94" i="2"/>
  <c r="AM94" i="2"/>
  <c r="CY94" i="2"/>
  <c r="P94" i="2"/>
  <c r="CB94" i="2"/>
  <c r="Y94" i="2"/>
  <c r="CK94" i="2"/>
  <c r="BV94" i="2"/>
  <c r="BZ94" i="2"/>
  <c r="AU94" i="2"/>
  <c r="DG94" i="2"/>
  <c r="X94" i="2"/>
  <c r="CJ94" i="2"/>
  <c r="AG94" i="2"/>
  <c r="CS94" i="2"/>
  <c r="R94" i="2"/>
  <c r="CD94" i="2"/>
  <c r="V94" i="2"/>
  <c r="CH94" i="2"/>
  <c r="BC94" i="2"/>
  <c r="AF94" i="2"/>
  <c r="CR94" i="2"/>
  <c r="AO94" i="2"/>
  <c r="DA94" i="2"/>
  <c r="Z94" i="2"/>
  <c r="CL94" i="2"/>
  <c r="T94" i="2"/>
  <c r="CF94" i="2"/>
  <c r="CU94" i="2"/>
  <c r="AB94" i="2"/>
  <c r="CN94" i="2"/>
  <c r="AQ94" i="2"/>
  <c r="AS94" i="2"/>
  <c r="S94" i="2"/>
  <c r="AC94" i="2"/>
  <c r="AJ94" i="2"/>
  <c r="CV94" i="2"/>
  <c r="BW94" i="2"/>
  <c r="BY94" i="2"/>
  <c r="AY94" i="2"/>
  <c r="AA94" i="2"/>
  <c r="BI94" i="2"/>
  <c r="AR94" i="2"/>
  <c r="DD94" i="2"/>
  <c r="DC94" i="2"/>
  <c r="DE94" i="2"/>
  <c r="CE94" i="2"/>
  <c r="U94" i="2"/>
  <c r="BG94" i="2"/>
  <c r="CO94" i="2"/>
  <c r="AZ94" i="2"/>
  <c r="DL94" i="2"/>
  <c r="DK94" i="2"/>
  <c r="BA94" i="2"/>
  <c r="CM94" i="2"/>
  <c r="BH94" i="2"/>
  <c r="AK94" i="2"/>
  <c r="CG94" i="2"/>
  <c r="BP94" i="2"/>
  <c r="AI94" i="2"/>
  <c r="BQ94" i="2"/>
  <c r="BX94" i="2"/>
  <c r="BO94" i="2"/>
  <c r="CW94" i="2"/>
  <c r="AZ103" i="2"/>
  <c r="DL103" i="2"/>
  <c r="BI103" i="2"/>
  <c r="AD103" i="2"/>
  <c r="CP103" i="2"/>
  <c r="AE103" i="2"/>
  <c r="CQ103" i="2"/>
  <c r="X103" i="2"/>
  <c r="CJ103" i="2"/>
  <c r="BU103" i="2"/>
  <c r="R103" i="2"/>
  <c r="CD103" i="2"/>
  <c r="AI103" i="2"/>
  <c r="BH103" i="2"/>
  <c r="BQ103" i="2"/>
  <c r="AL103" i="2"/>
  <c r="CX103" i="2"/>
  <c r="AM103" i="2"/>
  <c r="CY103" i="2"/>
  <c r="AF103" i="2"/>
  <c r="CR103" i="2"/>
  <c r="Q103" i="2"/>
  <c r="CC103" i="2"/>
  <c r="Z103" i="2"/>
  <c r="CL103" i="2"/>
  <c r="BP103" i="2"/>
  <c r="BY103" i="2"/>
  <c r="AT103" i="2"/>
  <c r="DF103" i="2"/>
  <c r="AU103" i="2"/>
  <c r="DG103" i="2"/>
  <c r="AN103" i="2"/>
  <c r="CZ103" i="2"/>
  <c r="Y103" i="2"/>
  <c r="CK103" i="2"/>
  <c r="AH103" i="2"/>
  <c r="CT103" i="2"/>
  <c r="AQ103" i="2"/>
  <c r="BW103" i="2"/>
  <c r="BX103" i="2"/>
  <c r="U103" i="2"/>
  <c r="CG103" i="2"/>
  <c r="BB103" i="2"/>
  <c r="BC103" i="2"/>
  <c r="AV103" i="2"/>
  <c r="DH103" i="2"/>
  <c r="AG103" i="2"/>
  <c r="CS103" i="2"/>
  <c r="AP103" i="2"/>
  <c r="DB103" i="2"/>
  <c r="T103" i="2"/>
  <c r="CF103" i="2"/>
  <c r="AC103" i="2"/>
  <c r="CO103" i="2"/>
  <c r="BJ103" i="2"/>
  <c r="BK103" i="2"/>
  <c r="BD103" i="2"/>
  <c r="AO103" i="2"/>
  <c r="DA103" i="2"/>
  <c r="AX103" i="2"/>
  <c r="DJ103" i="2"/>
  <c r="AB103" i="2"/>
  <c r="CN103" i="2"/>
  <c r="AK103" i="2"/>
  <c r="CW103" i="2"/>
  <c r="BR103" i="2"/>
  <c r="BS103" i="2"/>
  <c r="BL103" i="2"/>
  <c r="AW103" i="2"/>
  <c r="DI103" i="2"/>
  <c r="BF103" i="2"/>
  <c r="AA103" i="2"/>
  <c r="AJ103" i="2"/>
  <c r="CV103" i="2"/>
  <c r="AS103" i="2"/>
  <c r="DE103" i="2"/>
  <c r="BZ103" i="2"/>
  <c r="CA103" i="2"/>
  <c r="BT103" i="2"/>
  <c r="BE103" i="2"/>
  <c r="AR103" i="2"/>
  <c r="DD103" i="2"/>
  <c r="BA103" i="2"/>
  <c r="V103" i="2"/>
  <c r="CH103" i="2"/>
  <c r="W103" i="2"/>
  <c r="CI103" i="2"/>
  <c r="P103" i="2"/>
  <c r="CB103" i="2"/>
  <c r="BM103" i="2"/>
  <c r="BV103" i="2"/>
  <c r="BQ106" i="2"/>
  <c r="BZ106" i="2"/>
  <c r="AU106" i="2"/>
  <c r="DG106" i="2"/>
  <c r="AV106" i="2"/>
  <c r="DH106" i="2"/>
  <c r="AO106" i="2"/>
  <c r="DA106" i="2"/>
  <c r="BV106" i="2"/>
  <c r="Z106" i="2"/>
  <c r="CT106" i="2"/>
  <c r="AI106" i="2"/>
  <c r="CU106" i="2"/>
  <c r="BY106" i="2"/>
  <c r="V106" i="2"/>
  <c r="CH106" i="2"/>
  <c r="BC106" i="2"/>
  <c r="BD106" i="2"/>
  <c r="AW106" i="2"/>
  <c r="DI106" i="2"/>
  <c r="AH106" i="2"/>
  <c r="DB106" i="2"/>
  <c r="AQ106" i="2"/>
  <c r="DC106" i="2"/>
  <c r="U106" i="2"/>
  <c r="CG106" i="2"/>
  <c r="AD106" i="2"/>
  <c r="CP106" i="2"/>
  <c r="BK106" i="2"/>
  <c r="BL106" i="2"/>
  <c r="BE106" i="2"/>
  <c r="AP106" i="2"/>
  <c r="DJ106" i="2"/>
  <c r="AY106" i="2"/>
  <c r="DK106" i="2"/>
  <c r="AR106" i="2"/>
  <c r="T106" i="2"/>
  <c r="AC106" i="2"/>
  <c r="CO106" i="2"/>
  <c r="AL106" i="2"/>
  <c r="CX106" i="2"/>
  <c r="BS106" i="2"/>
  <c r="BT106" i="2"/>
  <c r="BM106" i="2"/>
  <c r="AX106" i="2"/>
  <c r="BG106" i="2"/>
  <c r="AK106" i="2"/>
  <c r="CW106" i="2"/>
  <c r="AT106" i="2"/>
  <c r="DF106" i="2"/>
  <c r="CA106" i="2"/>
  <c r="P106" i="2"/>
  <c r="CB106" i="2"/>
  <c r="BU106" i="2"/>
  <c r="BF106" i="2"/>
  <c r="BO106" i="2"/>
  <c r="AS106" i="2"/>
  <c r="DE106" i="2"/>
  <c r="BB106" i="2"/>
  <c r="W106" i="2"/>
  <c r="CI106" i="2"/>
  <c r="X106" i="2"/>
  <c r="CJ106" i="2"/>
  <c r="Q106" i="2"/>
  <c r="CC106" i="2"/>
  <c r="BN106" i="2"/>
  <c r="BW106" i="2"/>
  <c r="BA106" i="2"/>
  <c r="BJ106" i="2"/>
  <c r="AE106" i="2"/>
  <c r="CQ106" i="2"/>
  <c r="AF106" i="2"/>
  <c r="CR106" i="2"/>
  <c r="Y106" i="2"/>
  <c r="CK106" i="2"/>
  <c r="CD106" i="2"/>
  <c r="BI106" i="2"/>
  <c r="BR106" i="2"/>
  <c r="AM106" i="2"/>
  <c r="CY106" i="2"/>
  <c r="AN106" i="2"/>
  <c r="CZ106" i="2"/>
  <c r="AG106" i="2"/>
  <c r="CS106" i="2"/>
  <c r="R106" i="2"/>
  <c r="CL106" i="2"/>
  <c r="AA106" i="2"/>
  <c r="CM106" i="2"/>
  <c r="W5" i="2"/>
  <c r="CI5" i="2"/>
  <c r="AF5" i="2"/>
  <c r="CR5" i="2"/>
  <c r="BN5" i="2"/>
  <c r="DD5" i="2"/>
  <c r="BM5" i="2"/>
  <c r="AX5" i="2"/>
  <c r="BF5" i="2"/>
  <c r="DL5" i="2"/>
  <c r="BG5" i="2"/>
  <c r="BA5" i="2"/>
  <c r="P5" i="2"/>
  <c r="AE5" i="2"/>
  <c r="CQ5" i="2"/>
  <c r="AN5" i="2"/>
  <c r="CZ5" i="2"/>
  <c r="CD5" i="2"/>
  <c r="BU5" i="2"/>
  <c r="BV5" i="2"/>
  <c r="CL5" i="2"/>
  <c r="BO5" i="2"/>
  <c r="BI5" i="2"/>
  <c r="AM5" i="2"/>
  <c r="CY5" i="2"/>
  <c r="AV5" i="2"/>
  <c r="DH5" i="2"/>
  <c r="DB5" i="2"/>
  <c r="Q5" i="2"/>
  <c r="CC5" i="2"/>
  <c r="CT5" i="2"/>
  <c r="DJ5" i="2"/>
  <c r="BW5" i="2"/>
  <c r="AB5" i="2"/>
  <c r="T5" i="2"/>
  <c r="BQ5" i="2"/>
  <c r="CH5" i="2"/>
  <c r="AU5" i="2"/>
  <c r="DG5" i="2"/>
  <c r="BD5" i="2"/>
  <c r="CS5" i="2"/>
  <c r="Y5" i="2"/>
  <c r="CK5" i="2"/>
  <c r="S5" i="2"/>
  <c r="CE5" i="2"/>
  <c r="BP5" i="2"/>
  <c r="BX5" i="2"/>
  <c r="BY5" i="2"/>
  <c r="BC5" i="2"/>
  <c r="BL5" i="2"/>
  <c r="DI5" i="2"/>
  <c r="AG5" i="2"/>
  <c r="DA5" i="2"/>
  <c r="AA5" i="2"/>
  <c r="CM5" i="2"/>
  <c r="CV5" i="2"/>
  <c r="U5" i="2"/>
  <c r="CG5" i="2"/>
  <c r="BZ5" i="2"/>
  <c r="BK5" i="2"/>
  <c r="BT5" i="2"/>
  <c r="AO5" i="2"/>
  <c r="AI5" i="2"/>
  <c r="CU5" i="2"/>
  <c r="AC5" i="2"/>
  <c r="CO5" i="2"/>
  <c r="BS5" i="2"/>
  <c r="CB5" i="2"/>
  <c r="R5" i="2"/>
  <c r="AJ5" i="2"/>
  <c r="AW5" i="2"/>
  <c r="AZ5" i="2"/>
  <c r="AR5" i="2"/>
  <c r="AQ5" i="2"/>
  <c r="DC5" i="2"/>
  <c r="CA5" i="2"/>
  <c r="X5" i="2"/>
  <c r="CJ5" i="2"/>
  <c r="AP5" i="2"/>
  <c r="BH5" i="2"/>
  <c r="BE5" i="2"/>
  <c r="AH5" i="2"/>
  <c r="CN5" i="2"/>
  <c r="Z5" i="2"/>
  <c r="CF5" i="2"/>
  <c r="AY5" i="2"/>
  <c r="DK5" i="2"/>
  <c r="AS5" i="2"/>
  <c r="DE5" i="2"/>
  <c r="DL106" i="2"/>
  <c r="DF104" i="2"/>
  <c r="BU98" i="2"/>
  <c r="BM105" i="2"/>
  <c r="AO98" i="2"/>
  <c r="AJ101" i="2"/>
  <c r="AM107" i="2"/>
  <c r="Z101" i="2"/>
  <c r="DK103" i="2"/>
  <c r="BH106" i="2"/>
  <c r="AZ106" i="2"/>
  <c r="AK5" i="2"/>
  <c r="AC104" i="2"/>
  <c r="AG14" i="2"/>
  <c r="CS14" i="2"/>
  <c r="AX14" i="2"/>
  <c r="DJ14" i="2"/>
  <c r="AO14" i="2"/>
  <c r="DA14" i="2"/>
  <c r="BF14" i="2"/>
  <c r="AW14" i="2"/>
  <c r="DI14" i="2"/>
  <c r="BN14" i="2"/>
  <c r="BE14" i="2"/>
  <c r="BV14" i="2"/>
  <c r="BM14" i="2"/>
  <c r="R14" i="2"/>
  <c r="CD14" i="2"/>
  <c r="BU14" i="2"/>
  <c r="Z14" i="2"/>
  <c r="CL14" i="2"/>
  <c r="Q14" i="2"/>
  <c r="CC14" i="2"/>
  <c r="AH14" i="2"/>
  <c r="CT14" i="2"/>
  <c r="Y14" i="2"/>
  <c r="AY14" i="2"/>
  <c r="DK14" i="2"/>
  <c r="BX14" i="2"/>
  <c r="AS14" i="2"/>
  <c r="DE14" i="2"/>
  <c r="AD14" i="2"/>
  <c r="CP14" i="2"/>
  <c r="AE14" i="2"/>
  <c r="CQ14" i="2"/>
  <c r="CK14" i="2"/>
  <c r="BG14" i="2"/>
  <c r="T14" i="2"/>
  <c r="CF14" i="2"/>
  <c r="BA14" i="2"/>
  <c r="AL14" i="2"/>
  <c r="CX14" i="2"/>
  <c r="AM14" i="2"/>
  <c r="CY14" i="2"/>
  <c r="AV14" i="2"/>
  <c r="BO14" i="2"/>
  <c r="AB14" i="2"/>
  <c r="CN14" i="2"/>
  <c r="BI14" i="2"/>
  <c r="AT14" i="2"/>
  <c r="DF14" i="2"/>
  <c r="AU14" i="2"/>
  <c r="DG14" i="2"/>
  <c r="DH14" i="2"/>
  <c r="AP14" i="2"/>
  <c r="BW14" i="2"/>
  <c r="AJ14" i="2"/>
  <c r="CV14" i="2"/>
  <c r="BQ14" i="2"/>
  <c r="BB14" i="2"/>
  <c r="BC14" i="2"/>
  <c r="DB14" i="2"/>
  <c r="S14" i="2"/>
  <c r="CE14" i="2"/>
  <c r="AR14" i="2"/>
  <c r="DD14" i="2"/>
  <c r="BY14" i="2"/>
  <c r="BJ14" i="2"/>
  <c r="BK14" i="2"/>
  <c r="AA14" i="2"/>
  <c r="CM14" i="2"/>
  <c r="AZ14" i="2"/>
  <c r="DL14" i="2"/>
  <c r="U14" i="2"/>
  <c r="CG14" i="2"/>
  <c r="BR14" i="2"/>
  <c r="BS14" i="2"/>
  <c r="AI14" i="2"/>
  <c r="CU14" i="2"/>
  <c r="BH14" i="2"/>
  <c r="AC14" i="2"/>
  <c r="CO14" i="2"/>
  <c r="BZ14" i="2"/>
  <c r="CA14" i="2"/>
  <c r="AQ14" i="2"/>
  <c r="DC14" i="2"/>
  <c r="BP14" i="2"/>
  <c r="AK14" i="2"/>
  <c r="CW14" i="2"/>
  <c r="V14" i="2"/>
  <c r="CH14" i="2"/>
  <c r="W14" i="2"/>
  <c r="CI14" i="2"/>
  <c r="BD14" i="2"/>
  <c r="P14" i="2"/>
  <c r="AN14" i="2"/>
  <c r="BL14" i="2"/>
  <c r="CB14" i="2"/>
  <c r="AF14" i="2"/>
  <c r="BT14" i="2"/>
  <c r="CR14" i="2"/>
  <c r="X14" i="2"/>
  <c r="CJ14" i="2"/>
  <c r="CZ14" i="2"/>
  <c r="AW46" i="2"/>
  <c r="DI46" i="2"/>
  <c r="BV46" i="2"/>
  <c r="BG46" i="2"/>
  <c r="AR46" i="2"/>
  <c r="DD46" i="2"/>
  <c r="AC46" i="2"/>
  <c r="CO46" i="2"/>
  <c r="BE46" i="2"/>
  <c r="R46" i="2"/>
  <c r="CD46" i="2"/>
  <c r="BO46" i="2"/>
  <c r="AZ46" i="2"/>
  <c r="DL46" i="2"/>
  <c r="AK46" i="2"/>
  <c r="CW46" i="2"/>
  <c r="BM46" i="2"/>
  <c r="Z46" i="2"/>
  <c r="CL46" i="2"/>
  <c r="BW46" i="2"/>
  <c r="BH46" i="2"/>
  <c r="AS46" i="2"/>
  <c r="DE46" i="2"/>
  <c r="BU46" i="2"/>
  <c r="AH46" i="2"/>
  <c r="CT46" i="2"/>
  <c r="S46" i="2"/>
  <c r="CE46" i="2"/>
  <c r="BP46" i="2"/>
  <c r="BA46" i="2"/>
  <c r="Q46" i="2"/>
  <c r="CC46" i="2"/>
  <c r="AP46" i="2"/>
  <c r="DB46" i="2"/>
  <c r="AA46" i="2"/>
  <c r="CM46" i="2"/>
  <c r="BX46" i="2"/>
  <c r="BI46" i="2"/>
  <c r="Y46" i="2"/>
  <c r="CK46" i="2"/>
  <c r="AX46" i="2"/>
  <c r="DJ46" i="2"/>
  <c r="AG46" i="2"/>
  <c r="CS46" i="2"/>
  <c r="BF46" i="2"/>
  <c r="AQ46" i="2"/>
  <c r="DC46" i="2"/>
  <c r="AB46" i="2"/>
  <c r="CN46" i="2"/>
  <c r="AO46" i="2"/>
  <c r="DA46" i="2"/>
  <c r="BN46" i="2"/>
  <c r="AY46" i="2"/>
  <c r="DK46" i="2"/>
  <c r="AJ46" i="2"/>
  <c r="CV46" i="2"/>
  <c r="U46" i="2"/>
  <c r="CG46" i="2"/>
  <c r="BQ46" i="2"/>
  <c r="CA46" i="2"/>
  <c r="AI46" i="2"/>
  <c r="BY46" i="2"/>
  <c r="W46" i="2"/>
  <c r="CI46" i="2"/>
  <c r="CU46" i="2"/>
  <c r="AE46" i="2"/>
  <c r="CQ46" i="2"/>
  <c r="P46" i="2"/>
  <c r="AD46" i="2"/>
  <c r="AM46" i="2"/>
  <c r="CY46" i="2"/>
  <c r="AV46" i="2"/>
  <c r="X46" i="2"/>
  <c r="BJ46" i="2"/>
  <c r="AU46" i="2"/>
  <c r="DG46" i="2"/>
  <c r="CB46" i="2"/>
  <c r="V46" i="2"/>
  <c r="BD46" i="2"/>
  <c r="CP46" i="2"/>
  <c r="BC46" i="2"/>
  <c r="DH46" i="2"/>
  <c r="BB46" i="2"/>
  <c r="CF46" i="2"/>
  <c r="BS46" i="2"/>
  <c r="BK46" i="2"/>
  <c r="AN46" i="2"/>
  <c r="BT46" i="2"/>
  <c r="T46" i="2"/>
  <c r="CZ46" i="2"/>
  <c r="AL46" i="2"/>
  <c r="AF46" i="2"/>
  <c r="BR46" i="2"/>
  <c r="CJ46" i="2"/>
  <c r="BL46" i="2"/>
  <c r="CX46" i="2"/>
  <c r="AT46" i="2"/>
  <c r="CR46" i="2"/>
  <c r="DF46" i="2"/>
  <c r="CH46" i="2"/>
  <c r="BZ46" i="2"/>
  <c r="AV61" i="2"/>
  <c r="DH61" i="2"/>
  <c r="Q61" i="2"/>
  <c r="CC61" i="2"/>
  <c r="BD61" i="2"/>
  <c r="Y61" i="2"/>
  <c r="CK61" i="2"/>
  <c r="BL61" i="2"/>
  <c r="AG61" i="2"/>
  <c r="CS61" i="2"/>
  <c r="BT61" i="2"/>
  <c r="AO61" i="2"/>
  <c r="DA61" i="2"/>
  <c r="P61" i="2"/>
  <c r="CB61" i="2"/>
  <c r="AW61" i="2"/>
  <c r="DI61" i="2"/>
  <c r="AF61" i="2"/>
  <c r="CR61" i="2"/>
  <c r="BM61" i="2"/>
  <c r="CZ61" i="2"/>
  <c r="Z61" i="2"/>
  <c r="CL61" i="2"/>
  <c r="AJ61" i="2"/>
  <c r="CV61" i="2"/>
  <c r="AC61" i="2"/>
  <c r="CO61" i="2"/>
  <c r="AD61" i="2"/>
  <c r="AI61" i="2"/>
  <c r="V61" i="2"/>
  <c r="BE61" i="2"/>
  <c r="AH61" i="2"/>
  <c r="CT61" i="2"/>
  <c r="AR61" i="2"/>
  <c r="DD61" i="2"/>
  <c r="AK61" i="2"/>
  <c r="CW61" i="2"/>
  <c r="AY61" i="2"/>
  <c r="BC61" i="2"/>
  <c r="S61" i="2"/>
  <c r="AQ61" i="2"/>
  <c r="BU61" i="2"/>
  <c r="AP61" i="2"/>
  <c r="DB61" i="2"/>
  <c r="AZ61" i="2"/>
  <c r="DL61" i="2"/>
  <c r="AS61" i="2"/>
  <c r="DE61" i="2"/>
  <c r="BS61" i="2"/>
  <c r="AE61" i="2"/>
  <c r="BZ61" i="2"/>
  <c r="AM61" i="2"/>
  <c r="BK61" i="2"/>
  <c r="AX61" i="2"/>
  <c r="DJ61" i="2"/>
  <c r="BH61" i="2"/>
  <c r="BA61" i="2"/>
  <c r="CP61" i="2"/>
  <c r="BB61" i="2"/>
  <c r="CU61" i="2"/>
  <c r="BJ61" i="2"/>
  <c r="CH61" i="2"/>
  <c r="BF61" i="2"/>
  <c r="BP61" i="2"/>
  <c r="BI61" i="2"/>
  <c r="DK61" i="2"/>
  <c r="BW61" i="2"/>
  <c r="CE61" i="2"/>
  <c r="DC61" i="2"/>
  <c r="X61" i="2"/>
  <c r="BN61" i="2"/>
  <c r="BX61" i="2"/>
  <c r="BQ61" i="2"/>
  <c r="CQ61" i="2"/>
  <c r="CY61" i="2"/>
  <c r="AN61" i="2"/>
  <c r="BV61" i="2"/>
  <c r="T61" i="2"/>
  <c r="CF61" i="2"/>
  <c r="BY61" i="2"/>
  <c r="CJ61" i="2"/>
  <c r="R61" i="2"/>
  <c r="CD61" i="2"/>
  <c r="AB61" i="2"/>
  <c r="CN61" i="2"/>
  <c r="U61" i="2"/>
  <c r="CG61" i="2"/>
  <c r="CI61" i="2"/>
  <c r="CX61" i="2"/>
  <c r="DF61" i="2"/>
  <c r="BR61" i="2"/>
  <c r="CA61" i="2"/>
  <c r="AA61" i="2"/>
  <c r="DG61" i="2"/>
  <c r="BG61" i="2"/>
  <c r="AL61" i="2"/>
  <c r="W61" i="2"/>
  <c r="AT61" i="2"/>
  <c r="BO61" i="2"/>
  <c r="AU61" i="2"/>
  <c r="CM61" i="2"/>
  <c r="AG9" i="2"/>
  <c r="CS9" i="2"/>
  <c r="BF9" i="2"/>
  <c r="AA9" i="2"/>
  <c r="CM9" i="2"/>
  <c r="AZ9" i="2"/>
  <c r="DL9" i="2"/>
  <c r="AD9" i="2"/>
  <c r="CP9" i="2"/>
  <c r="BK9" i="2"/>
  <c r="CO9" i="2"/>
  <c r="AO9" i="2"/>
  <c r="DA9" i="2"/>
  <c r="BN9" i="2"/>
  <c r="AI9" i="2"/>
  <c r="CU9" i="2"/>
  <c r="BH9" i="2"/>
  <c r="AL9" i="2"/>
  <c r="CX9" i="2"/>
  <c r="BS9" i="2"/>
  <c r="AW9" i="2"/>
  <c r="DI9" i="2"/>
  <c r="BV9" i="2"/>
  <c r="AQ9" i="2"/>
  <c r="DC9" i="2"/>
  <c r="BP9" i="2"/>
  <c r="AT9" i="2"/>
  <c r="DF9" i="2"/>
  <c r="CA9" i="2"/>
  <c r="BE9" i="2"/>
  <c r="R9" i="2"/>
  <c r="CD9" i="2"/>
  <c r="AY9" i="2"/>
  <c r="DK9" i="2"/>
  <c r="BX9" i="2"/>
  <c r="BB9" i="2"/>
  <c r="W9" i="2"/>
  <c r="CI9" i="2"/>
  <c r="AK9" i="2"/>
  <c r="BM9" i="2"/>
  <c r="Z9" i="2"/>
  <c r="CL9" i="2"/>
  <c r="BG9" i="2"/>
  <c r="T9" i="2"/>
  <c r="CF9" i="2"/>
  <c r="BJ9" i="2"/>
  <c r="AE9" i="2"/>
  <c r="CQ9" i="2"/>
  <c r="AF9" i="2"/>
  <c r="BQ9" i="2"/>
  <c r="BU9" i="2"/>
  <c r="AH9" i="2"/>
  <c r="CT9" i="2"/>
  <c r="BO9" i="2"/>
  <c r="AB9" i="2"/>
  <c r="CN9" i="2"/>
  <c r="BR9" i="2"/>
  <c r="AM9" i="2"/>
  <c r="CY9" i="2"/>
  <c r="BL9" i="2"/>
  <c r="CW9" i="2"/>
  <c r="Q9" i="2"/>
  <c r="CC9" i="2"/>
  <c r="AP9" i="2"/>
  <c r="DB9" i="2"/>
  <c r="BW9" i="2"/>
  <c r="AJ9" i="2"/>
  <c r="CV9" i="2"/>
  <c r="BZ9" i="2"/>
  <c r="AU9" i="2"/>
  <c r="DG9" i="2"/>
  <c r="AC9" i="2"/>
  <c r="CR9" i="2"/>
  <c r="Y9" i="2"/>
  <c r="CB9" i="2"/>
  <c r="CG9" i="2"/>
  <c r="CK9" i="2"/>
  <c r="AN9" i="2"/>
  <c r="DH9" i="2"/>
  <c r="BT9" i="2"/>
  <c r="AX9" i="2"/>
  <c r="S9" i="2"/>
  <c r="V9" i="2"/>
  <c r="CZ9" i="2"/>
  <c r="DJ9" i="2"/>
  <c r="CE9" i="2"/>
  <c r="CH9" i="2"/>
  <c r="BI9" i="2"/>
  <c r="AS9" i="2"/>
  <c r="AR9" i="2"/>
  <c r="BC9" i="2"/>
  <c r="BY9" i="2"/>
  <c r="P9" i="2"/>
  <c r="U9" i="2"/>
  <c r="DD9" i="2"/>
  <c r="DE9" i="2"/>
  <c r="AV9" i="2"/>
  <c r="BA9" i="2"/>
  <c r="BD9" i="2"/>
  <c r="X9" i="2"/>
  <c r="CJ9" i="2"/>
  <c r="R81" i="2"/>
  <c r="CD81" i="2"/>
  <c r="AE81" i="2"/>
  <c r="CQ81" i="2"/>
  <c r="V81" i="2"/>
  <c r="DD81" i="2"/>
  <c r="X81" i="2"/>
  <c r="DE81" i="2"/>
  <c r="BZ81" i="2"/>
  <c r="BQ81" i="2"/>
  <c r="Z81" i="2"/>
  <c r="CL81" i="2"/>
  <c r="AM81" i="2"/>
  <c r="CY81" i="2"/>
  <c r="AG81" i="2"/>
  <c r="AI81" i="2"/>
  <c r="CK81" i="2"/>
  <c r="CB81" i="2"/>
  <c r="AH81" i="2"/>
  <c r="CT81" i="2"/>
  <c r="AU81" i="2"/>
  <c r="DG81" i="2"/>
  <c r="AR81" i="2"/>
  <c r="AS81" i="2"/>
  <c r="CV81" i="2"/>
  <c r="CM81" i="2"/>
  <c r="BR81" i="2"/>
  <c r="AP81" i="2"/>
  <c r="DB81" i="2"/>
  <c r="BC81" i="2"/>
  <c r="BB81" i="2"/>
  <c r="BD81" i="2"/>
  <c r="Y81" i="2"/>
  <c r="DF81" i="2"/>
  <c r="P81" i="2"/>
  <c r="CW81" i="2"/>
  <c r="AX81" i="2"/>
  <c r="DJ81" i="2"/>
  <c r="BK81" i="2"/>
  <c r="BM81" i="2"/>
  <c r="BO81" i="2"/>
  <c r="AJ81" i="2"/>
  <c r="AA81" i="2"/>
  <c r="DH81" i="2"/>
  <c r="BF81" i="2"/>
  <c r="BS81" i="2"/>
  <c r="BX81" i="2"/>
  <c r="BY81" i="2"/>
  <c r="AT81" i="2"/>
  <c r="AK81" i="2"/>
  <c r="BN81" i="2"/>
  <c r="CA81" i="2"/>
  <c r="CH81" i="2"/>
  <c r="CJ81" i="2"/>
  <c r="BE81" i="2"/>
  <c r="AV81" i="2"/>
  <c r="BV81" i="2"/>
  <c r="W81" i="2"/>
  <c r="CI81" i="2"/>
  <c r="CS81" i="2"/>
  <c r="CU81" i="2"/>
  <c r="BP81" i="2"/>
  <c r="BG81" i="2"/>
  <c r="BH81" i="2"/>
  <c r="AY81" i="2"/>
  <c r="AZ81" i="2"/>
  <c r="CC81" i="2"/>
  <c r="BI81" i="2"/>
  <c r="BJ81" i="2"/>
  <c r="BW81" i="2"/>
  <c r="CN81" i="2"/>
  <c r="BT81" i="2"/>
  <c r="BU81" i="2"/>
  <c r="AF81" i="2"/>
  <c r="CX81" i="2"/>
  <c r="CE81" i="2"/>
  <c r="CF81" i="2"/>
  <c r="Q81" i="2"/>
  <c r="DI81" i="2"/>
  <c r="CO81" i="2"/>
  <c r="CP81" i="2"/>
  <c r="BA81" i="2"/>
  <c r="AB81" i="2"/>
  <c r="S81" i="2"/>
  <c r="CZ81" i="2"/>
  <c r="T81" i="2"/>
  <c r="DA81" i="2"/>
  <c r="AQ81" i="2"/>
  <c r="AL81" i="2"/>
  <c r="AC81" i="2"/>
  <c r="DK81" i="2"/>
  <c r="AD81" i="2"/>
  <c r="DL81" i="2"/>
  <c r="U81" i="2"/>
  <c r="BL81" i="2"/>
  <c r="AW81" i="2"/>
  <c r="AN81" i="2"/>
  <c r="AO81" i="2"/>
  <c r="DC81" i="2"/>
  <c r="CR81" i="2"/>
  <c r="CG81" i="2"/>
  <c r="BU36" i="2"/>
  <c r="Z36" i="2"/>
  <c r="CL36" i="2"/>
  <c r="BO36" i="2"/>
  <c r="AR36" i="2"/>
  <c r="DD36" i="2"/>
  <c r="BQ36" i="2"/>
  <c r="CA36" i="2"/>
  <c r="AD36" i="2"/>
  <c r="Q36" i="2"/>
  <c r="CC36" i="2"/>
  <c r="AH36" i="2"/>
  <c r="CT36" i="2"/>
  <c r="BW36" i="2"/>
  <c r="AZ36" i="2"/>
  <c r="DL36" i="2"/>
  <c r="BY36" i="2"/>
  <c r="W36" i="2"/>
  <c r="CI36" i="2"/>
  <c r="BJ36" i="2"/>
  <c r="Y36" i="2"/>
  <c r="CK36" i="2"/>
  <c r="AP36" i="2"/>
  <c r="DB36" i="2"/>
  <c r="S36" i="2"/>
  <c r="CE36" i="2"/>
  <c r="BH36" i="2"/>
  <c r="U36" i="2"/>
  <c r="CG36" i="2"/>
  <c r="AE36" i="2"/>
  <c r="CQ36" i="2"/>
  <c r="CP36" i="2"/>
  <c r="AG36" i="2"/>
  <c r="CS36" i="2"/>
  <c r="AX36" i="2"/>
  <c r="DJ36" i="2"/>
  <c r="AA36" i="2"/>
  <c r="CM36" i="2"/>
  <c r="BP36" i="2"/>
  <c r="AC36" i="2"/>
  <c r="CO36" i="2"/>
  <c r="AM36" i="2"/>
  <c r="CY36" i="2"/>
  <c r="AO36" i="2"/>
  <c r="DA36" i="2"/>
  <c r="BF36" i="2"/>
  <c r="AI36" i="2"/>
  <c r="CU36" i="2"/>
  <c r="BX36" i="2"/>
  <c r="AK36" i="2"/>
  <c r="CW36" i="2"/>
  <c r="AU36" i="2"/>
  <c r="DG36" i="2"/>
  <c r="AW36" i="2"/>
  <c r="DI36" i="2"/>
  <c r="BN36" i="2"/>
  <c r="AQ36" i="2"/>
  <c r="DC36" i="2"/>
  <c r="T36" i="2"/>
  <c r="CF36" i="2"/>
  <c r="AS36" i="2"/>
  <c r="DE36" i="2"/>
  <c r="BC36" i="2"/>
  <c r="BE36" i="2"/>
  <c r="BV36" i="2"/>
  <c r="AY36" i="2"/>
  <c r="DK36" i="2"/>
  <c r="AB36" i="2"/>
  <c r="CN36" i="2"/>
  <c r="BA36" i="2"/>
  <c r="BM36" i="2"/>
  <c r="R36" i="2"/>
  <c r="CD36" i="2"/>
  <c r="BG36" i="2"/>
  <c r="AJ36" i="2"/>
  <c r="CV36" i="2"/>
  <c r="BI36" i="2"/>
  <c r="BS36" i="2"/>
  <c r="AF36" i="2"/>
  <c r="DF36" i="2"/>
  <c r="BL36" i="2"/>
  <c r="P36" i="2"/>
  <c r="BK36" i="2"/>
  <c r="CR36" i="2"/>
  <c r="AL36" i="2"/>
  <c r="AV36" i="2"/>
  <c r="BR36" i="2"/>
  <c r="CX36" i="2"/>
  <c r="AN36" i="2"/>
  <c r="DH36" i="2"/>
  <c r="CZ36" i="2"/>
  <c r="AT36" i="2"/>
  <c r="BZ36" i="2"/>
  <c r="BB36" i="2"/>
  <c r="CH36" i="2"/>
  <c r="CJ36" i="2"/>
  <c r="BT36" i="2"/>
  <c r="CB36" i="2"/>
  <c r="BD36" i="2"/>
  <c r="X36" i="2"/>
  <c r="V36" i="2"/>
  <c r="BX47" i="2"/>
  <c r="AK47" i="2"/>
  <c r="CW47" i="2"/>
  <c r="V47" i="2"/>
  <c r="CH47" i="2"/>
  <c r="BS47" i="2"/>
  <c r="BD47" i="2"/>
  <c r="T47" i="2"/>
  <c r="CF47" i="2"/>
  <c r="AS47" i="2"/>
  <c r="DE47" i="2"/>
  <c r="AD47" i="2"/>
  <c r="CP47" i="2"/>
  <c r="CA47" i="2"/>
  <c r="BL47" i="2"/>
  <c r="AB47" i="2"/>
  <c r="CN47" i="2"/>
  <c r="BA47" i="2"/>
  <c r="AL47" i="2"/>
  <c r="CX47" i="2"/>
  <c r="W47" i="2"/>
  <c r="CI47" i="2"/>
  <c r="BT47" i="2"/>
  <c r="AJ47" i="2"/>
  <c r="CV47" i="2"/>
  <c r="BI47" i="2"/>
  <c r="AT47" i="2"/>
  <c r="DF47" i="2"/>
  <c r="AE47" i="2"/>
  <c r="CQ47" i="2"/>
  <c r="P47" i="2"/>
  <c r="CB47" i="2"/>
  <c r="AR47" i="2"/>
  <c r="DD47" i="2"/>
  <c r="BQ47" i="2"/>
  <c r="BB47" i="2"/>
  <c r="AM47" i="2"/>
  <c r="CY47" i="2"/>
  <c r="X47" i="2"/>
  <c r="CJ47" i="2"/>
  <c r="AZ47" i="2"/>
  <c r="DL47" i="2"/>
  <c r="BY47" i="2"/>
  <c r="BH47" i="2"/>
  <c r="U47" i="2"/>
  <c r="CG47" i="2"/>
  <c r="BR47" i="2"/>
  <c r="BC47" i="2"/>
  <c r="BP47" i="2"/>
  <c r="AC47" i="2"/>
  <c r="CO47" i="2"/>
  <c r="BZ47" i="2"/>
  <c r="BK47" i="2"/>
  <c r="AV47" i="2"/>
  <c r="DH47" i="2"/>
  <c r="AU47" i="2"/>
  <c r="AP47" i="2"/>
  <c r="DB47" i="2"/>
  <c r="DC47" i="2"/>
  <c r="AW47" i="2"/>
  <c r="CE47" i="2"/>
  <c r="DG47" i="2"/>
  <c r="AX47" i="2"/>
  <c r="DJ47" i="2"/>
  <c r="CC47" i="2"/>
  <c r="DK47" i="2"/>
  <c r="AF47" i="2"/>
  <c r="BF47" i="2"/>
  <c r="DI47" i="2"/>
  <c r="BJ47" i="2"/>
  <c r="AN47" i="2"/>
  <c r="BN47" i="2"/>
  <c r="CR47" i="2"/>
  <c r="BV47" i="2"/>
  <c r="CZ47" i="2"/>
  <c r="R47" i="2"/>
  <c r="CD47" i="2"/>
  <c r="AH47" i="2"/>
  <c r="CT47" i="2"/>
  <c r="BW47" i="2"/>
  <c r="Q47" i="2"/>
  <c r="AY47" i="2"/>
  <c r="CK47" i="2"/>
  <c r="AA47" i="2"/>
  <c r="BM47" i="2"/>
  <c r="BG47" i="2"/>
  <c r="CS47" i="2"/>
  <c r="Z47" i="2"/>
  <c r="Y47" i="2"/>
  <c r="CM47" i="2"/>
  <c r="CL47" i="2"/>
  <c r="AQ47" i="2"/>
  <c r="BE47" i="2"/>
  <c r="AI47" i="2"/>
  <c r="BO47" i="2"/>
  <c r="CU47" i="2"/>
  <c r="S47" i="2"/>
  <c r="AO47" i="2"/>
  <c r="BU47" i="2"/>
  <c r="DA47" i="2"/>
  <c r="AG47" i="2"/>
  <c r="AP105" i="2"/>
  <c r="DB105" i="2"/>
  <c r="AY105" i="2"/>
  <c r="DK105" i="2"/>
  <c r="T105" i="2"/>
  <c r="CF105" i="2"/>
  <c r="U105" i="2"/>
  <c r="CG105" i="2"/>
  <c r="BZ105" i="2"/>
  <c r="BK105" i="2"/>
  <c r="BT105" i="2"/>
  <c r="Q105" i="2"/>
  <c r="AX105" i="2"/>
  <c r="DJ105" i="2"/>
  <c r="BG105" i="2"/>
  <c r="AB105" i="2"/>
  <c r="CN105" i="2"/>
  <c r="AC105" i="2"/>
  <c r="CO105" i="2"/>
  <c r="V105" i="2"/>
  <c r="CH105" i="2"/>
  <c r="BS105" i="2"/>
  <c r="P105" i="2"/>
  <c r="CB105" i="2"/>
  <c r="BF105" i="2"/>
  <c r="BO105" i="2"/>
  <c r="AJ105" i="2"/>
  <c r="CV105" i="2"/>
  <c r="AK105" i="2"/>
  <c r="CW105" i="2"/>
  <c r="AD105" i="2"/>
  <c r="CP105" i="2"/>
  <c r="CA105" i="2"/>
  <c r="X105" i="2"/>
  <c r="CJ105" i="2"/>
  <c r="BN105" i="2"/>
  <c r="BW105" i="2"/>
  <c r="AR105" i="2"/>
  <c r="DD105" i="2"/>
  <c r="AS105" i="2"/>
  <c r="DE105" i="2"/>
  <c r="AL105" i="2"/>
  <c r="CX105" i="2"/>
  <c r="W105" i="2"/>
  <c r="CI105" i="2"/>
  <c r="AF105" i="2"/>
  <c r="CR105" i="2"/>
  <c r="BV105" i="2"/>
  <c r="S105" i="2"/>
  <c r="CE105" i="2"/>
  <c r="AZ105" i="2"/>
  <c r="DL105" i="2"/>
  <c r="BA105" i="2"/>
  <c r="AT105" i="2"/>
  <c r="DF105" i="2"/>
  <c r="AE105" i="2"/>
  <c r="CQ105" i="2"/>
  <c r="AN105" i="2"/>
  <c r="CZ105" i="2"/>
  <c r="R105" i="2"/>
  <c r="CD105" i="2"/>
  <c r="AA105" i="2"/>
  <c r="CM105" i="2"/>
  <c r="BH105" i="2"/>
  <c r="BI105" i="2"/>
  <c r="BB105" i="2"/>
  <c r="AM105" i="2"/>
  <c r="CY105" i="2"/>
  <c r="AV105" i="2"/>
  <c r="DH105" i="2"/>
  <c r="Z105" i="2"/>
  <c r="CL105" i="2"/>
  <c r="AI105" i="2"/>
  <c r="CU105" i="2"/>
  <c r="BP105" i="2"/>
  <c r="BQ105" i="2"/>
  <c r="BJ105" i="2"/>
  <c r="AU105" i="2"/>
  <c r="DG105" i="2"/>
  <c r="AH105" i="2"/>
  <c r="CT105" i="2"/>
  <c r="AQ105" i="2"/>
  <c r="DC105" i="2"/>
  <c r="BX105" i="2"/>
  <c r="BY105" i="2"/>
  <c r="BR105" i="2"/>
  <c r="BC105" i="2"/>
  <c r="BL105" i="2"/>
  <c r="BW62" i="2"/>
  <c r="AR62" i="2"/>
  <c r="DD62" i="2"/>
  <c r="S62" i="2"/>
  <c r="AZ62" i="2"/>
  <c r="DL62" i="2"/>
  <c r="AA62" i="2"/>
  <c r="BH62" i="2"/>
  <c r="AI62" i="2"/>
  <c r="BP62" i="2"/>
  <c r="AQ62" i="2"/>
  <c r="BX62" i="2"/>
  <c r="BG62" i="2"/>
  <c r="AB62" i="2"/>
  <c r="CN62" i="2"/>
  <c r="BA62" i="2"/>
  <c r="BK62" i="2"/>
  <c r="BD62" i="2"/>
  <c r="CP62" i="2"/>
  <c r="BF62" i="2"/>
  <c r="CT62" i="2"/>
  <c r="BN62" i="2"/>
  <c r="CK62" i="2"/>
  <c r="AY62" i="2"/>
  <c r="BI62" i="2"/>
  <c r="BS62" i="2"/>
  <c r="BL62" i="2"/>
  <c r="DF62" i="2"/>
  <c r="CC62" i="2"/>
  <c r="DJ62" i="2"/>
  <c r="CH62" i="2"/>
  <c r="DA62" i="2"/>
  <c r="BO62" i="2"/>
  <c r="BQ62" i="2"/>
  <c r="CA62" i="2"/>
  <c r="BT62" i="2"/>
  <c r="CS62" i="2"/>
  <c r="CX62" i="2"/>
  <c r="T62" i="2"/>
  <c r="BY62" i="2"/>
  <c r="W62" i="2"/>
  <c r="CI62" i="2"/>
  <c r="P62" i="2"/>
  <c r="CB62" i="2"/>
  <c r="DI62" i="2"/>
  <c r="AJ62" i="2"/>
  <c r="U62" i="2"/>
  <c r="CG62" i="2"/>
  <c r="AE62" i="2"/>
  <c r="CQ62" i="2"/>
  <c r="X62" i="2"/>
  <c r="CJ62" i="2"/>
  <c r="R62" i="2"/>
  <c r="CF62" i="2"/>
  <c r="AC62" i="2"/>
  <c r="CO62" i="2"/>
  <c r="AM62" i="2"/>
  <c r="CY62" i="2"/>
  <c r="AF62" i="2"/>
  <c r="CR62" i="2"/>
  <c r="AH62" i="2"/>
  <c r="AO62" i="2"/>
  <c r="Z62" i="2"/>
  <c r="CV62" i="2"/>
  <c r="AK62" i="2"/>
  <c r="CW62" i="2"/>
  <c r="AU62" i="2"/>
  <c r="DG62" i="2"/>
  <c r="AN62" i="2"/>
  <c r="CZ62" i="2"/>
  <c r="BE62" i="2"/>
  <c r="Q62" i="2"/>
  <c r="BJ62" i="2"/>
  <c r="Y62" i="2"/>
  <c r="AW62" i="2"/>
  <c r="AS62" i="2"/>
  <c r="DE62" i="2"/>
  <c r="BC62" i="2"/>
  <c r="AV62" i="2"/>
  <c r="DH62" i="2"/>
  <c r="BZ62" i="2"/>
  <c r="AL62" i="2"/>
  <c r="CD62" i="2"/>
  <c r="AT62" i="2"/>
  <c r="BR62" i="2"/>
  <c r="AG62" i="2"/>
  <c r="BV62" i="2"/>
  <c r="CE62" i="2"/>
  <c r="AD62" i="2"/>
  <c r="BB62" i="2"/>
  <c r="BM62" i="2"/>
  <c r="AX62" i="2"/>
  <c r="DC62" i="2"/>
  <c r="BU62" i="2"/>
  <c r="CM62" i="2"/>
  <c r="AP62" i="2"/>
  <c r="CL62" i="2"/>
  <c r="V62" i="2"/>
  <c r="DK62" i="2"/>
  <c r="DB62" i="2"/>
  <c r="CU62" i="2"/>
  <c r="BE95" i="2"/>
  <c r="Z95" i="2"/>
  <c r="CL95" i="2"/>
  <c r="BO95" i="2"/>
  <c r="BX95" i="2"/>
  <c r="BI95" i="2"/>
  <c r="BM95" i="2"/>
  <c r="AH95" i="2"/>
  <c r="CT95" i="2"/>
  <c r="BW95" i="2"/>
  <c r="T95" i="2"/>
  <c r="CF95" i="2"/>
  <c r="BQ95" i="2"/>
  <c r="BU95" i="2"/>
  <c r="AP95" i="2"/>
  <c r="DB95" i="2"/>
  <c r="S95" i="2"/>
  <c r="CE95" i="2"/>
  <c r="AB95" i="2"/>
  <c r="CN95" i="2"/>
  <c r="BY95" i="2"/>
  <c r="Q95" i="2"/>
  <c r="CC95" i="2"/>
  <c r="AX95" i="2"/>
  <c r="DJ95" i="2"/>
  <c r="AA95" i="2"/>
  <c r="CM95" i="2"/>
  <c r="AJ95" i="2"/>
  <c r="CV95" i="2"/>
  <c r="U95" i="2"/>
  <c r="CG95" i="2"/>
  <c r="Y95" i="2"/>
  <c r="CK95" i="2"/>
  <c r="BF95" i="2"/>
  <c r="AI95" i="2"/>
  <c r="CU95" i="2"/>
  <c r="AR95" i="2"/>
  <c r="DD95" i="2"/>
  <c r="AC95" i="2"/>
  <c r="CO95" i="2"/>
  <c r="AG95" i="2"/>
  <c r="CS95" i="2"/>
  <c r="BN95" i="2"/>
  <c r="AQ95" i="2"/>
  <c r="DC95" i="2"/>
  <c r="AZ95" i="2"/>
  <c r="DL95" i="2"/>
  <c r="AK95" i="2"/>
  <c r="CW95" i="2"/>
  <c r="AO95" i="2"/>
  <c r="DA95" i="2"/>
  <c r="BV95" i="2"/>
  <c r="AY95" i="2"/>
  <c r="DK95" i="2"/>
  <c r="BH95" i="2"/>
  <c r="AS95" i="2"/>
  <c r="DE95" i="2"/>
  <c r="AW95" i="2"/>
  <c r="DI95" i="2"/>
  <c r="R95" i="2"/>
  <c r="CD95" i="2"/>
  <c r="BG95" i="2"/>
  <c r="BP95" i="2"/>
  <c r="BA95" i="2"/>
  <c r="AU95" i="2"/>
  <c r="DG95" i="2"/>
  <c r="AF95" i="2"/>
  <c r="CB95" i="2"/>
  <c r="BC95" i="2"/>
  <c r="AD95" i="2"/>
  <c r="BL95" i="2"/>
  <c r="CJ95" i="2"/>
  <c r="DH95" i="2"/>
  <c r="BK95" i="2"/>
  <c r="BJ95" i="2"/>
  <c r="CR95" i="2"/>
  <c r="BS95" i="2"/>
  <c r="CP95" i="2"/>
  <c r="CA95" i="2"/>
  <c r="AL95" i="2"/>
  <c r="AN95" i="2"/>
  <c r="X95" i="2"/>
  <c r="W95" i="2"/>
  <c r="CI95" i="2"/>
  <c r="BR95" i="2"/>
  <c r="BT95" i="2"/>
  <c r="AT95" i="2"/>
  <c r="V95" i="2"/>
  <c r="BD95" i="2"/>
  <c r="AE95" i="2"/>
  <c r="CQ95" i="2"/>
  <c r="CX95" i="2"/>
  <c r="CZ95" i="2"/>
  <c r="BZ95" i="2"/>
  <c r="P95" i="2"/>
  <c r="BB95" i="2"/>
  <c r="AM95" i="2"/>
  <c r="CY95" i="2"/>
  <c r="DF95" i="2"/>
  <c r="AV95" i="2"/>
  <c r="CH95" i="2"/>
  <c r="AG24" i="2"/>
  <c r="CS24" i="2"/>
  <c r="AX24" i="2"/>
  <c r="DJ24" i="2"/>
  <c r="BW24" i="2"/>
  <c r="AB24" i="2"/>
  <c r="CN24" i="2"/>
  <c r="AO24" i="2"/>
  <c r="DA24" i="2"/>
  <c r="BF24" i="2"/>
  <c r="S24" i="2"/>
  <c r="CE24" i="2"/>
  <c r="AJ24" i="2"/>
  <c r="CV24" i="2"/>
  <c r="AW24" i="2"/>
  <c r="DI24" i="2"/>
  <c r="BN24" i="2"/>
  <c r="AA24" i="2"/>
  <c r="CM24" i="2"/>
  <c r="AR24" i="2"/>
  <c r="DD24" i="2"/>
  <c r="BE24" i="2"/>
  <c r="BV24" i="2"/>
  <c r="AI24" i="2"/>
  <c r="CU24" i="2"/>
  <c r="BM24" i="2"/>
  <c r="R24" i="2"/>
  <c r="CD24" i="2"/>
  <c r="AQ24" i="2"/>
  <c r="DC24" i="2"/>
  <c r="BH24" i="2"/>
  <c r="BU24" i="2"/>
  <c r="Z24" i="2"/>
  <c r="CL24" i="2"/>
  <c r="AY24" i="2"/>
  <c r="DK24" i="2"/>
  <c r="Q24" i="2"/>
  <c r="CC24" i="2"/>
  <c r="AH24" i="2"/>
  <c r="CT24" i="2"/>
  <c r="BG24" i="2"/>
  <c r="Y24" i="2"/>
  <c r="CK24" i="2"/>
  <c r="AP24" i="2"/>
  <c r="DB24" i="2"/>
  <c r="BO24" i="2"/>
  <c r="BQ24" i="2"/>
  <c r="AD24" i="2"/>
  <c r="CP24" i="2"/>
  <c r="BC24" i="2"/>
  <c r="CJ24" i="2"/>
  <c r="BY24" i="2"/>
  <c r="AL24" i="2"/>
  <c r="CX24" i="2"/>
  <c r="BK24" i="2"/>
  <c r="P24" i="2"/>
  <c r="T24" i="2"/>
  <c r="U24" i="2"/>
  <c r="CG24" i="2"/>
  <c r="AT24" i="2"/>
  <c r="DF24" i="2"/>
  <c r="BS24" i="2"/>
  <c r="BL24" i="2"/>
  <c r="CB24" i="2"/>
  <c r="AF24" i="2"/>
  <c r="AZ24" i="2"/>
  <c r="AC24" i="2"/>
  <c r="CO24" i="2"/>
  <c r="BB24" i="2"/>
  <c r="CA24" i="2"/>
  <c r="CR24" i="2"/>
  <c r="AV24" i="2"/>
  <c r="BP24" i="2"/>
  <c r="AK24" i="2"/>
  <c r="CW24" i="2"/>
  <c r="BJ24" i="2"/>
  <c r="W24" i="2"/>
  <c r="CI24" i="2"/>
  <c r="DH24" i="2"/>
  <c r="BX24" i="2"/>
  <c r="AS24" i="2"/>
  <c r="DE24" i="2"/>
  <c r="BR24" i="2"/>
  <c r="AE24" i="2"/>
  <c r="CQ24" i="2"/>
  <c r="CF24" i="2"/>
  <c r="BA24" i="2"/>
  <c r="BZ24" i="2"/>
  <c r="AM24" i="2"/>
  <c r="CY24" i="2"/>
  <c r="AN24" i="2"/>
  <c r="DL24" i="2"/>
  <c r="BI24" i="2"/>
  <c r="V24" i="2"/>
  <c r="CH24" i="2"/>
  <c r="AU24" i="2"/>
  <c r="DG24" i="2"/>
  <c r="BT24" i="2"/>
  <c r="X24" i="2"/>
  <c r="CZ24" i="2"/>
  <c r="BD24" i="2"/>
  <c r="BG108" i="2"/>
  <c r="BP108" i="2"/>
  <c r="AK108" i="2"/>
  <c r="CW108" i="2"/>
  <c r="AL108" i="2"/>
  <c r="AE108" i="2"/>
  <c r="CQ108" i="2"/>
  <c r="BT108" i="2"/>
  <c r="AN108" i="2"/>
  <c r="Y108" i="2"/>
  <c r="CK108" i="2"/>
  <c r="BO108" i="2"/>
  <c r="BX108" i="2"/>
  <c r="AS108" i="2"/>
  <c r="DE108" i="2"/>
  <c r="AT108" i="2"/>
  <c r="AM108" i="2"/>
  <c r="CY108" i="2"/>
  <c r="CZ108" i="2"/>
  <c r="CB108" i="2"/>
  <c r="AG108" i="2"/>
  <c r="CS108" i="2"/>
  <c r="BW108" i="2"/>
  <c r="T108" i="2"/>
  <c r="CF108" i="2"/>
  <c r="BA108" i="2"/>
  <c r="BB108" i="2"/>
  <c r="AU108" i="2"/>
  <c r="DG108" i="2"/>
  <c r="AO108" i="2"/>
  <c r="DA108" i="2"/>
  <c r="DB108" i="2"/>
  <c r="AX108" i="2"/>
  <c r="S108" i="2"/>
  <c r="CE108" i="2"/>
  <c r="AB108" i="2"/>
  <c r="CN108" i="2"/>
  <c r="BI108" i="2"/>
  <c r="BJ108" i="2"/>
  <c r="BC108" i="2"/>
  <c r="AW108" i="2"/>
  <c r="DI108" i="2"/>
  <c r="AA108" i="2"/>
  <c r="CM108" i="2"/>
  <c r="AJ108" i="2"/>
  <c r="CV108" i="2"/>
  <c r="BL108" i="2"/>
  <c r="BQ108" i="2"/>
  <c r="BD108" i="2"/>
  <c r="BZ108" i="2"/>
  <c r="AV108" i="2"/>
  <c r="BK108" i="2"/>
  <c r="BE108" i="2"/>
  <c r="AI108" i="2"/>
  <c r="CU108" i="2"/>
  <c r="AR108" i="2"/>
  <c r="DD108" i="2"/>
  <c r="CH108" i="2"/>
  <c r="CR108" i="2"/>
  <c r="BY108" i="2"/>
  <c r="BR108" i="2"/>
  <c r="DH108" i="2"/>
  <c r="CP108" i="2"/>
  <c r="CJ108" i="2"/>
  <c r="BS108" i="2"/>
  <c r="BM108" i="2"/>
  <c r="AQ108" i="2"/>
  <c r="DC108" i="2"/>
  <c r="AZ108" i="2"/>
  <c r="DL108" i="2"/>
  <c r="U108" i="2"/>
  <c r="CG108" i="2"/>
  <c r="CX108" i="2"/>
  <c r="V108" i="2"/>
  <c r="DF108" i="2"/>
  <c r="CA108" i="2"/>
  <c r="P108" i="2"/>
  <c r="AY108" i="2"/>
  <c r="DK108" i="2"/>
  <c r="BH108" i="2"/>
  <c r="AC108" i="2"/>
  <c r="CO108" i="2"/>
  <c r="AD108" i="2"/>
  <c r="W108" i="2"/>
  <c r="CI108" i="2"/>
  <c r="AF108" i="2"/>
  <c r="X108" i="2"/>
  <c r="Q108" i="2"/>
  <c r="CC108" i="2"/>
  <c r="BB5" i="2"/>
  <c r="AT104" i="2"/>
  <c r="DF5" i="2"/>
  <c r="CX104" i="2"/>
  <c r="AL5" i="2"/>
  <c r="BP99" i="2"/>
  <c r="BX106" i="2"/>
  <c r="CA107" i="2"/>
  <c r="AY103" i="2"/>
  <c r="CS105" i="2"/>
  <c r="CU103" i="2"/>
  <c r="AH108" i="2"/>
  <c r="BU108" i="2"/>
  <c r="BN103" i="2"/>
  <c r="W26" i="2"/>
  <c r="CI26" i="2"/>
  <c r="AN26" i="2"/>
  <c r="CZ26" i="2"/>
  <c r="BM26" i="2"/>
  <c r="R26" i="2"/>
  <c r="CD26" i="2"/>
  <c r="AE26" i="2"/>
  <c r="CQ26" i="2"/>
  <c r="AV26" i="2"/>
  <c r="DH26" i="2"/>
  <c r="BU26" i="2"/>
  <c r="Z26" i="2"/>
  <c r="CL26" i="2"/>
  <c r="AM26" i="2"/>
  <c r="CY26" i="2"/>
  <c r="BD26" i="2"/>
  <c r="Q26" i="2"/>
  <c r="CC26" i="2"/>
  <c r="AH26" i="2"/>
  <c r="CT26" i="2"/>
  <c r="AU26" i="2"/>
  <c r="DG26" i="2"/>
  <c r="BL26" i="2"/>
  <c r="Y26" i="2"/>
  <c r="CK26" i="2"/>
  <c r="BC26" i="2"/>
  <c r="BT26" i="2"/>
  <c r="AG26" i="2"/>
  <c r="CS26" i="2"/>
  <c r="AX26" i="2"/>
  <c r="DJ26" i="2"/>
  <c r="BK26" i="2"/>
  <c r="P26" i="2"/>
  <c r="CB26" i="2"/>
  <c r="AO26" i="2"/>
  <c r="DA26" i="2"/>
  <c r="BS26" i="2"/>
  <c r="X26" i="2"/>
  <c r="CJ26" i="2"/>
  <c r="CA26" i="2"/>
  <c r="AF26" i="2"/>
  <c r="CR26" i="2"/>
  <c r="BE26" i="2"/>
  <c r="AW26" i="2"/>
  <c r="BF26" i="2"/>
  <c r="BG26" i="2"/>
  <c r="T26" i="2"/>
  <c r="CF26" i="2"/>
  <c r="AS26" i="2"/>
  <c r="DE26" i="2"/>
  <c r="DI26" i="2"/>
  <c r="BN26" i="2"/>
  <c r="BO26" i="2"/>
  <c r="AB26" i="2"/>
  <c r="BA26" i="2"/>
  <c r="AD26" i="2"/>
  <c r="BV26" i="2"/>
  <c r="BW26" i="2"/>
  <c r="AJ26" i="2"/>
  <c r="BI26" i="2"/>
  <c r="BJ26" i="2"/>
  <c r="CN26" i="2"/>
  <c r="DB26" i="2"/>
  <c r="S26" i="2"/>
  <c r="CE26" i="2"/>
  <c r="AR26" i="2"/>
  <c r="BQ26" i="2"/>
  <c r="DD26" i="2"/>
  <c r="BZ26" i="2"/>
  <c r="AA26" i="2"/>
  <c r="CM26" i="2"/>
  <c r="AZ26" i="2"/>
  <c r="BY26" i="2"/>
  <c r="DL26" i="2"/>
  <c r="AI26" i="2"/>
  <c r="CU26" i="2"/>
  <c r="BH26" i="2"/>
  <c r="U26" i="2"/>
  <c r="CG26" i="2"/>
  <c r="BB26" i="2"/>
  <c r="BR26" i="2"/>
  <c r="V26" i="2"/>
  <c r="AQ26" i="2"/>
  <c r="DC26" i="2"/>
  <c r="BP26" i="2"/>
  <c r="AC26" i="2"/>
  <c r="CO26" i="2"/>
  <c r="CX26" i="2"/>
  <c r="DF26" i="2"/>
  <c r="CH26" i="2"/>
  <c r="AP26" i="2"/>
  <c r="AY26" i="2"/>
  <c r="DK26" i="2"/>
  <c r="BX26" i="2"/>
  <c r="AK26" i="2"/>
  <c r="CW26" i="2"/>
  <c r="CP26" i="2"/>
  <c r="AL26" i="2"/>
  <c r="AT26" i="2"/>
  <c r="CV26" i="2"/>
  <c r="AE58" i="2"/>
  <c r="CQ58" i="2"/>
  <c r="BL58" i="2"/>
  <c r="AM58" i="2"/>
  <c r="CY58" i="2"/>
  <c r="BT58" i="2"/>
  <c r="AU58" i="2"/>
  <c r="DG58" i="2"/>
  <c r="P58" i="2"/>
  <c r="CB58" i="2"/>
  <c r="BC58" i="2"/>
  <c r="X58" i="2"/>
  <c r="CJ58" i="2"/>
  <c r="BK58" i="2"/>
  <c r="AF58" i="2"/>
  <c r="CR58" i="2"/>
  <c r="CA58" i="2"/>
  <c r="AV58" i="2"/>
  <c r="DH58" i="2"/>
  <c r="BD58" i="2"/>
  <c r="BU58" i="2"/>
  <c r="S58" i="2"/>
  <c r="CE58" i="2"/>
  <c r="BX58" i="2"/>
  <c r="CZ58" i="2"/>
  <c r="Q58" i="2"/>
  <c r="CC58" i="2"/>
  <c r="AA58" i="2"/>
  <c r="CM58" i="2"/>
  <c r="T58" i="2"/>
  <c r="CF58" i="2"/>
  <c r="R58" i="2"/>
  <c r="Y58" i="2"/>
  <c r="CK58" i="2"/>
  <c r="AI58" i="2"/>
  <c r="CU58" i="2"/>
  <c r="AB58" i="2"/>
  <c r="CN58" i="2"/>
  <c r="AH58" i="2"/>
  <c r="AL58" i="2"/>
  <c r="Z58" i="2"/>
  <c r="AX58" i="2"/>
  <c r="AG58" i="2"/>
  <c r="CS58" i="2"/>
  <c r="AQ58" i="2"/>
  <c r="DC58" i="2"/>
  <c r="AJ58" i="2"/>
  <c r="CV58" i="2"/>
  <c r="BB58" i="2"/>
  <c r="BI58" i="2"/>
  <c r="U58" i="2"/>
  <c r="V58" i="2"/>
  <c r="AT58" i="2"/>
  <c r="W58" i="2"/>
  <c r="AO58" i="2"/>
  <c r="DA58" i="2"/>
  <c r="AY58" i="2"/>
  <c r="DK58" i="2"/>
  <c r="AR58" i="2"/>
  <c r="DD58" i="2"/>
  <c r="BY58" i="2"/>
  <c r="AK58" i="2"/>
  <c r="CD58" i="2"/>
  <c r="AP58" i="2"/>
  <c r="AS58" i="2"/>
  <c r="BQ58" i="2"/>
  <c r="BS58" i="2"/>
  <c r="AW58" i="2"/>
  <c r="DI58" i="2"/>
  <c r="BG58" i="2"/>
  <c r="AZ58" i="2"/>
  <c r="DL58" i="2"/>
  <c r="CT58" i="2"/>
  <c r="BF58" i="2"/>
  <c r="CX58" i="2"/>
  <c r="BJ58" i="2"/>
  <c r="BN58" i="2"/>
  <c r="CL58" i="2"/>
  <c r="CI58" i="2"/>
  <c r="BE58" i="2"/>
  <c r="BO58" i="2"/>
  <c r="BH58" i="2"/>
  <c r="BZ58" i="2"/>
  <c r="CG58" i="2"/>
  <c r="CH58" i="2"/>
  <c r="DF58" i="2"/>
  <c r="AN58" i="2"/>
  <c r="BM58" i="2"/>
  <c r="BW58" i="2"/>
  <c r="BP58" i="2"/>
  <c r="CW58" i="2"/>
  <c r="DB58" i="2"/>
  <c r="DE58" i="2"/>
  <c r="AC58" i="2"/>
  <c r="BV58" i="2"/>
  <c r="BR58" i="2"/>
  <c r="AD58" i="2"/>
  <c r="CO58" i="2"/>
  <c r="DJ58" i="2"/>
  <c r="BA58" i="2"/>
  <c r="CP58" i="2"/>
  <c r="AN21" i="2"/>
  <c r="CZ21" i="2"/>
  <c r="BE21" i="2"/>
  <c r="BF21" i="2"/>
  <c r="AV21" i="2"/>
  <c r="DH21" i="2"/>
  <c r="BM21" i="2"/>
  <c r="BD21" i="2"/>
  <c r="BV21" i="2"/>
  <c r="BL21" i="2"/>
  <c r="Q21" i="2"/>
  <c r="BT21" i="2"/>
  <c r="Y21" i="2"/>
  <c r="Z21" i="2"/>
  <c r="CL21" i="2"/>
  <c r="P21" i="2"/>
  <c r="CB21" i="2"/>
  <c r="AG21" i="2"/>
  <c r="X21" i="2"/>
  <c r="CJ21" i="2"/>
  <c r="AF21" i="2"/>
  <c r="CR21" i="2"/>
  <c r="AW21" i="2"/>
  <c r="AH21" i="2"/>
  <c r="AA21" i="2"/>
  <c r="AJ21" i="2"/>
  <c r="CV21" i="2"/>
  <c r="BI21" i="2"/>
  <c r="AD21" i="2"/>
  <c r="CP21" i="2"/>
  <c r="W21" i="2"/>
  <c r="AU21" i="2"/>
  <c r="AP21" i="2"/>
  <c r="AI21" i="2"/>
  <c r="AR21" i="2"/>
  <c r="DD21" i="2"/>
  <c r="BQ21" i="2"/>
  <c r="AL21" i="2"/>
  <c r="CX21" i="2"/>
  <c r="BU21" i="2"/>
  <c r="CC21" i="2"/>
  <c r="AX21" i="2"/>
  <c r="AQ21" i="2"/>
  <c r="AZ21" i="2"/>
  <c r="DL21" i="2"/>
  <c r="BY21" i="2"/>
  <c r="AT21" i="2"/>
  <c r="DF21" i="2"/>
  <c r="CQ21" i="2"/>
  <c r="CY21" i="2"/>
  <c r="BN21" i="2"/>
  <c r="AY21" i="2"/>
  <c r="BH21" i="2"/>
  <c r="U21" i="2"/>
  <c r="CG21" i="2"/>
  <c r="BB21" i="2"/>
  <c r="BS21" i="2"/>
  <c r="DK21" i="2"/>
  <c r="AM21" i="2"/>
  <c r="CD21" i="2"/>
  <c r="BG21" i="2"/>
  <c r="BP21" i="2"/>
  <c r="AC21" i="2"/>
  <c r="CO21" i="2"/>
  <c r="BJ21" i="2"/>
  <c r="CM21" i="2"/>
  <c r="CA21" i="2"/>
  <c r="CT21" i="2"/>
  <c r="BX21" i="2"/>
  <c r="AK21" i="2"/>
  <c r="CW21" i="2"/>
  <c r="BR21" i="2"/>
  <c r="DI21" i="2"/>
  <c r="AE21" i="2"/>
  <c r="CU21" i="2"/>
  <c r="DB21" i="2"/>
  <c r="T21" i="2"/>
  <c r="CF21" i="2"/>
  <c r="AS21" i="2"/>
  <c r="DE21" i="2"/>
  <c r="BZ21" i="2"/>
  <c r="BW21" i="2"/>
  <c r="AO21" i="2"/>
  <c r="R21" i="2"/>
  <c r="DJ21" i="2"/>
  <c r="S21" i="2"/>
  <c r="AB21" i="2"/>
  <c r="CN21" i="2"/>
  <c r="BA21" i="2"/>
  <c r="V21" i="2"/>
  <c r="CH21" i="2"/>
  <c r="CS21" i="2"/>
  <c r="BK21" i="2"/>
  <c r="CI21" i="2"/>
  <c r="DC21" i="2"/>
  <c r="BC21" i="2"/>
  <c r="CE21" i="2"/>
  <c r="DG21" i="2"/>
  <c r="DA21" i="2"/>
  <c r="CK21" i="2"/>
  <c r="BO21" i="2"/>
  <c r="BP57" i="2"/>
  <c r="AK57" i="2"/>
  <c r="CW57" i="2"/>
  <c r="BX57" i="2"/>
  <c r="AS57" i="2"/>
  <c r="DE57" i="2"/>
  <c r="T57" i="2"/>
  <c r="CF57" i="2"/>
  <c r="BA57" i="2"/>
  <c r="AB57" i="2"/>
  <c r="CN57" i="2"/>
  <c r="BI57" i="2"/>
  <c r="AJ57" i="2"/>
  <c r="CV57" i="2"/>
  <c r="BQ57" i="2"/>
  <c r="AR57" i="2"/>
  <c r="AZ57" i="2"/>
  <c r="DL57" i="2"/>
  <c r="U57" i="2"/>
  <c r="CG57" i="2"/>
  <c r="AT57" i="2"/>
  <c r="DF57" i="2"/>
  <c r="BD57" i="2"/>
  <c r="AW57" i="2"/>
  <c r="DI57" i="2"/>
  <c r="CM57" i="2"/>
  <c r="AY57" i="2"/>
  <c r="CT57" i="2"/>
  <c r="BF57" i="2"/>
  <c r="BG57" i="2"/>
  <c r="CE57" i="2"/>
  <c r="BB57" i="2"/>
  <c r="BL57" i="2"/>
  <c r="BE57" i="2"/>
  <c r="DJ57" i="2"/>
  <c r="BV57" i="2"/>
  <c r="CA57" i="2"/>
  <c r="CD57" i="2"/>
  <c r="DB57" i="2"/>
  <c r="BH57" i="2"/>
  <c r="BJ57" i="2"/>
  <c r="BT57" i="2"/>
  <c r="BM57" i="2"/>
  <c r="CQ57" i="2"/>
  <c r="CU57" i="2"/>
  <c r="CY57" i="2"/>
  <c r="DD57" i="2"/>
  <c r="BR57" i="2"/>
  <c r="P57" i="2"/>
  <c r="CB57" i="2"/>
  <c r="BU57" i="2"/>
  <c r="DK57" i="2"/>
  <c r="AC57" i="2"/>
  <c r="BZ57" i="2"/>
  <c r="X57" i="2"/>
  <c r="CJ57" i="2"/>
  <c r="Q57" i="2"/>
  <c r="CC57" i="2"/>
  <c r="BY57" i="2"/>
  <c r="V57" i="2"/>
  <c r="CH57" i="2"/>
  <c r="AF57" i="2"/>
  <c r="CR57" i="2"/>
  <c r="Y57" i="2"/>
  <c r="CK57" i="2"/>
  <c r="AA57" i="2"/>
  <c r="AH57" i="2"/>
  <c r="S57" i="2"/>
  <c r="CO57" i="2"/>
  <c r="AD57" i="2"/>
  <c r="CP57" i="2"/>
  <c r="AN57" i="2"/>
  <c r="CZ57" i="2"/>
  <c r="AG57" i="2"/>
  <c r="CS57" i="2"/>
  <c r="AX57" i="2"/>
  <c r="BC57" i="2"/>
  <c r="R57" i="2"/>
  <c r="AP57" i="2"/>
  <c r="AL57" i="2"/>
  <c r="CX57" i="2"/>
  <c r="AV57" i="2"/>
  <c r="DH57" i="2"/>
  <c r="AO57" i="2"/>
  <c r="DA57" i="2"/>
  <c r="BS57" i="2"/>
  <c r="AE57" i="2"/>
  <c r="BW57" i="2"/>
  <c r="AI57" i="2"/>
  <c r="AM57" i="2"/>
  <c r="BK57" i="2"/>
  <c r="W57" i="2"/>
  <c r="AQ57" i="2"/>
  <c r="CL57" i="2"/>
  <c r="BN57" i="2"/>
  <c r="Z57" i="2"/>
  <c r="AU57" i="2"/>
  <c r="CI57" i="2"/>
  <c r="DC57" i="2"/>
  <c r="DG57" i="2"/>
  <c r="BO57" i="2"/>
  <c r="W11" i="2"/>
  <c r="CI11" i="2"/>
  <c r="AV11" i="2"/>
  <c r="Q11" i="2"/>
  <c r="CC11" i="2"/>
  <c r="AP11" i="2"/>
  <c r="T11" i="2"/>
  <c r="CF11" i="2"/>
  <c r="BA11" i="2"/>
  <c r="CX11" i="2"/>
  <c r="AE11" i="2"/>
  <c r="CQ11" i="2"/>
  <c r="Y11" i="2"/>
  <c r="CK11" i="2"/>
  <c r="AX11" i="2"/>
  <c r="AB11" i="2"/>
  <c r="CN11" i="2"/>
  <c r="BI11" i="2"/>
  <c r="AM11" i="2"/>
  <c r="CY11" i="2"/>
  <c r="AG11" i="2"/>
  <c r="CS11" i="2"/>
  <c r="BF11" i="2"/>
  <c r="AJ11" i="2"/>
  <c r="CV11" i="2"/>
  <c r="BQ11" i="2"/>
  <c r="V11" i="2"/>
  <c r="AU11" i="2"/>
  <c r="DG11" i="2"/>
  <c r="AO11" i="2"/>
  <c r="DA11" i="2"/>
  <c r="AR11" i="2"/>
  <c r="DD11" i="2"/>
  <c r="BY11" i="2"/>
  <c r="BB11" i="2"/>
  <c r="BC11" i="2"/>
  <c r="P11" i="2"/>
  <c r="AW11" i="2"/>
  <c r="DI11" i="2"/>
  <c r="AZ11" i="2"/>
  <c r="DL11" i="2"/>
  <c r="U11" i="2"/>
  <c r="CG11" i="2"/>
  <c r="S11" i="2"/>
  <c r="BT11" i="2"/>
  <c r="BK11" i="2"/>
  <c r="X11" i="2"/>
  <c r="BE11" i="2"/>
  <c r="R11" i="2"/>
  <c r="BH11" i="2"/>
  <c r="AC11" i="2"/>
  <c r="CO11" i="2"/>
  <c r="AY11" i="2"/>
  <c r="CJ11" i="2"/>
  <c r="BS11" i="2"/>
  <c r="AF11" i="2"/>
  <c r="BM11" i="2"/>
  <c r="Z11" i="2"/>
  <c r="BP11" i="2"/>
  <c r="AK11" i="2"/>
  <c r="CW11" i="2"/>
  <c r="BR11" i="2"/>
  <c r="CZ11" i="2"/>
  <c r="BG11" i="2"/>
  <c r="CR11" i="2"/>
  <c r="CT11" i="2"/>
  <c r="AH11" i="2"/>
  <c r="AS11" i="2"/>
  <c r="BW11" i="2"/>
  <c r="DH11" i="2"/>
  <c r="DJ11" i="2"/>
  <c r="DE11" i="2"/>
  <c r="AA11" i="2"/>
  <c r="CM11" i="2"/>
  <c r="BD11" i="2"/>
  <c r="DC11" i="2"/>
  <c r="AI11" i="2"/>
  <c r="CA11" i="2"/>
  <c r="BV11" i="2"/>
  <c r="BJ11" i="2"/>
  <c r="CH11" i="2"/>
  <c r="CL11" i="2"/>
  <c r="BZ11" i="2"/>
  <c r="AL11" i="2"/>
  <c r="AQ11" i="2"/>
  <c r="AN11" i="2"/>
  <c r="DB11" i="2"/>
  <c r="CP11" i="2"/>
  <c r="BL11" i="2"/>
  <c r="BN11" i="2"/>
  <c r="BU11" i="2"/>
  <c r="BX11" i="2"/>
  <c r="AD11" i="2"/>
  <c r="DF11" i="2"/>
  <c r="CB11" i="2"/>
  <c r="CD11" i="2"/>
  <c r="DK11" i="2"/>
  <c r="CE11" i="2"/>
  <c r="BO11" i="2"/>
  <c r="AT11" i="2"/>
  <c r="CU11" i="2"/>
  <c r="BV100" i="2"/>
  <c r="R100" i="2"/>
  <c r="CD100" i="2"/>
  <c r="Z100" i="2"/>
  <c r="CL100" i="2"/>
  <c r="AH100" i="2"/>
  <c r="CT100" i="2"/>
  <c r="AP100" i="2"/>
  <c r="DB100" i="2"/>
  <c r="AX100" i="2"/>
  <c r="DJ100" i="2"/>
  <c r="BF100" i="2"/>
  <c r="BN100" i="2"/>
  <c r="BB100" i="2"/>
  <c r="AF100" i="2"/>
  <c r="AR100" i="2"/>
  <c r="CJ100" i="2"/>
  <c r="CK100" i="2"/>
  <c r="CB100" i="2"/>
  <c r="BH100" i="2"/>
  <c r="BT100" i="2"/>
  <c r="DL100" i="2"/>
  <c r="BJ100" i="2"/>
  <c r="AQ100" i="2"/>
  <c r="BC100" i="2"/>
  <c r="CU100" i="2"/>
  <c r="CV100" i="2"/>
  <c r="CM100" i="2"/>
  <c r="BS100" i="2"/>
  <c r="CE100" i="2"/>
  <c r="BR100" i="2"/>
  <c r="BA100" i="2"/>
  <c r="BM100" i="2"/>
  <c r="X100" i="2"/>
  <c r="DE100" i="2"/>
  <c r="Y100" i="2"/>
  <c r="DG100" i="2"/>
  <c r="P100" i="2"/>
  <c r="CW100" i="2"/>
  <c r="CC100" i="2"/>
  <c r="CO100" i="2"/>
  <c r="CF100" i="2"/>
  <c r="AZ100" i="2"/>
  <c r="BZ100" i="2"/>
  <c r="BL100" i="2"/>
  <c r="BX100" i="2"/>
  <c r="AI100" i="2"/>
  <c r="AJ100" i="2"/>
  <c r="AA100" i="2"/>
  <c r="DH100" i="2"/>
  <c r="CN100" i="2"/>
  <c r="S100" i="2"/>
  <c r="CZ100" i="2"/>
  <c r="V100" i="2"/>
  <c r="CH100" i="2"/>
  <c r="BW100" i="2"/>
  <c r="CI100" i="2"/>
  <c r="AS100" i="2"/>
  <c r="AU100" i="2"/>
  <c r="AK100" i="2"/>
  <c r="Q100" i="2"/>
  <c r="CY100" i="2"/>
  <c r="AC100" i="2"/>
  <c r="DK100" i="2"/>
  <c r="AD100" i="2"/>
  <c r="CP100" i="2"/>
  <c r="CG100" i="2"/>
  <c r="CS100" i="2"/>
  <c r="BD100" i="2"/>
  <c r="BE100" i="2"/>
  <c r="AV100" i="2"/>
  <c r="AB100" i="2"/>
  <c r="DI100" i="2"/>
  <c r="AN100" i="2"/>
  <c r="AL100" i="2"/>
  <c r="CX100" i="2"/>
  <c r="CR100" i="2"/>
  <c r="W100" i="2"/>
  <c r="DD100" i="2"/>
  <c r="BO100" i="2"/>
  <c r="BP100" i="2"/>
  <c r="BG100" i="2"/>
  <c r="AM100" i="2"/>
  <c r="AY100" i="2"/>
  <c r="AT100" i="2"/>
  <c r="DF100" i="2"/>
  <c r="U100" i="2"/>
  <c r="DC100" i="2"/>
  <c r="AG100" i="2"/>
  <c r="BY100" i="2"/>
  <c r="CA100" i="2"/>
  <c r="BQ100" i="2"/>
  <c r="AW100" i="2"/>
  <c r="BI100" i="2"/>
  <c r="AF43" i="2"/>
  <c r="CR43" i="2"/>
  <c r="BE43" i="2"/>
  <c r="AP43" i="2"/>
  <c r="DB43" i="2"/>
  <c r="AA43" i="2"/>
  <c r="CM43" i="2"/>
  <c r="BX43" i="2"/>
  <c r="AN43" i="2"/>
  <c r="CZ43" i="2"/>
  <c r="BM43" i="2"/>
  <c r="AX43" i="2"/>
  <c r="DJ43" i="2"/>
  <c r="AI43" i="2"/>
  <c r="CU43" i="2"/>
  <c r="T43" i="2"/>
  <c r="CF43" i="2"/>
  <c r="AV43" i="2"/>
  <c r="DH43" i="2"/>
  <c r="BU43" i="2"/>
  <c r="BF43" i="2"/>
  <c r="AQ43" i="2"/>
  <c r="DC43" i="2"/>
  <c r="AB43" i="2"/>
  <c r="CN43" i="2"/>
  <c r="BD43" i="2"/>
  <c r="Q43" i="2"/>
  <c r="CC43" i="2"/>
  <c r="BN43" i="2"/>
  <c r="AY43" i="2"/>
  <c r="DK43" i="2"/>
  <c r="AJ43" i="2"/>
  <c r="CV43" i="2"/>
  <c r="BL43" i="2"/>
  <c r="Y43" i="2"/>
  <c r="CK43" i="2"/>
  <c r="BV43" i="2"/>
  <c r="BG43" i="2"/>
  <c r="AR43" i="2"/>
  <c r="DD43" i="2"/>
  <c r="BT43" i="2"/>
  <c r="AG43" i="2"/>
  <c r="CS43" i="2"/>
  <c r="P43" i="2"/>
  <c r="CB43" i="2"/>
  <c r="AO43" i="2"/>
  <c r="DA43" i="2"/>
  <c r="Z43" i="2"/>
  <c r="CL43" i="2"/>
  <c r="BW43" i="2"/>
  <c r="BH43" i="2"/>
  <c r="X43" i="2"/>
  <c r="CJ43" i="2"/>
  <c r="AW43" i="2"/>
  <c r="DI43" i="2"/>
  <c r="AH43" i="2"/>
  <c r="CT43" i="2"/>
  <c r="S43" i="2"/>
  <c r="CE43" i="2"/>
  <c r="BP43" i="2"/>
  <c r="BJ43" i="2"/>
  <c r="BR43" i="2"/>
  <c r="AE43" i="2"/>
  <c r="AS43" i="2"/>
  <c r="BO43" i="2"/>
  <c r="BZ43" i="2"/>
  <c r="BK43" i="2"/>
  <c r="AM43" i="2"/>
  <c r="BY43" i="2"/>
  <c r="AZ43" i="2"/>
  <c r="V43" i="2"/>
  <c r="CH43" i="2"/>
  <c r="CQ43" i="2"/>
  <c r="AK43" i="2"/>
  <c r="BS43" i="2"/>
  <c r="DE43" i="2"/>
  <c r="R43" i="2"/>
  <c r="DL43" i="2"/>
  <c r="AD43" i="2"/>
  <c r="CP43" i="2"/>
  <c r="BQ43" i="2"/>
  <c r="CY43" i="2"/>
  <c r="CD43" i="2"/>
  <c r="AL43" i="2"/>
  <c r="CX43" i="2"/>
  <c r="CW43" i="2"/>
  <c r="BB43" i="2"/>
  <c r="BC43" i="2"/>
  <c r="CI43" i="2"/>
  <c r="U43" i="2"/>
  <c r="BI43" i="2"/>
  <c r="BA43" i="2"/>
  <c r="AT43" i="2"/>
  <c r="AU43" i="2"/>
  <c r="CG43" i="2"/>
  <c r="DF43" i="2"/>
  <c r="CA43" i="2"/>
  <c r="DG43" i="2"/>
  <c r="AC43" i="2"/>
  <c r="CO43" i="2"/>
  <c r="W43" i="2"/>
  <c r="AL77" i="2"/>
  <c r="CX77" i="2"/>
  <c r="W77" i="2"/>
  <c r="CI77" i="2"/>
  <c r="AG77" i="2"/>
  <c r="CS77" i="2"/>
  <c r="AX77" i="2"/>
  <c r="AY77" i="2"/>
  <c r="DK77" i="2"/>
  <c r="CF77" i="2"/>
  <c r="BL77" i="2"/>
  <c r="AT77" i="2"/>
  <c r="DF77" i="2"/>
  <c r="AE77" i="2"/>
  <c r="CQ77" i="2"/>
  <c r="AO77" i="2"/>
  <c r="DA77" i="2"/>
  <c r="BF77" i="2"/>
  <c r="BG77" i="2"/>
  <c r="CV77" i="2"/>
  <c r="CG77" i="2"/>
  <c r="BB77" i="2"/>
  <c r="AM77" i="2"/>
  <c r="CY77" i="2"/>
  <c r="AW77" i="2"/>
  <c r="DI77" i="2"/>
  <c r="BN77" i="2"/>
  <c r="BO77" i="2"/>
  <c r="P77" i="2"/>
  <c r="DL77" i="2"/>
  <c r="CW77" i="2"/>
  <c r="BP77" i="2"/>
  <c r="BJ77" i="2"/>
  <c r="AU77" i="2"/>
  <c r="DG77" i="2"/>
  <c r="BE77" i="2"/>
  <c r="BV77" i="2"/>
  <c r="BW77" i="2"/>
  <c r="AJ77" i="2"/>
  <c r="AK77" i="2"/>
  <c r="BR77" i="2"/>
  <c r="BC77" i="2"/>
  <c r="BM77" i="2"/>
  <c r="R77" i="2"/>
  <c r="CD77" i="2"/>
  <c r="S77" i="2"/>
  <c r="CE77" i="2"/>
  <c r="BD77" i="2"/>
  <c r="BH77" i="2"/>
  <c r="BZ77" i="2"/>
  <c r="BK77" i="2"/>
  <c r="BU77" i="2"/>
  <c r="Z77" i="2"/>
  <c r="AA77" i="2"/>
  <c r="CM77" i="2"/>
  <c r="BY77" i="2"/>
  <c r="CB77" i="2"/>
  <c r="T77" i="2"/>
  <c r="V77" i="2"/>
  <c r="CH77" i="2"/>
  <c r="BS77" i="2"/>
  <c r="Q77" i="2"/>
  <c r="CC77" i="2"/>
  <c r="AH77" i="2"/>
  <c r="AI77" i="2"/>
  <c r="CU77" i="2"/>
  <c r="CR77" i="2"/>
  <c r="CT77" i="2"/>
  <c r="AN77" i="2"/>
  <c r="U77" i="2"/>
  <c r="AD77" i="2"/>
  <c r="CP77" i="2"/>
  <c r="CA77" i="2"/>
  <c r="Y77" i="2"/>
  <c r="CK77" i="2"/>
  <c r="AP77" i="2"/>
  <c r="AQ77" i="2"/>
  <c r="DC77" i="2"/>
  <c r="DH77" i="2"/>
  <c r="DJ77" i="2"/>
  <c r="BI77" i="2"/>
  <c r="AR77" i="2"/>
  <c r="AB77" i="2"/>
  <c r="AC77" i="2"/>
  <c r="AF77" i="2"/>
  <c r="AV77" i="2"/>
  <c r="AZ77" i="2"/>
  <c r="BQ77" i="2"/>
  <c r="BT77" i="2"/>
  <c r="BA77" i="2"/>
  <c r="X77" i="2"/>
  <c r="CL77" i="2"/>
  <c r="CN77" i="2"/>
  <c r="AS77" i="2"/>
  <c r="DB77" i="2"/>
  <c r="DD77" i="2"/>
  <c r="CJ77" i="2"/>
  <c r="BX77" i="2"/>
  <c r="CZ77" i="2"/>
  <c r="CO77" i="2"/>
  <c r="DE77" i="2"/>
  <c r="BH67" i="2"/>
  <c r="BK67" i="2"/>
  <c r="AX67" i="2"/>
  <c r="AD67" i="2"/>
  <c r="DB67" i="2"/>
  <c r="BA67" i="2"/>
  <c r="AH67" i="2"/>
  <c r="DE67" i="2"/>
  <c r="AT67" i="2"/>
  <c r="BP67" i="2"/>
  <c r="BS67" i="2"/>
  <c r="BI67" i="2"/>
  <c r="AO67" i="2"/>
  <c r="DJ67" i="2"/>
  <c r="BL67" i="2"/>
  <c r="AS67" i="2"/>
  <c r="BE67" i="2"/>
  <c r="BX67" i="2"/>
  <c r="BT67" i="2"/>
  <c r="AY67" i="2"/>
  <c r="BV67" i="2"/>
  <c r="BD67" i="2"/>
  <c r="BO67" i="2"/>
  <c r="T67" i="2"/>
  <c r="W67" i="2"/>
  <c r="CC67" i="2"/>
  <c r="BJ67" i="2"/>
  <c r="CE67" i="2"/>
  <c r="BN67" i="2"/>
  <c r="BZ67" i="2"/>
  <c r="AB67" i="2"/>
  <c r="AE67" i="2"/>
  <c r="CK67" i="2"/>
  <c r="BU67" i="2"/>
  <c r="CM67" i="2"/>
  <c r="BY67" i="2"/>
  <c r="CH67" i="2"/>
  <c r="AJ67" i="2"/>
  <c r="AM67" i="2"/>
  <c r="R67" i="2"/>
  <c r="CS67" i="2"/>
  <c r="CD67" i="2"/>
  <c r="U67" i="2"/>
  <c r="CU67" i="2"/>
  <c r="CG67" i="2"/>
  <c r="CP67" i="2"/>
  <c r="AR67" i="2"/>
  <c r="AU67" i="2"/>
  <c r="AC67" i="2"/>
  <c r="DA67" i="2"/>
  <c r="CL67" i="2"/>
  <c r="AF67" i="2"/>
  <c r="DC67" i="2"/>
  <c r="CO67" i="2"/>
  <c r="AZ67" i="2"/>
  <c r="BC67" i="2"/>
  <c r="AN67" i="2"/>
  <c r="DI67" i="2"/>
  <c r="S67" i="2"/>
  <c r="CT67" i="2"/>
  <c r="AP67" i="2"/>
  <c r="DK67" i="2"/>
  <c r="X67" i="2"/>
  <c r="CW67" i="2"/>
  <c r="AI67" i="2"/>
  <c r="DF67" i="2"/>
  <c r="BQ67" i="2"/>
  <c r="P67" i="2"/>
  <c r="AW67" i="2"/>
  <c r="CY67" i="2"/>
  <c r="CZ67" i="2"/>
  <c r="CN67" i="2"/>
  <c r="AQ67" i="2"/>
  <c r="CA67" i="2"/>
  <c r="CR67" i="2"/>
  <c r="DH67" i="2"/>
  <c r="BR67" i="2"/>
  <c r="CV67" i="2"/>
  <c r="Y67" i="2"/>
  <c r="CQ67" i="2"/>
  <c r="AV67" i="2"/>
  <c r="BG67" i="2"/>
  <c r="CX67" i="2"/>
  <c r="AK67" i="2"/>
  <c r="DL67" i="2"/>
  <c r="BM67" i="2"/>
  <c r="Z67" i="2"/>
  <c r="AA67" i="2"/>
  <c r="CJ67" i="2"/>
  <c r="BB67" i="2"/>
  <c r="BF67" i="2"/>
  <c r="BW67" i="2"/>
  <c r="DG67" i="2"/>
  <c r="AL67" i="2"/>
  <c r="V67" i="2"/>
  <c r="CB67" i="2"/>
  <c r="CF67" i="2"/>
  <c r="CI67" i="2"/>
  <c r="Q67" i="2"/>
  <c r="DD67" i="2"/>
  <c r="AG67" i="2"/>
  <c r="BN88" i="2"/>
  <c r="BV88" i="2"/>
  <c r="R88" i="2"/>
  <c r="CD88" i="2"/>
  <c r="Z88" i="2"/>
  <c r="CL88" i="2"/>
  <c r="AH88" i="2"/>
  <c r="CT88" i="2"/>
  <c r="AP88" i="2"/>
  <c r="DB88" i="2"/>
  <c r="AX88" i="2"/>
  <c r="DJ88" i="2"/>
  <c r="BF88" i="2"/>
  <c r="X88" i="2"/>
  <c r="CJ88" i="2"/>
  <c r="BQ88" i="2"/>
  <c r="AB88" i="2"/>
  <c r="DI88" i="2"/>
  <c r="CE88" i="2"/>
  <c r="CP88" i="2"/>
  <c r="BW88" i="2"/>
  <c r="AR88" i="2"/>
  <c r="AF88" i="2"/>
  <c r="CR88" i="2"/>
  <c r="CA88" i="2"/>
  <c r="AL88" i="2"/>
  <c r="CO88" i="2"/>
  <c r="T88" i="2"/>
  <c r="DA88" i="2"/>
  <c r="CG88" i="2"/>
  <c r="BB88" i="2"/>
  <c r="AN88" i="2"/>
  <c r="CZ88" i="2"/>
  <c r="CM88" i="2"/>
  <c r="AW88" i="2"/>
  <c r="S88" i="2"/>
  <c r="CY88" i="2"/>
  <c r="AD88" i="2"/>
  <c r="DL88" i="2"/>
  <c r="CQ88" i="2"/>
  <c r="BM88" i="2"/>
  <c r="AS88" i="2"/>
  <c r="AV88" i="2"/>
  <c r="DH88" i="2"/>
  <c r="CW88" i="2"/>
  <c r="BH88" i="2"/>
  <c r="AC88" i="2"/>
  <c r="DK88" i="2"/>
  <c r="AO88" i="2"/>
  <c r="U88" i="2"/>
  <c r="DC88" i="2"/>
  <c r="BX88" i="2"/>
  <c r="BD88" i="2"/>
  <c r="AA88" i="2"/>
  <c r="DG88" i="2"/>
  <c r="BR88" i="2"/>
  <c r="AM88" i="2"/>
  <c r="AZ88" i="2"/>
  <c r="AE88" i="2"/>
  <c r="CH88" i="2"/>
  <c r="BL88" i="2"/>
  <c r="AK88" i="2"/>
  <c r="CC88" i="2"/>
  <c r="AY88" i="2"/>
  <c r="BJ88" i="2"/>
  <c r="AQ88" i="2"/>
  <c r="CS88" i="2"/>
  <c r="BT88" i="2"/>
  <c r="AU88" i="2"/>
  <c r="CN88" i="2"/>
  <c r="BI88" i="2"/>
  <c r="BU88" i="2"/>
  <c r="BA88" i="2"/>
  <c r="P88" i="2"/>
  <c r="CB88" i="2"/>
  <c r="BG88" i="2"/>
  <c r="Q88" i="2"/>
  <c r="CX88" i="2"/>
  <c r="BS88" i="2"/>
  <c r="CF88" i="2"/>
  <c r="BK88" i="2"/>
  <c r="AG88" i="2"/>
  <c r="BC88" i="2"/>
  <c r="DF88" i="2"/>
  <c r="AT88" i="2"/>
  <c r="BO88" i="2"/>
  <c r="BE88" i="2"/>
  <c r="AJ88" i="2"/>
  <c r="BY88" i="2"/>
  <c r="CI88" i="2"/>
  <c r="BZ88" i="2"/>
  <c r="CU88" i="2"/>
  <c r="BP88" i="2"/>
  <c r="DE88" i="2"/>
  <c r="V88" i="2"/>
  <c r="W88" i="2"/>
  <c r="DD88" i="2"/>
  <c r="AI88" i="2"/>
  <c r="CK88" i="2"/>
  <c r="CV88" i="2"/>
  <c r="Y88" i="2"/>
  <c r="S55" i="2"/>
  <c r="CE55" i="2"/>
  <c r="AB55" i="2"/>
  <c r="AA55" i="2"/>
  <c r="AJ55" i="2"/>
  <c r="AI55" i="2"/>
  <c r="AR55" i="2"/>
  <c r="AQ55" i="2"/>
  <c r="AZ55" i="2"/>
  <c r="AY55" i="2"/>
  <c r="BH55" i="2"/>
  <c r="BW55" i="2"/>
  <c r="T55" i="2"/>
  <c r="CF55" i="2"/>
  <c r="BG55" i="2"/>
  <c r="BZ55" i="2"/>
  <c r="AV55" i="2"/>
  <c r="BQ55" i="2"/>
  <c r="DG55" i="2"/>
  <c r="BU55" i="2"/>
  <c r="BO55" i="2"/>
  <c r="V55" i="2"/>
  <c r="CH55" i="2"/>
  <c r="BD55" i="2"/>
  <c r="CG55" i="2"/>
  <c r="W55" i="2"/>
  <c r="CJ55" i="2"/>
  <c r="AD55" i="2"/>
  <c r="BL55" i="2"/>
  <c r="CP55" i="2"/>
  <c r="AM55" i="2"/>
  <c r="CR55" i="2"/>
  <c r="AL55" i="2"/>
  <c r="BT55" i="2"/>
  <c r="CX55" i="2"/>
  <c r="BC55" i="2"/>
  <c r="CZ55" i="2"/>
  <c r="BP55" i="2"/>
  <c r="AT55" i="2"/>
  <c r="P55" i="2"/>
  <c r="CB55" i="2"/>
  <c r="DF55" i="2"/>
  <c r="BS55" i="2"/>
  <c r="DH55" i="2"/>
  <c r="BX55" i="2"/>
  <c r="BB55" i="2"/>
  <c r="X55" i="2"/>
  <c r="U55" i="2"/>
  <c r="BJ55" i="2"/>
  <c r="AF55" i="2"/>
  <c r="AK55" i="2"/>
  <c r="CQ55" i="2"/>
  <c r="AO55" i="2"/>
  <c r="CY55" i="2"/>
  <c r="CS55" i="2"/>
  <c r="AS55" i="2"/>
  <c r="AE55" i="2"/>
  <c r="DE55" i="2"/>
  <c r="AG55" i="2"/>
  <c r="BM55" i="2"/>
  <c r="DA55" i="2"/>
  <c r="BI55" i="2"/>
  <c r="AU55" i="2"/>
  <c r="R55" i="2"/>
  <c r="CV55" i="2"/>
  <c r="DI55" i="2"/>
  <c r="BY55" i="2"/>
  <c r="BK55" i="2"/>
  <c r="AH55" i="2"/>
  <c r="AW55" i="2"/>
  <c r="CC55" i="2"/>
  <c r="CN55" i="2"/>
  <c r="Y55" i="2"/>
  <c r="Z55" i="2"/>
  <c r="CL55" i="2"/>
  <c r="CA55" i="2"/>
  <c r="AX55" i="2"/>
  <c r="BR55" i="2"/>
  <c r="AN55" i="2"/>
  <c r="BE55" i="2"/>
  <c r="AP55" i="2"/>
  <c r="CT55" i="2"/>
  <c r="CM55" i="2"/>
  <c r="BN55" i="2"/>
  <c r="BF55" i="2"/>
  <c r="DB55" i="2"/>
  <c r="CU55" i="2"/>
  <c r="CD55" i="2"/>
  <c r="BV55" i="2"/>
  <c r="DJ55" i="2"/>
  <c r="DC55" i="2"/>
  <c r="CO55" i="2"/>
  <c r="BA55" i="2"/>
  <c r="CI55" i="2"/>
  <c r="CK55" i="2"/>
  <c r="AC55" i="2"/>
  <c r="DK55" i="2"/>
  <c r="CW55" i="2"/>
  <c r="DD55" i="2"/>
  <c r="Q55" i="2"/>
  <c r="DL55" i="2"/>
  <c r="AD23" i="2"/>
  <c r="AL23" i="2"/>
  <c r="V23" i="2"/>
  <c r="Z23" i="2"/>
  <c r="T23" i="2"/>
  <c r="BR23" i="2"/>
  <c r="CI23" i="2"/>
  <c r="AV23" i="2"/>
  <c r="DH23" i="2"/>
  <c r="BM23" i="2"/>
  <c r="AH23" i="2"/>
  <c r="AB23" i="2"/>
  <c r="BZ23" i="2"/>
  <c r="W23" i="2"/>
  <c r="CQ23" i="2"/>
  <c r="BD23" i="2"/>
  <c r="BU23" i="2"/>
  <c r="AJ23" i="2"/>
  <c r="CH23" i="2"/>
  <c r="AM23" i="2"/>
  <c r="CY23" i="2"/>
  <c r="BL23" i="2"/>
  <c r="CC23" i="2"/>
  <c r="P23" i="2"/>
  <c r="U23" i="2"/>
  <c r="CP23" i="2"/>
  <c r="AU23" i="2"/>
  <c r="DG23" i="2"/>
  <c r="BT23" i="2"/>
  <c r="X23" i="2"/>
  <c r="AK23" i="2"/>
  <c r="CX23" i="2"/>
  <c r="BC23" i="2"/>
  <c r="CB23" i="2"/>
  <c r="AA23" i="2"/>
  <c r="CS23" i="2"/>
  <c r="AF23" i="2"/>
  <c r="AT23" i="2"/>
  <c r="DF23" i="2"/>
  <c r="BK23" i="2"/>
  <c r="CJ23" i="2"/>
  <c r="AO23" i="2"/>
  <c r="BB23" i="2"/>
  <c r="BS23" i="2"/>
  <c r="Y23" i="2"/>
  <c r="CR23" i="2"/>
  <c r="R23" i="2"/>
  <c r="BJ23" i="2"/>
  <c r="CA23" i="2"/>
  <c r="AN23" i="2"/>
  <c r="CZ23" i="2"/>
  <c r="BE23" i="2"/>
  <c r="DA23" i="2"/>
  <c r="AP23" i="2"/>
  <c r="DB23" i="2"/>
  <c r="BO23" i="2"/>
  <c r="Q23" i="2"/>
  <c r="CN23" i="2"/>
  <c r="AI23" i="2"/>
  <c r="BA23" i="2"/>
  <c r="DI23" i="2"/>
  <c r="AX23" i="2"/>
  <c r="DJ23" i="2"/>
  <c r="BW23" i="2"/>
  <c r="AG23" i="2"/>
  <c r="CV23" i="2"/>
  <c r="CW23" i="2"/>
  <c r="BQ23" i="2"/>
  <c r="BF23" i="2"/>
  <c r="CE23" i="2"/>
  <c r="AR23" i="2"/>
  <c r="DD23" i="2"/>
  <c r="CG23" i="2"/>
  <c r="BN23" i="2"/>
  <c r="CM23" i="2"/>
  <c r="AZ23" i="2"/>
  <c r="DL23" i="2"/>
  <c r="BV23" i="2"/>
  <c r="AE23" i="2"/>
  <c r="CU23" i="2"/>
  <c r="BH23" i="2"/>
  <c r="CD23" i="2"/>
  <c r="AQ23" i="2"/>
  <c r="DC23" i="2"/>
  <c r="BP23" i="2"/>
  <c r="AS23" i="2"/>
  <c r="BY23" i="2"/>
  <c r="AW23" i="2"/>
  <c r="CL23" i="2"/>
  <c r="AY23" i="2"/>
  <c r="DK23" i="2"/>
  <c r="BX23" i="2"/>
  <c r="DE23" i="2"/>
  <c r="BI23" i="2"/>
  <c r="CK23" i="2"/>
  <c r="AC23" i="2"/>
  <c r="CT23" i="2"/>
  <c r="BG23" i="2"/>
  <c r="CF23" i="2"/>
  <c r="S23" i="2"/>
  <c r="CO23" i="2"/>
  <c r="BX86" i="2"/>
  <c r="AU86" i="2"/>
  <c r="DG86" i="2"/>
  <c r="T86" i="2"/>
  <c r="CF86" i="2"/>
  <c r="BC86" i="2"/>
  <c r="AB86" i="2"/>
  <c r="CN86" i="2"/>
  <c r="BK86" i="2"/>
  <c r="AJ86" i="2"/>
  <c r="CV86" i="2"/>
  <c r="BS86" i="2"/>
  <c r="AR86" i="2"/>
  <c r="DD86" i="2"/>
  <c r="CA86" i="2"/>
  <c r="AZ86" i="2"/>
  <c r="DL86" i="2"/>
  <c r="W86" i="2"/>
  <c r="CI86" i="2"/>
  <c r="BH86" i="2"/>
  <c r="AE86" i="2"/>
  <c r="CQ86" i="2"/>
  <c r="BP86" i="2"/>
  <c r="AM86" i="2"/>
  <c r="CY86" i="2"/>
  <c r="AV86" i="2"/>
  <c r="DH86" i="2"/>
  <c r="AH86" i="2"/>
  <c r="CT86" i="2"/>
  <c r="BY86" i="2"/>
  <c r="CS86" i="2"/>
  <c r="DK86" i="2"/>
  <c r="CG86" i="2"/>
  <c r="AL86" i="2"/>
  <c r="BD86" i="2"/>
  <c r="AP86" i="2"/>
  <c r="DB86" i="2"/>
  <c r="CO86" i="2"/>
  <c r="AD86" i="2"/>
  <c r="DI86" i="2"/>
  <c r="CW86" i="2"/>
  <c r="BB86" i="2"/>
  <c r="BL86" i="2"/>
  <c r="AX86" i="2"/>
  <c r="DJ86" i="2"/>
  <c r="DE86" i="2"/>
  <c r="AT86" i="2"/>
  <c r="S86" i="2"/>
  <c r="BR86" i="2"/>
  <c r="AO86" i="2"/>
  <c r="BT86" i="2"/>
  <c r="BF86" i="2"/>
  <c r="BJ86" i="2"/>
  <c r="Q86" i="2"/>
  <c r="AI86" i="2"/>
  <c r="CH86" i="2"/>
  <c r="P86" i="2"/>
  <c r="CB86" i="2"/>
  <c r="BN86" i="2"/>
  <c r="BZ86" i="2"/>
  <c r="AG86" i="2"/>
  <c r="AY86" i="2"/>
  <c r="U86" i="2"/>
  <c r="CX86" i="2"/>
  <c r="X86" i="2"/>
  <c r="CJ86" i="2"/>
  <c r="BV86" i="2"/>
  <c r="AC86" i="2"/>
  <c r="CP86" i="2"/>
  <c r="AW86" i="2"/>
  <c r="BO86" i="2"/>
  <c r="AK86" i="2"/>
  <c r="AF86" i="2"/>
  <c r="CR86" i="2"/>
  <c r="R86" i="2"/>
  <c r="CD86" i="2"/>
  <c r="AS86" i="2"/>
  <c r="DF86" i="2"/>
  <c r="BM86" i="2"/>
  <c r="CE86" i="2"/>
  <c r="BA86" i="2"/>
  <c r="AN86" i="2"/>
  <c r="CZ86" i="2"/>
  <c r="Z86" i="2"/>
  <c r="CL86" i="2"/>
  <c r="BI86" i="2"/>
  <c r="CC86" i="2"/>
  <c r="CU86" i="2"/>
  <c r="BQ86" i="2"/>
  <c r="V86" i="2"/>
  <c r="Y86" i="2"/>
  <c r="CM86" i="2"/>
  <c r="BE86" i="2"/>
  <c r="BW86" i="2"/>
  <c r="BG86" i="2"/>
  <c r="BU86" i="2"/>
  <c r="CK86" i="2"/>
  <c r="DA86" i="2"/>
  <c r="DC86" i="2"/>
  <c r="AQ86" i="2"/>
  <c r="AA86" i="2"/>
  <c r="AK31" i="2"/>
  <c r="CW31" i="2"/>
  <c r="Y31" i="2"/>
  <c r="CK31" i="2"/>
  <c r="BD31" i="2"/>
  <c r="AS31" i="2"/>
  <c r="DE31" i="2"/>
  <c r="AG31" i="2"/>
  <c r="CS31" i="2"/>
  <c r="BO31" i="2"/>
  <c r="BA31" i="2"/>
  <c r="AO31" i="2"/>
  <c r="DA31" i="2"/>
  <c r="BZ31" i="2"/>
  <c r="T31" i="2"/>
  <c r="BI31" i="2"/>
  <c r="AW31" i="2"/>
  <c r="DI31" i="2"/>
  <c r="AB31" i="2"/>
  <c r="BQ31" i="2"/>
  <c r="V31" i="2"/>
  <c r="BE31" i="2"/>
  <c r="CU31" i="2"/>
  <c r="AJ31" i="2"/>
  <c r="BY31" i="2"/>
  <c r="AD31" i="2"/>
  <c r="BM31" i="2"/>
  <c r="U31" i="2"/>
  <c r="CG31" i="2"/>
  <c r="AL31" i="2"/>
  <c r="AC31" i="2"/>
  <c r="CO31" i="2"/>
  <c r="Q31" i="2"/>
  <c r="CC31" i="2"/>
  <c r="CL31" i="2"/>
  <c r="BG31" i="2"/>
  <c r="W31" i="2"/>
  <c r="DJ31" i="2"/>
  <c r="BJ31" i="2"/>
  <c r="Z31" i="2"/>
  <c r="DL31" i="2"/>
  <c r="BW31" i="2"/>
  <c r="P31" i="2"/>
  <c r="CV31" i="2"/>
  <c r="BR31" i="2"/>
  <c r="AM31" i="2"/>
  <c r="BT31" i="2"/>
  <c r="AP31" i="2"/>
  <c r="CH31" i="2"/>
  <c r="AF31" i="2"/>
  <c r="R31" i="2"/>
  <c r="DG31" i="2"/>
  <c r="CB31" i="2"/>
  <c r="AX31" i="2"/>
  <c r="CE31" i="2"/>
  <c r="AZ31" i="2"/>
  <c r="CR31" i="2"/>
  <c r="AT31" i="2"/>
  <c r="AH31" i="2"/>
  <c r="CM31" i="2"/>
  <c r="BH31" i="2"/>
  <c r="CP31" i="2"/>
  <c r="BK31" i="2"/>
  <c r="DC31" i="2"/>
  <c r="CJ31" i="2"/>
  <c r="AU31" i="2"/>
  <c r="CX31" i="2"/>
  <c r="BS31" i="2"/>
  <c r="CZ31" i="2"/>
  <c r="BV31" i="2"/>
  <c r="AA31" i="2"/>
  <c r="DF31" i="2"/>
  <c r="BF31" i="2"/>
  <c r="S31" i="2"/>
  <c r="DH31" i="2"/>
  <c r="CD31" i="2"/>
  <c r="X31" i="2"/>
  <c r="DK31" i="2"/>
  <c r="CF31" i="2"/>
  <c r="AQ31" i="2"/>
  <c r="BU31" i="2"/>
  <c r="BP31" i="2"/>
  <c r="AI31" i="2"/>
  <c r="CN31" i="2"/>
  <c r="AN31" i="2"/>
  <c r="CQ31" i="2"/>
  <c r="BB31" i="2"/>
  <c r="CA31" i="2"/>
  <c r="AV31" i="2"/>
  <c r="CY31" i="2"/>
  <c r="AY31" i="2"/>
  <c r="DB31" i="2"/>
  <c r="BL31" i="2"/>
  <c r="AE31" i="2"/>
  <c r="BC31" i="2"/>
  <c r="CI31" i="2"/>
  <c r="BN31" i="2"/>
  <c r="AR31" i="2"/>
  <c r="BX31" i="2"/>
  <c r="DD31" i="2"/>
  <c r="CT31" i="2"/>
  <c r="T68" i="2"/>
  <c r="CF68" i="2"/>
  <c r="BQ68" i="2"/>
  <c r="V68" i="2"/>
  <c r="CH68" i="2"/>
  <c r="BT68" i="2"/>
  <c r="Q68" i="2"/>
  <c r="CC68" i="2"/>
  <c r="AB68" i="2"/>
  <c r="CN68" i="2"/>
  <c r="BY68" i="2"/>
  <c r="AD68" i="2"/>
  <c r="CP68" i="2"/>
  <c r="P68" i="2"/>
  <c r="CB68" i="2"/>
  <c r="Y68" i="2"/>
  <c r="CK68" i="2"/>
  <c r="AJ68" i="2"/>
  <c r="CV68" i="2"/>
  <c r="U68" i="2"/>
  <c r="CG68" i="2"/>
  <c r="AL68" i="2"/>
  <c r="CX68" i="2"/>
  <c r="X68" i="2"/>
  <c r="CJ68" i="2"/>
  <c r="AG68" i="2"/>
  <c r="CS68" i="2"/>
  <c r="AR68" i="2"/>
  <c r="DD68" i="2"/>
  <c r="AC68" i="2"/>
  <c r="CO68" i="2"/>
  <c r="AT68" i="2"/>
  <c r="DF68" i="2"/>
  <c r="AF68" i="2"/>
  <c r="CR68" i="2"/>
  <c r="AO68" i="2"/>
  <c r="DA68" i="2"/>
  <c r="AZ68" i="2"/>
  <c r="DL68" i="2"/>
  <c r="AK68" i="2"/>
  <c r="CW68" i="2"/>
  <c r="BB68" i="2"/>
  <c r="AN68" i="2"/>
  <c r="CZ68" i="2"/>
  <c r="AW68" i="2"/>
  <c r="DI68" i="2"/>
  <c r="BH68" i="2"/>
  <c r="AS68" i="2"/>
  <c r="DE68" i="2"/>
  <c r="BJ68" i="2"/>
  <c r="AV68" i="2"/>
  <c r="DH68" i="2"/>
  <c r="BE68" i="2"/>
  <c r="BP68" i="2"/>
  <c r="BA68" i="2"/>
  <c r="BR68" i="2"/>
  <c r="BD68" i="2"/>
  <c r="BX68" i="2"/>
  <c r="BI68" i="2"/>
  <c r="BZ68" i="2"/>
  <c r="BL68" i="2"/>
  <c r="BU68" i="2"/>
  <c r="AE68" i="2"/>
  <c r="CU68" i="2"/>
  <c r="BS68" i="2"/>
  <c r="AY68" i="2"/>
  <c r="W68" i="2"/>
  <c r="Z68" i="2"/>
  <c r="BV68" i="2"/>
  <c r="AQ68" i="2"/>
  <c r="AU68" i="2"/>
  <c r="CD68" i="2"/>
  <c r="CQ68" i="2"/>
  <c r="AH68" i="2"/>
  <c r="S68" i="2"/>
  <c r="BN68" i="2"/>
  <c r="BO68" i="2"/>
  <c r="DK68" i="2"/>
  <c r="BC68" i="2"/>
  <c r="AP68" i="2"/>
  <c r="CI68" i="2"/>
  <c r="CL68" i="2"/>
  <c r="AM68" i="2"/>
  <c r="AX68" i="2"/>
  <c r="BM68" i="2"/>
  <c r="BW68" i="2"/>
  <c r="AI68" i="2"/>
  <c r="BK68" i="2"/>
  <c r="DC68" i="2"/>
  <c r="DG68" i="2"/>
  <c r="CT68" i="2"/>
  <c r="BF68" i="2"/>
  <c r="CE68" i="2"/>
  <c r="CA68" i="2"/>
  <c r="DB68" i="2"/>
  <c r="BG68" i="2"/>
  <c r="R68" i="2"/>
  <c r="CM68" i="2"/>
  <c r="CY68" i="2"/>
  <c r="DJ68" i="2"/>
  <c r="AA68" i="2"/>
  <c r="CL108" i="2"/>
  <c r="CE103" i="2"/>
  <c r="AT5" i="2"/>
  <c r="AL104" i="2"/>
  <c r="BE105" i="2"/>
  <c r="DF97" i="2"/>
  <c r="DI105" i="2"/>
  <c r="BE99" i="2"/>
  <c r="CX5" i="2"/>
  <c r="CV101" i="2"/>
  <c r="AG105" i="2"/>
  <c r="CA101" i="2"/>
  <c r="DD106" i="2"/>
  <c r="DF107" i="2"/>
  <c r="CY102" i="2"/>
  <c r="L20" i="4"/>
  <c r="M20" i="4"/>
  <c r="N20" i="4"/>
  <c r="L44" i="4"/>
  <c r="M44" i="4"/>
  <c r="N44" i="4"/>
  <c r="L37" i="4"/>
  <c r="M37" i="4"/>
  <c r="N37" i="4"/>
  <c r="L36" i="4"/>
  <c r="M36" i="4"/>
  <c r="N36" i="4"/>
  <c r="L29" i="4"/>
  <c r="M29" i="4"/>
  <c r="N29" i="4"/>
  <c r="L14" i="4"/>
  <c r="J14" i="4" s="1"/>
  <c r="M14" i="4"/>
  <c r="N14" i="4"/>
  <c r="L30" i="4"/>
  <c r="M30" i="4"/>
  <c r="N30" i="4"/>
  <c r="L38" i="4"/>
  <c r="M38" i="4"/>
  <c r="N38" i="4"/>
  <c r="L2" i="4"/>
  <c r="M2" i="4"/>
  <c r="N2" i="4"/>
  <c r="L15" i="4"/>
  <c r="M15" i="4"/>
  <c r="N15" i="4"/>
  <c r="L23" i="4"/>
  <c r="M23" i="4"/>
  <c r="N23" i="4"/>
  <c r="L31" i="4"/>
  <c r="M31" i="4"/>
  <c r="N31" i="4"/>
  <c r="L39" i="4"/>
  <c r="M39" i="4"/>
  <c r="N39" i="4"/>
  <c r="L47" i="4"/>
  <c r="M47" i="4"/>
  <c r="N47" i="4"/>
  <c r="L5" i="4"/>
  <c r="M5" i="4"/>
  <c r="N5" i="4"/>
  <c r="N51" i="4"/>
  <c r="M51" i="4"/>
  <c r="L51" i="4"/>
  <c r="L8" i="4"/>
  <c r="M8" i="4"/>
  <c r="N8" i="4"/>
  <c r="L16" i="4"/>
  <c r="M16" i="4"/>
  <c r="N16" i="4"/>
  <c r="L24" i="4"/>
  <c r="M24" i="4"/>
  <c r="N24" i="4"/>
  <c r="L32" i="4"/>
  <c r="M32" i="4"/>
  <c r="N32" i="4"/>
  <c r="L40" i="4"/>
  <c r="M40" i="4"/>
  <c r="N40" i="4"/>
  <c r="L48" i="4"/>
  <c r="J48" i="4" s="1"/>
  <c r="M48" i="4"/>
  <c r="N48" i="4"/>
  <c r="L13" i="4"/>
  <c r="J13" i="4" s="1"/>
  <c r="M13" i="4"/>
  <c r="N13" i="4"/>
  <c r="N49" i="4"/>
  <c r="M49" i="4"/>
  <c r="L49" i="4"/>
  <c r="L9" i="4"/>
  <c r="M9" i="4"/>
  <c r="N9" i="4"/>
  <c r="L17" i="4"/>
  <c r="M17" i="4"/>
  <c r="N17" i="4"/>
  <c r="L25" i="4"/>
  <c r="M25" i="4"/>
  <c r="N25" i="4"/>
  <c r="L33" i="4"/>
  <c r="M33" i="4"/>
  <c r="N33" i="4"/>
  <c r="L41" i="4"/>
  <c r="M41" i="4"/>
  <c r="N41" i="4"/>
  <c r="L50" i="4"/>
  <c r="J50" i="4" s="1"/>
  <c r="M50" i="4"/>
  <c r="N50" i="4"/>
  <c r="L12" i="4"/>
  <c r="J12" i="4" s="1"/>
  <c r="M12" i="4"/>
  <c r="N12" i="4"/>
  <c r="L4" i="4"/>
  <c r="M4" i="4"/>
  <c r="N4" i="4"/>
  <c r="L45" i="4"/>
  <c r="M45" i="4"/>
  <c r="N45" i="4"/>
  <c r="L3" i="4"/>
  <c r="M3" i="4"/>
  <c r="N3" i="4"/>
  <c r="L7" i="4"/>
  <c r="M7" i="4"/>
  <c r="N7" i="4"/>
  <c r="L10" i="4"/>
  <c r="M10" i="4"/>
  <c r="N10" i="4"/>
  <c r="L18" i="4"/>
  <c r="M18" i="4"/>
  <c r="N18" i="4"/>
  <c r="L26" i="4"/>
  <c r="J26" i="4" s="1"/>
  <c r="M26" i="4"/>
  <c r="N26" i="4"/>
  <c r="L34" i="4"/>
  <c r="J34" i="4" s="1"/>
  <c r="M34" i="4"/>
  <c r="N34" i="4"/>
  <c r="L42" i="4"/>
  <c r="M42" i="4"/>
  <c r="N42" i="4"/>
  <c r="L28" i="4"/>
  <c r="M28" i="4"/>
  <c r="N28" i="4"/>
  <c r="L21" i="4"/>
  <c r="M21" i="4"/>
  <c r="N21" i="4"/>
  <c r="L22" i="4"/>
  <c r="M22" i="4"/>
  <c r="N22" i="4"/>
  <c r="L46" i="4"/>
  <c r="M46" i="4"/>
  <c r="N46" i="4"/>
  <c r="L6" i="4"/>
  <c r="M6" i="4"/>
  <c r="N6" i="4"/>
  <c r="L11" i="4"/>
  <c r="M11" i="4"/>
  <c r="N11" i="4"/>
  <c r="L19" i="4"/>
  <c r="M19" i="4"/>
  <c r="N19" i="4"/>
  <c r="L27" i="4"/>
  <c r="M27" i="4"/>
  <c r="N27" i="4"/>
  <c r="L35" i="4"/>
  <c r="M35" i="4"/>
  <c r="N35" i="4"/>
  <c r="L43" i="4"/>
  <c r="M43" i="4"/>
  <c r="N43" i="4"/>
  <c r="L52" i="4"/>
  <c r="M52" i="4" a="1"/>
  <c r="J25" i="4" l="1"/>
  <c r="J37" i="4"/>
  <c r="J7" i="4"/>
  <c r="J4" i="4"/>
  <c r="J18" i="4"/>
  <c r="J41" i="4"/>
  <c r="J6" i="4"/>
  <c r="J46" i="4"/>
  <c r="J32" i="4"/>
  <c r="J31" i="4"/>
  <c r="J35" i="4"/>
  <c r="J2" i="4"/>
  <c r="J51" i="4"/>
  <c r="J27" i="4"/>
  <c r="J21" i="4"/>
  <c r="J17" i="4"/>
  <c r="J24" i="4"/>
  <c r="J43" i="4"/>
  <c r="J22" i="4"/>
  <c r="J10" i="4"/>
  <c r="J33" i="4"/>
  <c r="J40" i="4"/>
  <c r="J47" i="4"/>
  <c r="J38" i="4"/>
  <c r="J19" i="4"/>
  <c r="J3" i="4"/>
  <c r="J9" i="4"/>
  <c r="J16" i="4"/>
  <c r="J23" i="4"/>
  <c r="J44" i="4"/>
  <c r="J49" i="4"/>
  <c r="J36" i="4"/>
  <c r="J5" i="4"/>
  <c r="J39" i="4"/>
  <c r="J30" i="4"/>
  <c r="J11" i="4"/>
  <c r="J28" i="4"/>
  <c r="J42" i="4"/>
  <c r="J45" i="4"/>
  <c r="J8" i="4"/>
  <c r="J15" i="4"/>
  <c r="J29" i="4"/>
  <c r="J20" i="4"/>
  <c r="M52" i="4"/>
  <c r="N52" i="4" a="1"/>
  <c r="N52" i="4" l="1"/>
  <c r="J52" i="4" s="1"/>
  <c r="G53" i="4" l="1"/>
  <c r="H53" i="4"/>
  <c r="K53" i="4" a="1"/>
  <c r="K53" i="4" l="1"/>
  <c r="G54" i="4"/>
  <c r="H54" i="4"/>
  <c r="M53" i="4" a="1"/>
  <c r="L53" i="4" a="1"/>
  <c r="N53" i="4" a="1"/>
  <c r="K54" i="4" a="1"/>
  <c r="K54" i="4" l="1"/>
  <c r="N53" i="4"/>
  <c r="L53" i="4"/>
  <c r="M53" i="4"/>
  <c r="M54" i="4" a="1"/>
  <c r="L54" i="4" a="1"/>
  <c r="N54" i="4" a="1"/>
  <c r="N54" i="4" l="1"/>
  <c r="J54" i="4" s="1"/>
  <c r="L54" i="4"/>
  <c r="M54" i="4"/>
  <c r="J53" i="4"/>
  <c r="G55" i="4"/>
  <c r="H55" i="4"/>
  <c r="K55" i="4" a="1"/>
  <c r="K55" i="4" l="1"/>
  <c r="G56" i="4"/>
  <c r="H56" i="4"/>
  <c r="M55" i="4" a="1"/>
  <c r="L55" i="4" a="1"/>
  <c r="N55" i="4" a="1"/>
  <c r="K56" i="4" a="1"/>
  <c r="K56" i="4" l="1"/>
  <c r="N55" i="4"/>
  <c r="L55" i="4"/>
  <c r="M55" i="4"/>
  <c r="M56" i="4" a="1"/>
  <c r="L56" i="4" a="1"/>
  <c r="N56" i="4" a="1"/>
  <c r="L56" i="4" l="1"/>
  <c r="M56" i="4"/>
  <c r="J55" i="4"/>
  <c r="N56" i="4"/>
  <c r="J56" i="4" s="1"/>
  <c r="G57" i="4" l="1"/>
  <c r="H57" i="4"/>
  <c r="K57" i="4" a="1"/>
  <c r="K57" i="4" l="1"/>
  <c r="L57" i="4" a="1"/>
  <c r="M57" i="4" a="1"/>
  <c r="N57" i="4" a="1"/>
  <c r="M57" i="4" l="1"/>
  <c r="L57" i="4"/>
  <c r="N57" i="4"/>
  <c r="J57" i="4" s="1"/>
  <c r="G58" i="4"/>
  <c r="H58" i="4"/>
  <c r="K58" i="4" a="1"/>
  <c r="K58" i="4" l="1"/>
  <c r="L58" i="4" a="1"/>
  <c r="M58" i="4" a="1"/>
  <c r="N58" i="4" a="1"/>
  <c r="M58" i="4" l="1"/>
  <c r="L58" i="4"/>
  <c r="N58" i="4"/>
  <c r="J58" i="4" s="1"/>
  <c r="G59" i="4" l="1"/>
  <c r="H59" i="4"/>
  <c r="K59" i="4" a="1"/>
  <c r="K59" i="4" l="1"/>
  <c r="M59" i="4" a="1"/>
  <c r="L59" i="4" a="1"/>
  <c r="N59" i="4" a="1"/>
  <c r="L59" i="4" l="1"/>
  <c r="M59" i="4"/>
  <c r="N59" i="4"/>
  <c r="J59" i="4" s="1"/>
  <c r="G60" i="4" l="1"/>
  <c r="H60" i="4"/>
  <c r="K60" i="4" a="1"/>
  <c r="K60" i="4" l="1"/>
  <c r="L60" i="4" a="1"/>
  <c r="M60" i="4" a="1"/>
  <c r="N60" i="4" a="1"/>
  <c r="M60" i="4" l="1"/>
  <c r="L60" i="4"/>
  <c r="J60" i="4"/>
  <c r="N60" i="4"/>
  <c r="G61" i="4" l="1"/>
  <c r="H61" i="4"/>
  <c r="K61" i="4" a="1"/>
  <c r="K61" i="4" l="1"/>
  <c r="L61" i="4" a="1"/>
  <c r="M61" i="4" a="1"/>
  <c r="N61" i="4" a="1"/>
  <c r="N61" i="4" l="1"/>
  <c r="J61" i="4" s="1"/>
  <c r="M61" i="4"/>
  <c r="L61" i="4"/>
  <c r="P61" i="4"/>
  <c r="Q61" i="4"/>
  <c r="R61" i="4"/>
  <c r="S61" i="4"/>
  <c r="G62" i="4"/>
  <c r="H62" i="4"/>
  <c r="K62" i="4" a="1"/>
  <c r="T61" i="4" l="1"/>
  <c r="K62" i="4"/>
  <c r="L62" i="4" a="1"/>
  <c r="M62" i="4" a="1"/>
  <c r="L62" i="4" l="1"/>
  <c r="M62" i="4"/>
  <c r="P62" i="4"/>
  <c r="Q62" i="4"/>
  <c r="R62" i="4"/>
  <c r="T62" i="4" s="1"/>
  <c r="S62" i="4"/>
  <c r="G63" i="4"/>
  <c r="H63" i="4"/>
  <c r="K63" i="4" a="1"/>
  <c r="N62" i="4" a="1"/>
  <c r="N62" i="4" l="1"/>
  <c r="J62" i="4" s="1"/>
  <c r="K63" i="4"/>
  <c r="L63" i="4" a="1"/>
  <c r="L63" i="4" l="1"/>
  <c r="M63" i="4" a="1"/>
  <c r="M63" i="4" l="1"/>
  <c r="N63" i="4" a="1"/>
  <c r="J63" i="4" l="1"/>
  <c r="N63" i="4"/>
  <c r="P63" i="4" l="1"/>
  <c r="Q63" i="4"/>
  <c r="R63" i="4"/>
  <c r="S63" i="4"/>
  <c r="T63" i="4" s="1"/>
  <c r="G64" i="4"/>
  <c r="H64" i="4"/>
  <c r="K64" i="4" a="1"/>
  <c r="K64" i="4" l="1"/>
  <c r="L64" i="4" a="1"/>
  <c r="L64" i="4" l="1"/>
  <c r="M64" i="4" a="1"/>
  <c r="M64" i="4" l="1"/>
  <c r="P64" i="4"/>
  <c r="Q64" i="4"/>
  <c r="R64" i="4"/>
  <c r="S64" i="4"/>
  <c r="T64" i="4" s="1"/>
  <c r="G65" i="4"/>
  <c r="H65" i="4"/>
  <c r="K65" i="4" a="1"/>
  <c r="N64" i="4" a="1"/>
  <c r="N64" i="4" l="1"/>
  <c r="J64" i="4" s="1"/>
  <c r="K65" i="4"/>
  <c r="L65" i="4" a="1"/>
  <c r="L65" i="4" l="1"/>
  <c r="M65" i="4" a="1"/>
  <c r="M65" i="4" l="1"/>
  <c r="N65" i="4" a="1"/>
  <c r="N65" i="4" l="1"/>
  <c r="J65" i="4" s="1"/>
  <c r="G66" i="4"/>
  <c r="H66" i="4"/>
  <c r="K66" i="4" a="1"/>
  <c r="K66" i="4" l="1"/>
  <c r="G67" i="4"/>
  <c r="H67" i="4"/>
  <c r="M66" i="4" a="1"/>
  <c r="L66" i="4" a="1"/>
  <c r="N66" i="4" a="1"/>
  <c r="K67" i="4" a="1"/>
  <c r="K67" i="4" l="1"/>
  <c r="N66" i="4"/>
  <c r="L66" i="4"/>
  <c r="M66" i="4"/>
  <c r="M67" i="4" a="1"/>
  <c r="L67" i="4" a="1"/>
  <c r="N67" i="4" a="1"/>
  <c r="L67" i="4" l="1"/>
  <c r="M67" i="4"/>
  <c r="J66" i="4"/>
  <c r="N67" i="4"/>
  <c r="J67" i="4" s="1"/>
  <c r="G68" i="4"/>
  <c r="H68" i="4"/>
  <c r="K68" i="4" a="1"/>
  <c r="K68" i="4" l="1"/>
  <c r="G69" i="4"/>
  <c r="H69" i="4"/>
  <c r="M68" i="4" a="1"/>
  <c r="L68" i="4" a="1"/>
  <c r="N68" i="4" a="1"/>
  <c r="K69" i="4" a="1"/>
  <c r="K69" i="4" l="1"/>
  <c r="N68" i="4"/>
  <c r="J68" i="4" s="1"/>
  <c r="L68" i="4"/>
  <c r="M68" i="4"/>
  <c r="G70" i="4"/>
  <c r="H70" i="4"/>
  <c r="M69" i="4" a="1"/>
  <c r="L69" i="4" a="1"/>
  <c r="K70" i="4" a="1"/>
  <c r="N69" i="4" a="1"/>
  <c r="N69" i="4" l="1"/>
  <c r="K70" i="4"/>
  <c r="L69" i="4"/>
  <c r="M69" i="4"/>
  <c r="G71" i="4"/>
  <c r="H71" i="4"/>
  <c r="L70" i="4" a="1"/>
  <c r="M70" i="4" a="1"/>
  <c r="K71" i="4" a="1"/>
  <c r="N70" i="4" a="1"/>
  <c r="N70" i="4" l="1"/>
  <c r="J70" i="4" s="1"/>
  <c r="K71" i="4"/>
  <c r="M70" i="4"/>
  <c r="L70" i="4"/>
  <c r="J69" i="4"/>
  <c r="M71" i="4" a="1"/>
  <c r="L71" i="4" a="1"/>
  <c r="N71" i="4" a="1"/>
  <c r="N71" i="4" l="1"/>
  <c r="J71" i="4" s="1"/>
  <c r="L71" i="4"/>
  <c r="M71" i="4"/>
  <c r="G72" i="4"/>
  <c r="H72" i="4"/>
  <c r="K72" i="4" a="1"/>
  <c r="K72" i="4" l="1"/>
  <c r="L72" i="4" a="1"/>
  <c r="M72" i="4" a="1"/>
  <c r="N72" i="4" a="1"/>
  <c r="M72" i="4" l="1"/>
  <c r="L72" i="4"/>
  <c r="J72" i="4"/>
  <c r="N72" i="4"/>
  <c r="G73" i="4" l="1"/>
  <c r="H73" i="4"/>
  <c r="K73" i="4" a="1"/>
  <c r="K73" i="4" l="1"/>
  <c r="G74" i="4"/>
  <c r="H74" i="4"/>
  <c r="M73" i="4" a="1"/>
  <c r="L73" i="4" a="1"/>
  <c r="N73" i="4" a="1"/>
  <c r="K74" i="4" a="1"/>
  <c r="K74" i="4" l="1"/>
  <c r="N73" i="4"/>
  <c r="J73" i="4" s="1"/>
  <c r="L73" i="4"/>
  <c r="M73" i="4"/>
  <c r="G75" i="4"/>
  <c r="H75" i="4"/>
  <c r="M74" i="4" a="1"/>
  <c r="L74" i="4" a="1"/>
  <c r="N74" i="4" a="1"/>
  <c r="K75" i="4" a="1"/>
  <c r="K75" i="4" l="1"/>
  <c r="N74" i="4"/>
  <c r="J74" i="4" s="1"/>
  <c r="L74" i="4"/>
  <c r="M74" i="4"/>
  <c r="M75" i="4" a="1"/>
  <c r="L75" i="4" a="1"/>
  <c r="N75" i="4" a="1"/>
  <c r="L75" i="4" l="1"/>
  <c r="M75" i="4"/>
  <c r="N75" i="4"/>
  <c r="J75" i="4" s="1"/>
  <c r="G76" i="4"/>
  <c r="H76" i="4"/>
  <c r="K76" i="4" a="1"/>
  <c r="K76" i="4" l="1"/>
  <c r="G77" i="4"/>
  <c r="H77" i="4"/>
  <c r="L76" i="4" a="1"/>
  <c r="M76" i="4" a="1"/>
  <c r="K77" i="4" a="1"/>
  <c r="N76" i="4" a="1"/>
  <c r="N76" i="4" l="1"/>
  <c r="K77" i="4"/>
  <c r="M76" i="4"/>
  <c r="L76" i="4"/>
  <c r="M77" i="4" a="1"/>
  <c r="L77" i="4" a="1"/>
  <c r="N77" i="4" a="1"/>
  <c r="N77" i="4" l="1"/>
  <c r="L77" i="4"/>
  <c r="M77" i="4"/>
  <c r="J76" i="4"/>
  <c r="G78" i="4"/>
  <c r="H78" i="4"/>
  <c r="K78" i="4" a="1"/>
  <c r="K78" i="4" l="1"/>
  <c r="J77" i="4"/>
  <c r="M78" i="4" a="1"/>
  <c r="L78" i="4" a="1"/>
  <c r="N78" i="4" a="1"/>
  <c r="N78" i="4" l="1"/>
  <c r="J78" i="4" s="1"/>
  <c r="L78" i="4"/>
  <c r="M78" i="4"/>
  <c r="G79" i="4"/>
  <c r="H79" i="4"/>
  <c r="K79" i="4" a="1"/>
  <c r="K79" i="4" l="1"/>
  <c r="L79" i="4" a="1"/>
  <c r="M79" i="4" a="1"/>
  <c r="N79" i="4" a="1"/>
  <c r="M79" i="4" l="1"/>
  <c r="L79" i="4"/>
  <c r="N79" i="4"/>
  <c r="J79" i="4" s="1"/>
  <c r="G80" i="4" l="1"/>
  <c r="H80" i="4"/>
  <c r="K80" i="4" a="1"/>
  <c r="K80" i="4" l="1"/>
  <c r="M80" i="4" a="1"/>
  <c r="L80" i="4" a="1"/>
  <c r="N80" i="4" a="1"/>
  <c r="L80" i="4" l="1"/>
  <c r="M80" i="4"/>
  <c r="J80" i="4"/>
  <c r="N80" i="4"/>
  <c r="G81" i="4"/>
  <c r="H81" i="4"/>
  <c r="K81" i="4" a="1"/>
  <c r="K81" i="4" l="1"/>
  <c r="G82" i="4"/>
  <c r="H82" i="4"/>
  <c r="M81" i="4" a="1"/>
  <c r="L81" i="4" a="1"/>
  <c r="K82" i="4" a="1"/>
  <c r="N81" i="4" a="1"/>
  <c r="N81" i="4" l="1"/>
  <c r="K82" i="4"/>
  <c r="L81" i="4"/>
  <c r="M81" i="4"/>
  <c r="M82" i="4" a="1"/>
  <c r="L82" i="4" a="1"/>
  <c r="N82" i="4" a="1"/>
  <c r="L82" i="4" l="1"/>
  <c r="M82" i="4"/>
  <c r="J81" i="4"/>
  <c r="N82" i="4"/>
  <c r="J82" i="4" s="1"/>
  <c r="G83" i="4"/>
  <c r="H83" i="4"/>
  <c r="K83" i="4" a="1"/>
  <c r="K83" i="4" l="1"/>
  <c r="M83" i="4" a="1"/>
  <c r="L83" i="4" a="1"/>
  <c r="N83" i="4" a="1"/>
  <c r="L83" i="4" l="1"/>
  <c r="M83" i="4"/>
  <c r="N83" i="4"/>
  <c r="J83" i="4" l="1"/>
  <c r="G84" i="4"/>
  <c r="H84" i="4"/>
  <c r="K84" i="4" a="1"/>
  <c r="K84" i="4" l="1"/>
  <c r="M84" i="4" a="1"/>
  <c r="L84" i="4" a="1"/>
  <c r="N84" i="4" a="1"/>
  <c r="N84" i="4" l="1"/>
  <c r="L84" i="4"/>
  <c r="M84" i="4"/>
  <c r="G85" i="4"/>
  <c r="H85" i="4"/>
  <c r="K85" i="4" a="1"/>
  <c r="K85" i="4" l="1"/>
  <c r="J84" i="4"/>
  <c r="G86" i="4"/>
  <c r="H86" i="4"/>
  <c r="L85" i="4" a="1"/>
  <c r="M85" i="4" a="1"/>
  <c r="K86" i="4" a="1"/>
  <c r="N85" i="4" a="1"/>
  <c r="N85" i="4" l="1"/>
  <c r="K86" i="4"/>
  <c r="M85" i="4"/>
  <c r="L85" i="4"/>
  <c r="M86" i="4" a="1"/>
  <c r="L86" i="4" a="1"/>
  <c r="N86" i="4" a="1"/>
  <c r="L86" i="4" l="1"/>
  <c r="M86" i="4"/>
  <c r="J85" i="4"/>
  <c r="J86" i="4"/>
  <c r="N86" i="4"/>
  <c r="G87" i="4" l="1"/>
  <c r="H87" i="4"/>
  <c r="K87" i="4" a="1"/>
  <c r="K87" i="4" l="1"/>
  <c r="L87" i="4" a="1"/>
  <c r="M87" i="4" a="1"/>
  <c r="N87" i="4" a="1"/>
  <c r="M87" i="4" l="1"/>
  <c r="L87" i="4"/>
  <c r="N87" i="4"/>
  <c r="J87" i="4" s="1"/>
  <c r="G88" i="4"/>
  <c r="H88" i="4"/>
  <c r="K88" i="4" a="1"/>
  <c r="K88" i="4" l="1"/>
  <c r="L88" i="4" a="1"/>
  <c r="M88" i="4" a="1"/>
  <c r="N88" i="4" a="1"/>
  <c r="N88" i="4" l="1"/>
  <c r="M88" i="4"/>
  <c r="L88" i="4"/>
  <c r="G89" i="4"/>
  <c r="H89" i="4"/>
  <c r="K89" i="4" a="1"/>
  <c r="K89" i="4" l="1"/>
  <c r="J88" i="4"/>
  <c r="L89" i="4" a="1"/>
  <c r="M89" i="4" a="1"/>
  <c r="N89" i="4" a="1"/>
  <c r="M89" i="4" l="1"/>
  <c r="L89" i="4"/>
  <c r="N89" i="4"/>
  <c r="J89" i="4" s="1"/>
  <c r="G90" i="4"/>
  <c r="H90" i="4"/>
  <c r="K90" i="4" a="1"/>
  <c r="K90" i="4" l="1"/>
  <c r="G91" i="4"/>
  <c r="H91" i="4"/>
  <c r="L90" i="4" a="1"/>
  <c r="M90" i="4" a="1"/>
  <c r="N90" i="4" a="1"/>
  <c r="K91" i="4" a="1"/>
  <c r="K91" i="4" l="1"/>
  <c r="N90" i="4"/>
  <c r="J90" i="4" s="1"/>
  <c r="M90" i="4"/>
  <c r="L90" i="4"/>
  <c r="M91" i="4" a="1"/>
  <c r="L91" i="4" a="1"/>
  <c r="N91" i="4" a="1"/>
  <c r="N91" i="4" l="1"/>
  <c r="J91" i="4" s="1"/>
  <c r="L91" i="4"/>
  <c r="M91" i="4"/>
  <c r="G92" i="4"/>
  <c r="H92" i="4"/>
  <c r="K92" i="4" a="1"/>
  <c r="K92" i="4" l="1"/>
  <c r="L92" i="4" a="1"/>
  <c r="M92" i="4" a="1"/>
  <c r="N92" i="4" a="1"/>
  <c r="M92" i="4" l="1"/>
  <c r="L92" i="4"/>
  <c r="N92" i="4"/>
  <c r="J92" i="4" s="1"/>
  <c r="G93" i="4"/>
  <c r="H93" i="4"/>
  <c r="K93" i="4" a="1"/>
  <c r="K93" i="4" l="1"/>
  <c r="L93" i="4" a="1"/>
  <c r="M93" i="4" a="1"/>
  <c r="N93" i="4" a="1"/>
  <c r="N93" i="4" l="1"/>
  <c r="M93" i="4"/>
  <c r="L93" i="4"/>
  <c r="G94" i="4"/>
  <c r="H94" i="4"/>
  <c r="K94" i="4" a="1"/>
  <c r="K94" i="4" l="1"/>
  <c r="J93" i="4"/>
  <c r="L94" i="4" a="1"/>
  <c r="M94" i="4" a="1"/>
  <c r="N94" i="4" a="1"/>
  <c r="M94" i="4" l="1"/>
  <c r="L94" i="4"/>
  <c r="J94" i="4"/>
  <c r="N94" i="4"/>
  <c r="G95" i="4" l="1"/>
  <c r="H95" i="4"/>
  <c r="K95" i="4" a="1"/>
  <c r="K95" i="4" l="1"/>
  <c r="G96" i="4"/>
  <c r="H96" i="4"/>
  <c r="M95" i="4" a="1"/>
  <c r="L95" i="4" a="1"/>
  <c r="N95" i="4" a="1"/>
  <c r="K96" i="4" a="1"/>
  <c r="K96" i="4" l="1"/>
  <c r="N95" i="4"/>
  <c r="L95" i="4"/>
  <c r="M95" i="4"/>
  <c r="M96" i="4" a="1"/>
  <c r="L96" i="4" a="1"/>
  <c r="N96" i="4" a="1"/>
  <c r="N96" i="4" l="1"/>
  <c r="L96" i="4"/>
  <c r="M96" i="4"/>
  <c r="J95" i="4"/>
  <c r="G97" i="4"/>
  <c r="H97" i="4"/>
  <c r="K97" i="4" a="1"/>
  <c r="K97" i="4" l="1"/>
  <c r="J96" i="4"/>
  <c r="M97" i="4" a="1"/>
  <c r="L97" i="4" a="1"/>
  <c r="N97" i="4" a="1"/>
  <c r="N97" i="4" l="1"/>
  <c r="J97" i="4" s="1"/>
  <c r="L97" i="4"/>
  <c r="M97" i="4"/>
  <c r="G98" i="4"/>
  <c r="H98" i="4"/>
  <c r="K98" i="4" a="1"/>
  <c r="K98" i="4" l="1"/>
  <c r="G99" i="4"/>
  <c r="H99" i="4"/>
  <c r="L98" i="4" a="1"/>
  <c r="M98" i="4" a="1"/>
  <c r="N98" i="4" a="1"/>
  <c r="K99" i="4" a="1"/>
  <c r="K99" i="4" l="1"/>
  <c r="N98" i="4"/>
  <c r="J98" i="4" s="1"/>
  <c r="M98" i="4"/>
  <c r="L98" i="4"/>
  <c r="G100" i="4"/>
  <c r="H100" i="4"/>
  <c r="M99" i="4" a="1"/>
  <c r="L99" i="4" a="1"/>
  <c r="K100" i="4" a="1"/>
  <c r="N99" i="4" a="1"/>
  <c r="N99" i="4" l="1"/>
  <c r="J99" i="4" s="1"/>
  <c r="K100" i="4"/>
  <c r="L99" i="4"/>
  <c r="M99" i="4"/>
  <c r="M100" i="4" a="1"/>
  <c r="L100" i="4" a="1"/>
  <c r="N100" i="4" a="1"/>
  <c r="L100" i="4" l="1"/>
  <c r="J100" i="4" s="1"/>
  <c r="M100" i="4"/>
  <c r="N100" i="4"/>
  <c r="G101" i="4" l="1"/>
  <c r="H101" i="4"/>
  <c r="K101" i="4" a="1"/>
  <c r="K101" i="4" l="1"/>
  <c r="L101" i="4" a="1"/>
  <c r="M101" i="4" a="1"/>
  <c r="N101" i="4" a="1"/>
  <c r="N101" i="4" l="1"/>
  <c r="M101" i="4"/>
  <c r="L101" i="4"/>
  <c r="G102" i="4"/>
  <c r="H102" i="4"/>
  <c r="K102" i="4" a="1"/>
  <c r="K102" i="4" l="1"/>
  <c r="J101" i="4"/>
  <c r="G103" i="4"/>
  <c r="H103" i="4"/>
  <c r="L102" i="4" a="1"/>
  <c r="M102" i="4" a="1"/>
  <c r="N102" i="4" a="1"/>
  <c r="K103" i="4" a="1"/>
  <c r="K103" i="4" l="1"/>
  <c r="N102" i="4"/>
  <c r="M102" i="4"/>
  <c r="L102" i="4"/>
  <c r="G104" i="4"/>
  <c r="H104" i="4"/>
  <c r="M103" i="4" a="1"/>
  <c r="L103" i="4" a="1"/>
  <c r="K104" i="4" a="1"/>
  <c r="N103" i="4" a="1"/>
  <c r="N103" i="4" l="1"/>
  <c r="J103" i="4" s="1"/>
  <c r="K104" i="4"/>
  <c r="L103" i="4"/>
  <c r="M103" i="4"/>
  <c r="J102" i="4"/>
  <c r="L104" i="4" a="1"/>
  <c r="M104" i="4" a="1"/>
  <c r="N104" i="4" a="1"/>
  <c r="N104" i="4" l="1"/>
  <c r="M104" i="4"/>
  <c r="L104" i="4"/>
  <c r="G105" i="4"/>
  <c r="H105" i="4"/>
  <c r="K105" i="4" a="1"/>
  <c r="K105" i="4" l="1"/>
  <c r="J104" i="4"/>
  <c r="L105" i="4" a="1"/>
  <c r="M105" i="4" a="1"/>
  <c r="N105" i="4" a="1"/>
  <c r="N105" i="4" l="1"/>
  <c r="M105" i="4"/>
  <c r="L105" i="4"/>
  <c r="G106" i="4"/>
  <c r="H106" i="4"/>
  <c r="K106" i="4" a="1"/>
  <c r="K106" i="4" l="1"/>
  <c r="J105" i="4"/>
  <c r="L106" i="4" a="1"/>
  <c r="M106" i="4" a="1"/>
  <c r="N106" i="4" a="1"/>
  <c r="N106" i="4" l="1"/>
  <c r="M106" i="4"/>
  <c r="L106" i="4"/>
  <c r="G107" i="4"/>
  <c r="H107" i="4"/>
  <c r="K107" i="4" a="1"/>
  <c r="K107" i="4" l="1"/>
  <c r="J106" i="4"/>
  <c r="M107" i="4" a="1"/>
  <c r="L107" i="4" a="1"/>
  <c r="N107" i="4" a="1"/>
  <c r="N107" i="4" l="1"/>
  <c r="L107" i="4"/>
  <c r="M107" i="4"/>
  <c r="G108" i="4"/>
  <c r="H108" i="4"/>
  <c r="K108" i="4" a="1"/>
  <c r="K108" i="4" l="1"/>
  <c r="J107" i="4"/>
  <c r="M108" i="4" a="1"/>
  <c r="L108" i="4" a="1"/>
  <c r="N108" i="4" a="1"/>
  <c r="N108" i="4" l="1"/>
  <c r="J108" i="4" s="1"/>
  <c r="L108" i="4"/>
  <c r="M108" i="4"/>
  <c r="G109" i="4"/>
  <c r="H109" i="4"/>
  <c r="K109" i="4" a="1"/>
  <c r="K109" i="4" l="1"/>
  <c r="L109" i="4" a="1"/>
  <c r="M109" i="4" a="1"/>
  <c r="N109" i="4" a="1"/>
  <c r="N109" i="4" l="1"/>
  <c r="M109" i="4"/>
  <c r="L109" i="4"/>
  <c r="G110" i="4"/>
  <c r="H110" i="4"/>
  <c r="K110" i="4" a="1"/>
  <c r="K110" i="4" l="1"/>
  <c r="J109" i="4"/>
  <c r="L110" i="4" a="1"/>
  <c r="M110" i="4" a="1"/>
  <c r="N110" i="4" a="1"/>
  <c r="M110" i="4" l="1"/>
  <c r="L110" i="4"/>
  <c r="N110" i="4"/>
  <c r="J110" i="4" s="1"/>
  <c r="G111" i="4"/>
  <c r="H111" i="4"/>
  <c r="K111" i="4" a="1"/>
  <c r="K111" i="4" l="1"/>
  <c r="M111" i="4" a="1"/>
  <c r="L111" i="4" a="1"/>
  <c r="N111" i="4" a="1"/>
  <c r="L111" i="4" l="1"/>
  <c r="M111" i="4"/>
  <c r="J111" i="4"/>
  <c r="N111" i="4"/>
  <c r="G112" i="4"/>
  <c r="H112" i="4"/>
  <c r="K112" i="4" a="1"/>
  <c r="K112" i="4" l="1"/>
  <c r="G113" i="4"/>
  <c r="H113" i="4"/>
  <c r="M112" i="4" a="1"/>
  <c r="L112" i="4" a="1"/>
  <c r="K113" i="4" a="1"/>
  <c r="N112" i="4" a="1"/>
  <c r="N112" i="4" l="1"/>
  <c r="K113" i="4"/>
  <c r="L112" i="4"/>
  <c r="M112" i="4"/>
  <c r="N113" i="4" a="1"/>
  <c r="M113" i="4" a="1"/>
  <c r="L113" i="4" a="1"/>
  <c r="L113" i="4" l="1"/>
  <c r="M113" i="4"/>
  <c r="J112" i="4"/>
  <c r="N113" i="4"/>
  <c r="J113" i="4" s="1"/>
  <c r="G114" i="4"/>
  <c r="H114" i="4"/>
  <c r="K114" i="4" a="1"/>
  <c r="K114" i="4" l="1"/>
  <c r="M114" i="4" a="1"/>
  <c r="L114" i="4" a="1"/>
  <c r="N114" i="4" a="1"/>
  <c r="N114" i="4" l="1"/>
  <c r="L114" i="4"/>
  <c r="M114" i="4"/>
  <c r="G115" i="4"/>
  <c r="H115" i="4"/>
  <c r="K115" i="4" a="1"/>
  <c r="K115" i="4" l="1"/>
  <c r="J114" i="4"/>
  <c r="M115" i="4" a="1"/>
  <c r="L115" i="4" a="1"/>
  <c r="N115" i="4" a="1"/>
  <c r="L115" i="4" l="1"/>
  <c r="M115" i="4"/>
  <c r="J115" i="4"/>
  <c r="N115" i="4"/>
  <c r="G116" i="4" l="1"/>
  <c r="H116" i="4"/>
  <c r="K116" i="4" a="1"/>
  <c r="K116" i="4" l="1"/>
  <c r="M116" i="4" a="1"/>
  <c r="L116" i="4" a="1"/>
  <c r="N116" i="4" a="1"/>
  <c r="L116" i="4" l="1"/>
  <c r="M116" i="4"/>
  <c r="N116" i="4"/>
  <c r="J116" i="4" s="1"/>
  <c r="G117" i="4"/>
  <c r="H117" i="4"/>
  <c r="K117" i="4" a="1"/>
  <c r="K117" i="4" l="1"/>
  <c r="M117" i="4" a="1"/>
  <c r="L117" i="4" a="1"/>
  <c r="N117" i="4" a="1"/>
  <c r="N117" i="4" l="1"/>
  <c r="L117" i="4"/>
  <c r="M117" i="4"/>
  <c r="G118" i="4"/>
  <c r="H118" i="4"/>
  <c r="K118" i="4" a="1"/>
  <c r="K118" i="4" l="1"/>
  <c r="J117" i="4"/>
  <c r="G119" i="4"/>
  <c r="H119" i="4"/>
  <c r="L118" i="4" a="1"/>
  <c r="M118" i="4" a="1"/>
  <c r="N118" i="4" a="1"/>
  <c r="K119" i="4" a="1"/>
  <c r="K119" i="4" l="1"/>
  <c r="N118" i="4"/>
  <c r="M118" i="4"/>
  <c r="L118" i="4"/>
  <c r="M119" i="4" a="1"/>
  <c r="L119" i="4" a="1"/>
  <c r="N119" i="4" a="1"/>
  <c r="L119" i="4" l="1"/>
  <c r="M119" i="4"/>
  <c r="J118" i="4"/>
  <c r="J119" i="4"/>
  <c r="N119" i="4"/>
  <c r="G120" i="4"/>
  <c r="H120" i="4"/>
  <c r="K120" i="4" a="1"/>
  <c r="K120" i="4" l="1"/>
  <c r="M120" i="4" a="1"/>
  <c r="L120" i="4" a="1"/>
  <c r="N120" i="4" a="1"/>
  <c r="L120" i="4" l="1"/>
  <c r="J120" i="4" s="1"/>
  <c r="M120" i="4"/>
  <c r="N120" i="4"/>
  <c r="G121" i="4" l="1"/>
  <c r="H121" i="4"/>
  <c r="K121" i="4" a="1"/>
  <c r="K121" i="4" l="1"/>
  <c r="M121" i="4" a="1"/>
  <c r="L121" i="4" a="1"/>
  <c r="N121" i="4" a="1"/>
  <c r="L121" i="4" l="1"/>
  <c r="M121" i="4"/>
  <c r="N121" i="4"/>
  <c r="J121" i="4" s="1"/>
  <c r="G122" i="4"/>
  <c r="H122" i="4"/>
  <c r="K122" i="4" a="1"/>
  <c r="K122" i="4" l="1"/>
  <c r="L122" i="4" a="1"/>
  <c r="M122" i="4" a="1"/>
  <c r="N122" i="4" a="1"/>
  <c r="N122" i="4" l="1"/>
  <c r="M122" i="4"/>
  <c r="L122" i="4"/>
  <c r="G123" i="4"/>
  <c r="H123" i="4"/>
  <c r="K123" i="4" a="1"/>
  <c r="K123" i="4" l="1"/>
  <c r="J122" i="4"/>
  <c r="G124" i="4"/>
  <c r="H124" i="4"/>
  <c r="M123" i="4" a="1"/>
  <c r="L123" i="4" a="1"/>
  <c r="N123" i="4" a="1"/>
  <c r="K124" i="4" a="1"/>
  <c r="K124" i="4" l="1"/>
  <c r="N123" i="4"/>
  <c r="L123" i="4"/>
  <c r="M123" i="4"/>
  <c r="M124" i="4" a="1"/>
  <c r="L124" i="4" a="1"/>
  <c r="N124" i="4" a="1"/>
  <c r="L124" i="4" l="1"/>
  <c r="M124" i="4"/>
  <c r="J123" i="4"/>
  <c r="J124" i="4"/>
  <c r="N124" i="4"/>
  <c r="G125" i="4" l="1"/>
  <c r="H125" i="4"/>
  <c r="K125" i="4" a="1"/>
  <c r="K125" i="4" l="1"/>
  <c r="G126" i="4"/>
  <c r="H126" i="4"/>
  <c r="M125" i="4" a="1"/>
  <c r="L125" i="4" a="1"/>
  <c r="N125" i="4" a="1"/>
  <c r="K126" i="4" a="1"/>
  <c r="K126" i="4" l="1"/>
  <c r="N125" i="4"/>
  <c r="J125" i="4" s="1"/>
  <c r="L125" i="4"/>
  <c r="M125" i="4"/>
  <c r="G127" i="4"/>
  <c r="H127" i="4"/>
  <c r="M126" i="4" a="1"/>
  <c r="L126" i="4" a="1"/>
  <c r="K127" i="4" a="1"/>
  <c r="N126" i="4" a="1"/>
  <c r="N126" i="4" l="1"/>
  <c r="K127" i="4"/>
  <c r="L126" i="4"/>
  <c r="M126" i="4"/>
  <c r="N127" i="4" a="1"/>
  <c r="L127" i="4" a="1"/>
  <c r="M127" i="4" a="1"/>
  <c r="M127" i="4" l="1"/>
  <c r="L127" i="4"/>
  <c r="J126" i="4"/>
  <c r="J127" i="4"/>
  <c r="N127" i="4"/>
  <c r="G128" i="4" l="1"/>
  <c r="H128" i="4"/>
  <c r="K128" i="4" a="1"/>
  <c r="K128" i="4" l="1"/>
  <c r="G129" i="4"/>
  <c r="H129" i="4"/>
  <c r="L128" i="4" a="1"/>
  <c r="M128" i="4" a="1"/>
  <c r="N128" i="4" a="1"/>
  <c r="K129" i="4" a="1"/>
  <c r="K129" i="4" l="1"/>
  <c r="N128" i="4"/>
  <c r="M128" i="4"/>
  <c r="L128" i="4"/>
  <c r="M129" i="4" a="1"/>
  <c r="L129" i="4" a="1"/>
  <c r="N129" i="4" a="1"/>
  <c r="L129" i="4" l="1"/>
  <c r="M129" i="4"/>
  <c r="J128" i="4"/>
  <c r="J129" i="4"/>
  <c r="N129" i="4"/>
  <c r="G130" i="4" l="1"/>
  <c r="H130" i="4"/>
  <c r="K130" i="4" a="1"/>
  <c r="K130" i="4" l="1"/>
  <c r="M130" i="4" a="1"/>
  <c r="L130" i="4" a="1"/>
  <c r="N130" i="4" a="1"/>
  <c r="L130" i="4" l="1"/>
  <c r="M130" i="4"/>
  <c r="N130" i="4"/>
  <c r="J130" i="4" s="1"/>
  <c r="G131" i="4"/>
  <c r="H131" i="4"/>
  <c r="K131" i="4" a="1"/>
  <c r="K131" i="4" l="1"/>
  <c r="G132" i="4"/>
  <c r="H132" i="4"/>
  <c r="N131" i="4" a="1"/>
  <c r="L131" i="4" a="1"/>
  <c r="M131" i="4" a="1"/>
  <c r="K132" i="4" a="1"/>
  <c r="K132" i="4" l="1"/>
  <c r="M131" i="4"/>
  <c r="L131" i="4"/>
  <c r="N131" i="4"/>
  <c r="J131" i="4" s="1"/>
  <c r="L132" i="4" a="1"/>
  <c r="M132" i="4" a="1"/>
  <c r="N132" i="4" a="1"/>
  <c r="N132" i="4" l="1"/>
  <c r="M132" i="4"/>
  <c r="L132" i="4"/>
  <c r="G133" i="4"/>
  <c r="H133" i="4"/>
  <c r="K133" i="4" a="1"/>
  <c r="K133" i="4" l="1"/>
  <c r="J132" i="4"/>
  <c r="G134" i="4"/>
  <c r="H134" i="4"/>
  <c r="L133" i="4" a="1"/>
  <c r="M133" i="4" a="1"/>
  <c r="N133" i="4" a="1"/>
  <c r="K134" i="4" a="1"/>
  <c r="K134" i="4" l="1"/>
  <c r="N133" i="4"/>
  <c r="M133" i="4"/>
  <c r="L133" i="4"/>
  <c r="M134" i="4" a="1"/>
  <c r="L134" i="4" a="1"/>
  <c r="N134" i="4" a="1"/>
  <c r="L134" i="4" l="1"/>
  <c r="M134" i="4"/>
  <c r="J133" i="4"/>
  <c r="J134" i="4"/>
  <c r="N134" i="4"/>
  <c r="G135" i="4"/>
  <c r="H135" i="4"/>
  <c r="K135" i="4" a="1"/>
  <c r="K135" i="4" l="1"/>
  <c r="G136" i="4"/>
  <c r="H136" i="4"/>
  <c r="M135" i="4" a="1"/>
  <c r="L135" i="4" a="1"/>
  <c r="N135" i="4" a="1"/>
  <c r="K136" i="4" a="1"/>
  <c r="K136" i="4" l="1"/>
  <c r="N135" i="4"/>
  <c r="L135" i="4"/>
  <c r="M135" i="4"/>
  <c r="G137" i="4"/>
  <c r="H137" i="4"/>
  <c r="M136" i="4" a="1"/>
  <c r="L136" i="4" a="1"/>
  <c r="K137" i="4" a="1"/>
  <c r="N136" i="4" a="1"/>
  <c r="N136" i="4" l="1"/>
  <c r="K137" i="4"/>
  <c r="L136" i="4"/>
  <c r="M136" i="4"/>
  <c r="J135" i="4"/>
  <c r="M137" i="4" a="1"/>
  <c r="L137" i="4" a="1"/>
  <c r="N137" i="4" a="1"/>
  <c r="N137" i="4" l="1"/>
  <c r="L137" i="4"/>
  <c r="M137" i="4"/>
  <c r="J136" i="4"/>
  <c r="G138" i="4"/>
  <c r="H138" i="4"/>
  <c r="K138" i="4" a="1"/>
  <c r="K138" i="4" l="1"/>
  <c r="J137" i="4"/>
  <c r="M138" i="4" a="1"/>
  <c r="L138" i="4" a="1"/>
  <c r="N138" i="4" a="1"/>
  <c r="N138" i="4" l="1"/>
  <c r="J138" i="4" s="1"/>
  <c r="L138" i="4"/>
  <c r="M138" i="4"/>
  <c r="G139" i="4"/>
  <c r="H139" i="4"/>
  <c r="K139" i="4" a="1"/>
  <c r="K139" i="4" l="1"/>
  <c r="G140" i="4"/>
  <c r="H140" i="4"/>
  <c r="L139" i="4" a="1"/>
  <c r="M139" i="4" a="1"/>
  <c r="N139" i="4" a="1"/>
  <c r="K140" i="4" a="1"/>
  <c r="K140" i="4" l="1"/>
  <c r="N139" i="4"/>
  <c r="M139" i="4"/>
  <c r="L139" i="4"/>
  <c r="M140" i="4" a="1"/>
  <c r="L140" i="4" a="1"/>
  <c r="N140" i="4" a="1"/>
  <c r="L140" i="4" l="1"/>
  <c r="M140" i="4"/>
  <c r="J139" i="4"/>
  <c r="N140" i="4"/>
  <c r="J140" i="4" s="1"/>
  <c r="G141" i="4"/>
  <c r="H141" i="4"/>
  <c r="K141" i="4" a="1"/>
  <c r="K141" i="4" l="1"/>
  <c r="M141" i="4" a="1"/>
  <c r="L141" i="4" a="1"/>
  <c r="N141" i="4" a="1"/>
  <c r="N141" i="4" l="1"/>
  <c r="L141" i="4"/>
  <c r="M141" i="4"/>
  <c r="G142" i="4"/>
  <c r="H142" i="4"/>
  <c r="K142" i="4" a="1"/>
  <c r="K142" i="4" l="1"/>
  <c r="J141" i="4"/>
  <c r="L142" i="4" a="1"/>
  <c r="M142" i="4" a="1"/>
  <c r="N142" i="4" a="1"/>
  <c r="M142" i="4" l="1"/>
  <c r="L142" i="4"/>
  <c r="N142" i="4"/>
  <c r="J142" i="4" s="1"/>
  <c r="G143" i="4"/>
  <c r="H143" i="4"/>
  <c r="K143" i="4" a="1"/>
  <c r="K143" i="4" l="1"/>
  <c r="G144" i="4"/>
  <c r="H144" i="4"/>
  <c r="M143" i="4" a="1"/>
  <c r="L143" i="4" a="1"/>
  <c r="K144" i="4" a="1"/>
  <c r="N143" i="4" a="1"/>
  <c r="N143" i="4" l="1"/>
  <c r="K144" i="4"/>
  <c r="L143" i="4"/>
  <c r="M143" i="4"/>
  <c r="M144" i="4" a="1"/>
  <c r="L144" i="4" a="1"/>
  <c r="N144" i="4" a="1"/>
  <c r="L144" i="4" l="1"/>
  <c r="M144" i="4"/>
  <c r="J143" i="4"/>
  <c r="N144" i="4"/>
  <c r="J144" i="4" s="1"/>
  <c r="G145" i="4" l="1"/>
  <c r="H145" i="4"/>
  <c r="K145" i="4" a="1"/>
  <c r="K145" i="4" l="1"/>
  <c r="L145" i="4" a="1"/>
  <c r="M145" i="4" a="1"/>
  <c r="N145" i="4" a="1"/>
  <c r="M145" i="4" l="1"/>
  <c r="L145" i="4"/>
  <c r="J145" i="4"/>
  <c r="N145" i="4"/>
  <c r="G146" i="4" l="1"/>
  <c r="H146" i="4"/>
  <c r="K146" i="4" a="1"/>
  <c r="K146" i="4" l="1"/>
  <c r="L146" i="4" a="1"/>
  <c r="M146" i="4" a="1"/>
  <c r="N146" i="4" a="1"/>
  <c r="N146" i="4" l="1"/>
  <c r="M146" i="4"/>
  <c r="L146" i="4"/>
  <c r="G147" i="4"/>
  <c r="H147" i="4"/>
  <c r="K147" i="4" a="1"/>
  <c r="K147" i="4" l="1"/>
  <c r="J146" i="4"/>
  <c r="G148" i="4"/>
  <c r="H148" i="4"/>
  <c r="L147" i="4" a="1"/>
  <c r="M147" i="4" a="1"/>
  <c r="N147" i="4" a="1"/>
  <c r="K148" i="4" a="1"/>
  <c r="K148" i="4" l="1"/>
  <c r="N147" i="4"/>
  <c r="M147" i="4"/>
  <c r="L147" i="4"/>
  <c r="M148" i="4" a="1"/>
  <c r="L148" i="4" a="1"/>
  <c r="N148" i="4" a="1"/>
  <c r="N148" i="4" l="1"/>
  <c r="J148" i="4" s="1"/>
  <c r="L148" i="4"/>
  <c r="M148" i="4"/>
  <c r="J147" i="4"/>
  <c r="G149" i="4"/>
  <c r="H149" i="4"/>
  <c r="K149" i="4" a="1"/>
  <c r="K149" i="4" l="1"/>
  <c r="M149" i="4" a="1"/>
  <c r="L149" i="4" a="1"/>
  <c r="N149" i="4" a="1"/>
  <c r="L149" i="4" l="1"/>
  <c r="M149" i="4"/>
  <c r="J149" i="4"/>
  <c r="N149" i="4"/>
  <c r="G150" i="4"/>
  <c r="H150" i="4"/>
  <c r="K150" i="4" a="1"/>
  <c r="K150" i="4" l="1"/>
  <c r="M150" i="4" a="1"/>
  <c r="L150" i="4" a="1"/>
  <c r="N150" i="4" a="1"/>
  <c r="L150" i="4" l="1"/>
  <c r="M150" i="4"/>
  <c r="J150" i="4"/>
  <c r="N150" i="4"/>
  <c r="G151" i="4"/>
  <c r="H151" i="4"/>
  <c r="K151" i="4" a="1"/>
  <c r="K151" i="4" l="1"/>
  <c r="M151" i="4" a="1"/>
  <c r="L151" i="4" a="1"/>
  <c r="N151" i="4" a="1"/>
  <c r="N151" i="4" l="1"/>
  <c r="J151" i="4" s="1"/>
  <c r="R3" i="4" s="1"/>
  <c r="L151" i="4"/>
  <c r="M151" i="4"/>
  <c r="R5" i="4"/>
  <c r="R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<sst xmlns="http://schemas.openxmlformats.org/spreadsheetml/2006/main" count="707" uniqueCount="53">
  <si>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</si>
  <si>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</si>
  <si>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</si>
  <si>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</si>
  <si>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</si>
  <si>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</si>
  <si>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</si>
  <si>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</si>
  <si>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Macierz Kowariancji (setosa)</t>
  </si>
  <si>
    <t>pl</t>
  </si>
  <si>
    <t>pw</t>
  </si>
  <si>
    <t>śr</t>
  </si>
  <si>
    <t>min</t>
  </si>
  <si>
    <t>max</t>
  </si>
  <si>
    <t>n</t>
  </si>
  <si>
    <t>sl</t>
  </si>
  <si>
    <t>sw</t>
  </si>
  <si>
    <t>pstwo a'priori</t>
  </si>
  <si>
    <t>Macierz Kowariancji (versicolor)</t>
  </si>
  <si>
    <t>Skuteczność algorytmów</t>
  </si>
  <si>
    <t>prognoza(4w)</t>
  </si>
  <si>
    <t>G_X(4w)</t>
  </si>
  <si>
    <t>p1(4w)</t>
  </si>
  <si>
    <t>p2(4w)</t>
  </si>
  <si>
    <t>p3(4w)</t>
  </si>
  <si>
    <t>Macierz Kowariancji (uśredniona)</t>
  </si>
  <si>
    <t>2-wymiarowego LDA</t>
  </si>
  <si>
    <t>4-wymiarowego LDA</t>
  </si>
  <si>
    <t>Colour</t>
  </si>
  <si>
    <t>Szum_pl</t>
  </si>
  <si>
    <t>Szum_pw</t>
  </si>
  <si>
    <t>blue</t>
  </si>
  <si>
    <t>violet</t>
  </si>
  <si>
    <t>white</t>
  </si>
  <si>
    <t>yellow</t>
  </si>
  <si>
    <t>Etykiety wierszy</t>
  </si>
  <si>
    <t>Suma końcowa</t>
  </si>
  <si>
    <t>Etykiety kolumn</t>
  </si>
  <si>
    <t>Liczba z Species</t>
  </si>
  <si>
    <t>2-wymiarowego LDA(col)</t>
  </si>
  <si>
    <t>p. a'priori</t>
  </si>
  <si>
    <t>śr pl</t>
  </si>
  <si>
    <t>śr pw</t>
  </si>
  <si>
    <t>odch pl</t>
  </si>
  <si>
    <t>bw pl</t>
  </si>
  <si>
    <t>bw pw</t>
  </si>
  <si>
    <t>odch pw</t>
  </si>
  <si>
    <t>h1</t>
  </si>
  <si>
    <t>h2</t>
  </si>
  <si>
    <t>h3</t>
  </si>
  <si>
    <t>g1</t>
  </si>
  <si>
    <t>g2</t>
  </si>
  <si>
    <t>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</si>
</sst>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568D2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rgb="FF7F7F7F"/>
      </right>
      <top/>
      <bottom style="double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NumberFormat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9" fillId="5" borderId="0" xfId="9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" fillId="27" borderId="0" xfId="36" applyBorder="1" applyAlignment="1">
      <alignment horizontal="center"/>
    </xf>
    <xf numFmtId="0" fontId="1" fillId="23" borderId="22" xfId="32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27" borderId="24" xfId="36" applyBorder="1" applyAlignment="1">
      <alignment horizontal="center"/>
    </xf>
    <xf numFmtId="0" fontId="1" fillId="23" borderId="25" xfId="32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0" fillId="6" borderId="5" xfId="10" applyNumberFormat="1" applyAlignment="1">
      <alignment horizontal="center"/>
    </xf>
    <xf numFmtId="0" fontId="5" fillId="0" borderId="27" xfId="5" applyBorder="1" applyAlignment="1">
      <alignment horizontal="center"/>
    </xf>
    <xf numFmtId="0" fontId="0" fillId="0" borderId="0" xfId="0" applyAlignment="1">
      <alignment horizontal="center"/>
    </xf>
    <xf numFmtId="0" fontId="9" fillId="5" borderId="4" xfId="9" applyAlignment="1">
      <alignment horizontal="center"/>
    </xf>
    <xf numFmtId="0" fontId="10" fillId="6" borderId="35" xfId="10" applyNumberFormat="1" applyBorder="1" applyAlignment="1">
      <alignment horizontal="center"/>
    </xf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9" fillId="5" borderId="37" xfId="9" applyBorder="1" applyAlignment="1">
      <alignment horizontal="center"/>
    </xf>
    <xf numFmtId="0" fontId="9" fillId="5" borderId="38" xfId="9" applyBorder="1" applyAlignment="1">
      <alignment horizontal="center"/>
    </xf>
    <xf numFmtId="0" fontId="9" fillId="5" borderId="39" xfId="9" applyBorder="1" applyAlignment="1">
      <alignment horizontal="center"/>
    </xf>
    <xf numFmtId="0" fontId="1" fillId="27" borderId="20" xfId="36" applyBorder="1" applyAlignment="1">
      <alignment horizontal="center"/>
    </xf>
    <xf numFmtId="0" fontId="1" fillId="23" borderId="40" xfId="32" applyBorder="1" applyAlignment="1">
      <alignment horizontal="center"/>
    </xf>
    <xf numFmtId="0" fontId="5" fillId="0" borderId="0" xfId="5" applyBorder="1" applyAlignment="1">
      <alignment horizontal="center"/>
    </xf>
    <xf numFmtId="0" fontId="5" fillId="0" borderId="22" xfId="5" applyBorder="1" applyAlignment="1">
      <alignment horizontal="center"/>
    </xf>
    <xf numFmtId="0" fontId="5" fillId="0" borderId="24" xfId="5" applyBorder="1" applyAlignment="1">
      <alignment horizontal="center"/>
    </xf>
    <xf numFmtId="0" fontId="5" fillId="0" borderId="25" xfId="5" applyBorder="1" applyAlignment="1">
      <alignment horizontal="center"/>
    </xf>
    <xf numFmtId="0" fontId="5" fillId="0" borderId="29" xfId="5" applyBorder="1" applyAlignment="1">
      <alignment horizontal="center"/>
    </xf>
    <xf numFmtId="0" fontId="5" fillId="0" borderId="30" xfId="5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17" xfId="0" applyBorder="1" applyAlignment="1">
      <alignment horizontal="right"/>
    </xf>
    <xf numFmtId="0" fontId="0" fillId="0" borderId="42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/>
    </xf>
    <xf numFmtId="0" fontId="9" fillId="5" borderId="4" xfId="9" applyBorder="1" applyAlignment="1">
      <alignment horizontal="center"/>
    </xf>
    <xf numFmtId="0" fontId="9" fillId="5" borderId="49" xfId="9" applyBorder="1" applyAlignment="1">
      <alignment horizontal="center"/>
    </xf>
    <xf numFmtId="164" fontId="9" fillId="5" borderId="48" xfId="9" applyNumberFormat="1" applyBorder="1" applyAlignment="1">
      <alignment horizontal="center"/>
    </xf>
    <xf numFmtId="164" fontId="9" fillId="5" borderId="47" xfId="9" applyNumberFormat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5" fillId="0" borderId="59" xfId="5" applyBorder="1" applyAlignment="1">
      <alignment horizontal="center"/>
    </xf>
    <xf numFmtId="0" fontId="5" fillId="0" borderId="60" xfId="5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62" xfId="5" applyBorder="1" applyAlignment="1">
      <alignment horizontal="center"/>
    </xf>
    <xf numFmtId="0" fontId="5" fillId="0" borderId="55" xfId="5" applyBorder="1" applyAlignment="1">
      <alignment horizontal="center"/>
    </xf>
    <xf numFmtId="0" fontId="5" fillId="0" borderId="54" xfId="5" applyBorder="1" applyAlignment="1">
      <alignment horizontal="center"/>
    </xf>
    <xf numFmtId="0" fontId="5" fillId="0" borderId="63" xfId="5" applyBorder="1" applyAlignment="1">
      <alignment horizontal="center"/>
    </xf>
    <xf numFmtId="10" fontId="11" fillId="6" borderId="11" xfId="42" applyNumberFormat="1" applyFont="1" applyFill="1" applyBorder="1" applyAlignment="1">
      <alignment horizontal="center"/>
    </xf>
    <xf numFmtId="0" fontId="11" fillId="6" borderId="64" xfId="11" applyBorder="1" applyAlignment="1">
      <alignment horizontal="center"/>
    </xf>
    <xf numFmtId="0" fontId="11" fillId="6" borderId="65" xfId="1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27" xfId="0" applyBorder="1" applyAlignment="1">
      <alignment horizontal="center"/>
    </xf>
    <xf numFmtId="0" fontId="5" fillId="0" borderId="12" xfId="5" applyBorder="1" applyAlignment="1">
      <alignment horizontal="center"/>
    </xf>
    <xf numFmtId="0" fontId="5" fillId="0" borderId="13" xfId="5" applyBorder="1" applyAlignment="1">
      <alignment horizontal="center"/>
    </xf>
    <xf numFmtId="0" fontId="5" fillId="0" borderId="14" xfId="5" applyBorder="1" applyAlignment="1">
      <alignment horizontal="center"/>
    </xf>
    <xf numFmtId="0" fontId="11" fillId="6" borderId="66" xfId="11" applyBorder="1" applyAlignment="1">
      <alignment horizontal="center"/>
    </xf>
    <xf numFmtId="0" fontId="5" fillId="6" borderId="36" xfId="5" applyFill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3" fillId="33" borderId="32" xfId="0" applyFont="1" applyFill="1" applyBorder="1" applyAlignment="1">
      <alignment horizontal="center"/>
    </xf>
    <xf numFmtId="0" fontId="13" fillId="9" borderId="31" xfId="18" applyFont="1" applyBorder="1" applyAlignment="1">
      <alignment horizontal="center"/>
    </xf>
    <xf numFmtId="0" fontId="13" fillId="21" borderId="33" xfId="30" applyFont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5" fillId="0" borderId="34" xfId="5" applyBorder="1" applyAlignment="1">
      <alignment horizontal="center"/>
    </xf>
    <xf numFmtId="0" fontId="5" fillId="0" borderId="41" xfId="5" applyBorder="1" applyAlignment="1">
      <alignment horizontal="center"/>
    </xf>
    <xf numFmtId="0" fontId="5" fillId="0" borderId="46" xfId="5" applyBorder="1" applyAlignment="1">
      <alignment horizontal="center"/>
    </xf>
    <xf numFmtId="0" fontId="5" fillId="0" borderId="45" xfId="5" applyBorder="1" applyAlignment="1">
      <alignment horizontal="center"/>
    </xf>
    <xf numFmtId="0" fontId="5" fillId="0" borderId="44" xfId="5" applyBorder="1" applyAlignment="1">
      <alignment horizontal="center"/>
    </xf>
    <xf numFmtId="0" fontId="10" fillId="6" borderId="56" xfId="10" applyBorder="1" applyAlignment="1">
      <alignment horizontal="center"/>
    </xf>
    <xf numFmtId="0" fontId="10" fillId="6" borderId="50" xfId="10" applyBorder="1" applyAlignment="1">
      <alignment horizontal="center"/>
    </xf>
    <xf numFmtId="0" fontId="10" fillId="6" borderId="51" xfId="10" applyBorder="1" applyAlignment="1">
      <alignment horizontal="center"/>
    </xf>
    <xf numFmtId="0" fontId="10" fillId="6" borderId="52" xfId="10" applyBorder="1" applyAlignment="1">
      <alignment horizontal="center"/>
    </xf>
    <xf numFmtId="0" fontId="10" fillId="6" borderId="53" xfId="10" applyBorder="1" applyAlignment="1">
      <alignment horizontal="center"/>
    </xf>
    <xf numFmtId="0" fontId="10" fillId="6" borderId="67" xfId="10" applyBorder="1" applyAlignment="1">
      <alignment horizontal="center"/>
    </xf>
    <xf numFmtId="0" fontId="10" fillId="6" borderId="57" xfId="10" applyBorder="1" applyAlignment="1">
      <alignment horizontal="center"/>
    </xf>
    <xf numFmtId="0" fontId="10" fillId="6" borderId="58" xfId="10" applyBorder="1" applyAlignment="1">
      <alignment horizontal="center"/>
    </xf>
    <xf numFmtId="0" fontId="0" fillId="0" borderId="0" xfId="0" applyAlignment="1">
      <alignment horizontal="center" vertical="center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Procentowy" xfId="42" builtinId="5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6">
    <dxf>
      <alignment horizontal="center"/>
    </dxf>
    <dxf>
      <fill>
        <patternFill>
          <bgColor rgb="FFFF5050"/>
        </patternFill>
      </fill>
    </dxf>
    <dxf>
      <fill>
        <patternFill patternType="solid">
          <fgColor auto="1"/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colors>
    <mruColors>
      <color rgb="FFA568D2"/>
      <color rgb="FFFF5050"/>
      <color rgb="FFFF6161"/>
      <color rgb="FFFF7575"/>
      <color rgb="FFFF8B8B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Petal Width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NaiwnaGęstość!$L$4</c:f>
              <c:strCache>
                <c:ptCount val="1"/>
                <c:pt idx="0">
                  <c:v>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NaiwnaGęstość!$O$5:$O$108</c:f>
              <c:numCache>
                <c:formatCode>General</c:formatCode>
                <c:ptCount val="104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xVal>
          <c:yVal>
            <c:numRef>
              <c:f>NaiwnaGęstość!$L$5:$L$108</c:f>
              <c:numCache>
                <c:formatCode>General</c:formatCode>
                <c:ptCount val="1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2.8413475514634989E-308</c:v>
                </c:pt>
                <c:pt idx="17">
                  <c:v>9.210123755806749E-299</c:v>
                </c:pt>
                <c:pt idx="18">
                  <c:v>2.1146140897916387E-289</c:v>
                </c:pt>
                <c:pt idx="19">
                  <c:v>3.4389140929339566E-280</c:v>
                </c:pt>
                <c:pt idx="20">
                  <c:v>3.9612849295312359E-271</c:v>
                </c:pt>
                <c:pt idx="21">
                  <c:v>3.2320300203351648E-262</c:v>
                </c:pt>
                <c:pt idx="22">
                  <c:v>1.8678381428979926E-253</c:v>
                </c:pt>
                <c:pt idx="23">
                  <c:v>7.6458829146129692E-245</c:v>
                </c:pt>
                <c:pt idx="24">
                  <c:v>2.2168718870945984E-236</c:v>
                </c:pt>
                <c:pt idx="25">
                  <c:v>4.5527950280995003E-228</c:v>
                </c:pt>
                <c:pt idx="26">
                  <c:v>6.6227772790809816E-220</c:v>
                </c:pt>
                <c:pt idx="27">
                  <c:v>6.8238072590909718E-212</c:v>
                </c:pt>
                <c:pt idx="28">
                  <c:v>4.9800981531259469E-204</c:v>
                </c:pt>
                <c:pt idx="29">
                  <c:v>2.5743856311144912E-196</c:v>
                </c:pt>
                <c:pt idx="30">
                  <c:v>9.4261392811785273E-189</c:v>
                </c:pt>
                <c:pt idx="31">
                  <c:v>2.4446610438683982E-181</c:v>
                </c:pt>
                <c:pt idx="32">
                  <c:v>4.4908443290237555E-174</c:v>
                </c:pt>
                <c:pt idx="33">
                  <c:v>5.8433499894258259E-167</c:v>
                </c:pt>
                <c:pt idx="34">
                  <c:v>5.3854295278069214E-160</c:v>
                </c:pt>
                <c:pt idx="35">
                  <c:v>3.5156314800407206E-153</c:v>
                </c:pt>
                <c:pt idx="36">
                  <c:v>1.6255895229219717E-146</c:v>
                </c:pt>
                <c:pt idx="37">
                  <c:v>5.3240605739568984E-140</c:v>
                </c:pt>
                <c:pt idx="38">
                  <c:v>1.2350929248811779E-133</c:v>
                </c:pt>
                <c:pt idx="39">
                  <c:v>2.0294615580557722E-127</c:v>
                </c:pt>
                <c:pt idx="40">
                  <c:v>2.3620363363986831E-121</c:v>
                </c:pt>
                <c:pt idx="41">
                  <c:v>1.9472282821403997E-115</c:v>
                </c:pt>
                <c:pt idx="42">
                  <c:v>1.1370294481792666E-109</c:v>
                </c:pt>
                <c:pt idx="43">
                  <c:v>4.7027414898767786E-104</c:v>
                </c:pt>
                <c:pt idx="44">
                  <c:v>1.3777012396239865E-98</c:v>
                </c:pt>
                <c:pt idx="45">
                  <c:v>2.8587984743663386E-93</c:v>
                </c:pt>
                <c:pt idx="46">
                  <c:v>4.2018116770226316E-88</c:v>
                </c:pt>
                <c:pt idx="47">
                  <c:v>4.3743565102049399E-83</c:v>
                </c:pt>
                <c:pt idx="48">
                  <c:v>3.2256431207818002E-78</c:v>
                </c:pt>
                <c:pt idx="49">
                  <c:v>1.6847792563957547E-73</c:v>
                </c:pt>
                <c:pt idx="50">
                  <c:v>6.2329586637240125E-69</c:v>
                </c:pt>
                <c:pt idx="51">
                  <c:v>1.6333153222815483E-64</c:v>
                </c:pt>
                <c:pt idx="52">
                  <c:v>3.0315893678999072E-60</c:v>
                </c:pt>
                <c:pt idx="53">
                  <c:v>3.9856142580135479E-56</c:v>
                </c:pt>
                <c:pt idx="54">
                  <c:v>3.7114592953449282E-52</c:v>
                </c:pt>
                <c:pt idx="55">
                  <c:v>2.448041013001211E-48</c:v>
                </c:pt>
                <c:pt idx="56">
                  <c:v>1.1437134449854793E-44</c:v>
                </c:pt>
                <c:pt idx="57">
                  <c:v>3.7847771502051166E-41</c:v>
                </c:pt>
                <c:pt idx="58">
                  <c:v>8.8713139552172202E-38</c:v>
                </c:pt>
                <c:pt idx="59">
                  <c:v>1.4728554793662489E-34</c:v>
                </c:pt>
                <c:pt idx="60">
                  <c:v>1.7320358220180437E-31</c:v>
                </c:pt>
                <c:pt idx="61">
                  <c:v>1.442707051473362E-28</c:v>
                </c:pt>
                <c:pt idx="62">
                  <c:v>8.5118505287158551E-26</c:v>
                </c:pt>
                <c:pt idx="63">
                  <c:v>3.5570860582829374E-23</c:v>
                </c:pt>
                <c:pt idx="64">
                  <c:v>1.0529052859082231E-20</c:v>
                </c:pt>
                <c:pt idx="65">
                  <c:v>2.2075410594215705E-18</c:v>
                </c:pt>
                <c:pt idx="66">
                  <c:v>3.2783311979585313E-16</c:v>
                </c:pt>
                <c:pt idx="67">
                  <c:v>3.448430061921386E-14</c:v>
                </c:pt>
                <c:pt idx="68">
                  <c:v>2.5692987060707658E-12</c:v>
                </c:pt>
                <c:pt idx="69">
                  <c:v>1.3559148576447905E-10</c:v>
                </c:pt>
                <c:pt idx="70">
                  <c:v>5.0684491549900096E-9</c:v>
                </c:pt>
                <c:pt idx="71">
                  <c:v>1.3419714505681671E-7</c:v>
                </c:pt>
                <c:pt idx="72">
                  <c:v>2.5167439555717289E-6</c:v>
                </c:pt>
                <c:pt idx="73">
                  <c:v>3.3432503019192923E-5</c:v>
                </c:pt>
                <c:pt idx="74">
                  <c:v>3.1459618353959741E-4</c:v>
                </c:pt>
                <c:pt idx="75">
                  <c:v>2.0972862762931844E-3</c:v>
                </c:pt>
                <c:pt idx="76">
                  <c:v>9.9102987265041603E-3</c:v>
                </c:pt>
                <c:pt idx="77">
                  <c:v>3.3241930112721051E-2</c:v>
                </c:pt>
                <c:pt idx="78">
                  <c:v>7.9520352485611304E-2</c:v>
                </c:pt>
                <c:pt idx="79">
                  <c:v>0.13762240095998393</c:v>
                </c:pt>
                <c:pt idx="80">
                  <c:v>0.17969229448086274</c:v>
                </c:pt>
                <c:pt idx="81">
                  <c:v>0.19683960562387345</c:v>
                </c:pt>
                <c:pt idx="82">
                  <c:v>0.21890646328645474</c:v>
                </c:pt>
                <c:pt idx="83">
                  <c:v>0.29417180221463968</c:v>
                </c:pt>
                <c:pt idx="84">
                  <c:v>0.4775459127307618</c:v>
                </c:pt>
                <c:pt idx="85">
                  <c:v>0.79075357797257873</c:v>
                </c:pt>
                <c:pt idx="86">
                  <c:v>1.1284904582829616</c:v>
                </c:pt>
                <c:pt idx="87">
                  <c:v>1.3240738022192542</c:v>
                </c:pt>
                <c:pt idx="88">
                  <c:v>1.3904046844939988</c:v>
                </c:pt>
                <c:pt idx="89">
                  <c:v>1.5261330004291378</c:v>
                </c:pt>
                <c:pt idx="90">
                  <c:v>1.921436490319931</c:v>
                </c:pt>
                <c:pt idx="91">
                  <c:v>2.7375603971778082</c:v>
                </c:pt>
                <c:pt idx="92">
                  <c:v>3.9084769634927041</c:v>
                </c:pt>
                <c:pt idx="93">
                  <c:v>4.7530581552002618</c:v>
                </c:pt>
                <c:pt idx="94">
                  <c:v>4.4937877260575583</c:v>
                </c:pt>
                <c:pt idx="95">
                  <c:v>3.3039881332773335</c:v>
                </c:pt>
                <c:pt idx="96">
                  <c:v>2.0544815316767906</c:v>
                </c:pt>
                <c:pt idx="97">
                  <c:v>1.2122360132299212</c:v>
                </c:pt>
                <c:pt idx="98">
                  <c:v>0.68073685926189031</c:v>
                </c:pt>
                <c:pt idx="99">
                  <c:v>0.32325593745767794</c:v>
                </c:pt>
                <c:pt idx="100">
                  <c:v>0.11708257869079153</c:v>
                </c:pt>
                <c:pt idx="101">
                  <c:v>3.0826880971839967E-2</c:v>
                </c:pt>
                <c:pt idx="102">
                  <c:v>5.7980599704316191E-3</c:v>
                </c:pt>
                <c:pt idx="103">
                  <c:v>7.7453744303932241E-4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4-4DB1-80D9-E6D64DA1493E}"/>
            </c:ext>
          </c:extLst>
        </c:ser>
        <c:ser>
          <c:idx val="1"/>
          <c:order val="1"/>
          <c:tx>
            <c:strRef>
              <c:f>NaiwnaGęstość!$M$4</c:f>
              <c:strCache>
                <c:ptCount val="1"/>
                <c:pt idx="0">
                  <c:v>h2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NaiwnaGęstość!$O$5:$O$108</c:f>
              <c:numCache>
                <c:formatCode>General</c:formatCode>
                <c:ptCount val="104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xVal>
          <c:yVal>
            <c:numRef>
              <c:f>NaiwnaGęstość!$M$5:$M$108</c:f>
              <c:numCache>
                <c:formatCode>General</c:formatCode>
                <c:ptCount val="104"/>
                <c:pt idx="0">
                  <c:v>7.7870690987522039E-36</c:v>
                </c:pt>
                <c:pt idx="1">
                  <c:v>3.7286598769852596E-34</c:v>
                </c:pt>
                <c:pt idx="2">
                  <c:v>1.6188083098442778E-32</c:v>
                </c:pt>
                <c:pt idx="3">
                  <c:v>6.3723852877720263E-31</c:v>
                </c:pt>
                <c:pt idx="4">
                  <c:v>2.2744302132512727E-29</c:v>
                </c:pt>
                <c:pt idx="5">
                  <c:v>7.3604989170411788E-28</c:v>
                </c:pt>
                <c:pt idx="6">
                  <c:v>2.1597626205655115E-26</c:v>
                </c:pt>
                <c:pt idx="7">
                  <c:v>5.7460451204179441E-25</c:v>
                </c:pt>
                <c:pt idx="8">
                  <c:v>1.3861060069042307E-23</c:v>
                </c:pt>
                <c:pt idx="9">
                  <c:v>3.0317157549935123E-22</c:v>
                </c:pt>
                <c:pt idx="10">
                  <c:v>6.0123664244948867E-21</c:v>
                </c:pt>
                <c:pt idx="11">
                  <c:v>1.0811046797597868E-19</c:v>
                </c:pt>
                <c:pt idx="12">
                  <c:v>1.7626090009769846E-18</c:v>
                </c:pt>
                <c:pt idx="13">
                  <c:v>2.6056192782162024E-17</c:v>
                </c:pt>
                <c:pt idx="14">
                  <c:v>3.4924789276999755E-16</c:v>
                </c:pt>
                <c:pt idx="15">
                  <c:v>4.2444951840444302E-15</c:v>
                </c:pt>
                <c:pt idx="16">
                  <c:v>4.6772422732860425E-14</c:v>
                </c:pt>
                <c:pt idx="17">
                  <c:v>4.6733493316731884E-13</c:v>
                </c:pt>
                <c:pt idx="18">
                  <c:v>4.2339461138630369E-12</c:v>
                </c:pt>
                <c:pt idx="19">
                  <c:v>3.4781383538060973E-11</c:v>
                </c:pt>
                <c:pt idx="20">
                  <c:v>2.5908411999706382E-10</c:v>
                </c:pt>
                <c:pt idx="21">
                  <c:v>1.7500006238581553E-9</c:v>
                </c:pt>
                <c:pt idx="22">
                  <c:v>1.07190036513969E-8</c:v>
                </c:pt>
                <c:pt idx="23">
                  <c:v>5.954026126996373E-8</c:v>
                </c:pt>
                <c:pt idx="24">
                  <c:v>2.9994162368168972E-7</c:v>
                </c:pt>
                <c:pt idx="25">
                  <c:v>1.3704826948698888E-6</c:v>
                </c:pt>
                <c:pt idx="26">
                  <c:v>5.6803937765503073E-6</c:v>
                </c:pt>
                <c:pt idx="27">
                  <c:v>2.1361474108349006E-5</c:v>
                </c:pt>
                <c:pt idx="28">
                  <c:v>7.290266508863426E-5</c:v>
                </c:pt>
                <c:pt idx="29">
                  <c:v>2.2587660754317759E-4</c:v>
                </c:pt>
                <c:pt idx="30">
                  <c:v>6.3567412796065794E-4</c:v>
                </c:pt>
                <c:pt idx="31">
                  <c:v>1.6260872167284804E-3</c:v>
                </c:pt>
                <c:pt idx="32">
                  <c:v>3.7847815451795036E-3</c:v>
                </c:pt>
                <c:pt idx="33">
                  <c:v>8.0270907982306714E-3</c:v>
                </c:pt>
                <c:pt idx="34">
                  <c:v>1.5545682868499375E-2</c:v>
                </c:pt>
                <c:pt idx="35">
                  <c:v>2.7575706485056327E-2</c:v>
                </c:pt>
                <c:pt idx="36">
                  <c:v>4.5004792305647225E-2</c:v>
                </c:pt>
                <c:pt idx="37">
                  <c:v>6.8024194664942264E-2</c:v>
                </c:pt>
                <c:pt idx="38">
                  <c:v>9.6133691068320357E-2</c:v>
                </c:pt>
                <c:pt idx="39">
                  <c:v>0.12872854394637265</c:v>
                </c:pt>
                <c:pt idx="40">
                  <c:v>0.16617936801453553</c:v>
                </c:pt>
                <c:pt idx="41">
                  <c:v>0.21093724670604586</c:v>
                </c:pt>
                <c:pt idx="42">
                  <c:v>0.26802087844625649</c:v>
                </c:pt>
                <c:pt idx="43">
                  <c:v>0.34439375430880276</c:v>
                </c:pt>
                <c:pt idx="44">
                  <c:v>0.4471123484355336</c:v>
                </c:pt>
                <c:pt idx="45">
                  <c:v>0.58056059652747039</c:v>
                </c:pt>
                <c:pt idx="46">
                  <c:v>0.74355778791559457</c:v>
                </c:pt>
                <c:pt idx="47">
                  <c:v>0.92762157223159136</c:v>
                </c:pt>
                <c:pt idx="48">
                  <c:v>1.1178324721476247</c:v>
                </c:pt>
                <c:pt idx="49">
                  <c:v>1.2969346272366693</c:v>
                </c:pt>
                <c:pt idx="50">
                  <c:v>1.451359212537469</c:v>
                </c:pt>
                <c:pt idx="51">
                  <c:v>1.5758865374900275</c:v>
                </c:pt>
                <c:pt idx="52">
                  <c:v>1.6735853698457634</c:v>
                </c:pt>
                <c:pt idx="53">
                  <c:v>1.7503767337513945</c:v>
                </c:pt>
                <c:pt idx="54">
                  <c:v>1.8075317462617229</c:v>
                </c:pt>
                <c:pt idx="55">
                  <c:v>1.8375016062664875</c:v>
                </c:pt>
                <c:pt idx="56">
                  <c:v>1.8266288375155293</c:v>
                </c:pt>
                <c:pt idx="57">
                  <c:v>1.7635453443629614</c:v>
                </c:pt>
                <c:pt idx="58">
                  <c:v>1.647962579976388</c:v>
                </c:pt>
                <c:pt idx="59">
                  <c:v>1.4942265405775659</c:v>
                </c:pt>
                <c:pt idx="60">
                  <c:v>1.327501212343126</c:v>
                </c:pt>
                <c:pt idx="61">
                  <c:v>1.1748521716757503</c:v>
                </c:pt>
                <c:pt idx="62">
                  <c:v>1.0557371276534808</c:v>
                </c:pt>
                <c:pt idx="63">
                  <c:v>0.97577898595893087</c:v>
                </c:pt>
                <c:pt idx="64">
                  <c:v>0.92572234389494723</c:v>
                </c:pt>
                <c:pt idx="65">
                  <c:v>0.8856670907226144</c:v>
                </c:pt>
                <c:pt idx="66">
                  <c:v>0.8331806472627924</c:v>
                </c:pt>
                <c:pt idx="67">
                  <c:v>0.7523808208030982</c:v>
                </c:pt>
                <c:pt idx="68">
                  <c:v>0.64015733091606264</c:v>
                </c:pt>
                <c:pt idx="69">
                  <c:v>0.50661605991338787</c:v>
                </c:pt>
                <c:pt idx="70">
                  <c:v>0.36974970815978664</c:v>
                </c:pt>
                <c:pt idx="71">
                  <c:v>0.24748989749538153</c:v>
                </c:pt>
                <c:pt idx="72">
                  <c:v>0.15137228096169242</c:v>
                </c:pt>
                <c:pt idx="73">
                  <c:v>8.4396808032490306E-2</c:v>
                </c:pt>
                <c:pt idx="74">
                  <c:v>4.2824354132838902E-2</c:v>
                </c:pt>
                <c:pt idx="75">
                  <c:v>1.9754173905085045E-2</c:v>
                </c:pt>
                <c:pt idx="76">
                  <c:v>8.2774568480669629E-3</c:v>
                </c:pt>
                <c:pt idx="77">
                  <c:v>3.1489961550236673E-3</c:v>
                </c:pt>
                <c:pt idx="78">
                  <c:v>1.0872275883511897E-3</c:v>
                </c:pt>
                <c:pt idx="79">
                  <c:v>3.4058511467255104E-4</c:v>
                </c:pt>
                <c:pt idx="80">
                  <c:v>9.6784303677990158E-5</c:v>
                </c:pt>
                <c:pt idx="81">
                  <c:v>2.4945895163109564E-5</c:v>
                </c:pt>
                <c:pt idx="82">
                  <c:v>5.8313049854960531E-6</c:v>
                </c:pt>
                <c:pt idx="83">
                  <c:v>1.2361594294175974E-6</c:v>
                </c:pt>
                <c:pt idx="84">
                  <c:v>2.3763116927685203E-7</c:v>
                </c:pt>
                <c:pt idx="85">
                  <c:v>4.1422544305052841E-8</c:v>
                </c:pt>
                <c:pt idx="86">
                  <c:v>6.5473151942546303E-9</c:v>
                </c:pt>
                <c:pt idx="87">
                  <c:v>9.3837120175613247E-10</c:v>
                </c:pt>
                <c:pt idx="88">
                  <c:v>1.219453238544352E-10</c:v>
                </c:pt>
                <c:pt idx="89">
                  <c:v>1.4369129087841341E-11</c:v>
                </c:pt>
                <c:pt idx="90">
                  <c:v>1.535208957788034E-12</c:v>
                </c:pt>
                <c:pt idx="91">
                  <c:v>1.4872161497375306E-13</c:v>
                </c:pt>
                <c:pt idx="92">
                  <c:v>1.3063172014806558E-14</c:v>
                </c:pt>
                <c:pt idx="93">
                  <c:v>1.0403752359304542E-15</c:v>
                </c:pt>
                <c:pt idx="94">
                  <c:v>7.5127224753417224E-17</c:v>
                </c:pt>
                <c:pt idx="95">
                  <c:v>4.9189234940123286E-18</c:v>
                </c:pt>
                <c:pt idx="96">
                  <c:v>2.9201673481179957E-19</c:v>
                </c:pt>
                <c:pt idx="97">
                  <c:v>1.5718462136554665E-20</c:v>
                </c:pt>
                <c:pt idx="98">
                  <c:v>7.6714380370976832E-22</c:v>
                </c:pt>
                <c:pt idx="99">
                  <c:v>3.3947497391338104E-23</c:v>
                </c:pt>
                <c:pt idx="100">
                  <c:v>1.3620808362769559E-24</c:v>
                </c:pt>
                <c:pt idx="101">
                  <c:v>4.9552098868836205E-26</c:v>
                </c:pt>
                <c:pt idx="102">
                  <c:v>1.634501104500923E-27</c:v>
                </c:pt>
                <c:pt idx="103">
                  <c:v>4.8884629770713837E-29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44-4DB1-80D9-E6D64DA1493E}"/>
            </c:ext>
          </c:extLst>
        </c:ser>
        <c:ser>
          <c:idx val="2"/>
          <c:order val="2"/>
          <c:tx>
            <c:strRef>
              <c:f>NaiwnaGęstość!$N$4</c:f>
              <c:strCache>
                <c:ptCount val="1"/>
                <c:pt idx="0">
                  <c:v>h3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NaiwnaGęstość!$O$5:$O$108</c:f>
              <c:numCache>
                <c:formatCode>General</c:formatCode>
                <c:ptCount val="104"/>
                <c:pt idx="0">
                  <c:v>3</c:v>
                </c:pt>
                <c:pt idx="1">
                  <c:v>2.97</c:v>
                </c:pt>
                <c:pt idx="2">
                  <c:v>2.94</c:v>
                </c:pt>
                <c:pt idx="3">
                  <c:v>2.91</c:v>
                </c:pt>
                <c:pt idx="4">
                  <c:v>2.88</c:v>
                </c:pt>
                <c:pt idx="5">
                  <c:v>2.85</c:v>
                </c:pt>
                <c:pt idx="6">
                  <c:v>2.82</c:v>
                </c:pt>
                <c:pt idx="7">
                  <c:v>2.79</c:v>
                </c:pt>
                <c:pt idx="8">
                  <c:v>2.76</c:v>
                </c:pt>
                <c:pt idx="9">
                  <c:v>2.73</c:v>
                </c:pt>
                <c:pt idx="10">
                  <c:v>2.7</c:v>
                </c:pt>
                <c:pt idx="11">
                  <c:v>2.67</c:v>
                </c:pt>
                <c:pt idx="12">
                  <c:v>2.64</c:v>
                </c:pt>
                <c:pt idx="13">
                  <c:v>2.61</c:v>
                </c:pt>
                <c:pt idx="14">
                  <c:v>2.58</c:v>
                </c:pt>
                <c:pt idx="15">
                  <c:v>2.5499999999999998</c:v>
                </c:pt>
                <c:pt idx="16">
                  <c:v>2.52</c:v>
                </c:pt>
                <c:pt idx="17">
                  <c:v>2.4900000000000002</c:v>
                </c:pt>
                <c:pt idx="18">
                  <c:v>2.46</c:v>
                </c:pt>
                <c:pt idx="19">
                  <c:v>2.4300000000000002</c:v>
                </c:pt>
                <c:pt idx="20">
                  <c:v>2.4</c:v>
                </c:pt>
                <c:pt idx="21">
                  <c:v>2.37</c:v>
                </c:pt>
                <c:pt idx="22">
                  <c:v>2.34</c:v>
                </c:pt>
                <c:pt idx="23">
                  <c:v>2.31</c:v>
                </c:pt>
                <c:pt idx="24">
                  <c:v>2.28000000000001</c:v>
                </c:pt>
                <c:pt idx="25">
                  <c:v>2.25</c:v>
                </c:pt>
                <c:pt idx="26">
                  <c:v>2.22000000000001</c:v>
                </c:pt>
                <c:pt idx="27">
                  <c:v>2.19</c:v>
                </c:pt>
                <c:pt idx="28">
                  <c:v>2.1600000000000099</c:v>
                </c:pt>
                <c:pt idx="29">
                  <c:v>2.1300000000000101</c:v>
                </c:pt>
                <c:pt idx="30">
                  <c:v>2.1000000000000099</c:v>
                </c:pt>
                <c:pt idx="31">
                  <c:v>2.0700000000000101</c:v>
                </c:pt>
                <c:pt idx="32">
                  <c:v>2.0400000000000098</c:v>
                </c:pt>
                <c:pt idx="33">
                  <c:v>2.01000000000001</c:v>
                </c:pt>
                <c:pt idx="34">
                  <c:v>1.98000000000001</c:v>
                </c:pt>
                <c:pt idx="35">
                  <c:v>1.9500000000000099</c:v>
                </c:pt>
                <c:pt idx="36">
                  <c:v>1.9200000000000099</c:v>
                </c:pt>
                <c:pt idx="37">
                  <c:v>1.8900000000000099</c:v>
                </c:pt>
                <c:pt idx="38">
                  <c:v>1.8600000000000101</c:v>
                </c:pt>
                <c:pt idx="39">
                  <c:v>1.8300000000000101</c:v>
                </c:pt>
                <c:pt idx="40">
                  <c:v>1.80000000000001</c:v>
                </c:pt>
                <c:pt idx="41">
                  <c:v>1.77000000000001</c:v>
                </c:pt>
                <c:pt idx="42">
                  <c:v>1.74000000000001</c:v>
                </c:pt>
                <c:pt idx="43">
                  <c:v>1.71000000000001</c:v>
                </c:pt>
                <c:pt idx="44">
                  <c:v>1.6800000000000099</c:v>
                </c:pt>
                <c:pt idx="45">
                  <c:v>1.6500000000000099</c:v>
                </c:pt>
                <c:pt idx="46">
                  <c:v>1.6200000000000101</c:v>
                </c:pt>
                <c:pt idx="47">
                  <c:v>1.5900000000000101</c:v>
                </c:pt>
                <c:pt idx="48">
                  <c:v>1.56000000000001</c:v>
                </c:pt>
                <c:pt idx="49">
                  <c:v>1.53000000000001</c:v>
                </c:pt>
                <c:pt idx="50">
                  <c:v>1.50000000000001</c:v>
                </c:pt>
                <c:pt idx="51">
                  <c:v>1.47000000000001</c:v>
                </c:pt>
                <c:pt idx="52">
                  <c:v>1.4400000000000099</c:v>
                </c:pt>
                <c:pt idx="53">
                  <c:v>1.4100000000000099</c:v>
                </c:pt>
                <c:pt idx="54">
                  <c:v>1.3800000000000101</c:v>
                </c:pt>
                <c:pt idx="55">
                  <c:v>1.3500000000000101</c:v>
                </c:pt>
                <c:pt idx="56">
                  <c:v>1.3200000000000101</c:v>
                </c:pt>
                <c:pt idx="57">
                  <c:v>1.29000000000001</c:v>
                </c:pt>
                <c:pt idx="58">
                  <c:v>1.26000000000001</c:v>
                </c:pt>
                <c:pt idx="59">
                  <c:v>1.23000000000001</c:v>
                </c:pt>
                <c:pt idx="60">
                  <c:v>1.2000000000000099</c:v>
                </c:pt>
                <c:pt idx="61">
                  <c:v>1.1700000000000099</c:v>
                </c:pt>
                <c:pt idx="62">
                  <c:v>1.1400000000000099</c:v>
                </c:pt>
                <c:pt idx="63">
                  <c:v>1.1100000000000101</c:v>
                </c:pt>
                <c:pt idx="64">
                  <c:v>1.0800000000000101</c:v>
                </c:pt>
                <c:pt idx="65">
                  <c:v>1.05000000000001</c:v>
                </c:pt>
                <c:pt idx="66">
                  <c:v>1.02000000000001</c:v>
                </c:pt>
                <c:pt idx="67">
                  <c:v>0.99000000000000998</c:v>
                </c:pt>
                <c:pt idx="68">
                  <c:v>0.96000000000000996</c:v>
                </c:pt>
                <c:pt idx="69">
                  <c:v>0.93000000000001004</c:v>
                </c:pt>
                <c:pt idx="70">
                  <c:v>0.90000000000001001</c:v>
                </c:pt>
                <c:pt idx="71">
                  <c:v>0.87000000000000999</c:v>
                </c:pt>
                <c:pt idx="72">
                  <c:v>0.84000000000000996</c:v>
                </c:pt>
                <c:pt idx="73">
                  <c:v>0.81000000000001005</c:v>
                </c:pt>
                <c:pt idx="74">
                  <c:v>0.78000000000001002</c:v>
                </c:pt>
                <c:pt idx="75">
                  <c:v>0.75000000000000999</c:v>
                </c:pt>
                <c:pt idx="76">
                  <c:v>0.72000000000000997</c:v>
                </c:pt>
                <c:pt idx="77">
                  <c:v>0.69000000000002004</c:v>
                </c:pt>
                <c:pt idx="78">
                  <c:v>0.66000000000002002</c:v>
                </c:pt>
                <c:pt idx="79">
                  <c:v>0.63000000000001999</c:v>
                </c:pt>
                <c:pt idx="80">
                  <c:v>0.60000000000001996</c:v>
                </c:pt>
                <c:pt idx="81">
                  <c:v>0.57000000000002005</c:v>
                </c:pt>
                <c:pt idx="82">
                  <c:v>0.54000000000002002</c:v>
                </c:pt>
                <c:pt idx="83">
                  <c:v>0.51000000000001999</c:v>
                </c:pt>
                <c:pt idx="84">
                  <c:v>0.48000000000002002</c:v>
                </c:pt>
                <c:pt idx="85">
                  <c:v>0.45000000000002</c:v>
                </c:pt>
                <c:pt idx="86">
                  <c:v>0.42000000000002002</c:v>
                </c:pt>
                <c:pt idx="87">
                  <c:v>0.39000000000002</c:v>
                </c:pt>
                <c:pt idx="88">
                  <c:v>0.36000000000002003</c:v>
                </c:pt>
                <c:pt idx="89">
                  <c:v>0.33000000000002</c:v>
                </c:pt>
                <c:pt idx="90">
                  <c:v>0.30000000000001997</c:v>
                </c:pt>
                <c:pt idx="91">
                  <c:v>0.27000000000002</c:v>
                </c:pt>
                <c:pt idx="92">
                  <c:v>0.24000000000002</c:v>
                </c:pt>
                <c:pt idx="93">
                  <c:v>0.21000000000002</c:v>
                </c:pt>
                <c:pt idx="94">
                  <c:v>0.18000000000002001</c:v>
                </c:pt>
                <c:pt idx="95">
                  <c:v>0.15000000000002001</c:v>
                </c:pt>
                <c:pt idx="96">
                  <c:v>0.12000000000001999</c:v>
                </c:pt>
                <c:pt idx="97">
                  <c:v>9.00000000000198E-2</c:v>
                </c:pt>
                <c:pt idx="98">
                  <c:v>6.0000000000020003E-2</c:v>
                </c:pt>
                <c:pt idx="99">
                  <c:v>3.0000000000019799E-2</c:v>
                </c:pt>
                <c:pt idx="100">
                  <c:v>1.9984014443252799E-14</c:v>
                </c:pt>
                <c:pt idx="101">
                  <c:v>-2.99999999999798E-2</c:v>
                </c:pt>
                <c:pt idx="102">
                  <c:v>-5.9999999999980097E-2</c:v>
                </c:pt>
                <c:pt idx="103">
                  <c:v>-8.9999999999979902E-2</c:v>
                </c:pt>
              </c:numCache>
            </c:numRef>
          </c:xVal>
          <c:yVal>
            <c:numRef>
              <c:f>NaiwnaGęstość!$N$5:$N$108</c:f>
              <c:numCache>
                <c:formatCode>General</c:formatCode>
                <c:ptCount val="104"/>
                <c:pt idx="0">
                  <c:v>1.630722594325653E-4</c:v>
                </c:pt>
                <c:pt idx="1">
                  <c:v>3.739506112803729E-4</c:v>
                </c:pt>
                <c:pt idx="2">
                  <c:v>8.1655893002242994E-4</c:v>
                </c:pt>
                <c:pt idx="3">
                  <c:v>1.6985146414159836E-3</c:v>
                </c:pt>
                <c:pt idx="4">
                  <c:v>3.3671895387468306E-3</c:v>
                </c:pt>
                <c:pt idx="5">
                  <c:v>6.3655789850021747E-3</c:v>
                </c:pt>
                <c:pt idx="6">
                  <c:v>1.1484018760804862E-2</c:v>
                </c:pt>
                <c:pt idx="7">
                  <c:v>1.9788775220178509E-2</c:v>
                </c:pt>
                <c:pt idx="8">
                  <c:v>3.2604610944478661E-2</c:v>
                </c:pt>
                <c:pt idx="9">
                  <c:v>5.143224828410474E-2</c:v>
                </c:pt>
                <c:pt idx="10">
                  <c:v>7.7795672539148708E-2</c:v>
                </c:pt>
                <c:pt idx="11">
                  <c:v>0.11303609888203303</c:v>
                </c:pt>
                <c:pt idx="12">
                  <c:v>0.15809094650921221</c:v>
                </c:pt>
                <c:pt idx="13">
                  <c:v>0.21330597533892592</c:v>
                </c:pt>
                <c:pt idx="14">
                  <c:v>0.27831898176969266</c:v>
                </c:pt>
                <c:pt idx="15">
                  <c:v>0.35202673347799396</c:v>
                </c:pt>
                <c:pt idx="16">
                  <c:v>0.43261801269143174</c:v>
                </c:pt>
                <c:pt idx="17">
                  <c:v>0.51764458746131026</c:v>
                </c:pt>
                <c:pt idx="18">
                  <c:v>0.60411949258214193</c:v>
                </c:pt>
                <c:pt idx="19">
                  <c:v>0.68866835848256935</c:v>
                </c:pt>
                <c:pt idx="20">
                  <c:v>0.76778540192247891</c:v>
                </c:pt>
                <c:pt idx="21">
                  <c:v>0.83822981224420956</c:v>
                </c:pt>
                <c:pt idx="22">
                  <c:v>0.89753194954970827</c:v>
                </c:pt>
                <c:pt idx="23">
                  <c:v>0.94448997906532184</c:v>
                </c:pt>
                <c:pt idx="24">
                  <c:v>0.97948058098277135</c:v>
                </c:pt>
                <c:pt idx="25">
                  <c:v>1.0044303050227998</c:v>
                </c:pt>
                <c:pt idx="26">
                  <c:v>1.0224040418354952</c:v>
                </c:pt>
                <c:pt idx="27">
                  <c:v>1.0369176465658874</c:v>
                </c:pt>
                <c:pt idx="28">
                  <c:v>1.0511953305289157</c:v>
                </c:pt>
                <c:pt idx="29">
                  <c:v>1.0676050297115469</c:v>
                </c:pt>
                <c:pt idx="30">
                  <c:v>1.0874060546726001</c:v>
                </c:pt>
                <c:pt idx="31">
                  <c:v>1.1107849637837997</c:v>
                </c:pt>
                <c:pt idx="32">
                  <c:v>1.1370244380760501</c:v>
                </c:pt>
                <c:pt idx="33">
                  <c:v>1.1646189305443029</c:v>
                </c:pt>
                <c:pt idx="34">
                  <c:v>1.1912383213878706</c:v>
                </c:pt>
                <c:pt idx="35">
                  <c:v>1.2135988839255101</c:v>
                </c:pt>
                <c:pt idx="36">
                  <c:v>1.2274389833516954</c:v>
                </c:pt>
                <c:pt idx="37">
                  <c:v>1.2278283035719464</c:v>
                </c:pt>
                <c:pt idx="38">
                  <c:v>1.2099280892632738</c:v>
                </c:pt>
                <c:pt idx="39">
                  <c:v>1.1701049631548068</c:v>
                </c:pt>
                <c:pt idx="40">
                  <c:v>1.1070831652352575</c:v>
                </c:pt>
                <c:pt idx="41">
                  <c:v>1.0227143874157274</c:v>
                </c:pt>
                <c:pt idx="42">
                  <c:v>0.92201933856345841</c:v>
                </c:pt>
                <c:pt idx="43">
                  <c:v>0.81239295460799099</c:v>
                </c:pt>
                <c:pt idx="44">
                  <c:v>0.70216608937465552</c:v>
                </c:pt>
                <c:pt idx="45">
                  <c:v>0.59894830267403176</c:v>
                </c:pt>
                <c:pt idx="46">
                  <c:v>0.50824097546045066</c:v>
                </c:pt>
                <c:pt idx="47">
                  <c:v>0.43269011585613626</c:v>
                </c:pt>
                <c:pt idx="48">
                  <c:v>0.3721087405050123</c:v>
                </c:pt>
                <c:pt idx="49">
                  <c:v>0.32414671066343165</c:v>
                </c:pt>
                <c:pt idx="50">
                  <c:v>0.28531614393479482</c:v>
                </c:pt>
                <c:pt idx="51">
                  <c:v>0.25203698318676593</c:v>
                </c:pt>
                <c:pt idx="52">
                  <c:v>0.22143645603670342</c:v>
                </c:pt>
                <c:pt idx="53">
                  <c:v>0.19176726020392396</c:v>
                </c:pt>
                <c:pt idx="54">
                  <c:v>0.1624444823276055</c:v>
                </c:pt>
                <c:pt idx="55">
                  <c:v>0.13379876851028488</c:v>
                </c:pt>
                <c:pt idx="56">
                  <c:v>0.10668648828072912</c:v>
                </c:pt>
                <c:pt idx="57">
                  <c:v>8.2091558029304318E-2</c:v>
                </c:pt>
                <c:pt idx="58">
                  <c:v>6.0815369941744503E-2</c:v>
                </c:pt>
                <c:pt idx="59">
                  <c:v>4.3300840760541637E-2</c:v>
                </c:pt>
                <c:pt idx="60">
                  <c:v>2.9590389365827859E-2</c:v>
                </c:pt>
                <c:pt idx="61">
                  <c:v>1.938579405765516E-2</c:v>
                </c:pt>
                <c:pt idx="62">
                  <c:v>1.216385551137106E-2</c:v>
                </c:pt>
                <c:pt idx="63">
                  <c:v>7.3036255772240335E-3</c:v>
                </c:pt>
                <c:pt idx="64">
                  <c:v>4.1932196779271647E-3</c:v>
                </c:pt>
                <c:pt idx="65">
                  <c:v>2.3003416318065645E-3</c:v>
                </c:pt>
                <c:pt idx="66">
                  <c:v>1.2050213669288548E-3</c:v>
                </c:pt>
                <c:pt idx="67">
                  <c:v>6.024256321707067E-4</c:v>
                </c:pt>
                <c:pt idx="68">
                  <c:v>2.8727130080836516E-4</c:v>
                </c:pt>
                <c:pt idx="69">
                  <c:v>1.3060473717408101E-4</c:v>
                </c:pt>
                <c:pt idx="70">
                  <c:v>5.6587940847308148E-5</c:v>
                </c:pt>
                <c:pt idx="71">
                  <c:v>2.3357619340972686E-5</c:v>
                </c:pt>
                <c:pt idx="72">
                  <c:v>9.1819272094739446E-6</c:v>
                </c:pt>
                <c:pt idx="73">
                  <c:v>3.4365148835857008E-6</c:v>
                </c:pt>
                <c:pt idx="74">
                  <c:v>1.2242671043158996E-6</c:v>
                </c:pt>
                <c:pt idx="75">
                  <c:v>4.1506523807431264E-7</c:v>
                </c:pt>
                <c:pt idx="76">
                  <c:v>1.3389366191388604E-7</c:v>
                </c:pt>
                <c:pt idx="77">
                  <c:v>4.1090313239751872E-8</c:v>
                </c:pt>
                <c:pt idx="78">
                  <c:v>1.1994899715419805E-8</c:v>
                </c:pt>
                <c:pt idx="79">
                  <c:v>3.3302887043089001E-9</c:v>
                </c:pt>
                <c:pt idx="80">
                  <c:v>8.7933196791853791E-10</c:v>
                </c:pt>
                <c:pt idx="81">
                  <c:v>2.2078696920180221E-10</c:v>
                </c:pt>
                <c:pt idx="82">
                  <c:v>5.2712410321237736E-11</c:v>
                </c:pt>
                <c:pt idx="83">
                  <c:v>1.1965891165254828E-11</c:v>
                </c:pt>
                <c:pt idx="84">
                  <c:v>2.5825442642643743E-12</c:v>
                </c:pt>
                <c:pt idx="85">
                  <c:v>5.2991014217262604E-13</c:v>
                </c:pt>
                <c:pt idx="86">
                  <c:v>1.0336951227959752E-13</c:v>
                </c:pt>
                <c:pt idx="87">
                  <c:v>1.9169243029044555E-14</c:v>
                </c:pt>
                <c:pt idx="88">
                  <c:v>3.3793118791977306E-15</c:v>
                </c:pt>
                <c:pt idx="89">
                  <c:v>5.6630802324489718E-16</c:v>
                </c:pt>
                <c:pt idx="90">
                  <c:v>9.0213199619202574E-17</c:v>
                </c:pt>
                <c:pt idx="91">
                  <c:v>1.3660715862867945E-17</c:v>
                </c:pt>
                <c:pt idx="92">
                  <c:v>1.9663325529573612E-18</c:v>
                </c:pt>
                <c:pt idx="93">
                  <c:v>2.6903926253576007E-19</c:v>
                </c:pt>
                <c:pt idx="94">
                  <c:v>3.4990113784221579E-20</c:v>
                </c:pt>
                <c:pt idx="95">
                  <c:v>4.3255616170690379E-21</c:v>
                </c:pt>
                <c:pt idx="96">
                  <c:v>5.0828128359040586E-22</c:v>
                </c:pt>
                <c:pt idx="97">
                  <c:v>5.6771147679824639E-23</c:v>
                </c:pt>
                <c:pt idx="98">
                  <c:v>6.0271366314933575E-24</c:v>
                </c:pt>
                <c:pt idx="99">
                  <c:v>6.0820838590944894E-25</c:v>
                </c:pt>
                <c:pt idx="100">
                  <c:v>5.8337827605534838E-26</c:v>
                </c:pt>
                <c:pt idx="101">
                  <c:v>5.3186730926815973E-27</c:v>
                </c:pt>
                <c:pt idx="102">
                  <c:v>4.6090397386336245E-28</c:v>
                </c:pt>
                <c:pt idx="103">
                  <c:v>3.7963898233073626E-29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44-4DB1-80D9-E6D64DA14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17136"/>
        <c:axId val="191170016"/>
      </c:scatterChart>
      <c:valAx>
        <c:axId val="18771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170016"/>
        <c:crosses val="autoZero"/>
        <c:crossBetween val="midCat"/>
      </c:valAx>
      <c:valAx>
        <c:axId val="1911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7717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irysy</a:t>
            </a:r>
            <a:r>
              <a:rPr lang="pl-PL" baseline="0"/>
              <a:t> - rozmiary płatków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NaiwnaGęstość!$E$2</c:f>
              <c:strCache>
                <c:ptCount val="1"/>
                <c:pt idx="0">
                  <c:v>setosa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20193678095713541"/>
                  <c:y val="1.81921285028472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NaiwnaGęstość!$C$2:$C$51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NaiwnaGęstość!$D$2:$D$51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BC-4F65-986B-76982418325D}"/>
            </c:ext>
          </c:extLst>
        </c:ser>
        <c:ser>
          <c:idx val="1"/>
          <c:order val="1"/>
          <c:tx>
            <c:strRef>
              <c:f>NaiwnaGęstość!$E$52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4089287254078831"/>
                  <c:y val="9.169771971241252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NaiwnaGęstość!$C$52:$C$101</c:f>
              <c:numCache>
                <c:formatCode>General</c:formatCode>
                <c:ptCount val="5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</c:numCache>
            </c:numRef>
          </c:xVal>
          <c:yVal>
            <c:numRef>
              <c:f>NaiwnaGęstość!$D$52:$D$101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BC-4F65-986B-76982418325D}"/>
            </c:ext>
          </c:extLst>
        </c:ser>
        <c:ser>
          <c:idx val="2"/>
          <c:order val="2"/>
          <c:tx>
            <c:strRef>
              <c:f>NaiwnaGęstość!$E$102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145848555674057"/>
                  <c:y val="-5.176153697486018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NaiwnaGęstość!$C$102:$C$151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NaiwnaGęstość!$D$102:$D$151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1BC-4F65-986B-769824183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384143"/>
        <c:axId val="1601299759"/>
      </c:scatterChart>
      <c:valAx>
        <c:axId val="1764384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99759"/>
        <c:crosses val="autoZero"/>
        <c:crossBetween val="midCat"/>
      </c:valAx>
      <c:valAx>
        <c:axId val="1601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4384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Petal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NaiwnaGęstość!$O$1</c:f>
              <c:strCache>
                <c:ptCount val="1"/>
                <c:pt idx="0">
                  <c:v>g1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NaiwnaGęstość!$P$4:$DL$4</c:f>
              <c:numCache>
                <c:formatCode>General</c:formatCode>
                <c:ptCount val="10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0.8</c:v>
                </c:pt>
                <c:pt idx="11">
                  <c:v>0.88</c:v>
                </c:pt>
                <c:pt idx="12">
                  <c:v>0.96</c:v>
                </c:pt>
                <c:pt idx="13">
                  <c:v>1.04</c:v>
                </c:pt>
                <c:pt idx="14">
                  <c:v>1.1200000000000001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</c:v>
                </c:pt>
                <c:pt idx="19">
                  <c:v>1.52</c:v>
                </c:pt>
                <c:pt idx="20">
                  <c:v>1.6</c:v>
                </c:pt>
                <c:pt idx="21">
                  <c:v>1.68</c:v>
                </c:pt>
                <c:pt idx="22">
                  <c:v>1.76</c:v>
                </c:pt>
                <c:pt idx="23">
                  <c:v>1.84</c:v>
                </c:pt>
                <c:pt idx="24">
                  <c:v>1.92</c:v>
                </c:pt>
                <c:pt idx="25">
                  <c:v>2</c:v>
                </c:pt>
                <c:pt idx="26">
                  <c:v>2.08</c:v>
                </c:pt>
                <c:pt idx="27">
                  <c:v>2.16</c:v>
                </c:pt>
                <c:pt idx="28">
                  <c:v>2.2400000000000002</c:v>
                </c:pt>
                <c:pt idx="29">
                  <c:v>2.3199999999999998</c:v>
                </c:pt>
                <c:pt idx="30">
                  <c:v>2.4</c:v>
                </c:pt>
                <c:pt idx="31">
                  <c:v>2.48</c:v>
                </c:pt>
                <c:pt idx="32">
                  <c:v>2.56</c:v>
                </c:pt>
                <c:pt idx="33">
                  <c:v>2.64</c:v>
                </c:pt>
                <c:pt idx="34">
                  <c:v>2.72</c:v>
                </c:pt>
                <c:pt idx="35">
                  <c:v>2.8</c:v>
                </c:pt>
                <c:pt idx="36">
                  <c:v>2.88</c:v>
                </c:pt>
                <c:pt idx="37">
                  <c:v>2.96</c:v>
                </c:pt>
                <c:pt idx="38">
                  <c:v>3.04</c:v>
                </c:pt>
                <c:pt idx="39">
                  <c:v>3.12</c:v>
                </c:pt>
                <c:pt idx="40">
                  <c:v>3.2</c:v>
                </c:pt>
                <c:pt idx="41">
                  <c:v>3.28</c:v>
                </c:pt>
                <c:pt idx="42">
                  <c:v>3.36</c:v>
                </c:pt>
                <c:pt idx="43">
                  <c:v>3.44</c:v>
                </c:pt>
                <c:pt idx="44">
                  <c:v>3.52</c:v>
                </c:pt>
                <c:pt idx="45">
                  <c:v>3.6</c:v>
                </c:pt>
                <c:pt idx="46">
                  <c:v>3.68</c:v>
                </c:pt>
                <c:pt idx="47">
                  <c:v>3.76</c:v>
                </c:pt>
                <c:pt idx="48">
                  <c:v>3.84</c:v>
                </c:pt>
                <c:pt idx="49">
                  <c:v>3.92</c:v>
                </c:pt>
                <c:pt idx="50">
                  <c:v>4</c:v>
                </c:pt>
                <c:pt idx="51">
                  <c:v>4.08</c:v>
                </c:pt>
                <c:pt idx="52">
                  <c:v>4.16</c:v>
                </c:pt>
                <c:pt idx="53">
                  <c:v>4.24</c:v>
                </c:pt>
                <c:pt idx="54">
                  <c:v>4.32</c:v>
                </c:pt>
                <c:pt idx="55">
                  <c:v>4.4000000000000004</c:v>
                </c:pt>
                <c:pt idx="56">
                  <c:v>4.4800000000000004</c:v>
                </c:pt>
                <c:pt idx="57">
                  <c:v>4.5599999999999996</c:v>
                </c:pt>
                <c:pt idx="58">
                  <c:v>4.6399999999999997</c:v>
                </c:pt>
                <c:pt idx="59">
                  <c:v>4.72</c:v>
                </c:pt>
                <c:pt idx="60">
                  <c:v>4.8</c:v>
                </c:pt>
                <c:pt idx="61">
                  <c:v>4.88</c:v>
                </c:pt>
                <c:pt idx="62">
                  <c:v>4.96</c:v>
                </c:pt>
                <c:pt idx="63">
                  <c:v>5.04</c:v>
                </c:pt>
                <c:pt idx="64">
                  <c:v>5.12</c:v>
                </c:pt>
                <c:pt idx="65">
                  <c:v>5.2</c:v>
                </c:pt>
                <c:pt idx="66">
                  <c:v>5.28</c:v>
                </c:pt>
                <c:pt idx="67">
                  <c:v>5.36</c:v>
                </c:pt>
                <c:pt idx="68">
                  <c:v>5.44</c:v>
                </c:pt>
                <c:pt idx="69">
                  <c:v>5.52</c:v>
                </c:pt>
                <c:pt idx="70">
                  <c:v>5.6</c:v>
                </c:pt>
                <c:pt idx="71">
                  <c:v>5.68</c:v>
                </c:pt>
                <c:pt idx="72">
                  <c:v>5.76</c:v>
                </c:pt>
                <c:pt idx="73">
                  <c:v>5.84</c:v>
                </c:pt>
                <c:pt idx="74">
                  <c:v>5.92</c:v>
                </c:pt>
                <c:pt idx="75">
                  <c:v>6</c:v>
                </c:pt>
                <c:pt idx="76">
                  <c:v>6.08</c:v>
                </c:pt>
                <c:pt idx="77">
                  <c:v>6.16</c:v>
                </c:pt>
                <c:pt idx="78">
                  <c:v>6.24</c:v>
                </c:pt>
                <c:pt idx="79">
                  <c:v>6.32</c:v>
                </c:pt>
                <c:pt idx="80">
                  <c:v>6.4</c:v>
                </c:pt>
                <c:pt idx="81">
                  <c:v>6.48</c:v>
                </c:pt>
                <c:pt idx="82">
                  <c:v>6.56</c:v>
                </c:pt>
                <c:pt idx="83">
                  <c:v>6.64</c:v>
                </c:pt>
                <c:pt idx="84">
                  <c:v>6.72</c:v>
                </c:pt>
                <c:pt idx="85">
                  <c:v>6.8</c:v>
                </c:pt>
                <c:pt idx="86">
                  <c:v>6.88</c:v>
                </c:pt>
                <c:pt idx="87">
                  <c:v>6.96</c:v>
                </c:pt>
                <c:pt idx="88">
                  <c:v>7.04</c:v>
                </c:pt>
                <c:pt idx="89">
                  <c:v>7.12</c:v>
                </c:pt>
                <c:pt idx="90">
                  <c:v>7.2</c:v>
                </c:pt>
                <c:pt idx="91">
                  <c:v>7.28</c:v>
                </c:pt>
                <c:pt idx="92">
                  <c:v>7.36</c:v>
                </c:pt>
                <c:pt idx="93">
                  <c:v>7.44</c:v>
                </c:pt>
                <c:pt idx="94">
                  <c:v>7.52</c:v>
                </c:pt>
                <c:pt idx="95">
                  <c:v>7.6</c:v>
                </c:pt>
                <c:pt idx="96">
                  <c:v>7.68</c:v>
                </c:pt>
                <c:pt idx="97">
                  <c:v>7.76</c:v>
                </c:pt>
                <c:pt idx="98">
                  <c:v>7.84</c:v>
                </c:pt>
                <c:pt idx="99">
                  <c:v>7.92</c:v>
                </c:pt>
                <c:pt idx="100">
                  <c:v>8</c:v>
                </c:pt>
              </c:numCache>
            </c:numRef>
          </c:xVal>
          <c:yVal>
            <c:numRef>
              <c:f>NaiwnaGęstość!$P$1:$DL$1</c:f>
              <c:numCache>
                <c:formatCode>General</c:formatCode>
                <c:ptCount val="101"/>
                <c:pt idx="0">
                  <c:v>2.1634616762013591E-32</c:v>
                </c:pt>
                <c:pt idx="1">
                  <c:v>1.1007649536200519E-27</c:v>
                </c:pt>
                <c:pt idx="2">
                  <c:v>2.2700142960407638E-23</c:v>
                </c:pt>
                <c:pt idx="3">
                  <c:v>1.8973727682895698E-19</c:v>
                </c:pt>
                <c:pt idx="4">
                  <c:v>6.4279327776964995E-16</c:v>
                </c:pt>
                <c:pt idx="5">
                  <c:v>8.8267038957108429E-13</c:v>
                </c:pt>
                <c:pt idx="6">
                  <c:v>4.9133485475496616E-10</c:v>
                </c:pt>
                <c:pt idx="7">
                  <c:v>1.1090267024910185E-7</c:v>
                </c:pt>
                <c:pt idx="8">
                  <c:v>1.0160264804114535E-5</c:v>
                </c:pt>
                <c:pt idx="9">
                  <c:v>3.7891694579353217E-4</c:v>
                </c:pt>
                <c:pt idx="10">
                  <c:v>5.8050533134256588E-3</c:v>
                </c:pt>
                <c:pt idx="11">
                  <c:v>3.7571834831753338E-2</c:v>
                </c:pt>
                <c:pt idx="12">
                  <c:v>0.11188757960060738</c:v>
                </c:pt>
                <c:pt idx="13">
                  <c:v>0.19508489036926679</c:v>
                </c:pt>
                <c:pt idx="14">
                  <c:v>0.31952267143067115</c:v>
                </c:pt>
                <c:pt idx="15">
                  <c:v>0.6450898418611527</c:v>
                </c:pt>
                <c:pt idx="16">
                  <c:v>1.262784031189655</c:v>
                </c:pt>
                <c:pt idx="17">
                  <c:v>1.9678122347885689</c:v>
                </c:pt>
                <c:pt idx="18">
                  <c:v>2.338307860862642</c:v>
                </c:pt>
                <c:pt idx="19">
                  <c:v>2.126843091371029</c:v>
                </c:pt>
                <c:pt idx="20">
                  <c:v>1.5339415394897107</c:v>
                </c:pt>
                <c:pt idx="21">
                  <c:v>0.92737372904751114</c:v>
                </c:pt>
                <c:pt idx="22">
                  <c:v>0.46121226449721275</c:v>
                </c:pt>
                <c:pt idx="23">
                  <c:v>0.25390007078954574</c:v>
                </c:pt>
                <c:pt idx="24">
                  <c:v>0.19723978424831648</c:v>
                </c:pt>
                <c:pt idx="25">
                  <c:v>9.428285700733087E-2</c:v>
                </c:pt>
                <c:pt idx="26">
                  <c:v>1.9287861284869041E-2</c:v>
                </c:pt>
                <c:pt idx="27">
                  <c:v>1.6084662869713128E-3</c:v>
                </c:pt>
                <c:pt idx="28">
                  <c:v>5.4398446827406852E-5</c:v>
                </c:pt>
                <c:pt idx="29">
                  <c:v>7.457202463056912E-7</c:v>
                </c:pt>
                <c:pt idx="30">
                  <c:v>4.1433927359166675E-9</c:v>
                </c:pt>
                <c:pt idx="31">
                  <c:v>9.3309201569415184E-12</c:v>
                </c:pt>
                <c:pt idx="32">
                  <c:v>8.5168851186479732E-15</c:v>
                </c:pt>
                <c:pt idx="33">
                  <c:v>3.1508303538300477E-18</c:v>
                </c:pt>
                <c:pt idx="34">
                  <c:v>4.7245142645426754E-22</c:v>
                </c:pt>
                <c:pt idx="35">
                  <c:v>2.8712910733209188E-26</c:v>
                </c:pt>
                <c:pt idx="36">
                  <c:v>7.0726992177992873E-31</c:v>
                </c:pt>
                <c:pt idx="37">
                  <c:v>7.0612415775313856E-36</c:v>
                </c:pt>
                <c:pt idx="38">
                  <c:v>2.8573593535512486E-41</c:v>
                </c:pt>
                <c:pt idx="39">
                  <c:v>4.6863699279722506E-47</c:v>
                </c:pt>
                <c:pt idx="40">
                  <c:v>3.1152735281171329E-53</c:v>
                </c:pt>
                <c:pt idx="41">
                  <c:v>8.3935119700550328E-60</c:v>
                </c:pt>
                <c:pt idx="42">
                  <c:v>9.1659852855083939E-67</c:v>
                </c:pt>
                <c:pt idx="43">
                  <c:v>4.056976663133258E-74</c:v>
                </c:pt>
                <c:pt idx="44">
                  <c:v>7.2780288960482816E-82</c:v>
                </c:pt>
                <c:pt idx="45">
                  <c:v>5.2919161444470602E-90</c:v>
                </c:pt>
                <c:pt idx="46">
                  <c:v>1.5595526614363543E-98</c:v>
                </c:pt>
                <c:pt idx="47">
                  <c:v>1.8628378210127234E-107</c:v>
                </c:pt>
                <c:pt idx="48">
                  <c:v>9.0185758371566653E-117</c:v>
                </c:pt>
                <c:pt idx="49">
                  <c:v>1.7696557381275516E-126</c:v>
                </c:pt>
                <c:pt idx="50">
                  <c:v>1.4074323459464909E-136</c:v>
                </c:pt>
                <c:pt idx="51">
                  <c:v>4.5368474791963081E-147</c:v>
                </c:pt>
                <c:pt idx="52">
                  <c:v>5.9274615150018638E-158</c:v>
                </c:pt>
                <c:pt idx="53">
                  <c:v>3.1388547464803127E-169</c:v>
                </c:pt>
                <c:pt idx="54">
                  <c:v>6.7369233602159622E-181</c:v>
                </c:pt>
                <c:pt idx="55">
                  <c:v>5.8605706670435247E-193</c:v>
                </c:pt>
                <c:pt idx="56">
                  <c:v>2.0663606337787645E-205</c:v>
                </c:pt>
                <c:pt idx="57">
                  <c:v>2.952978222454782E-218</c:v>
                </c:pt>
                <c:pt idx="58">
                  <c:v>1.7104180894584183E-231</c:v>
                </c:pt>
                <c:pt idx="59">
                  <c:v>4.0154315782994301E-245</c:v>
                </c:pt>
                <c:pt idx="60">
                  <c:v>3.8207629284429487E-259</c:v>
                </c:pt>
                <c:pt idx="61">
                  <c:v>1.4735194228870772E-273</c:v>
                </c:pt>
                <c:pt idx="62">
                  <c:v>2.3032949237505036E-288</c:v>
                </c:pt>
                <c:pt idx="63">
                  <c:v>1.459254859770136E-303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D0-42E7-A73A-5CE13A8E713C}"/>
            </c:ext>
          </c:extLst>
        </c:ser>
        <c:ser>
          <c:idx val="1"/>
          <c:order val="1"/>
          <c:tx>
            <c:strRef>
              <c:f>NaiwnaGęstość!$O$2</c:f>
              <c:strCache>
                <c:ptCount val="1"/>
                <c:pt idx="0">
                  <c:v>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NaiwnaGęstość!$P$4:$DL$4</c:f>
              <c:numCache>
                <c:formatCode>General</c:formatCode>
                <c:ptCount val="10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0.8</c:v>
                </c:pt>
                <c:pt idx="11">
                  <c:v>0.88</c:v>
                </c:pt>
                <c:pt idx="12">
                  <c:v>0.96</c:v>
                </c:pt>
                <c:pt idx="13">
                  <c:v>1.04</c:v>
                </c:pt>
                <c:pt idx="14">
                  <c:v>1.1200000000000001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</c:v>
                </c:pt>
                <c:pt idx="19">
                  <c:v>1.52</c:v>
                </c:pt>
                <c:pt idx="20">
                  <c:v>1.6</c:v>
                </c:pt>
                <c:pt idx="21">
                  <c:v>1.68</c:v>
                </c:pt>
                <c:pt idx="22">
                  <c:v>1.76</c:v>
                </c:pt>
                <c:pt idx="23">
                  <c:v>1.84</c:v>
                </c:pt>
                <c:pt idx="24">
                  <c:v>1.92</c:v>
                </c:pt>
                <c:pt idx="25">
                  <c:v>2</c:v>
                </c:pt>
                <c:pt idx="26">
                  <c:v>2.08</c:v>
                </c:pt>
                <c:pt idx="27">
                  <c:v>2.16</c:v>
                </c:pt>
                <c:pt idx="28">
                  <c:v>2.2400000000000002</c:v>
                </c:pt>
                <c:pt idx="29">
                  <c:v>2.3199999999999998</c:v>
                </c:pt>
                <c:pt idx="30">
                  <c:v>2.4</c:v>
                </c:pt>
                <c:pt idx="31">
                  <c:v>2.48</c:v>
                </c:pt>
                <c:pt idx="32">
                  <c:v>2.56</c:v>
                </c:pt>
                <c:pt idx="33">
                  <c:v>2.64</c:v>
                </c:pt>
                <c:pt idx="34">
                  <c:v>2.72</c:v>
                </c:pt>
                <c:pt idx="35">
                  <c:v>2.8</c:v>
                </c:pt>
                <c:pt idx="36">
                  <c:v>2.88</c:v>
                </c:pt>
                <c:pt idx="37">
                  <c:v>2.96</c:v>
                </c:pt>
                <c:pt idx="38">
                  <c:v>3.04</c:v>
                </c:pt>
                <c:pt idx="39">
                  <c:v>3.12</c:v>
                </c:pt>
                <c:pt idx="40">
                  <c:v>3.2</c:v>
                </c:pt>
                <c:pt idx="41">
                  <c:v>3.28</c:v>
                </c:pt>
                <c:pt idx="42">
                  <c:v>3.36</c:v>
                </c:pt>
                <c:pt idx="43">
                  <c:v>3.44</c:v>
                </c:pt>
                <c:pt idx="44">
                  <c:v>3.52</c:v>
                </c:pt>
                <c:pt idx="45">
                  <c:v>3.6</c:v>
                </c:pt>
                <c:pt idx="46">
                  <c:v>3.68</c:v>
                </c:pt>
                <c:pt idx="47">
                  <c:v>3.76</c:v>
                </c:pt>
                <c:pt idx="48">
                  <c:v>3.84</c:v>
                </c:pt>
                <c:pt idx="49">
                  <c:v>3.92</c:v>
                </c:pt>
                <c:pt idx="50">
                  <c:v>4</c:v>
                </c:pt>
                <c:pt idx="51">
                  <c:v>4.08</c:v>
                </c:pt>
                <c:pt idx="52">
                  <c:v>4.16</c:v>
                </c:pt>
                <c:pt idx="53">
                  <c:v>4.24</c:v>
                </c:pt>
                <c:pt idx="54">
                  <c:v>4.32</c:v>
                </c:pt>
                <c:pt idx="55">
                  <c:v>4.4000000000000004</c:v>
                </c:pt>
                <c:pt idx="56">
                  <c:v>4.4800000000000004</c:v>
                </c:pt>
                <c:pt idx="57">
                  <c:v>4.5599999999999996</c:v>
                </c:pt>
                <c:pt idx="58">
                  <c:v>4.6399999999999997</c:v>
                </c:pt>
                <c:pt idx="59">
                  <c:v>4.72</c:v>
                </c:pt>
                <c:pt idx="60">
                  <c:v>4.8</c:v>
                </c:pt>
                <c:pt idx="61">
                  <c:v>4.88</c:v>
                </c:pt>
                <c:pt idx="62">
                  <c:v>4.96</c:v>
                </c:pt>
                <c:pt idx="63">
                  <c:v>5.04</c:v>
                </c:pt>
                <c:pt idx="64">
                  <c:v>5.12</c:v>
                </c:pt>
                <c:pt idx="65">
                  <c:v>5.2</c:v>
                </c:pt>
                <c:pt idx="66">
                  <c:v>5.28</c:v>
                </c:pt>
                <c:pt idx="67">
                  <c:v>5.36</c:v>
                </c:pt>
                <c:pt idx="68">
                  <c:v>5.44</c:v>
                </c:pt>
                <c:pt idx="69">
                  <c:v>5.52</c:v>
                </c:pt>
                <c:pt idx="70">
                  <c:v>5.6</c:v>
                </c:pt>
                <c:pt idx="71">
                  <c:v>5.68</c:v>
                </c:pt>
                <c:pt idx="72">
                  <c:v>5.76</c:v>
                </c:pt>
                <c:pt idx="73">
                  <c:v>5.84</c:v>
                </c:pt>
                <c:pt idx="74">
                  <c:v>5.92</c:v>
                </c:pt>
                <c:pt idx="75">
                  <c:v>6</c:v>
                </c:pt>
                <c:pt idx="76">
                  <c:v>6.08</c:v>
                </c:pt>
                <c:pt idx="77">
                  <c:v>6.16</c:v>
                </c:pt>
                <c:pt idx="78">
                  <c:v>6.24</c:v>
                </c:pt>
                <c:pt idx="79">
                  <c:v>6.32</c:v>
                </c:pt>
                <c:pt idx="80">
                  <c:v>6.4</c:v>
                </c:pt>
                <c:pt idx="81">
                  <c:v>6.48</c:v>
                </c:pt>
                <c:pt idx="82">
                  <c:v>6.56</c:v>
                </c:pt>
                <c:pt idx="83">
                  <c:v>6.64</c:v>
                </c:pt>
                <c:pt idx="84">
                  <c:v>6.72</c:v>
                </c:pt>
                <c:pt idx="85">
                  <c:v>6.8</c:v>
                </c:pt>
                <c:pt idx="86">
                  <c:v>6.88</c:v>
                </c:pt>
                <c:pt idx="87">
                  <c:v>6.96</c:v>
                </c:pt>
                <c:pt idx="88">
                  <c:v>7.04</c:v>
                </c:pt>
                <c:pt idx="89">
                  <c:v>7.12</c:v>
                </c:pt>
                <c:pt idx="90">
                  <c:v>7.2</c:v>
                </c:pt>
                <c:pt idx="91">
                  <c:v>7.28</c:v>
                </c:pt>
                <c:pt idx="92">
                  <c:v>7.36</c:v>
                </c:pt>
                <c:pt idx="93">
                  <c:v>7.44</c:v>
                </c:pt>
                <c:pt idx="94">
                  <c:v>7.52</c:v>
                </c:pt>
                <c:pt idx="95">
                  <c:v>7.6</c:v>
                </c:pt>
                <c:pt idx="96">
                  <c:v>7.68</c:v>
                </c:pt>
                <c:pt idx="97">
                  <c:v>7.76</c:v>
                </c:pt>
                <c:pt idx="98">
                  <c:v>7.84</c:v>
                </c:pt>
                <c:pt idx="99">
                  <c:v>7.92</c:v>
                </c:pt>
                <c:pt idx="100">
                  <c:v>8</c:v>
                </c:pt>
              </c:numCache>
            </c:numRef>
          </c:xVal>
          <c:yVal>
            <c:numRef>
              <c:f>NaiwnaGęstość!$P$2:$DL$2</c:f>
              <c:numCache>
                <c:formatCode>General</c:formatCode>
                <c:ptCount val="101"/>
                <c:pt idx="0">
                  <c:v>7.569559115828481E-40</c:v>
                </c:pt>
                <c:pt idx="1">
                  <c:v>7.2628084438782316E-38</c:v>
                </c:pt>
                <c:pt idx="2">
                  <c:v>6.1598496480249513E-36</c:v>
                </c:pt>
                <c:pt idx="3">
                  <c:v>4.6181406254689188E-34</c:v>
                </c:pt>
                <c:pt idx="4">
                  <c:v>3.0605234939993739E-32</c:v>
                </c:pt>
                <c:pt idx="5">
                  <c:v>1.7928989398359071E-30</c:v>
                </c:pt>
                <c:pt idx="6">
                  <c:v>9.2842631236046938E-29</c:v>
                </c:pt>
                <c:pt idx="7">
                  <c:v>4.2498208310512026E-27</c:v>
                </c:pt>
                <c:pt idx="8">
                  <c:v>1.7195918358905735E-25</c:v>
                </c:pt>
                <c:pt idx="9">
                  <c:v>6.1505185964351966E-24</c:v>
                </c:pt>
                <c:pt idx="10">
                  <c:v>1.9445976678436306E-22</c:v>
                </c:pt>
                <c:pt idx="11">
                  <c:v>5.4347495646229109E-21</c:v>
                </c:pt>
                <c:pt idx="12">
                  <c:v>1.3426450137557996E-19</c:v>
                </c:pt>
                <c:pt idx="13">
                  <c:v>2.9320743810389825E-18</c:v>
                </c:pt>
                <c:pt idx="14">
                  <c:v>5.6600625292908771E-17</c:v>
                </c:pt>
                <c:pt idx="15">
                  <c:v>9.6582957673504122E-16</c:v>
                </c:pt>
                <c:pt idx="16">
                  <c:v>1.456846141608359E-14</c:v>
                </c:pt>
                <c:pt idx="17">
                  <c:v>1.9425052650220369E-13</c:v>
                </c:pt>
                <c:pt idx="18">
                  <c:v>2.2895403182339014E-12</c:v>
                </c:pt>
                <c:pt idx="19">
                  <c:v>2.3854786242172153E-11</c:v>
                </c:pt>
                <c:pt idx="20">
                  <c:v>2.1970987378522072E-10</c:v>
                </c:pt>
                <c:pt idx="21">
                  <c:v>1.7888727242948232E-9</c:v>
                </c:pt>
                <c:pt idx="22">
                  <c:v>1.2875955173196777E-8</c:v>
                </c:pt>
                <c:pt idx="23">
                  <c:v>8.1935553480096349E-8</c:v>
                </c:pt>
                <c:pt idx="24">
                  <c:v>4.6099315166823482E-7</c:v>
                </c:pt>
                <c:pt idx="25">
                  <c:v>2.2935242223231347E-6</c:v>
                </c:pt>
                <c:pt idx="26">
                  <c:v>1.0092311875525187E-5</c:v>
                </c:pt>
                <c:pt idx="27">
                  <c:v>3.9291840817112733E-5</c:v>
                </c:pt>
                <c:pt idx="28">
                  <c:v>1.3541617065839548E-4</c:v>
                </c:pt>
                <c:pt idx="29">
                  <c:v>4.134887695302582E-4</c:v>
                </c:pt>
                <c:pt idx="30">
                  <c:v>1.1201231075975431E-3</c:v>
                </c:pt>
                <c:pt idx="31">
                  <c:v>2.6977155614091126E-3</c:v>
                </c:pt>
                <c:pt idx="32">
                  <c:v>5.7954651013678062E-3</c:v>
                </c:pt>
                <c:pt idx="33">
                  <c:v>1.1161851317942062E-2</c:v>
                </c:pt>
                <c:pt idx="34">
                  <c:v>1.9417613862833361E-2</c:v>
                </c:pt>
                <c:pt idx="35">
                  <c:v>3.0836021763659342E-2</c:v>
                </c:pt>
                <c:pt idx="36">
                  <c:v>4.5320390235684176E-2</c:v>
                </c:pt>
                <c:pt idx="37">
                  <c:v>6.2626753186114867E-2</c:v>
                </c:pt>
                <c:pt idx="38">
                  <c:v>8.2607610033595846E-2</c:v>
                </c:pt>
                <c:pt idx="39">
                  <c:v>0.10517150333794525</c:v>
                </c:pt>
                <c:pt idx="40">
                  <c:v>0.12996400525454821</c:v>
                </c:pt>
                <c:pt idx="41">
                  <c:v>0.15620638826268898</c:v>
                </c:pt>
                <c:pt idx="42">
                  <c:v>0.18316080945347107</c:v>
                </c:pt>
                <c:pt idx="43">
                  <c:v>0.21116799272961373</c:v>
                </c:pt>
                <c:pt idx="44">
                  <c:v>0.24252962715433976</c:v>
                </c:pt>
                <c:pt idx="45">
                  <c:v>0.28126091263596331</c:v>
                </c:pt>
                <c:pt idx="46">
                  <c:v>0.3312500254811257</c:v>
                </c:pt>
                <c:pt idx="47">
                  <c:v>0.39351571615602965</c:v>
                </c:pt>
                <c:pt idx="48">
                  <c:v>0.4643511813838424</c:v>
                </c:pt>
                <c:pt idx="49">
                  <c:v>0.53610807152552942</c:v>
                </c:pt>
                <c:pt idx="50">
                  <c:v>0.60071496736241869</c:v>
                </c:pt>
                <c:pt idx="51">
                  <c:v>0.65374956311185495</c:v>
                </c:pt>
                <c:pt idx="52">
                  <c:v>0.69600171383255194</c:v>
                </c:pt>
                <c:pt idx="53">
                  <c:v>0.73110565484500367</c:v>
                </c:pt>
                <c:pt idx="54">
                  <c:v>0.7608873951265962</c:v>
                </c:pt>
                <c:pt idx="55">
                  <c:v>0.78200788221669182</c:v>
                </c:pt>
                <c:pt idx="56">
                  <c:v>0.78655421356008914</c:v>
                </c:pt>
                <c:pt idx="57">
                  <c:v>0.76619045702279753</c:v>
                </c:pt>
                <c:pt idx="58">
                  <c:v>0.71691114939816147</c:v>
                </c:pt>
                <c:pt idx="59">
                  <c:v>0.64135649393838967</c:v>
                </c:pt>
                <c:pt idx="60">
                  <c:v>0.54773141546263882</c:v>
                </c:pt>
                <c:pt idx="61">
                  <c:v>0.44661853299103293</c:v>
                </c:pt>
                <c:pt idx="62">
                  <c:v>0.34777569213168691</c:v>
                </c:pt>
                <c:pt idx="63">
                  <c:v>0.25830412977616302</c:v>
                </c:pt>
                <c:pt idx="64">
                  <c:v>0.18233859939396102</c:v>
                </c:pt>
                <c:pt idx="65">
                  <c:v>0.12158643678664284</c:v>
                </c:pt>
                <c:pt idx="66">
                  <c:v>7.5973236658518198E-2</c:v>
                </c:pt>
                <c:pt idx="67">
                  <c:v>4.4089567159874013E-2</c:v>
                </c:pt>
                <c:pt idx="68">
                  <c:v>2.3556415999088653E-2</c:v>
                </c:pt>
                <c:pt idx="69">
                  <c:v>1.1496226065686253E-2</c:v>
                </c:pt>
                <c:pt idx="70">
                  <c:v>5.090588057142827E-3</c:v>
                </c:pt>
                <c:pt idx="71">
                  <c:v>2.0341274906941005E-3</c:v>
                </c:pt>
                <c:pt idx="72">
                  <c:v>7.3030063206051192E-4</c:v>
                </c:pt>
                <c:pt idx="73">
                  <c:v>2.3477935809743046E-4</c:v>
                </c:pt>
                <c:pt idx="74">
                  <c:v>6.7406140948319542E-5</c:v>
                </c:pt>
                <c:pt idx="75">
                  <c:v>1.7247309708777507E-5</c:v>
                </c:pt>
                <c:pt idx="76">
                  <c:v>3.9266605231645837E-6</c:v>
                </c:pt>
                <c:pt idx="77">
                  <c:v>7.9442815009977478E-7</c:v>
                </c:pt>
                <c:pt idx="78">
                  <c:v>1.4268585172638925E-7</c:v>
                </c:pt>
                <c:pt idx="79">
                  <c:v>2.2733062413377164E-8</c:v>
                </c:pt>
                <c:pt idx="80">
                  <c:v>3.210784872075143E-9</c:v>
                </c:pt>
                <c:pt idx="81">
                  <c:v>4.0180982509648341E-10</c:v>
                </c:pt>
                <c:pt idx="82">
                  <c:v>4.4535714451697098E-11</c:v>
                </c:pt>
                <c:pt idx="83">
                  <c:v>4.3704971950062989E-12</c:v>
                </c:pt>
                <c:pt idx="84">
                  <c:v>3.7963868157721858E-13</c:v>
                </c:pt>
                <c:pt idx="85">
                  <c:v>2.9183079351936538E-14</c:v>
                </c:pt>
                <c:pt idx="86">
                  <c:v>1.9848774731360752E-15</c:v>
                </c:pt>
                <c:pt idx="87">
                  <c:v>1.1942983118153676E-16</c:v>
                </c:pt>
                <c:pt idx="88">
                  <c:v>6.3564434875088805E-18</c:v>
                </c:pt>
                <c:pt idx="89">
                  <c:v>2.9922137406276899E-19</c:v>
                </c:pt>
                <c:pt idx="90">
                  <c:v>1.2456909441004598E-20</c:v>
                </c:pt>
                <c:pt idx="91">
                  <c:v>4.5860164034014847E-22</c:v>
                </c:pt>
                <c:pt idx="92">
                  <c:v>1.4929383790042724E-23</c:v>
                </c:pt>
                <c:pt idx="93">
                  <c:v>4.2974092382540969E-25</c:v>
                </c:pt>
                <c:pt idx="94">
                  <c:v>1.0937325918987883E-26</c:v>
                </c:pt>
                <c:pt idx="95">
                  <c:v>2.4611562047317318E-28</c:v>
                </c:pt>
                <c:pt idx="96">
                  <c:v>4.8964035541535306E-30</c:v>
                </c:pt>
                <c:pt idx="97">
                  <c:v>8.6121919994966605E-32</c:v>
                </c:pt>
                <c:pt idx="98">
                  <c:v>1.3391797595985448E-33</c:v>
                </c:pt>
                <c:pt idx="99">
                  <c:v>1.8409601491553218E-35</c:v>
                </c:pt>
                <c:pt idx="100">
                  <c:v>2.2372943959977556E-37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D0-42E7-A73A-5CE13A8E713C}"/>
            </c:ext>
          </c:extLst>
        </c:ser>
        <c:ser>
          <c:idx val="2"/>
          <c:order val="2"/>
          <c:tx>
            <c:strRef>
              <c:f>NaiwnaGęstość!$O$3</c:f>
              <c:strCache>
                <c:ptCount val="1"/>
                <c:pt idx="0">
                  <c:v>g3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NaiwnaGęstość!$P$4:$DL$4</c:f>
              <c:numCache>
                <c:formatCode>General</c:formatCode>
                <c:ptCount val="10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0.8</c:v>
                </c:pt>
                <c:pt idx="11">
                  <c:v>0.88</c:v>
                </c:pt>
                <c:pt idx="12">
                  <c:v>0.96</c:v>
                </c:pt>
                <c:pt idx="13">
                  <c:v>1.04</c:v>
                </c:pt>
                <c:pt idx="14">
                  <c:v>1.1200000000000001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</c:v>
                </c:pt>
                <c:pt idx="19">
                  <c:v>1.52</c:v>
                </c:pt>
                <c:pt idx="20">
                  <c:v>1.6</c:v>
                </c:pt>
                <c:pt idx="21">
                  <c:v>1.68</c:v>
                </c:pt>
                <c:pt idx="22">
                  <c:v>1.76</c:v>
                </c:pt>
                <c:pt idx="23">
                  <c:v>1.84</c:v>
                </c:pt>
                <c:pt idx="24">
                  <c:v>1.92</c:v>
                </c:pt>
                <c:pt idx="25">
                  <c:v>2</c:v>
                </c:pt>
                <c:pt idx="26">
                  <c:v>2.08</c:v>
                </c:pt>
                <c:pt idx="27">
                  <c:v>2.16</c:v>
                </c:pt>
                <c:pt idx="28">
                  <c:v>2.2400000000000002</c:v>
                </c:pt>
                <c:pt idx="29">
                  <c:v>2.3199999999999998</c:v>
                </c:pt>
                <c:pt idx="30">
                  <c:v>2.4</c:v>
                </c:pt>
                <c:pt idx="31">
                  <c:v>2.48</c:v>
                </c:pt>
                <c:pt idx="32">
                  <c:v>2.56</c:v>
                </c:pt>
                <c:pt idx="33">
                  <c:v>2.64</c:v>
                </c:pt>
                <c:pt idx="34">
                  <c:v>2.72</c:v>
                </c:pt>
                <c:pt idx="35">
                  <c:v>2.8</c:v>
                </c:pt>
                <c:pt idx="36">
                  <c:v>2.88</c:v>
                </c:pt>
                <c:pt idx="37">
                  <c:v>2.96</c:v>
                </c:pt>
                <c:pt idx="38">
                  <c:v>3.04</c:v>
                </c:pt>
                <c:pt idx="39">
                  <c:v>3.12</c:v>
                </c:pt>
                <c:pt idx="40">
                  <c:v>3.2</c:v>
                </c:pt>
                <c:pt idx="41">
                  <c:v>3.28</c:v>
                </c:pt>
                <c:pt idx="42">
                  <c:v>3.36</c:v>
                </c:pt>
                <c:pt idx="43">
                  <c:v>3.44</c:v>
                </c:pt>
                <c:pt idx="44">
                  <c:v>3.52</c:v>
                </c:pt>
                <c:pt idx="45">
                  <c:v>3.6</c:v>
                </c:pt>
                <c:pt idx="46">
                  <c:v>3.68</c:v>
                </c:pt>
                <c:pt idx="47">
                  <c:v>3.76</c:v>
                </c:pt>
                <c:pt idx="48">
                  <c:v>3.84</c:v>
                </c:pt>
                <c:pt idx="49">
                  <c:v>3.92</c:v>
                </c:pt>
                <c:pt idx="50">
                  <c:v>4</c:v>
                </c:pt>
                <c:pt idx="51">
                  <c:v>4.08</c:v>
                </c:pt>
                <c:pt idx="52">
                  <c:v>4.16</c:v>
                </c:pt>
                <c:pt idx="53">
                  <c:v>4.24</c:v>
                </c:pt>
                <c:pt idx="54">
                  <c:v>4.32</c:v>
                </c:pt>
                <c:pt idx="55">
                  <c:v>4.4000000000000004</c:v>
                </c:pt>
                <c:pt idx="56">
                  <c:v>4.4800000000000004</c:v>
                </c:pt>
                <c:pt idx="57">
                  <c:v>4.5599999999999996</c:v>
                </c:pt>
                <c:pt idx="58">
                  <c:v>4.6399999999999997</c:v>
                </c:pt>
                <c:pt idx="59">
                  <c:v>4.72</c:v>
                </c:pt>
                <c:pt idx="60">
                  <c:v>4.8</c:v>
                </c:pt>
                <c:pt idx="61">
                  <c:v>4.88</c:v>
                </c:pt>
                <c:pt idx="62">
                  <c:v>4.96</c:v>
                </c:pt>
                <c:pt idx="63">
                  <c:v>5.04</c:v>
                </c:pt>
                <c:pt idx="64">
                  <c:v>5.12</c:v>
                </c:pt>
                <c:pt idx="65">
                  <c:v>5.2</c:v>
                </c:pt>
                <c:pt idx="66">
                  <c:v>5.28</c:v>
                </c:pt>
                <c:pt idx="67">
                  <c:v>5.36</c:v>
                </c:pt>
                <c:pt idx="68">
                  <c:v>5.44</c:v>
                </c:pt>
                <c:pt idx="69">
                  <c:v>5.52</c:v>
                </c:pt>
                <c:pt idx="70">
                  <c:v>5.6</c:v>
                </c:pt>
                <c:pt idx="71">
                  <c:v>5.68</c:v>
                </c:pt>
                <c:pt idx="72">
                  <c:v>5.76</c:v>
                </c:pt>
                <c:pt idx="73">
                  <c:v>5.84</c:v>
                </c:pt>
                <c:pt idx="74">
                  <c:v>5.92</c:v>
                </c:pt>
                <c:pt idx="75">
                  <c:v>6</c:v>
                </c:pt>
                <c:pt idx="76">
                  <c:v>6.08</c:v>
                </c:pt>
                <c:pt idx="77">
                  <c:v>6.16</c:v>
                </c:pt>
                <c:pt idx="78">
                  <c:v>6.24</c:v>
                </c:pt>
                <c:pt idx="79">
                  <c:v>6.32</c:v>
                </c:pt>
                <c:pt idx="80">
                  <c:v>6.4</c:v>
                </c:pt>
                <c:pt idx="81">
                  <c:v>6.48</c:v>
                </c:pt>
                <c:pt idx="82">
                  <c:v>6.56</c:v>
                </c:pt>
                <c:pt idx="83">
                  <c:v>6.64</c:v>
                </c:pt>
                <c:pt idx="84">
                  <c:v>6.72</c:v>
                </c:pt>
                <c:pt idx="85">
                  <c:v>6.8</c:v>
                </c:pt>
                <c:pt idx="86">
                  <c:v>6.88</c:v>
                </c:pt>
                <c:pt idx="87">
                  <c:v>6.96</c:v>
                </c:pt>
                <c:pt idx="88">
                  <c:v>7.04</c:v>
                </c:pt>
                <c:pt idx="89">
                  <c:v>7.12</c:v>
                </c:pt>
                <c:pt idx="90">
                  <c:v>7.2</c:v>
                </c:pt>
                <c:pt idx="91">
                  <c:v>7.28</c:v>
                </c:pt>
                <c:pt idx="92">
                  <c:v>7.36</c:v>
                </c:pt>
                <c:pt idx="93">
                  <c:v>7.44</c:v>
                </c:pt>
                <c:pt idx="94">
                  <c:v>7.52</c:v>
                </c:pt>
                <c:pt idx="95">
                  <c:v>7.6</c:v>
                </c:pt>
                <c:pt idx="96">
                  <c:v>7.68</c:v>
                </c:pt>
                <c:pt idx="97">
                  <c:v>7.76</c:v>
                </c:pt>
                <c:pt idx="98">
                  <c:v>7.84</c:v>
                </c:pt>
                <c:pt idx="99">
                  <c:v>7.92</c:v>
                </c:pt>
                <c:pt idx="100">
                  <c:v>8</c:v>
                </c:pt>
              </c:numCache>
            </c:numRef>
          </c:xVal>
          <c:yVal>
            <c:numRef>
              <c:f>NaiwnaGęstość!$P$3:$DL$3</c:f>
              <c:numCache>
                <c:formatCode>General</c:formatCode>
                <c:ptCount val="101"/>
                <c:pt idx="0">
                  <c:v>1.0856963019090769E-63</c:v>
                </c:pt>
                <c:pt idx="1">
                  <c:v>1.5877553090043306E-61</c:v>
                </c:pt>
                <c:pt idx="2">
                  <c:v>2.1233586672163822E-59</c:v>
                </c:pt>
                <c:pt idx="3">
                  <c:v>2.5967355028991076E-57</c:v>
                </c:pt>
                <c:pt idx="4">
                  <c:v>2.9040002089483542E-55</c:v>
                </c:pt>
                <c:pt idx="5">
                  <c:v>2.9698201001955872E-53</c:v>
                </c:pt>
                <c:pt idx="6">
                  <c:v>2.7773346553705904E-51</c:v>
                </c:pt>
                <c:pt idx="7">
                  <c:v>2.3751489868859842E-49</c:v>
                </c:pt>
                <c:pt idx="8">
                  <c:v>1.8574540305687273E-47</c:v>
                </c:pt>
                <c:pt idx="9">
                  <c:v>1.3283418849014766E-45</c:v>
                </c:pt>
                <c:pt idx="10">
                  <c:v>8.6869282923779046E-44</c:v>
                </c:pt>
                <c:pt idx="11">
                  <c:v>5.1950195489107984E-42</c:v>
                </c:pt>
                <c:pt idx="12">
                  <c:v>2.8410097197088972E-40</c:v>
                </c:pt>
                <c:pt idx="13">
                  <c:v>1.4207669377448593E-38</c:v>
                </c:pt>
                <c:pt idx="14">
                  <c:v>6.4973694459142822E-37</c:v>
                </c:pt>
                <c:pt idx="15">
                  <c:v>2.7171704889283378E-35</c:v>
                </c:pt>
                <c:pt idx="16">
                  <c:v>1.0391083604096579E-33</c:v>
                </c:pt>
                <c:pt idx="17">
                  <c:v>3.6338703869278997E-32</c:v>
                </c:pt>
                <c:pt idx="18">
                  <c:v>1.1620978558642418E-30</c:v>
                </c:pt>
                <c:pt idx="19">
                  <c:v>3.3984484118360701E-29</c:v>
                </c:pt>
                <c:pt idx="20">
                  <c:v>9.0883163675197509E-28</c:v>
                </c:pt>
                <c:pt idx="21">
                  <c:v>2.222547472274461E-26</c:v>
                </c:pt>
                <c:pt idx="22">
                  <c:v>4.9703116944584267E-25</c:v>
                </c:pt>
                <c:pt idx="23">
                  <c:v>1.0164390319313689E-23</c:v>
                </c:pt>
                <c:pt idx="24">
                  <c:v>1.9008349124630255E-22</c:v>
                </c:pt>
                <c:pt idx="25">
                  <c:v>3.2506719354976864E-21</c:v>
                </c:pt>
                <c:pt idx="26">
                  <c:v>5.0835606335667914E-20</c:v>
                </c:pt>
                <c:pt idx="27">
                  <c:v>7.2699199769373829E-19</c:v>
                </c:pt>
                <c:pt idx="28">
                  <c:v>9.507337269535981E-18</c:v>
                </c:pt>
                <c:pt idx="29">
                  <c:v>1.1369911298838208E-16</c:v>
                </c:pt>
                <c:pt idx="30">
                  <c:v>1.2434431550673602E-15</c:v>
                </c:pt>
                <c:pt idx="31">
                  <c:v>1.2435635774390597E-14</c:v>
                </c:pt>
                <c:pt idx="32">
                  <c:v>1.1373308301952696E-13</c:v>
                </c:pt>
                <c:pt idx="33">
                  <c:v>9.5123417607729608E-13</c:v>
                </c:pt>
                <c:pt idx="34">
                  <c:v>7.2757384035271508E-12</c:v>
                </c:pt>
                <c:pt idx="35">
                  <c:v>5.0893922951208565E-11</c:v>
                </c:pt>
                <c:pt idx="36">
                  <c:v>3.25588147310785E-10</c:v>
                </c:pt>
                <c:pt idx="37">
                  <c:v>1.9050478993753875E-9</c:v>
                </c:pt>
                <c:pt idx="38">
                  <c:v>1.0195481478448938E-8</c:v>
                </c:pt>
                <c:pt idx="39">
                  <c:v>4.9913383894952948E-8</c:v>
                </c:pt>
                <c:pt idx="40">
                  <c:v>2.2356072502899222E-7</c:v>
                </c:pt>
                <c:pt idx="41">
                  <c:v>9.1628891721242596E-7</c:v>
                </c:pt>
                <c:pt idx="42">
                  <c:v>3.4376123557160253E-6</c:v>
                </c:pt>
                <c:pt idx="43">
                  <c:v>1.1810171113589281E-5</c:v>
                </c:pt>
                <c:pt idx="44">
                  <c:v>3.7179396694962745E-5</c:v>
                </c:pt>
                <c:pt idx="45">
                  <c:v>1.0734717510496707E-4</c:v>
                </c:pt>
                <c:pt idx="46">
                  <c:v>2.846389749733851E-4</c:v>
                </c:pt>
                <c:pt idx="47">
                  <c:v>6.9445007689535325E-4</c:v>
                </c:pt>
                <c:pt idx="48">
                  <c:v>1.5631939020794951E-3</c:v>
                </c:pt>
                <c:pt idx="49">
                  <c:v>3.2588857645866058E-3</c:v>
                </c:pt>
                <c:pt idx="50">
                  <c:v>6.3251557921113113E-3</c:v>
                </c:pt>
                <c:pt idx="51">
                  <c:v>1.1506974212739059E-2</c:v>
                </c:pt>
                <c:pt idx="52">
                  <c:v>1.978355639905359E-2</c:v>
                </c:pt>
                <c:pt idx="53">
                  <c:v>3.2432910008923822E-2</c:v>
                </c:pt>
                <c:pt idx="54">
                  <c:v>5.1122184806012549E-2</c:v>
                </c:pt>
                <c:pt idx="55">
                  <c:v>7.7935444655013467E-2</c:v>
                </c:pt>
                <c:pt idx="56">
                  <c:v>0.11516101871409867</c:v>
                </c:pt>
                <c:pt idx="57">
                  <c:v>0.16466694353135372</c:v>
                </c:pt>
                <c:pt idx="58">
                  <c:v>0.22688059419043322</c:v>
                </c:pt>
                <c:pt idx="59">
                  <c:v>0.29971831999297094</c:v>
                </c:pt>
                <c:pt idx="60">
                  <c:v>0.37808302746430411</c:v>
                </c:pt>
                <c:pt idx="61">
                  <c:v>0.45450636078331186</c:v>
                </c:pt>
                <c:pt idx="62">
                  <c:v>0.52104254469050704</c:v>
                </c:pt>
                <c:pt idx="63">
                  <c:v>0.57179635024238584</c:v>
                </c:pt>
                <c:pt idx="64">
                  <c:v>0.60491473913917548</c:v>
                </c:pt>
                <c:pt idx="65">
                  <c:v>0.62292740351062914</c:v>
                </c:pt>
                <c:pt idx="66">
                  <c:v>0.63110108647707341</c:v>
                </c:pt>
                <c:pt idx="67">
                  <c:v>0.63458862088303514</c:v>
                </c:pt>
                <c:pt idx="68">
                  <c:v>0.63589313231436462</c:v>
                </c:pt>
                <c:pt idx="69">
                  <c:v>0.63398824239572493</c:v>
                </c:pt>
                <c:pt idx="70">
                  <c:v>0.62541583858604122</c:v>
                </c:pt>
                <c:pt idx="71">
                  <c:v>0.60651845183841013</c:v>
                </c:pt>
                <c:pt idx="72">
                  <c:v>0.5754433434878331</c:v>
                </c:pt>
                <c:pt idx="73">
                  <c:v>0.53295436762700321</c:v>
                </c:pt>
                <c:pt idx="74">
                  <c:v>0.48198987301373825</c:v>
                </c:pt>
                <c:pt idx="75">
                  <c:v>0.42660090283458368</c:v>
                </c:pt>
                <c:pt idx="76">
                  <c:v>0.37097764595231003</c:v>
                </c:pt>
                <c:pt idx="77">
                  <c:v>0.3188628409033748</c:v>
                </c:pt>
                <c:pt idx="78">
                  <c:v>0.27322067613588591</c:v>
                </c:pt>
                <c:pt idx="79">
                  <c:v>0.23592155770349535</c:v>
                </c:pt>
                <c:pt idx="80">
                  <c:v>0.20740140731127862</c:v>
                </c:pt>
                <c:pt idx="81">
                  <c:v>0.18649462656828167</c:v>
                </c:pt>
                <c:pt idx="82">
                  <c:v>0.17068379841979556</c:v>
                </c:pt>
                <c:pt idx="83">
                  <c:v>0.15682002241556114</c:v>
                </c:pt>
                <c:pt idx="84">
                  <c:v>0.1420926135450287</c:v>
                </c:pt>
                <c:pt idx="85">
                  <c:v>0.12486070470165846</c:v>
                </c:pt>
                <c:pt idx="86">
                  <c:v>0.10501072178956132</c:v>
                </c:pt>
                <c:pt idx="87">
                  <c:v>8.3735958799179944E-2</c:v>
                </c:pt>
                <c:pt idx="88">
                  <c:v>6.2902192583015937E-2</c:v>
                </c:pt>
                <c:pt idx="89">
                  <c:v>4.4315532623377604E-2</c:v>
                </c:pt>
                <c:pt idx="90">
                  <c:v>2.9184618058223467E-2</c:v>
                </c:pt>
                <c:pt idx="91">
                  <c:v>1.7918918666160938E-2</c:v>
                </c:pt>
                <c:pt idx="92">
                  <c:v>1.0233602903050443E-2</c:v>
                </c:pt>
                <c:pt idx="93">
                  <c:v>5.4248277962482749E-3</c:v>
                </c:pt>
                <c:pt idx="94">
                  <c:v>2.6639446415929308E-3</c:v>
                </c:pt>
                <c:pt idx="95">
                  <c:v>1.2096122812414176E-3</c:v>
                </c:pt>
                <c:pt idx="96">
                  <c:v>5.0700829453958801E-4</c:v>
                </c:pt>
                <c:pt idx="97">
                  <c:v>1.9587187016331903E-4</c:v>
                </c:pt>
                <c:pt idx="98">
                  <c:v>6.9652397147257385E-5</c:v>
                </c:pt>
                <c:pt idx="99">
                  <c:v>2.2772185186378776E-5</c:v>
                </c:pt>
                <c:pt idx="100">
                  <c:v>6.838341781248539E-6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D0-42E7-A73A-5CE13A8E7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26464"/>
        <c:axId val="191192064"/>
      </c:scatterChart>
      <c:valAx>
        <c:axId val="27282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192064"/>
        <c:crosses val="autoZero"/>
        <c:crossBetween val="midCat"/>
      </c:valAx>
      <c:valAx>
        <c:axId val="19119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72826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Gęstość</a:t>
            </a:r>
            <a:r>
              <a:rPr lang="pl-PL" baseline="0"/>
              <a:t> naiwna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NaiwnaGęstość!$P$5:$P$108</c:f>
              <c:numCache>
                <c:formatCode>General</c:formatCode>
                <c:ptCount val="104"/>
                <c:pt idx="0">
                  <c:v>1.0032660640376245E-67</c:v>
                </c:pt>
                <c:pt idx="1">
                  <c:v>2.3006494501382361E-67</c:v>
                </c:pt>
                <c:pt idx="2">
                  <c:v>5.0237392390423761E-67</c:v>
                </c:pt>
                <c:pt idx="3">
                  <c:v>1.0451343906139433E-66</c:v>
                </c:pt>
                <c:pt idx="4">
                  <c:v>2.0773277750098172E-66</c:v>
                </c:pt>
                <c:pt idx="5">
                  <c:v>4.1020009249137468E-66</c:v>
                </c:pt>
                <c:pt idx="6">
                  <c:v>1.2514772407316595E-65</c:v>
                </c:pt>
                <c:pt idx="7">
                  <c:v>1.571580341137241E-64</c:v>
                </c:pt>
                <c:pt idx="8">
                  <c:v>3.5174630531544872E-63</c:v>
                </c:pt>
                <c:pt idx="9">
                  <c:v>7.6527481320371077E-62</c:v>
                </c:pt>
                <c:pt idx="10">
                  <c:v>1.5170799646098009E-60</c:v>
                </c:pt>
                <c:pt idx="11">
                  <c:v>2.7278355489097316E-59</c:v>
                </c:pt>
                <c:pt idx="12">
                  <c:v>4.4473919829485054E-58</c:v>
                </c:pt>
                <c:pt idx="13">
                  <c:v>6.5744631844984161E-57</c:v>
                </c:pt>
                <c:pt idx="14">
                  <c:v>8.8121752517930356E-56</c:v>
                </c:pt>
                <c:pt idx="15">
                  <c:v>1.0709652406323634E-54</c:v>
                </c:pt>
                <c:pt idx="16">
                  <c:v>1.1801553962496389E-53</c:v>
                </c:pt>
                <c:pt idx="17">
                  <c:v>1.1791731345037755E-52</c:v>
                </c:pt>
                <c:pt idx="18">
                  <c:v>1.0683035134043224E-51</c:v>
                </c:pt>
                <c:pt idx="19">
                  <c:v>8.7759912940556276E-51</c:v>
                </c:pt>
                <c:pt idx="20">
                  <c:v>6.5371752076339621E-50</c:v>
                </c:pt>
                <c:pt idx="21">
                  <c:v>4.4155777250103483E-49</c:v>
                </c:pt>
                <c:pt idx="22">
                  <c:v>2.7046043934010064E-48</c:v>
                </c:pt>
                <c:pt idx="23">
                  <c:v>1.5023117581828779E-47</c:v>
                </c:pt>
                <c:pt idx="24">
                  <c:v>7.5680861725204342E-47</c:v>
                </c:pt>
                <c:pt idx="25">
                  <c:v>3.4579832586791829E-46</c:v>
                </c:pt>
                <c:pt idx="26">
                  <c:v>1.4332692164260582E-45</c:v>
                </c:pt>
                <c:pt idx="27">
                  <c:v>5.3898980354795762E-45</c:v>
                </c:pt>
                <c:pt idx="28">
                  <c:v>1.8394701102995408E-44</c:v>
                </c:pt>
                <c:pt idx="29">
                  <c:v>5.6992877789362402E-44</c:v>
                </c:pt>
                <c:pt idx="30">
                  <c:v>1.6039242966669728E-43</c:v>
                </c:pt>
                <c:pt idx="31">
                  <c:v>4.1029211048397441E-43</c:v>
                </c:pt>
                <c:pt idx="32">
                  <c:v>9.5497092155776381E-43</c:v>
                </c:pt>
                <c:pt idx="33">
                  <c:v>2.0253846108443295E-42</c:v>
                </c:pt>
                <c:pt idx="34">
                  <c:v>3.92246551563427E-42</c:v>
                </c:pt>
                <c:pt idx="35">
                  <c:v>6.9578646799789552E-42</c:v>
                </c:pt>
                <c:pt idx="36">
                  <c:v>1.1355547861772647E-41</c:v>
                </c:pt>
                <c:pt idx="37">
                  <c:v>1.7163772094096826E-41</c:v>
                </c:pt>
                <c:pt idx="38">
                  <c:v>2.4256321918814775E-41</c:v>
                </c:pt>
                <c:pt idx="39">
                  <c:v>3.2480610776553071E-41</c:v>
                </c:pt>
                <c:pt idx="40">
                  <c:v>4.1930151667234777E-41</c:v>
                </c:pt>
                <c:pt idx="41">
                  <c:v>5.3223398622383684E-41</c:v>
                </c:pt>
                <c:pt idx="42">
                  <c:v>6.7626662789173934E-41</c:v>
                </c:pt>
                <c:pt idx="43">
                  <c:v>8.6896962745419728E-41</c:v>
                </c:pt>
                <c:pt idx="44">
                  <c:v>1.128147784299891E-40</c:v>
                </c:pt>
                <c:pt idx="45">
                  <c:v>1.4648625852451112E-40</c:v>
                </c:pt>
                <c:pt idx="46">
                  <c:v>1.8761348772205832E-40</c:v>
                </c:pt>
                <c:pt idx="47">
                  <c:v>2.3405621093749298E-40</c:v>
                </c:pt>
                <c:pt idx="48">
                  <c:v>2.820499659838046E-40</c:v>
                </c:pt>
                <c:pt idx="49">
                  <c:v>3.2724077767443143E-40</c:v>
                </c:pt>
                <c:pt idx="50">
                  <c:v>3.6620497858682145E-40</c:v>
                </c:pt>
                <c:pt idx="51">
                  <c:v>3.976255435123006E-40</c:v>
                </c:pt>
                <c:pt idx="52">
                  <c:v>4.2227677974777262E-40</c:v>
                </c:pt>
                <c:pt idx="53">
                  <c:v>4.4165267203673167E-40</c:v>
                </c:pt>
                <c:pt idx="54">
                  <c:v>4.5607394690215992E-40</c:v>
                </c:pt>
                <c:pt idx="55">
                  <c:v>4.6363590113546552E-40</c:v>
                </c:pt>
                <c:pt idx="56">
                  <c:v>4.6089249894169517E-40</c:v>
                </c:pt>
                <c:pt idx="57">
                  <c:v>4.4497535791998442E-40</c:v>
                </c:pt>
                <c:pt idx="58">
                  <c:v>4.1581167232681632E-40</c:v>
                </c:pt>
                <c:pt idx="59">
                  <c:v>3.7702120437805893E-40</c:v>
                </c:pt>
                <c:pt idx="60">
                  <c:v>3.3495329677217563E-40</c:v>
                </c:pt>
                <c:pt idx="61">
                  <c:v>2.9643709886196874E-40</c:v>
                </c:pt>
                <c:pt idx="62">
                  <c:v>2.6638215328493275E-40</c:v>
                </c:pt>
                <c:pt idx="63">
                  <c:v>2.4620722393997663E-40</c:v>
                </c:pt>
                <c:pt idx="64">
                  <c:v>2.3357700023189299E-40</c:v>
                </c:pt>
                <c:pt idx="65">
                  <c:v>2.2347031334373111E-40</c:v>
                </c:pt>
                <c:pt idx="66">
                  <c:v>2.1022700616325254E-40</c:v>
                </c:pt>
                <c:pt idx="67">
                  <c:v>1.8983977796161639E-40</c:v>
                </c:pt>
                <c:pt idx="68">
                  <c:v>1.6152918390595569E-40</c:v>
                </c:pt>
                <c:pt idx="69">
                  <c:v>1.2812202080115375E-40</c:v>
                </c:pt>
                <c:pt idx="70">
                  <c:v>1.0426013797045716E-40</c:v>
                </c:pt>
                <c:pt idx="71">
                  <c:v>3.5277669404144499E-40</c:v>
                </c:pt>
                <c:pt idx="72">
                  <c:v>5.4830731443320958E-39</c:v>
                </c:pt>
                <c:pt idx="73">
                  <c:v>7.2351233909096417E-38</c:v>
                </c:pt>
                <c:pt idx="74">
                  <c:v>6.8062759194980136E-37</c:v>
                </c:pt>
                <c:pt idx="75">
                  <c:v>4.537403467129598E-36</c:v>
                </c:pt>
                <c:pt idx="76">
                  <c:v>2.1440553583055519E-35</c:v>
                </c:pt>
                <c:pt idx="77">
                  <c:v>7.1917642636386341E-35</c:v>
                </c:pt>
                <c:pt idx="78">
                  <c:v>1.7203923535497135E-34</c:v>
                </c:pt>
                <c:pt idx="79">
                  <c:v>2.9774079034967834E-34</c:v>
                </c:pt>
                <c:pt idx="80">
                  <c:v>3.8875739264245606E-34</c:v>
                </c:pt>
                <c:pt idx="81">
                  <c:v>4.2585494313213399E-34</c:v>
                </c:pt>
                <c:pt idx="82">
                  <c:v>4.7359574399449597E-34</c:v>
                </c:pt>
                <c:pt idx="83">
                  <c:v>6.3642942031077102E-34</c:v>
                </c:pt>
                <c:pt idx="84">
                  <c:v>1.033152280819662E-33</c:v>
                </c:pt>
                <c:pt idx="85">
                  <c:v>1.7107650612627879E-33</c:v>
                </c:pt>
                <c:pt idx="86">
                  <c:v>2.4414458584540976E-33</c:v>
                </c:pt>
                <c:pt idx="87">
                  <c:v>2.8645829275635746E-33</c:v>
                </c:pt>
                <c:pt idx="88">
                  <c:v>3.0080872493136083E-33</c:v>
                </c:pt>
                <c:pt idx="89">
                  <c:v>3.3017302592146319E-33</c:v>
                </c:pt>
                <c:pt idx="90">
                  <c:v>4.1569542100620143E-33</c:v>
                </c:pt>
                <c:pt idx="91">
                  <c:v>5.9226070055807594E-33</c:v>
                </c:pt>
                <c:pt idx="92">
                  <c:v>8.4558401228323235E-33</c:v>
                </c:pt>
                <c:pt idx="93">
                  <c:v>1.0283059163532098E-32</c:v>
                </c:pt>
                <c:pt idx="94">
                  <c:v>9.7221375263095804E-33</c:v>
                </c:pt>
                <c:pt idx="95">
                  <c:v>7.1480517049695791E-33</c:v>
                </c:pt>
                <c:pt idx="96">
                  <c:v>4.4447920582462053E-33</c:v>
                </c:pt>
                <c:pt idx="97">
                  <c:v>2.6226261571340586E-33</c:v>
                </c:pt>
                <c:pt idx="98">
                  <c:v>1.472748106590778E-33</c:v>
                </c:pt>
                <c:pt idx="99">
                  <c:v>6.9935183229422963E-34</c:v>
                </c:pt>
                <c:pt idx="100">
                  <c:v>2.533036719483574E-34</c:v>
                </c:pt>
                <c:pt idx="101">
                  <c:v>6.6692775579396678E-35</c:v>
                </c:pt>
                <c:pt idx="102">
                  <c:v>1.2543880542345995E-35</c:v>
                </c:pt>
                <c:pt idx="103">
                  <c:v>1.6756820747985671E-36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28-4E4D-A374-25E73A119BF1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NaiwnaGęstość!$Q$5:$Q$108</c:f>
              <c:numCache>
                <c:formatCode>General</c:formatCode>
                <c:ptCount val="104"/>
                <c:pt idx="0">
                  <c:v>1.4672068109558574E-65</c:v>
                </c:pt>
                <c:pt idx="1">
                  <c:v>3.3645392900910994E-65</c:v>
                </c:pt>
                <c:pt idx="2">
                  <c:v>7.3468485891109225E-65</c:v>
                </c:pt>
                <c:pt idx="3">
                  <c:v>1.5283554669991471E-64</c:v>
                </c:pt>
                <c:pt idx="4">
                  <c:v>3.0350609880417743E-64</c:v>
                </c:pt>
                <c:pt idx="5">
                  <c:v>5.9054826816695187E-64</c:v>
                </c:pt>
                <c:pt idx="6">
                  <c:v>1.5561140727636769E-63</c:v>
                </c:pt>
                <c:pt idx="7">
                  <c:v>1.5691259871649052E-62</c:v>
                </c:pt>
                <c:pt idx="8">
                  <c:v>3.3850094186890274E-61</c:v>
                </c:pt>
                <c:pt idx="9">
                  <c:v>7.3442177650336524E-60</c:v>
                </c:pt>
                <c:pt idx="10">
                  <c:v>1.4556255161292331E-58</c:v>
                </c:pt>
                <c:pt idx="11">
                  <c:v>2.6172955691329632E-57</c:v>
                </c:pt>
                <c:pt idx="12">
                  <c:v>4.2671652675723299E-56</c:v>
                </c:pt>
                <c:pt idx="13">
                  <c:v>6.3080380903708727E-55</c:v>
                </c:pt>
                <c:pt idx="14">
                  <c:v>8.4550685070965291E-54</c:v>
                </c:pt>
                <c:pt idx="15">
                  <c:v>1.0275651824060076E-52</c:v>
                </c:pt>
                <c:pt idx="16">
                  <c:v>1.1323304892551266E-51</c:v>
                </c:pt>
                <c:pt idx="17">
                  <c:v>1.1313880329136148E-50</c:v>
                </c:pt>
                <c:pt idx="18">
                  <c:v>1.0250113195568731E-49</c:v>
                </c:pt>
                <c:pt idx="19">
                  <c:v>8.420350868333838E-49</c:v>
                </c:pt>
                <c:pt idx="20">
                  <c:v>6.2722611146315226E-48</c:v>
                </c:pt>
                <c:pt idx="21">
                  <c:v>4.2366397692497354E-47</c:v>
                </c:pt>
                <c:pt idx="22">
                  <c:v>2.5950023409775671E-46</c:v>
                </c:pt>
                <c:pt idx="23">
                  <c:v>1.4414317076740285E-45</c:v>
                </c:pt>
                <c:pt idx="24">
                  <c:v>7.2613951904864101E-45</c:v>
                </c:pt>
                <c:pt idx="25">
                  <c:v>3.3178510961633406E-44</c:v>
                </c:pt>
                <c:pt idx="26">
                  <c:v>1.3751870628294308E-43</c:v>
                </c:pt>
                <c:pt idx="27">
                  <c:v>5.1714764842601128E-43</c:v>
                </c:pt>
                <c:pt idx="28">
                  <c:v>1.7649269719565322E-42</c:v>
                </c:pt>
                <c:pt idx="29">
                  <c:v>5.4683284417971987E-42</c:v>
                </c:pt>
                <c:pt idx="30">
                  <c:v>1.5389264747025326E-41</c:v>
                </c:pt>
                <c:pt idx="31">
                  <c:v>3.9366533227126867E-41</c:v>
                </c:pt>
                <c:pt idx="32">
                  <c:v>9.1627144548547337E-41</c:v>
                </c:pt>
                <c:pt idx="33">
                  <c:v>1.943307427638899E-40</c:v>
                </c:pt>
                <c:pt idx="34">
                  <c:v>3.7635105601063474E-40</c:v>
                </c:pt>
                <c:pt idx="35">
                  <c:v>6.6759024635191592E-40</c:v>
                </c:pt>
                <c:pt idx="36">
                  <c:v>1.089537285241469E-39</c:v>
                </c:pt>
                <c:pt idx="37">
                  <c:v>1.6468223180018641E-39</c:v>
                </c:pt>
                <c:pt idx="38">
                  <c:v>2.3273352774405943E-39</c:v>
                </c:pt>
                <c:pt idx="39">
                  <c:v>3.1164358531395504E-39</c:v>
                </c:pt>
                <c:pt idx="40">
                  <c:v>4.0230963907143891E-39</c:v>
                </c:pt>
                <c:pt idx="41">
                  <c:v>5.1066560550169852E-39</c:v>
                </c:pt>
                <c:pt idx="42">
                  <c:v>6.488614330383776E-39</c:v>
                </c:pt>
                <c:pt idx="43">
                  <c:v>8.3375528893763253E-39</c:v>
                </c:pt>
                <c:pt idx="44">
                  <c:v>1.0824304465266065E-38</c:v>
                </c:pt>
                <c:pt idx="45">
                  <c:v>1.4055001342142314E-38</c:v>
                </c:pt>
                <c:pt idx="46">
                  <c:v>1.8001059268615998E-38</c:v>
                </c:pt>
                <c:pt idx="47">
                  <c:v>2.2457125958424007E-38</c:v>
                </c:pt>
                <c:pt idx="48">
                  <c:v>2.7062010391850152E-38</c:v>
                </c:pt>
                <c:pt idx="49">
                  <c:v>3.1397959206175162E-38</c:v>
                </c:pt>
                <c:pt idx="50">
                  <c:v>3.5136479813058636E-38</c:v>
                </c:pt>
                <c:pt idx="51">
                  <c:v>3.8151206836922004E-38</c:v>
                </c:pt>
                <c:pt idx="52">
                  <c:v>4.051643318555628E-38</c:v>
                </c:pt>
                <c:pt idx="53">
                  <c:v>4.2375503072858752E-38</c:v>
                </c:pt>
                <c:pt idx="54">
                  <c:v>4.3759189431092022E-38</c:v>
                </c:pt>
                <c:pt idx="55">
                  <c:v>4.448474060544019E-38</c:v>
                </c:pt>
                <c:pt idx="56">
                  <c:v>4.4221517816464213E-38</c:v>
                </c:pt>
                <c:pt idx="57">
                  <c:v>4.26943067273382E-38</c:v>
                </c:pt>
                <c:pt idx="58">
                  <c:v>3.9896121803492889E-38</c:v>
                </c:pt>
                <c:pt idx="59">
                  <c:v>3.6174270453245679E-38</c:v>
                </c:pt>
                <c:pt idx="60">
                  <c:v>3.2137956714214149E-38</c:v>
                </c:pt>
                <c:pt idx="61">
                  <c:v>2.8442420909184391E-38</c:v>
                </c:pt>
                <c:pt idx="62">
                  <c:v>2.5558721750791515E-38</c:v>
                </c:pt>
                <c:pt idx="63">
                  <c:v>2.3622986195275452E-38</c:v>
                </c:pt>
                <c:pt idx="64">
                  <c:v>2.2411146854248903E-38</c:v>
                </c:pt>
                <c:pt idx="65">
                  <c:v>2.1441434992882621E-38</c:v>
                </c:pt>
                <c:pt idx="66">
                  <c:v>2.0170807554108021E-38</c:v>
                </c:pt>
                <c:pt idx="67">
                  <c:v>1.8218455172093091E-38</c:v>
                </c:pt>
                <c:pt idx="68">
                  <c:v>1.5780619625061511E-38</c:v>
                </c:pt>
                <c:pt idx="69">
                  <c:v>2.7190286879691978E-38</c:v>
                </c:pt>
                <c:pt idx="70">
                  <c:v>5.6686852424363165E-37</c:v>
                </c:pt>
                <c:pt idx="71">
                  <c:v>1.4777942987832037E-35</c:v>
                </c:pt>
                <c:pt idx="72">
                  <c:v>2.7703801897911379E-34</c:v>
                </c:pt>
                <c:pt idx="73">
                  <c:v>3.6801348067252474E-33</c:v>
                </c:pt>
                <c:pt idx="74">
                  <c:v>3.4629646375051299E-32</c:v>
                </c:pt>
                <c:pt idx="75">
                  <c:v>2.308619235434198E-31</c:v>
                </c:pt>
                <c:pt idx="76">
                  <c:v>1.0908909520045132E-30</c:v>
                </c:pt>
                <c:pt idx="77">
                  <c:v>3.6591551659532747E-30</c:v>
                </c:pt>
                <c:pt idx="78">
                  <c:v>8.7533217115937323E-30</c:v>
                </c:pt>
                <c:pt idx="79">
                  <c:v>1.5148991580987934E-29</c:v>
                </c:pt>
                <c:pt idx="80">
                  <c:v>1.9779898020013102E-29</c:v>
                </c:pt>
                <c:pt idx="81">
                  <c:v>2.166741393551584E-29</c:v>
                </c:pt>
                <c:pt idx="82">
                  <c:v>2.4096456290664536E-29</c:v>
                </c:pt>
                <c:pt idx="83">
                  <c:v>3.2381401022112525E-29</c:v>
                </c:pt>
                <c:pt idx="84">
                  <c:v>5.2566580447852248E-29</c:v>
                </c:pt>
                <c:pt idx="85">
                  <c:v>8.7043382558187586E-29</c:v>
                </c:pt>
                <c:pt idx="86">
                  <c:v>1.2422027469725152E-28</c:v>
                </c:pt>
                <c:pt idx="87">
                  <c:v>1.457494037489403E-28</c:v>
                </c:pt>
                <c:pt idx="88">
                  <c:v>1.5305087480401394E-28</c:v>
                </c:pt>
                <c:pt idx="89">
                  <c:v>1.6799137214354107E-28</c:v>
                </c:pt>
                <c:pt idx="90">
                  <c:v>2.1150499491508941E-28</c:v>
                </c:pt>
                <c:pt idx="91">
                  <c:v>3.0134105436315211E-28</c:v>
                </c:pt>
                <c:pt idx="92">
                  <c:v>4.302314463444088E-28</c:v>
                </c:pt>
                <c:pt idx="93">
                  <c:v>5.2319998397624255E-28</c:v>
                </c:pt>
                <c:pt idx="94">
                  <c:v>4.9466040378521066E-28</c:v>
                </c:pt>
                <c:pt idx="95">
                  <c:v>3.6369143442882257E-28</c:v>
                </c:pt>
                <c:pt idx="96">
                  <c:v>2.2615012679294555E-28</c:v>
                </c:pt>
                <c:pt idx="97">
                  <c:v>1.334386918879591E-28</c:v>
                </c:pt>
                <c:pt idx="98">
                  <c:v>7.4933127731287451E-29</c:v>
                </c:pt>
                <c:pt idx="99">
                  <c:v>3.5582880700300725E-29</c:v>
                </c:pt>
                <c:pt idx="100">
                  <c:v>1.2888039930228523E-29</c:v>
                </c:pt>
                <c:pt idx="101">
                  <c:v>3.3933150203218284E-30</c:v>
                </c:pt>
                <c:pt idx="102">
                  <c:v>6.3823012144384415E-31</c:v>
                </c:pt>
                <c:pt idx="103">
                  <c:v>8.5258367256417335E-32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28-4E4D-A374-25E73A119BF1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NaiwnaGęstość!$R$5:$R$108</c:f>
              <c:numCache>
                <c:formatCode>General</c:formatCode>
                <c:ptCount val="104"/>
                <c:pt idx="0">
                  <c:v>1.9621450901983355E-63</c:v>
                </c:pt>
                <c:pt idx="1">
                  <c:v>4.4995113045133898E-63</c:v>
                </c:pt>
                <c:pt idx="2">
                  <c:v>9.8251689664036766E-63</c:v>
                </c:pt>
                <c:pt idx="3">
                  <c:v>2.0438457880894872E-62</c:v>
                </c:pt>
                <c:pt idx="4">
                  <c:v>4.0561956677626196E-62</c:v>
                </c:pt>
                <c:pt idx="5">
                  <c:v>7.8104293643491501E-62</c:v>
                </c:pt>
                <c:pt idx="6">
                  <c:v>1.8252595775833275E-61</c:v>
                </c:pt>
                <c:pt idx="7">
                  <c:v>1.4179315822231213E-60</c:v>
                </c:pt>
                <c:pt idx="8">
                  <c:v>2.885299260087532E-59</c:v>
                </c:pt>
                <c:pt idx="9">
                  <c:v>6.231159591679042E-58</c:v>
                </c:pt>
                <c:pt idx="10">
                  <c:v>1.234602713389545E-56</c:v>
                </c:pt>
                <c:pt idx="11">
                  <c:v>2.2198276946156987E-55</c:v>
                </c:pt>
                <c:pt idx="12">
                  <c:v>3.6191373802993248E-54</c:v>
                </c:pt>
                <c:pt idx="13">
                  <c:v>5.3500745879265853E-53</c:v>
                </c:pt>
                <c:pt idx="14">
                  <c:v>7.1710483979974423E-52</c:v>
                </c:pt>
                <c:pt idx="15">
                  <c:v>8.7151507260622751E-51</c:v>
                </c:pt>
                <c:pt idx="16">
                  <c:v>9.6037030574633582E-50</c:v>
                </c:pt>
                <c:pt idx="17">
                  <c:v>9.5957097453305291E-49</c:v>
                </c:pt>
                <c:pt idx="18">
                  <c:v>8.6934904930858823E-48</c:v>
                </c:pt>
                <c:pt idx="19">
                  <c:v>7.1416031048256858E-47</c:v>
                </c:pt>
                <c:pt idx="20">
                  <c:v>5.319730751242652E-46</c:v>
                </c:pt>
                <c:pt idx="21">
                  <c:v>3.5932469089720443E-45</c:v>
                </c:pt>
                <c:pt idx="22">
                  <c:v>2.200915028974513E-44</c:v>
                </c:pt>
                <c:pt idx="23">
                  <c:v>1.2225301914236658E-43</c:v>
                </c:pt>
                <c:pt idx="24">
                  <c:v>6.158651016878963E-43</c:v>
                </c:pt>
                <c:pt idx="25">
                  <c:v>2.8139891152061904E-42</c:v>
                </c:pt>
                <c:pt idx="26">
                  <c:v>1.1663457201708844E-41</c:v>
                </c:pt>
                <c:pt idx="27">
                  <c:v>4.3861156255869244E-41</c:v>
                </c:pt>
                <c:pt idx="28">
                  <c:v>1.4968981862876821E-40</c:v>
                </c:pt>
                <c:pt idx="29">
                  <c:v>4.6378864715730418E-40</c:v>
                </c:pt>
                <c:pt idx="30">
                  <c:v>1.3052190177923421E-39</c:v>
                </c:pt>
                <c:pt idx="31">
                  <c:v>3.3388175898742675E-39</c:v>
                </c:pt>
                <c:pt idx="32">
                  <c:v>7.7712284229750984E-39</c:v>
                </c:pt>
                <c:pt idx="33">
                  <c:v>1.6481890809381842E-38</c:v>
                </c:pt>
                <c:pt idx="34">
                  <c:v>3.1919689715277799E-38</c:v>
                </c:pt>
                <c:pt idx="35">
                  <c:v>5.6620735295337851E-38</c:v>
                </c:pt>
                <c:pt idx="36">
                  <c:v>9.2407584681125693E-38</c:v>
                </c:pt>
                <c:pt idx="37">
                  <c:v>1.3967293718800844E-37</c:v>
                </c:pt>
                <c:pt idx="38">
                  <c:v>1.9738969436351083E-37</c:v>
                </c:pt>
                <c:pt idx="39">
                  <c:v>2.6431615870627597E-37</c:v>
                </c:pt>
                <c:pt idx="40">
                  <c:v>3.4121330719111517E-37</c:v>
                </c:pt>
                <c:pt idx="41">
                  <c:v>4.3311390829252964E-37</c:v>
                </c:pt>
                <c:pt idx="42">
                  <c:v>5.5032277125350377E-37</c:v>
                </c:pt>
                <c:pt idx="43">
                  <c:v>7.0713791542035665E-37</c:v>
                </c:pt>
                <c:pt idx="44">
                  <c:v>9.1804828071274358E-37</c:v>
                </c:pt>
                <c:pt idx="45">
                  <c:v>1.1920553287256313E-36</c:v>
                </c:pt>
                <c:pt idx="46">
                  <c:v>1.526734726059362E-36</c:v>
                </c:pt>
                <c:pt idx="47">
                  <c:v>1.9046698050703731E-36</c:v>
                </c:pt>
                <c:pt idx="48">
                  <c:v>2.2952266533698022E-36</c:v>
                </c:pt>
                <c:pt idx="49">
                  <c:v>2.662974102365056E-36</c:v>
                </c:pt>
                <c:pt idx="50">
                  <c:v>2.9800515115022328E-36</c:v>
                </c:pt>
                <c:pt idx="51">
                  <c:v>3.2357413777617347E-36</c:v>
                </c:pt>
                <c:pt idx="52">
                  <c:v>3.4363447504613779E-36</c:v>
                </c:pt>
                <c:pt idx="53">
                  <c:v>3.594019169103197E-36</c:v>
                </c:pt>
                <c:pt idx="54">
                  <c:v>3.7113745970013994E-36</c:v>
                </c:pt>
                <c:pt idx="55">
                  <c:v>3.7729112075353014E-36</c:v>
                </c:pt>
                <c:pt idx="56">
                  <c:v>3.7505863339474197E-36</c:v>
                </c:pt>
                <c:pt idx="57">
                  <c:v>3.6210580562500762E-36</c:v>
                </c:pt>
                <c:pt idx="58">
                  <c:v>3.3837339060752813E-36</c:v>
                </c:pt>
                <c:pt idx="59">
                  <c:v>3.0680702766820863E-36</c:v>
                </c:pt>
                <c:pt idx="60">
                  <c:v>2.7257359585348333E-36</c:v>
                </c:pt>
                <c:pt idx="61">
                  <c:v>2.4123042453927404E-36</c:v>
                </c:pt>
                <c:pt idx="62">
                  <c:v>2.1677273247279153E-36</c:v>
                </c:pt>
                <c:pt idx="63">
                  <c:v>2.0035506144838343E-36</c:v>
                </c:pt>
                <c:pt idx="64">
                  <c:v>1.9007701753044751E-36</c:v>
                </c:pt>
                <c:pt idx="65">
                  <c:v>1.8185303835014235E-36</c:v>
                </c:pt>
                <c:pt idx="66">
                  <c:v>1.7115000247962899E-36</c:v>
                </c:pt>
                <c:pt idx="67">
                  <c:v>1.6231307667961454E-36</c:v>
                </c:pt>
                <c:pt idx="68">
                  <c:v>7.1467690967543087E-36</c:v>
                </c:pt>
                <c:pt idx="69">
                  <c:v>3.0883483735955561E-34</c:v>
                </c:pt>
                <c:pt idx="70">
                  <c:v>1.1506211241452941E-32</c:v>
                </c:pt>
                <c:pt idx="71">
                  <c:v>3.046299459336827E-31</c:v>
                </c:pt>
                <c:pt idx="72">
                  <c:v>5.7130450694321693E-30</c:v>
                </c:pt>
                <c:pt idx="73">
                  <c:v>7.5892259979284485E-29</c:v>
                </c:pt>
                <c:pt idx="74">
                  <c:v>7.1413783420268071E-28</c:v>
                </c:pt>
                <c:pt idx="75">
                  <c:v>4.7608698301161893E-27</c:v>
                </c:pt>
                <c:pt idx="76">
                  <c:v>2.2496519787216019E-26</c:v>
                </c:pt>
                <c:pt idx="77">
                  <c:v>7.5459656583871204E-26</c:v>
                </c:pt>
                <c:pt idx="78">
                  <c:v>1.805123369685406E-25</c:v>
                </c:pt>
                <c:pt idx="79">
                  <c:v>3.1240481763461833E-25</c:v>
                </c:pt>
                <c:pt idx="80">
                  <c:v>4.0790407735992548E-25</c:v>
                </c:pt>
                <c:pt idx="81">
                  <c:v>4.4682871879321878E-25</c:v>
                </c:pt>
                <c:pt idx="82">
                  <c:v>4.9692080115597491E-25</c:v>
                </c:pt>
                <c:pt idx="83">
                  <c:v>6.6777419651930809E-25</c:v>
                </c:pt>
                <c:pt idx="84">
                  <c:v>1.0840360489146645E-24</c:v>
                </c:pt>
                <c:pt idx="85">
                  <c:v>1.7950219266431386E-24</c:v>
                </c:pt>
                <c:pt idx="86">
                  <c:v>2.5616894732479158E-24</c:v>
                </c:pt>
                <c:pt idx="87">
                  <c:v>3.0056664600507576E-24</c:v>
                </c:pt>
                <c:pt idx="88">
                  <c:v>3.1562385110834249E-24</c:v>
                </c:pt>
                <c:pt idx="89">
                  <c:v>3.4643437286337278E-24</c:v>
                </c:pt>
                <c:pt idx="90">
                  <c:v>4.361688301960634E-24</c:v>
                </c:pt>
                <c:pt idx="91">
                  <c:v>6.2143012378686565E-24</c:v>
                </c:pt>
                <c:pt idx="92">
                  <c:v>8.8722985828744325E-24</c:v>
                </c:pt>
                <c:pt idx="93">
                  <c:v>1.0789509962217734E-23</c:v>
                </c:pt>
                <c:pt idx="94">
                  <c:v>1.0200962381523174E-23</c:v>
                </c:pt>
                <c:pt idx="95">
                  <c:v>7.5001002964885834E-24</c:v>
                </c:pt>
                <c:pt idx="96">
                  <c:v>4.6637024478580401E-24</c:v>
                </c:pt>
                <c:pt idx="97">
                  <c:v>2.7517930802073818E-24</c:v>
                </c:pt>
                <c:pt idx="98">
                  <c:v>1.5452824023663806E-24</c:v>
                </c:pt>
                <c:pt idx="99">
                  <c:v>7.3379559930898793E-25</c:v>
                </c:pt>
                <c:pt idx="100">
                  <c:v>2.6577912744541446E-25</c:v>
                </c:pt>
                <c:pt idx="101">
                  <c:v>6.9977460508423722E-26</c:v>
                </c:pt>
                <c:pt idx="102">
                  <c:v>1.3161679022181466E-26</c:v>
                </c:pt>
                <c:pt idx="103">
                  <c:v>1.7582110685181205E-27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28-4E4D-A374-25E73A119BF1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NaiwnaGęstość!$S$5:$S$108</c:f>
              <c:numCache>
                <c:formatCode>General</c:formatCode>
                <c:ptCount val="104"/>
                <c:pt idx="0">
                  <c:v>2.3995813237575186E-61</c:v>
                </c:pt>
                <c:pt idx="1">
                  <c:v>5.502621936290406E-61</c:v>
                </c:pt>
                <c:pt idx="2">
                  <c:v>1.2015554447806529E-60</c:v>
                </c:pt>
                <c:pt idx="3">
                  <c:v>2.4994342824545999E-60</c:v>
                </c:pt>
                <c:pt idx="4">
                  <c:v>4.9582648976666765E-60</c:v>
                </c:pt>
                <c:pt idx="5">
                  <c:v>9.4801502001310739E-60</c:v>
                </c:pt>
                <c:pt idx="6">
                  <c:v>2.0223239398014394E-59</c:v>
                </c:pt>
                <c:pt idx="7">
                  <c:v>1.1757233661937083E-58</c:v>
                </c:pt>
                <c:pt idx="8">
                  <c:v>2.1817212993490295E-57</c:v>
                </c:pt>
                <c:pt idx="9">
                  <c:v>4.6745314012263221E-56</c:v>
                </c:pt>
                <c:pt idx="10">
                  <c:v>9.2564626305025548E-55</c:v>
                </c:pt>
                <c:pt idx="11">
                  <c:v>1.6642477804026398E-53</c:v>
                </c:pt>
                <c:pt idx="12">
                  <c:v>2.7133277376917819E-52</c:v>
                </c:pt>
                <c:pt idx="13">
                  <c:v>4.0110390616212945E-51</c:v>
                </c:pt>
                <c:pt idx="14">
                  <c:v>5.3762529808226386E-50</c:v>
                </c:pt>
                <c:pt idx="15">
                  <c:v>6.5338918865276018E-49</c:v>
                </c:pt>
                <c:pt idx="16">
                  <c:v>7.2000541864442148E-48</c:v>
                </c:pt>
                <c:pt idx="17">
                  <c:v>7.1940614686121614E-47</c:v>
                </c:pt>
                <c:pt idx="18">
                  <c:v>6.5176528515012703E-46</c:v>
                </c:pt>
                <c:pt idx="19">
                  <c:v>5.3541773442388549E-45</c:v>
                </c:pt>
                <c:pt idx="20">
                  <c:v>3.988289666574462E-44</c:v>
                </c:pt>
                <c:pt idx="21">
                  <c:v>2.6939163252117789E-43</c:v>
                </c:pt>
                <c:pt idx="22">
                  <c:v>1.650062207568858E-42</c:v>
                </c:pt>
                <c:pt idx="23">
                  <c:v>9.1655099807284385E-42</c:v>
                </c:pt>
                <c:pt idx="24">
                  <c:v>4.6172419919784055E-41</c:v>
                </c:pt>
                <c:pt idx="25">
                  <c:v>2.1096939365602527E-40</c:v>
                </c:pt>
                <c:pt idx="26">
                  <c:v>8.7442857560492626E-40</c:v>
                </c:pt>
                <c:pt idx="27">
                  <c:v>3.2883430466556329E-39</c:v>
                </c:pt>
                <c:pt idx="28">
                  <c:v>1.1222491978359217E-38</c:v>
                </c:pt>
                <c:pt idx="29">
                  <c:v>3.4770997921274919E-38</c:v>
                </c:pt>
                <c:pt idx="30">
                  <c:v>9.7854417163154747E-38</c:v>
                </c:pt>
                <c:pt idx="31">
                  <c:v>2.503166478709826E-37</c:v>
                </c:pt>
                <c:pt idx="32">
                  <c:v>5.8262178041061645E-37</c:v>
                </c:pt>
                <c:pt idx="33">
                  <c:v>1.2356744706545597E-36</c:v>
                </c:pt>
                <c:pt idx="34">
                  <c:v>2.3930716535224387E-36</c:v>
                </c:pt>
                <c:pt idx="35">
                  <c:v>4.2449496798215112E-36</c:v>
                </c:pt>
                <c:pt idx="36">
                  <c:v>6.9279486562500154E-36</c:v>
                </c:pt>
                <c:pt idx="37">
                  <c:v>1.0471509896565864E-35</c:v>
                </c:pt>
                <c:pt idx="38">
                  <c:v>1.4798630139962958E-35</c:v>
                </c:pt>
                <c:pt idx="39">
                  <c:v>1.9816217281873484E-35</c:v>
                </c:pt>
                <c:pt idx="40">
                  <c:v>2.5581323018089225E-35</c:v>
                </c:pt>
                <c:pt idx="41">
                  <c:v>3.2471262281258343E-35</c:v>
                </c:pt>
                <c:pt idx="42">
                  <c:v>4.1258603574217465E-35</c:v>
                </c:pt>
                <c:pt idx="43">
                  <c:v>5.3015292931041445E-35</c:v>
                </c:pt>
                <c:pt idx="44">
                  <c:v>6.8827590015298412E-35</c:v>
                </c:pt>
                <c:pt idx="45">
                  <c:v>8.937034921233268E-35</c:v>
                </c:pt>
                <c:pt idx="46">
                  <c:v>1.1446181425856032E-34</c:v>
                </c:pt>
                <c:pt idx="47">
                  <c:v>1.4279622892613543E-34</c:v>
                </c:pt>
                <c:pt idx="48">
                  <c:v>1.7207691840310997E-34</c:v>
                </c:pt>
                <c:pt idx="49">
                  <c:v>1.9964754968730171E-34</c:v>
                </c:pt>
                <c:pt idx="50">
                  <c:v>2.2341936471892881E-34</c:v>
                </c:pt>
                <c:pt idx="51">
                  <c:v>2.4258885466374149E-34</c:v>
                </c:pt>
                <c:pt idx="52">
                  <c:v>2.5762841955583818E-34</c:v>
                </c:pt>
                <c:pt idx="53">
                  <c:v>2.6944953013376358E-34</c:v>
                </c:pt>
                <c:pt idx="54">
                  <c:v>2.7824785964120133E-34</c:v>
                </c:pt>
                <c:pt idx="55">
                  <c:v>2.8286136057545529E-34</c:v>
                </c:pt>
                <c:pt idx="56">
                  <c:v>2.8118762807278432E-34</c:v>
                </c:pt>
                <c:pt idx="57">
                  <c:v>2.714766799886389E-34</c:v>
                </c:pt>
                <c:pt idx="58">
                  <c:v>2.5368409799471764E-34</c:v>
                </c:pt>
                <c:pt idx="59">
                  <c:v>2.3001827635650463E-34</c:v>
                </c:pt>
                <c:pt idx="60">
                  <c:v>2.0435290930270103E-34</c:v>
                </c:pt>
                <c:pt idx="61">
                  <c:v>1.8085441809787496E-34</c:v>
                </c:pt>
                <c:pt idx="62">
                  <c:v>1.6251808396936186E-34</c:v>
                </c:pt>
                <c:pt idx="63">
                  <c:v>1.5020948655943863E-34</c:v>
                </c:pt>
                <c:pt idx="64">
                  <c:v>1.4250406525023389E-34</c:v>
                </c:pt>
                <c:pt idx="65">
                  <c:v>1.3637972435980933E-34</c:v>
                </c:pt>
                <c:pt idx="66">
                  <c:v>1.3447839618973368E-34</c:v>
                </c:pt>
                <c:pt idx="67">
                  <c:v>7.7011574376322326E-34</c:v>
                </c:pt>
                <c:pt idx="68">
                  <c:v>4.8847718537556158E-32</c:v>
                </c:pt>
                <c:pt idx="69">
                  <c:v>2.5727539144880474E-30</c:v>
                </c:pt>
                <c:pt idx="70">
                  <c:v>9.6167430959921541E-29</c:v>
                </c:pt>
                <c:pt idx="71">
                  <c:v>2.5462201242281983E-27</c:v>
                </c:pt>
                <c:pt idx="72">
                  <c:v>4.7752014483893686E-26</c:v>
                </c:pt>
                <c:pt idx="73">
                  <c:v>6.3433920805674661E-25</c:v>
                </c:pt>
                <c:pt idx="74">
                  <c:v>5.969062316565188E-24</c:v>
                </c:pt>
                <c:pt idx="75">
                  <c:v>3.9793338679464271E-23</c:v>
                </c:pt>
                <c:pt idx="76">
                  <c:v>1.8803530929283926E-22</c:v>
                </c:pt>
                <c:pt idx="77">
                  <c:v>6.3072332961261999E-22</c:v>
                </c:pt>
                <c:pt idx="78">
                  <c:v>1.5087975133098672E-21</c:v>
                </c:pt>
                <c:pt idx="79">
                  <c:v>2.6112099588810186E-21</c:v>
                </c:pt>
                <c:pt idx="80">
                  <c:v>3.4094326621945915E-21</c:v>
                </c:pt>
                <c:pt idx="81">
                  <c:v>3.7347810743159597E-21</c:v>
                </c:pt>
                <c:pt idx="82">
                  <c:v>4.1534716224229969E-21</c:v>
                </c:pt>
                <c:pt idx="83">
                  <c:v>5.5815356672072273E-21</c:v>
                </c:pt>
                <c:pt idx="84">
                  <c:v>9.0608261042333492E-21</c:v>
                </c:pt>
                <c:pt idx="85">
                  <c:v>1.5003543052727141E-20</c:v>
                </c:pt>
                <c:pt idx="86">
                  <c:v>2.141167064820708E-20</c:v>
                </c:pt>
                <c:pt idx="87">
                  <c:v>2.5122615755364424E-20</c:v>
                </c:pt>
                <c:pt idx="88">
                  <c:v>2.6381159852611642E-20</c:v>
                </c:pt>
                <c:pt idx="89">
                  <c:v>2.8956431958023006E-20</c:v>
                </c:pt>
                <c:pt idx="90">
                  <c:v>3.6456812727309227E-20</c:v>
                </c:pt>
                <c:pt idx="91">
                  <c:v>5.1941725491531523E-20</c:v>
                </c:pt>
                <c:pt idx="92">
                  <c:v>7.4158377560181633E-20</c:v>
                </c:pt>
                <c:pt idx="93">
                  <c:v>9.0183231097736372E-20</c:v>
                </c:pt>
                <c:pt idx="94">
                  <c:v>8.5263904578955209E-20</c:v>
                </c:pt>
                <c:pt idx="95">
                  <c:v>6.268897110832302E-20</c:v>
                </c:pt>
                <c:pt idx="96">
                  <c:v>3.8981173111573873E-20</c:v>
                </c:pt>
                <c:pt idx="97">
                  <c:v>2.3000636002423674E-20</c:v>
                </c:pt>
                <c:pt idx="98">
                  <c:v>1.2916115791344802E-20</c:v>
                </c:pt>
                <c:pt idx="99">
                  <c:v>6.1333701292011446E-21</c:v>
                </c:pt>
                <c:pt idx="100">
                  <c:v>2.2214929644902851E-21</c:v>
                </c:pt>
                <c:pt idx="101">
                  <c:v>5.8490084487273065E-22</c:v>
                </c:pt>
                <c:pt idx="102">
                  <c:v>1.1001081096806785E-22</c:v>
                </c:pt>
                <c:pt idx="103">
                  <c:v>1.469586252443444E-23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28-4E4D-A374-25E73A119BF1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NaiwnaGęstość!$T$5:$T$108</c:f>
              <c:numCache>
                <c:formatCode>General</c:formatCode>
                <c:ptCount val="104"/>
                <c:pt idx="0">
                  <c:v>2.6835173022506519E-59</c:v>
                </c:pt>
                <c:pt idx="1">
                  <c:v>6.1537320823909219E-59</c:v>
                </c:pt>
                <c:pt idx="2">
                  <c:v>1.3437311233957642E-58</c:v>
                </c:pt>
                <c:pt idx="3">
                  <c:v>2.7951409044748046E-58</c:v>
                </c:pt>
                <c:pt idx="4">
                  <c:v>5.5433678193517606E-58</c:v>
                </c:pt>
                <c:pt idx="5">
                  <c:v>1.0550287464307227E-57</c:v>
                </c:pt>
                <c:pt idx="6">
                  <c:v>2.1101437379769148E-57</c:v>
                </c:pt>
                <c:pt idx="7">
                  <c:v>9.1184097807462495E-57</c:v>
                </c:pt>
                <c:pt idx="8">
                  <c:v>1.4677241513987713E-55</c:v>
                </c:pt>
                <c:pt idx="9">
                  <c:v>3.1013427898151751E-54</c:v>
                </c:pt>
                <c:pt idx="10">
                  <c:v>6.1349431045792889E-53</c:v>
                </c:pt>
                <c:pt idx="11">
                  <c:v>1.102934025180936E-51</c:v>
                </c:pt>
                <c:pt idx="12">
                  <c:v>1.7981713542864115E-50</c:v>
                </c:pt>
                <c:pt idx="13">
                  <c:v>2.6581866901491313E-49</c:v>
                </c:pt>
                <c:pt idx="14">
                  <c:v>3.5629379826413472E-48</c:v>
                </c:pt>
                <c:pt idx="15">
                  <c:v>4.3301257494380109E-47</c:v>
                </c:pt>
                <c:pt idx="16">
                  <c:v>4.7716032888849073E-46</c:v>
                </c:pt>
                <c:pt idx="17">
                  <c:v>4.7676318085025391E-45</c:v>
                </c:pt>
                <c:pt idx="18">
                  <c:v>4.3193638512783322E-44</c:v>
                </c:pt>
                <c:pt idx="19">
                  <c:v>3.5483080490690888E-43</c:v>
                </c:pt>
                <c:pt idx="20">
                  <c:v>2.6431101205773489E-42</c:v>
                </c:pt>
                <c:pt idx="21">
                  <c:v>1.7853060079438288E-41</c:v>
                </c:pt>
                <c:pt idx="22">
                  <c:v>1.0935254169121775E-40</c:v>
                </c:pt>
                <c:pt idx="23">
                  <c:v>6.0741456151861672E-40</c:v>
                </c:pt>
                <c:pt idx="24">
                  <c:v>3.0599279536871014E-39</c:v>
                </c:pt>
                <c:pt idx="25">
                  <c:v>1.39813149525629E-38</c:v>
                </c:pt>
                <c:pt idx="26">
                  <c:v>5.7949928694333475E-38</c:v>
                </c:pt>
                <c:pt idx="27">
                  <c:v>2.1792431125020487E-37</c:v>
                </c:pt>
                <c:pt idx="28">
                  <c:v>7.4373439759644365E-37</c:v>
                </c:pt>
                <c:pt idx="29">
                  <c:v>2.3043355471025707E-36</c:v>
                </c:pt>
                <c:pt idx="30">
                  <c:v>6.4849853438371922E-36</c:v>
                </c:pt>
                <c:pt idx="31">
                  <c:v>1.6588927100298554E-35</c:v>
                </c:pt>
                <c:pt idx="32">
                  <c:v>3.8611376128923743E-35</c:v>
                </c:pt>
                <c:pt idx="33">
                  <c:v>8.1890333254837181E-35</c:v>
                </c:pt>
                <c:pt idx="34">
                  <c:v>1.5859309216435306E-34</c:v>
                </c:pt>
                <c:pt idx="35">
                  <c:v>2.8132032520381923E-34</c:v>
                </c:pt>
                <c:pt idx="36">
                  <c:v>4.5912741397998526E-34</c:v>
                </c:pt>
                <c:pt idx="37">
                  <c:v>6.9396548644147545E-34</c:v>
                </c:pt>
                <c:pt idx="38">
                  <c:v>9.8073140026490721E-34</c:v>
                </c:pt>
                <c:pt idx="39">
                  <c:v>1.3132557769873477E-33</c:v>
                </c:pt>
                <c:pt idx="40">
                  <c:v>1.6953195334215136E-33</c:v>
                </c:pt>
                <c:pt idx="41">
                  <c:v>2.1519279976779846E-33</c:v>
                </c:pt>
                <c:pt idx="42">
                  <c:v>2.734280651223728E-33</c:v>
                </c:pt>
                <c:pt idx="43">
                  <c:v>3.5134172541624632E-33</c:v>
                </c:pt>
                <c:pt idx="44">
                  <c:v>4.5613261561472824E-33</c:v>
                </c:pt>
                <c:pt idx="45">
                  <c:v>5.922731151208714E-33</c:v>
                </c:pt>
                <c:pt idx="46">
                  <c:v>7.5855869302062692E-33</c:v>
                </c:pt>
                <c:pt idx="47">
                  <c:v>9.4633587178514087E-33</c:v>
                </c:pt>
                <c:pt idx="48">
                  <c:v>1.1403841811210687E-32</c:v>
                </c:pt>
                <c:pt idx="49">
                  <c:v>1.3230996322797154E-32</c:v>
                </c:pt>
                <c:pt idx="50">
                  <c:v>1.4806396560677848E-32</c:v>
                </c:pt>
                <c:pt idx="51">
                  <c:v>1.6076792572885181E-32</c:v>
                </c:pt>
                <c:pt idx="52">
                  <c:v>1.7073491145421968E-32</c:v>
                </c:pt>
                <c:pt idx="53">
                  <c:v>1.7856897056653432E-32</c:v>
                </c:pt>
                <c:pt idx="54">
                  <c:v>1.8439977918612393E-32</c:v>
                </c:pt>
                <c:pt idx="55">
                  <c:v>1.874572278746724E-32</c:v>
                </c:pt>
                <c:pt idx="56">
                  <c:v>1.8634801573443475E-32</c:v>
                </c:pt>
                <c:pt idx="57">
                  <c:v>1.7991239863853532E-32</c:v>
                </c:pt>
                <c:pt idx="58">
                  <c:v>1.6812093977498526E-32</c:v>
                </c:pt>
                <c:pt idx="59">
                  <c:v>1.5243718109316831E-32</c:v>
                </c:pt>
                <c:pt idx="60">
                  <c:v>1.3542828828962639E-32</c:v>
                </c:pt>
                <c:pt idx="61">
                  <c:v>1.1985542244642005E-32</c:v>
                </c:pt>
                <c:pt idx="62">
                  <c:v>1.0770360947707673E-32</c:v>
                </c:pt>
                <c:pt idx="63">
                  <c:v>9.9546506580649838E-33</c:v>
                </c:pt>
                <c:pt idx="64">
                  <c:v>9.4446600751420892E-33</c:v>
                </c:pt>
                <c:pt idx="65">
                  <c:v>9.1772490520684552E-33</c:v>
                </c:pt>
                <c:pt idx="66">
                  <c:v>2.9572789049147279E-32</c:v>
                </c:pt>
                <c:pt idx="67">
                  <c:v>2.2243032599235197E-30</c:v>
                </c:pt>
                <c:pt idx="68">
                  <c:v>1.6515932440629187E-28</c:v>
                </c:pt>
                <c:pt idx="69">
                  <c:v>8.7157347255884789E-27</c:v>
                </c:pt>
                <c:pt idx="70">
                  <c:v>3.2579650832657632E-25</c:v>
                </c:pt>
                <c:pt idx="71">
                  <c:v>8.6261022763648679E-24</c:v>
                </c:pt>
                <c:pt idx="72">
                  <c:v>1.6177460965243488E-22</c:v>
                </c:pt>
                <c:pt idx="73">
                  <c:v>2.1490188199759346E-21</c:v>
                </c:pt>
                <c:pt idx="74">
                  <c:v>2.0222031199124459E-20</c:v>
                </c:pt>
                <c:pt idx="75">
                  <c:v>1.3481215199598016E-19</c:v>
                </c:pt>
                <c:pt idx="76">
                  <c:v>6.3702734020859987E-19</c:v>
                </c:pt>
                <c:pt idx="77">
                  <c:v>2.1367689216545594E-18</c:v>
                </c:pt>
                <c:pt idx="78">
                  <c:v>5.1115148023624031E-18</c:v>
                </c:pt>
                <c:pt idx="79">
                  <c:v>8.8462754207597087E-18</c:v>
                </c:pt>
                <c:pt idx="80">
                  <c:v>1.1550499895930296E-17</c:v>
                </c:pt>
                <c:pt idx="81">
                  <c:v>1.2652717529385484E-17</c:v>
                </c:pt>
                <c:pt idx="82">
                  <c:v>1.4071160306086179E-17</c:v>
                </c:pt>
                <c:pt idx="83">
                  <c:v>1.8909165697295344E-17</c:v>
                </c:pt>
                <c:pt idx="84">
                  <c:v>3.0696330252970565E-17</c:v>
                </c:pt>
                <c:pt idx="85">
                  <c:v>5.0829108429307241E-17</c:v>
                </c:pt>
                <c:pt idx="86">
                  <c:v>7.253860806114793E-17</c:v>
                </c:pt>
                <c:pt idx="87">
                  <c:v>8.5110573933743762E-17</c:v>
                </c:pt>
                <c:pt idx="88">
                  <c:v>8.9374278457217349E-17</c:v>
                </c:pt>
                <c:pt idx="89">
                  <c:v>9.8098803365827611E-17</c:v>
                </c:pt>
                <c:pt idx="90">
                  <c:v>1.2350864596389608E-16</c:v>
                </c:pt>
                <c:pt idx="91">
                  <c:v>1.7596854207943083E-16</c:v>
                </c:pt>
                <c:pt idx="92">
                  <c:v>2.5123427184506437E-16</c:v>
                </c:pt>
                <c:pt idx="93">
                  <c:v>3.0552338310109423E-16</c:v>
                </c:pt>
                <c:pt idx="94">
                  <c:v>2.88857654203356E-16</c:v>
                </c:pt>
                <c:pt idx="95">
                  <c:v>2.1237813619013643E-16</c:v>
                </c:pt>
                <c:pt idx="96">
                  <c:v>1.3206069178637352E-16</c:v>
                </c:pt>
                <c:pt idx="97">
                  <c:v>7.7921716037447386E-17</c:v>
                </c:pt>
                <c:pt idx="98">
                  <c:v>4.3757307706356743E-17</c:v>
                </c:pt>
                <c:pt idx="99">
                  <c:v>2.0778674359692176E-17</c:v>
                </c:pt>
                <c:pt idx="100">
                  <c:v>7.525989452637686E-18</c:v>
                </c:pt>
                <c:pt idx="101">
                  <c:v>1.9815311863303865E-18</c:v>
                </c:pt>
                <c:pt idx="102">
                  <c:v>3.7269539730987405E-19</c:v>
                </c:pt>
                <c:pt idx="103">
                  <c:v>4.9786746176656961E-20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28-4E4D-A374-25E73A119BF1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NaiwnaGęstość!$U$5:$U$108</c:f>
              <c:numCache>
                <c:formatCode>General</c:formatCode>
                <c:ptCount val="104"/>
                <c:pt idx="0">
                  <c:v>2.7443398897876131E-57</c:v>
                </c:pt>
                <c:pt idx="1">
                  <c:v>6.2932077933819877E-57</c:v>
                </c:pt>
                <c:pt idx="2">
                  <c:v>1.3741864040322956E-56</c:v>
                </c:pt>
                <c:pt idx="3">
                  <c:v>2.8584650729231788E-56</c:v>
                </c:pt>
                <c:pt idx="4">
                  <c:v>5.6679960060645887E-56</c:v>
                </c:pt>
                <c:pt idx="5">
                  <c:v>1.0756609273140602E-55</c:v>
                </c:pt>
                <c:pt idx="6">
                  <c:v>2.0617178227457891E-55</c:v>
                </c:pt>
                <c:pt idx="7">
                  <c:v>6.7642752046200553E-55</c:v>
                </c:pt>
                <c:pt idx="8">
                  <c:v>8.8325289982670868E-54</c:v>
                </c:pt>
                <c:pt idx="9">
                  <c:v>1.8205088440731966E-52</c:v>
                </c:pt>
                <c:pt idx="10">
                  <c:v>3.5944976846553806E-51</c:v>
                </c:pt>
                <c:pt idx="11">
                  <c:v>6.4612283422076855E-50</c:v>
                </c:pt>
                <c:pt idx="12">
                  <c:v>1.0533959302417543E-48</c:v>
                </c:pt>
                <c:pt idx="13">
                  <c:v>1.5572043728154886E-47</c:v>
                </c:pt>
                <c:pt idx="14">
                  <c:v>2.0872206357957582E-46</c:v>
                </c:pt>
                <c:pt idx="15">
                  <c:v>2.5366503111282085E-45</c:v>
                </c:pt>
                <c:pt idx="16">
                  <c:v>2.7952742384381301E-44</c:v>
                </c:pt>
                <c:pt idx="17">
                  <c:v>2.792947687500349E-43</c:v>
                </c:pt>
                <c:pt idx="18">
                  <c:v>2.5303458329659658E-42</c:v>
                </c:pt>
                <c:pt idx="19">
                  <c:v>2.0786501890483454E-41</c:v>
                </c:pt>
                <c:pt idx="20">
                  <c:v>1.5483721469036447E-40</c:v>
                </c:pt>
                <c:pt idx="21">
                  <c:v>1.0458580877425016E-39</c:v>
                </c:pt>
                <c:pt idx="22">
                  <c:v>6.4060300942289215E-39</c:v>
                </c:pt>
                <c:pt idx="23">
                  <c:v>3.5583223769490307E-38</c:v>
                </c:pt>
                <c:pt idx="24">
                  <c:v>1.7925500637052072E-37</c:v>
                </c:pt>
                <c:pt idx="25">
                  <c:v>8.1904565689856025E-37</c:v>
                </c:pt>
                <c:pt idx="26">
                  <c:v>3.39479065994251E-36</c:v>
                </c:pt>
                <c:pt idx="27">
                  <c:v>1.2766321427397037E-35</c:v>
                </c:pt>
                <c:pt idx="28">
                  <c:v>4.3569036982874851E-35</c:v>
                </c:pt>
                <c:pt idx="29">
                  <c:v>1.3499131006596478E-34</c:v>
                </c:pt>
                <c:pt idx="30">
                  <c:v>3.7989982336725941E-34</c:v>
                </c:pt>
                <c:pt idx="31">
                  <c:v>9.7180334898440448E-34</c:v>
                </c:pt>
                <c:pt idx="32">
                  <c:v>2.2619102732876127E-33</c:v>
                </c:pt>
                <c:pt idx="33">
                  <c:v>4.7972541940381115E-33</c:v>
                </c:pt>
                <c:pt idx="34">
                  <c:v>9.2906127779859169E-33</c:v>
                </c:pt>
                <c:pt idx="35">
                  <c:v>1.6480151640761211E-32</c:v>
                </c:pt>
                <c:pt idx="36">
                  <c:v>2.6896348137443363E-32</c:v>
                </c:pt>
                <c:pt idx="37">
                  <c:v>4.0653502165988778E-32</c:v>
                </c:pt>
                <c:pt idx="38">
                  <c:v>5.7452664266301382E-32</c:v>
                </c:pt>
                <c:pt idx="39">
                  <c:v>7.6932423322690486E-32</c:v>
                </c:pt>
                <c:pt idx="40">
                  <c:v>9.9314270911953932E-32</c:v>
                </c:pt>
                <c:pt idx="41">
                  <c:v>1.2606305533039159E-31</c:v>
                </c:pt>
                <c:pt idx="42">
                  <c:v>1.6017811627339394E-31</c:v>
                </c:pt>
                <c:pt idx="43">
                  <c:v>2.0582106566212008E-31</c:v>
                </c:pt>
                <c:pt idx="44">
                  <c:v>2.6720908516587028E-31</c:v>
                </c:pt>
                <c:pt idx="45">
                  <c:v>3.4696215934153448E-31</c:v>
                </c:pt>
                <c:pt idx="46">
                  <c:v>4.4437465655353391E-31</c:v>
                </c:pt>
                <c:pt idx="47">
                  <c:v>5.5437724447431242E-31</c:v>
                </c:pt>
                <c:pt idx="48">
                  <c:v>6.6805355140920907E-31</c:v>
                </c:pt>
                <c:pt idx="49">
                  <c:v>7.7509090606970056E-31</c:v>
                </c:pt>
                <c:pt idx="50">
                  <c:v>8.6738013115983492E-31</c:v>
                </c:pt>
                <c:pt idx="51">
                  <c:v>9.4180176745584955E-31</c:v>
                </c:pt>
                <c:pt idx="52">
                  <c:v>1.0001898117737845E-30</c:v>
                </c:pt>
                <c:pt idx="53">
                  <c:v>1.0460828634187709E-30</c:v>
                </c:pt>
                <c:pt idx="54">
                  <c:v>1.0802405838641297E-30</c:v>
                </c:pt>
                <c:pt idx="55">
                  <c:v>1.0981515606073205E-30</c:v>
                </c:pt>
                <c:pt idx="56">
                  <c:v>1.0916536354184292E-30</c:v>
                </c:pt>
                <c:pt idx="57">
                  <c:v>1.053952859420301E-30</c:v>
                </c:pt>
                <c:pt idx="58">
                  <c:v>9.8487678750963747E-31</c:v>
                </c:pt>
                <c:pt idx="59">
                  <c:v>8.9299906015873101E-31</c:v>
                </c:pt>
                <c:pt idx="60">
                  <c:v>7.9335850541363914E-31</c:v>
                </c:pt>
                <c:pt idx="61">
                  <c:v>7.0213040436652295E-31</c:v>
                </c:pt>
                <c:pt idx="62">
                  <c:v>6.309433331516022E-31</c:v>
                </c:pt>
                <c:pt idx="63">
                  <c:v>5.8316084288117802E-31</c:v>
                </c:pt>
                <c:pt idx="64">
                  <c:v>5.5417157130278143E-31</c:v>
                </c:pt>
                <c:pt idx="65">
                  <c:v>7.2415697535942265E-31</c:v>
                </c:pt>
                <c:pt idx="66">
                  <c:v>2.9434794989507382E-29</c:v>
                </c:pt>
                <c:pt idx="67">
                  <c:v>3.0442767537567782E-27</c:v>
                </c:pt>
                <c:pt idx="68">
                  <c:v>2.2678477156032986E-25</c:v>
                </c:pt>
                <c:pt idx="69">
                  <c:v>1.196825925899595E-23</c:v>
                </c:pt>
                <c:pt idx="70">
                  <c:v>4.473769992366011E-22</c:v>
                </c:pt>
                <c:pt idx="71">
                  <c:v>1.1845184630810681E-20</c:v>
                </c:pt>
                <c:pt idx="72">
                  <c:v>2.2214553677160747E-19</c:v>
                </c:pt>
                <c:pt idx="73">
                  <c:v>2.9509880464287972E-18</c:v>
                </c:pt>
                <c:pt idx="74">
                  <c:v>2.7768473588247304E-17</c:v>
                </c:pt>
                <c:pt idx="75">
                  <c:v>1.8512124945377938E-16</c:v>
                </c:pt>
                <c:pt idx="76">
                  <c:v>8.7475272376892484E-16</c:v>
                </c:pt>
                <c:pt idx="77">
                  <c:v>2.9341667402690247E-15</c:v>
                </c:pt>
                <c:pt idx="78">
                  <c:v>7.019026050730448E-15</c:v>
                </c:pt>
                <c:pt idx="79">
                  <c:v>1.2147521826905698E-14</c:v>
                </c:pt>
                <c:pt idx="80">
                  <c:v>1.5860906757234515E-14</c:v>
                </c:pt>
                <c:pt idx="81">
                  <c:v>1.7374449137904296E-14</c:v>
                </c:pt>
                <c:pt idx="82">
                  <c:v>1.9322225322868327E-14</c:v>
                </c:pt>
                <c:pt idx="83">
                  <c:v>2.5965673926162397E-14</c:v>
                </c:pt>
                <c:pt idx="84">
                  <c:v>4.2151563682814061E-14</c:v>
                </c:pt>
                <c:pt idx="85">
                  <c:v>6.9797476872378496E-14</c:v>
                </c:pt>
                <c:pt idx="86">
                  <c:v>9.960851124398732E-14</c:v>
                </c:pt>
                <c:pt idx="87">
                  <c:v>1.1687207388257358E-13</c:v>
                </c:pt>
                <c:pt idx="88">
                  <c:v>1.2272690445237785E-13</c:v>
                </c:pt>
                <c:pt idx="89">
                  <c:v>1.3470724100260748E-13</c:v>
                </c:pt>
                <c:pt idx="90">
                  <c:v>1.6959950954467906E-13</c:v>
                </c:pt>
                <c:pt idx="91">
                  <c:v>2.4163635022513084E-13</c:v>
                </c:pt>
                <c:pt idx="92">
                  <c:v>3.4498968839957138E-13</c:v>
                </c:pt>
                <c:pt idx="93">
                  <c:v>4.1953836935046347E-13</c:v>
                </c:pt>
                <c:pt idx="94">
                  <c:v>3.9665333628089823E-13</c:v>
                </c:pt>
                <c:pt idx="95">
                  <c:v>2.9163324927381433E-13</c:v>
                </c:pt>
                <c:pt idx="96">
                  <c:v>1.8134300139317506E-13</c:v>
                </c:pt>
                <c:pt idx="97">
                  <c:v>1.0700048340497527E-13</c:v>
                </c:pt>
                <c:pt idx="98">
                  <c:v>6.008662687600892E-14</c:v>
                </c:pt>
                <c:pt idx="99">
                  <c:v>2.8532844424693465E-14</c:v>
                </c:pt>
                <c:pt idx="100">
                  <c:v>1.033453253449881E-14</c:v>
                </c:pt>
                <c:pt idx="101">
                  <c:v>2.7209975036675432E-15</c:v>
                </c:pt>
                <c:pt idx="102">
                  <c:v>5.1177758528573878E-16</c:v>
                </c:pt>
                <c:pt idx="103">
                  <c:v>6.836612665849102E-17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28-4E4D-A374-25E73A119BF1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NaiwnaGęstość!$V$5:$V$108</c:f>
              <c:numCache>
                <c:formatCode>General</c:formatCode>
                <c:ptCount val="104"/>
                <c:pt idx="0">
                  <c:v>2.5664686813025746E-55</c:v>
                </c:pt>
                <c:pt idx="1">
                  <c:v>5.8853207373268421E-55</c:v>
                </c:pt>
                <c:pt idx="2">
                  <c:v>1.2851197025334631E-54</c:v>
                </c:pt>
                <c:pt idx="3">
                  <c:v>2.6731810808473244E-54</c:v>
                </c:pt>
                <c:pt idx="4">
                  <c:v>5.3000641253441732E-54</c:v>
                </c:pt>
                <c:pt idx="5">
                  <c:v>1.0041073368931269E-53</c:v>
                </c:pt>
                <c:pt idx="6">
                  <c:v>1.8742206011270517E-53</c:v>
                </c:pt>
                <c:pt idx="7">
                  <c:v>4.8926627289614649E-53</c:v>
                </c:pt>
                <c:pt idx="8">
                  <c:v>4.802796485208163E-52</c:v>
                </c:pt>
                <c:pt idx="9">
                  <c:v>9.4633608489316144E-51</c:v>
                </c:pt>
                <c:pt idx="10">
                  <c:v>1.8619040955163875E-49</c:v>
                </c:pt>
                <c:pt idx="11">
                  <c:v>3.3459313358257656E-48</c:v>
                </c:pt>
                <c:pt idx="12">
                  <c:v>5.4548667970844271E-47</c:v>
                </c:pt>
                <c:pt idx="13">
                  <c:v>8.0637550166904947E-46</c:v>
                </c:pt>
                <c:pt idx="14">
                  <c:v>1.0808364877495255E-44</c:v>
                </c:pt>
                <c:pt idx="15">
                  <c:v>1.3135670093916584E-43</c:v>
                </c:pt>
                <c:pt idx="16">
                  <c:v>1.4474915992820172E-42</c:v>
                </c:pt>
                <c:pt idx="17">
                  <c:v>1.4462868288740023E-41</c:v>
                </c:pt>
                <c:pt idx="18">
                  <c:v>1.3103023257517741E-40</c:v>
                </c:pt>
                <c:pt idx="19">
                  <c:v>1.0763983885689867E-39</c:v>
                </c:pt>
                <c:pt idx="20">
                  <c:v>8.0180171373355842E-39</c:v>
                </c:pt>
                <c:pt idx="21">
                  <c:v>5.415822086123958E-38</c:v>
                </c:pt>
                <c:pt idx="22">
                  <c:v>3.317268344081624E-37</c:v>
                </c:pt>
                <c:pt idx="23">
                  <c:v>1.8426248402617113E-36</c:v>
                </c:pt>
                <c:pt idx="24">
                  <c:v>9.2824565199400946E-36</c:v>
                </c:pt>
                <c:pt idx="25">
                  <c:v>4.2413073151729639E-35</c:v>
                </c:pt>
                <c:pt idx="26">
                  <c:v>1.7579423489059872E-34</c:v>
                </c:pt>
                <c:pt idx="27">
                  <c:v>6.6108515443327048E-34</c:v>
                </c:pt>
                <c:pt idx="28">
                  <c:v>2.2561584169830345E-33</c:v>
                </c:pt>
                <c:pt idx="29">
                  <c:v>6.9903261929935113E-33</c:v>
                </c:pt>
                <c:pt idx="30">
                  <c:v>1.9672552882849025E-32</c:v>
                </c:pt>
                <c:pt idx="31">
                  <c:v>5.0323405273457416E-32</c:v>
                </c:pt>
                <c:pt idx="32">
                  <c:v>1.1712969243603218E-31</c:v>
                </c:pt>
                <c:pt idx="33">
                  <c:v>2.4841874362613194E-31</c:v>
                </c:pt>
                <c:pt idx="34">
                  <c:v>4.811007006242066E-31</c:v>
                </c:pt>
                <c:pt idx="35">
                  <c:v>8.5340038275518407E-31</c:v>
                </c:pt>
                <c:pt idx="36">
                  <c:v>1.3927877786293626E-30</c:v>
                </c:pt>
                <c:pt idx="37">
                  <c:v>2.1051817401354352E-30</c:v>
                </c:pt>
                <c:pt idx="38">
                  <c:v>2.9751016097387083E-30</c:v>
                </c:pt>
                <c:pt idx="39">
                  <c:v>3.9838322450554457E-30</c:v>
                </c:pt>
                <c:pt idx="40">
                  <c:v>5.1428432612042851E-30</c:v>
                </c:pt>
                <c:pt idx="41">
                  <c:v>6.5279896699588239E-30</c:v>
                </c:pt>
                <c:pt idx="42">
                  <c:v>8.294587860382384E-30</c:v>
                </c:pt>
                <c:pt idx="43">
                  <c:v>1.0658140777096642E-29</c:v>
                </c:pt>
                <c:pt idx="44">
                  <c:v>1.3837028962294391E-29</c:v>
                </c:pt>
                <c:pt idx="45">
                  <c:v>1.7966924457859787E-29</c:v>
                </c:pt>
                <c:pt idx="46">
                  <c:v>2.301128716871278E-29</c:v>
                </c:pt>
                <c:pt idx="47">
                  <c:v>2.8707609185766572E-29</c:v>
                </c:pt>
                <c:pt idx="48">
                  <c:v>3.4594169331760206E-29</c:v>
                </c:pt>
                <c:pt idx="49">
                  <c:v>4.0136941111264694E-29</c:v>
                </c:pt>
                <c:pt idx="50">
                  <c:v>4.4916002720218567E-29</c:v>
                </c:pt>
                <c:pt idx="51">
                  <c:v>4.8769817556679159E-29</c:v>
                </c:pt>
                <c:pt idx="52">
                  <c:v>5.1793356444877813E-29</c:v>
                </c:pt>
                <c:pt idx="53">
                  <c:v>5.4169860538612335E-29</c:v>
                </c:pt>
                <c:pt idx="54">
                  <c:v>5.5938667788541702E-29</c:v>
                </c:pt>
                <c:pt idx="55">
                  <c:v>5.686616134208113E-29</c:v>
                </c:pt>
                <c:pt idx="56">
                  <c:v>5.6529675855527796E-29</c:v>
                </c:pt>
                <c:pt idx="57">
                  <c:v>5.457739669157928E-29</c:v>
                </c:pt>
                <c:pt idx="58">
                  <c:v>5.1000394034517434E-29</c:v>
                </c:pt>
                <c:pt idx="59">
                  <c:v>4.6242641229985696E-29</c:v>
                </c:pt>
                <c:pt idx="60">
                  <c:v>4.1082901841001204E-29</c:v>
                </c:pt>
                <c:pt idx="61">
                  <c:v>3.6358788984342052E-29</c:v>
                </c:pt>
                <c:pt idx="62">
                  <c:v>3.2672475123814021E-29</c:v>
                </c:pt>
                <c:pt idx="63">
                  <c:v>3.019971057411808E-29</c:v>
                </c:pt>
                <c:pt idx="64">
                  <c:v>2.9166161799458324E-29</c:v>
                </c:pt>
                <c:pt idx="65">
                  <c:v>1.3587340761360621E-28</c:v>
                </c:pt>
                <c:pt idx="66">
                  <c:v>1.6133368724405233E-26</c:v>
                </c:pt>
                <c:pt idx="67">
                  <c:v>1.6943571679451682E-24</c:v>
                </c:pt>
                <c:pt idx="68">
                  <c:v>1.2623862046823723E-22</c:v>
                </c:pt>
                <c:pt idx="69">
                  <c:v>6.66208231208856E-21</c:v>
                </c:pt>
                <c:pt idx="70">
                  <c:v>2.4903057295143762E-19</c:v>
                </c:pt>
                <c:pt idx="71">
                  <c:v>6.593573477509876E-18</c:v>
                </c:pt>
                <c:pt idx="72">
                  <c:v>1.2365640258663214E-16</c:v>
                </c:pt>
                <c:pt idx="73">
                  <c:v>1.6426554015030149E-15</c:v>
                </c:pt>
                <c:pt idx="74">
                  <c:v>1.5457207014589477E-14</c:v>
                </c:pt>
                <c:pt idx="75">
                  <c:v>1.0304698479420957E-13</c:v>
                </c:pt>
                <c:pt idx="76">
                  <c:v>4.8692751853652481E-13</c:v>
                </c:pt>
                <c:pt idx="77">
                  <c:v>1.6332918903708534E-12</c:v>
                </c:pt>
                <c:pt idx="78">
                  <c:v>3.9071120838581547E-12</c:v>
                </c:pt>
                <c:pt idx="79">
                  <c:v>6.7618682386703426E-12</c:v>
                </c:pt>
                <c:pt idx="80">
                  <c:v>8.8289087409341315E-12</c:v>
                </c:pt>
                <c:pt idx="81">
                  <c:v>9.6714159039230677E-12</c:v>
                </c:pt>
                <c:pt idx="82">
                  <c:v>1.0755637534377357E-11</c:v>
                </c:pt>
                <c:pt idx="83">
                  <c:v>1.4453685971413663E-11</c:v>
                </c:pt>
                <c:pt idx="84">
                  <c:v>2.3463495167039661E-11</c:v>
                </c:pt>
                <c:pt idx="85">
                  <c:v>3.8852479438012681E-11</c:v>
                </c:pt>
                <c:pt idx="86">
                  <c:v>5.5446669541282413E-11</c:v>
                </c:pt>
                <c:pt idx="87">
                  <c:v>6.5056360929825298E-11</c:v>
                </c:pt>
                <c:pt idx="88">
                  <c:v>6.831542837064835E-11</c:v>
                </c:pt>
                <c:pt idx="89">
                  <c:v>7.4984233610261121E-11</c:v>
                </c:pt>
                <c:pt idx="90">
                  <c:v>9.4406871889223524E-11</c:v>
                </c:pt>
                <c:pt idx="91">
                  <c:v>1.3450588401303059E-10</c:v>
                </c:pt>
                <c:pt idx="92">
                  <c:v>1.920370961170819E-10</c:v>
                </c:pt>
                <c:pt idx="93">
                  <c:v>2.335343138327228E-10</c:v>
                </c:pt>
                <c:pt idx="94">
                  <c:v>2.2079545396821404E-10</c:v>
                </c:pt>
                <c:pt idx="95">
                  <c:v>1.6233645295759504E-10</c:v>
                </c:pt>
                <c:pt idx="96">
                  <c:v>1.0094383849631763E-10</c:v>
                </c:pt>
                <c:pt idx="97">
                  <c:v>5.956138054890627E-11</c:v>
                </c:pt>
                <c:pt idx="98">
                  <c:v>3.3446974587179272E-11</c:v>
                </c:pt>
                <c:pt idx="99">
                  <c:v>1.5882690907944863E-11</c:v>
                </c:pt>
                <c:pt idx="100">
                  <c:v>5.7526751795376957E-12</c:v>
                </c:pt>
                <c:pt idx="101">
                  <c:v>1.5146321084847623E-12</c:v>
                </c:pt>
                <c:pt idx="102">
                  <c:v>2.8487889534326034E-13</c:v>
                </c:pt>
                <c:pt idx="103">
                  <c:v>3.8055724207800835E-14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28-4E4D-A374-25E73A119BF1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NaiwnaGęstość!$W$5:$W$108</c:f>
              <c:numCache>
                <c:formatCode>General</c:formatCode>
                <c:ptCount val="104"/>
                <c:pt idx="0">
                  <c:v>2.194818501192428E-53</c:v>
                </c:pt>
                <c:pt idx="1">
                  <c:v>5.0330677408122975E-53</c:v>
                </c:pt>
                <c:pt idx="2">
                  <c:v>1.0990213947009467E-52</c:v>
                </c:pt>
                <c:pt idx="3">
                  <c:v>2.2860700473683506E-52</c:v>
                </c:pt>
                <c:pt idx="4">
                  <c:v>4.5322823962742855E-52</c:v>
                </c:pt>
                <c:pt idx="5">
                  <c:v>8.5779727376048795E-52</c:v>
                </c:pt>
                <c:pt idx="6">
                  <c:v>1.576249827005984E-51</c:v>
                </c:pt>
                <c:pt idx="7">
                  <c:v>3.4773951418659592E-51</c:v>
                </c:pt>
                <c:pt idx="8">
                  <c:v>2.4023986430936112E-50</c:v>
                </c:pt>
                <c:pt idx="9">
                  <c:v>4.3639731661621648E-49</c:v>
                </c:pt>
                <c:pt idx="10">
                  <c:v>8.527630682636613E-48</c:v>
                </c:pt>
                <c:pt idx="11">
                  <c:v>1.5316525334896137E-46</c:v>
                </c:pt>
                <c:pt idx="12">
                  <c:v>2.4969454275246939E-45</c:v>
                </c:pt>
                <c:pt idx="13">
                  <c:v>3.6911412330402756E-44</c:v>
                </c:pt>
                <c:pt idx="14">
                  <c:v>4.9474702742433676E-43</c:v>
                </c:pt>
                <c:pt idx="15">
                  <c:v>6.0127813975294121E-42</c:v>
                </c:pt>
                <c:pt idx="16">
                  <c:v>6.6258138874507846E-41</c:v>
                </c:pt>
                <c:pt idx="17">
                  <c:v>6.6202991142046842E-40</c:v>
                </c:pt>
                <c:pt idx="18">
                  <c:v>5.9978374641624493E-39</c:v>
                </c:pt>
                <c:pt idx="19">
                  <c:v>4.9271549431036988E-38</c:v>
                </c:pt>
                <c:pt idx="20">
                  <c:v>3.670203633861337E-37</c:v>
                </c:pt>
                <c:pt idx="21">
                  <c:v>2.4790630352084423E-36</c:v>
                </c:pt>
                <c:pt idx="22">
                  <c:v>1.5184615001940268E-35</c:v>
                </c:pt>
                <c:pt idx="23">
                  <c:v>8.4345147543774446E-35</c:v>
                </c:pt>
                <c:pt idx="24">
                  <c:v>4.2489938680725537E-34</c:v>
                </c:pt>
                <c:pt idx="25">
                  <c:v>1.9414353017510807E-33</c:v>
                </c:pt>
                <c:pt idx="26">
                  <c:v>8.0468852667190343E-33</c:v>
                </c:pt>
                <c:pt idx="27">
                  <c:v>3.0260812549207506E-32</c:v>
                </c:pt>
                <c:pt idx="28">
                  <c:v>1.0327442157760904E-31</c:v>
                </c:pt>
                <c:pt idx="29">
                  <c:v>3.1997837066139107E-31</c:v>
                </c:pt>
                <c:pt idx="30">
                  <c:v>9.0050038358917056E-31</c:v>
                </c:pt>
                <c:pt idx="31">
                  <c:v>2.3035264422529227E-30</c:v>
                </c:pt>
                <c:pt idx="32">
                  <c:v>5.3615478172273375E-30</c:v>
                </c:pt>
                <c:pt idx="33">
                  <c:v>1.1371232562353376E-29</c:v>
                </c:pt>
                <c:pt idx="34">
                  <c:v>2.2022122295821486E-29</c:v>
                </c:pt>
                <c:pt idx="35">
                  <c:v>3.9063937283715368E-29</c:v>
                </c:pt>
                <c:pt idx="36">
                  <c:v>6.3754101279224149E-29</c:v>
                </c:pt>
                <c:pt idx="37">
                  <c:v>9.636354650085123E-29</c:v>
                </c:pt>
                <c:pt idx="38">
                  <c:v>1.3618365428932958E-28</c:v>
                </c:pt>
                <c:pt idx="39">
                  <c:v>1.823577492047282E-28</c:v>
                </c:pt>
                <c:pt idx="40">
                  <c:v>2.3541084662636566E-28</c:v>
                </c:pt>
                <c:pt idx="41">
                  <c:v>2.9881516836531346E-28</c:v>
                </c:pt>
                <c:pt idx="42">
                  <c:v>3.7968023745918102E-28</c:v>
                </c:pt>
                <c:pt idx="43">
                  <c:v>4.8787058371515987E-28</c:v>
                </c:pt>
                <c:pt idx="44">
                  <c:v>6.3338245740051806E-28</c:v>
                </c:pt>
                <c:pt idx="45">
                  <c:v>8.2242617226998522E-28</c:v>
                </c:pt>
                <c:pt idx="46">
                  <c:v>1.0533291253913487E-27</c:v>
                </c:pt>
                <c:pt idx="47">
                  <c:v>1.3140751603340948E-27</c:v>
                </c:pt>
                <c:pt idx="48">
                  <c:v>1.5835292419194794E-27</c:v>
                </c:pt>
                <c:pt idx="49">
                  <c:v>1.8372465984473412E-27</c:v>
                </c:pt>
                <c:pt idx="50">
                  <c:v>2.0560055382599351E-27</c:v>
                </c:pt>
                <c:pt idx="51">
                  <c:v>2.2324118114660903E-27</c:v>
                </c:pt>
                <c:pt idx="52">
                  <c:v>2.3708126557710189E-27</c:v>
                </c:pt>
                <c:pt idx="53">
                  <c:v>2.47959583509468E-27</c:v>
                </c:pt>
                <c:pt idx="54">
                  <c:v>2.5605620226831422E-27</c:v>
                </c:pt>
                <c:pt idx="55">
                  <c:v>2.6030175344671208E-27</c:v>
                </c:pt>
                <c:pt idx="56">
                  <c:v>2.5876150947574461E-27</c:v>
                </c:pt>
                <c:pt idx="57">
                  <c:v>2.4982505803256931E-27</c:v>
                </c:pt>
                <c:pt idx="58">
                  <c:v>2.3345152337255124E-27</c:v>
                </c:pt>
                <c:pt idx="59">
                  <c:v>2.1167316928187065E-27</c:v>
                </c:pt>
                <c:pt idx="60">
                  <c:v>1.8805474351557684E-27</c:v>
                </c:pt>
                <c:pt idx="61">
                  <c:v>1.664303745797783E-27</c:v>
                </c:pt>
                <c:pt idx="62">
                  <c:v>1.4955654897255942E-27</c:v>
                </c:pt>
                <c:pt idx="63">
                  <c:v>1.3826897773522637E-27</c:v>
                </c:pt>
                <c:pt idx="64">
                  <c:v>1.4281547080113799E-27</c:v>
                </c:pt>
                <c:pt idx="65">
                  <c:v>2.5736861967948171E-26</c:v>
                </c:pt>
                <c:pt idx="66">
                  <c:v>3.6369371276356353E-24</c:v>
                </c:pt>
                <c:pt idx="67">
                  <c:v>3.8244116786225238E-22</c:v>
                </c:pt>
                <c:pt idx="68">
                  <c:v>2.8494209623932336E-20</c:v>
                </c:pt>
                <c:pt idx="69">
                  <c:v>1.5037457841500566E-18</c:v>
                </c:pt>
                <c:pt idx="70">
                  <c:v>5.6210454531543392E-17</c:v>
                </c:pt>
                <c:pt idx="71">
                  <c:v>1.488282172661054E-15</c:v>
                </c:pt>
                <c:pt idx="72">
                  <c:v>2.7911362500619384E-14</c:v>
                </c:pt>
                <c:pt idx="73">
                  <c:v>3.7077538579396556E-13</c:v>
                </c:pt>
                <c:pt idx="74">
                  <c:v>3.4889556804717897E-12</c:v>
                </c:pt>
                <c:pt idx="75">
                  <c:v>2.3259464831770974E-11</c:v>
                </c:pt>
                <c:pt idx="76">
                  <c:v>1.099078591735585E-10</c:v>
                </c:pt>
                <c:pt idx="77">
                  <c:v>3.6866188137347917E-10</c:v>
                </c:pt>
                <c:pt idx="78">
                  <c:v>8.8190194298040979E-10</c:v>
                </c:pt>
                <c:pt idx="79">
                  <c:v>1.5262691752554775E-9</c:v>
                </c:pt>
                <c:pt idx="80">
                  <c:v>1.9928355281115629E-9</c:v>
                </c:pt>
                <c:pt idx="81">
                  <c:v>2.183003787446769E-9</c:v>
                </c:pt>
                <c:pt idx="82">
                  <c:v>2.427731131325481E-9</c:v>
                </c:pt>
                <c:pt idx="83">
                  <c:v>3.2624438377594195E-9</c:v>
                </c:pt>
                <c:pt idx="84">
                  <c:v>5.2961116888386046E-9</c:v>
                </c:pt>
                <c:pt idx="85">
                  <c:v>8.7696683306190353E-9</c:v>
                </c:pt>
                <c:pt idx="86">
                  <c:v>1.2515260517421312E-8</c:v>
                </c:pt>
                <c:pt idx="87">
                  <c:v>1.4684332027299645E-8</c:v>
                </c:pt>
                <c:pt idx="88">
                  <c:v>1.5419959223724445E-8</c:v>
                </c:pt>
                <c:pt idx="89">
                  <c:v>1.6925222490286508E-8</c:v>
                </c:pt>
                <c:pt idx="90">
                  <c:v>2.1309243749054288E-8</c:v>
                </c:pt>
                <c:pt idx="91">
                  <c:v>3.036027580152108E-8</c:v>
                </c:pt>
                <c:pt idx="92">
                  <c:v>4.3346053185844227E-8</c:v>
                </c:pt>
                <c:pt idx="93">
                  <c:v>5.2712684126097903E-8</c:v>
                </c:pt>
                <c:pt idx="94">
                  <c:v>4.9837305835242268E-8</c:v>
                </c:pt>
                <c:pt idx="95">
                  <c:v>3.6642110645180165E-8</c:v>
                </c:pt>
                <c:pt idx="96">
                  <c:v>2.2784748784042079E-8</c:v>
                </c:pt>
                <c:pt idx="97">
                  <c:v>1.3444021083932383E-8</c:v>
                </c:pt>
                <c:pt idx="98">
                  <c:v>7.5495535429130678E-9</c:v>
                </c:pt>
                <c:pt idx="99">
                  <c:v>3.5849946637933148E-9</c:v>
                </c:pt>
                <c:pt idx="100">
                  <c:v>1.2984770616459372E-9</c:v>
                </c:pt>
                <c:pt idx="101">
                  <c:v>3.4187834152282804E-10</c:v>
                </c:pt>
                <c:pt idx="102">
                  <c:v>6.4302033298529513E-11</c:v>
                </c:pt>
                <c:pt idx="103">
                  <c:v>8.5898270640972481E-12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28-4E4D-A374-25E73A119BF1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NaiwnaGęstość!$X$5:$X$108</c:f>
              <c:numCache>
                <c:formatCode>General</c:formatCode>
                <c:ptCount val="104"/>
                <c:pt idx="0">
                  <c:v>1.7164289452691691E-51</c:v>
                </c:pt>
                <c:pt idx="1">
                  <c:v>3.936044418925329E-51</c:v>
                </c:pt>
                <c:pt idx="2">
                  <c:v>8.5947514239098007E-51</c:v>
                </c:pt>
                <c:pt idx="3">
                  <c:v>1.7877876104181707E-50</c:v>
                </c:pt>
                <c:pt idx="4">
                  <c:v>3.5442902453002213E-50</c:v>
                </c:pt>
                <c:pt idx="5">
                  <c:v>6.7043555454196056E-50</c:v>
                </c:pt>
                <c:pt idx="6">
                  <c:v>1.2211384601810397E-49</c:v>
                </c:pt>
                <c:pt idx="7">
                  <c:v>2.4122436925128694E-49</c:v>
                </c:pt>
                <c:pt idx="8">
                  <c:v>1.1376943984628331E-48</c:v>
                </c:pt>
                <c:pt idx="9">
                  <c:v>1.7919066079059188E-47</c:v>
                </c:pt>
                <c:pt idx="10">
                  <c:v>3.4544605128273918E-46</c:v>
                </c:pt>
                <c:pt idx="11">
                  <c:v>6.1980523732190603E-45</c:v>
                </c:pt>
                <c:pt idx="12">
                  <c:v>1.0103393226268156E-43</c:v>
                </c:pt>
                <c:pt idx="13">
                  <c:v>1.4935361245874707E-42</c:v>
                </c:pt>
                <c:pt idx="14">
                  <c:v>2.0018797099775856E-41</c:v>
                </c:pt>
                <c:pt idx="15">
                  <c:v>2.43293312570605E-40</c:v>
                </c:pt>
                <c:pt idx="16">
                  <c:v>2.6809825470952011E-39</c:v>
                </c:pt>
                <c:pt idx="17">
                  <c:v>2.6787511195481446E-38</c:v>
                </c:pt>
                <c:pt idx="18">
                  <c:v>2.4268863903967534E-37</c:v>
                </c:pt>
                <c:pt idx="19">
                  <c:v>1.9936594391081966E-36</c:v>
                </c:pt>
                <c:pt idx="20">
                  <c:v>1.4850631251869569E-35</c:v>
                </c:pt>
                <c:pt idx="21">
                  <c:v>1.0030955951967197E-34</c:v>
                </c:pt>
                <c:pt idx="22">
                  <c:v>6.1441037226078792E-34</c:v>
                </c:pt>
                <c:pt idx="23">
                  <c:v>3.4128315728873878E-33</c:v>
                </c:pt>
                <c:pt idx="24">
                  <c:v>1.7192572244226556E-32</c:v>
                </c:pt>
                <c:pt idx="25">
                  <c:v>7.8555695110919101E-32</c:v>
                </c:pt>
                <c:pt idx="26">
                  <c:v>3.2559862542665102E-31</c:v>
                </c:pt>
                <c:pt idx="27">
                  <c:v>1.2244338826434939E-30</c:v>
                </c:pt>
                <c:pt idx="28">
                  <c:v>4.17876092336934E-30</c:v>
                </c:pt>
                <c:pt idx="29">
                  <c:v>1.294718567499691E-29</c:v>
                </c:pt>
                <c:pt idx="30">
                  <c:v>3.6436668024266901E-29</c:v>
                </c:pt>
                <c:pt idx="31">
                  <c:v>9.3206876744410688E-29</c:v>
                </c:pt>
                <c:pt idx="32">
                  <c:v>2.1694264819066614E-28</c:v>
                </c:pt>
                <c:pt idx="33">
                  <c:v>4.6011066008632689E-28</c:v>
                </c:pt>
                <c:pt idx="34">
                  <c:v>8.9107431146718254E-28</c:v>
                </c:pt>
                <c:pt idx="35">
                  <c:v>1.58063199135392E-27</c:v>
                </c:pt>
                <c:pt idx="36">
                  <c:v>2.5796624474913952E-27</c:v>
                </c:pt>
                <c:pt idx="37">
                  <c:v>3.8991283262955267E-27</c:v>
                </c:pt>
                <c:pt idx="38">
                  <c:v>5.5103570105036737E-27</c:v>
                </c:pt>
                <c:pt idx="39">
                  <c:v>7.3786851072087757E-27</c:v>
                </c:pt>
                <c:pt idx="40">
                  <c:v>9.5253561510416792E-27</c:v>
                </c:pt>
                <c:pt idx="41">
                  <c:v>1.2090865577365074E-26</c:v>
                </c:pt>
                <c:pt idx="42">
                  <c:v>1.5362883814146749E-26</c:v>
                </c:pt>
                <c:pt idx="43">
                  <c:v>1.974055627470404E-26</c:v>
                </c:pt>
                <c:pt idx="44">
                  <c:v>2.5628358136520164E-26</c:v>
                </c:pt>
                <c:pt idx="45">
                  <c:v>3.3277575400946642E-26</c:v>
                </c:pt>
                <c:pt idx="46">
                  <c:v>4.2620530053750363E-26</c:v>
                </c:pt>
                <c:pt idx="47">
                  <c:v>5.3171016080180745E-26</c:v>
                </c:pt>
                <c:pt idx="48">
                  <c:v>6.4073853099947738E-26</c:v>
                </c:pt>
                <c:pt idx="49">
                  <c:v>7.4339939889332019E-26</c:v>
                </c:pt>
                <c:pt idx="50">
                  <c:v>8.3191515094133444E-26</c:v>
                </c:pt>
                <c:pt idx="51">
                  <c:v>9.0329387471923847E-26</c:v>
                </c:pt>
                <c:pt idx="52">
                  <c:v>9.5929457955089361E-26</c:v>
                </c:pt>
                <c:pt idx="53">
                  <c:v>1.0033111803639019E-25</c:v>
                </c:pt>
                <c:pt idx="54">
                  <c:v>1.0360722779948968E-25</c:v>
                </c:pt>
                <c:pt idx="55">
                  <c:v>1.0532509201905555E-25</c:v>
                </c:pt>
                <c:pt idx="56">
                  <c:v>1.0470186787313309E-25</c:v>
                </c:pt>
                <c:pt idx="57">
                  <c:v>1.0108593921297928E-25</c:v>
                </c:pt>
                <c:pt idx="58">
                  <c:v>9.446076661268543E-26</c:v>
                </c:pt>
                <c:pt idx="59">
                  <c:v>8.5648658671606716E-26</c:v>
                </c:pt>
                <c:pt idx="60">
                  <c:v>7.6092008229511907E-26</c:v>
                </c:pt>
                <c:pt idx="61">
                  <c:v>6.7342206906313876E-26</c:v>
                </c:pt>
                <c:pt idx="62">
                  <c:v>6.0514651334638341E-26</c:v>
                </c:pt>
                <c:pt idx="63">
                  <c:v>5.5967526865901846E-26</c:v>
                </c:pt>
                <c:pt idx="64">
                  <c:v>6.375994934725404E-26</c:v>
                </c:pt>
                <c:pt idx="65">
                  <c:v>2.2936863695853222E-24</c:v>
                </c:pt>
                <c:pt idx="66">
                  <c:v>3.3313488855644885E-22</c:v>
                </c:pt>
                <c:pt idx="67">
                  <c:v>3.5037005713854266E-20</c:v>
                </c:pt>
                <c:pt idx="68">
                  <c:v>2.6104755581484258E-18</c:v>
                </c:pt>
                <c:pt idx="69">
                  <c:v>1.3776454008408246E-16</c:v>
                </c:pt>
                <c:pt idx="70">
                  <c:v>5.1496785561100992E-15</c:v>
                </c:pt>
                <c:pt idx="71">
                  <c:v>1.3634785297335697E-13</c:v>
                </c:pt>
                <c:pt idx="72">
                  <c:v>2.5570785032763519E-12</c:v>
                </c:pt>
                <c:pt idx="73">
                  <c:v>3.3968308373935887E-11</c:v>
                </c:pt>
                <c:pt idx="74">
                  <c:v>3.1963805311261281E-10</c:v>
                </c:pt>
                <c:pt idx="75">
                  <c:v>2.1308983937174074E-9</c:v>
                </c:pt>
                <c:pt idx="76">
                  <c:v>1.0069125934916134E-8</c:v>
                </c:pt>
                <c:pt idx="77">
                  <c:v>3.3774681254511481E-8</c:v>
                </c:pt>
                <c:pt idx="78">
                  <c:v>8.0794783857033836E-8</c:v>
                </c:pt>
                <c:pt idx="79">
                  <c:v>1.3982800367314631E-7</c:v>
                </c:pt>
                <c:pt idx="80">
                  <c:v>1.8257212951844943E-7</c:v>
                </c:pt>
                <c:pt idx="81">
                  <c:v>1.9999425170760269E-7</c:v>
                </c:pt>
                <c:pt idx="82">
                  <c:v>2.2241476343225567E-7</c:v>
                </c:pt>
                <c:pt idx="83">
                  <c:v>2.9888634084043457E-7</c:v>
                </c:pt>
                <c:pt idx="84">
                  <c:v>4.8519929294671105E-7</c:v>
                </c:pt>
                <c:pt idx="85">
                  <c:v>8.0342657470024314E-7</c:v>
                </c:pt>
                <c:pt idx="86">
                  <c:v>1.1465761885071457E-6</c:v>
                </c:pt>
                <c:pt idx="87">
                  <c:v>1.3452940450738396E-6</c:v>
                </c:pt>
                <c:pt idx="88">
                  <c:v>1.412687977934035E-6</c:v>
                </c:pt>
                <c:pt idx="89">
                  <c:v>1.5505915410657881E-6</c:v>
                </c:pt>
                <c:pt idx="90">
                  <c:v>1.9522303545938954E-6</c:v>
                </c:pt>
                <c:pt idx="91">
                  <c:v>2.7814338552583495E-6</c:v>
                </c:pt>
                <c:pt idx="92">
                  <c:v>3.971116092986737E-6</c:v>
                </c:pt>
                <c:pt idx="93">
                  <c:v>4.8292329486190785E-6</c:v>
                </c:pt>
                <c:pt idx="94">
                  <c:v>4.5658073270224502E-6</c:v>
                </c:pt>
                <c:pt idx="95">
                  <c:v>3.3569394343749774E-6</c:v>
                </c:pt>
                <c:pt idx="96">
                  <c:v>2.0874076396999016E-6</c:v>
                </c:pt>
                <c:pt idx="97">
                  <c:v>1.231663889950009E-6</c:v>
                </c:pt>
                <c:pt idx="98">
                  <c:v>6.9164667520220538E-7</c:v>
                </c:pt>
                <c:pt idx="99">
                  <c:v>3.2843659240722943E-7</c:v>
                </c:pt>
                <c:pt idx="100">
                  <c:v>1.1895900034470196E-7</c:v>
                </c:pt>
                <c:pt idx="101">
                  <c:v>3.1320927375881372E-8</c:v>
                </c:pt>
                <c:pt idx="102">
                  <c:v>5.8909824649721749E-9</c:v>
                </c:pt>
                <c:pt idx="103">
                  <c:v>7.8695055219812931E-10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28-4E4D-A374-25E73A119BF1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NaiwnaGęstość!$Y$5:$Y$108</c:f>
              <c:numCache>
                <c:formatCode>General</c:formatCode>
                <c:ptCount val="104"/>
                <c:pt idx="0">
                  <c:v>1.2274890374884947E-49</c:v>
                </c:pt>
                <c:pt idx="1">
                  <c:v>2.8148274801177E-49</c:v>
                </c:pt>
                <c:pt idx="2">
                  <c:v>6.1464604252387432E-49</c:v>
                </c:pt>
                <c:pt idx="3">
                  <c:v>1.278519252625523E-48</c:v>
                </c:pt>
                <c:pt idx="4">
                  <c:v>2.5346213390254587E-48</c:v>
                </c:pt>
                <c:pt idx="5">
                  <c:v>4.7930526357242531E-48</c:v>
                </c:pt>
                <c:pt idx="6">
                  <c:v>8.6886106391560675E-48</c:v>
                </c:pt>
                <c:pt idx="7">
                  <c:v>1.607358533195889E-47</c:v>
                </c:pt>
                <c:pt idx="8">
                  <c:v>5.29599424434486E-47</c:v>
                </c:pt>
                <c:pt idx="9">
                  <c:v>6.6026858313034834E-46</c:v>
                </c:pt>
                <c:pt idx="10">
                  <c:v>1.2384949409314901E-44</c:v>
                </c:pt>
                <c:pt idx="11">
                  <c:v>2.2173023324982504E-43</c:v>
                </c:pt>
                <c:pt idx="12">
                  <c:v>3.6137721455856627E-42</c:v>
                </c:pt>
                <c:pt idx="13">
                  <c:v>5.3419859980844123E-41</c:v>
                </c:pt>
                <c:pt idx="14">
                  <c:v>7.1601876258078952E-40</c:v>
                </c:pt>
                <c:pt idx="15">
                  <c:v>8.7019491189616847E-39</c:v>
                </c:pt>
                <c:pt idx="16">
                  <c:v>9.5891552265238737E-38</c:v>
                </c:pt>
                <c:pt idx="17">
                  <c:v>9.5811739945944329E-37</c:v>
                </c:pt>
                <c:pt idx="18">
                  <c:v>8.6803214369944507E-36</c:v>
                </c:pt>
                <c:pt idx="19">
                  <c:v>7.1307848754048049E-35</c:v>
                </c:pt>
                <c:pt idx="20">
                  <c:v>5.3116723269490757E-34</c:v>
                </c:pt>
                <c:pt idx="21">
                  <c:v>3.587803793604891E-33</c:v>
                </c:pt>
                <c:pt idx="22">
                  <c:v>2.1975810431058477E-32</c:v>
                </c:pt>
                <c:pt idx="23">
                  <c:v>1.2206782805917476E-31</c:v>
                </c:pt>
                <c:pt idx="24">
                  <c:v>6.1493217809973409E-31</c:v>
                </c:pt>
                <c:pt idx="25">
                  <c:v>2.8097264336299588E-30</c:v>
                </c:pt>
                <c:pt idx="26">
                  <c:v>1.1645789185915808E-29</c:v>
                </c:pt>
                <c:pt idx="27">
                  <c:v>4.3794714583556509E-29</c:v>
                </c:pt>
                <c:pt idx="28">
                  <c:v>1.4946306578577733E-28</c:v>
                </c:pt>
                <c:pt idx="29">
                  <c:v>4.6308609173133613E-28</c:v>
                </c:pt>
                <c:pt idx="30">
                  <c:v>1.3032418484315843E-27</c:v>
                </c:pt>
                <c:pt idx="31">
                  <c:v>3.3337598886380226E-27</c:v>
                </c:pt>
                <c:pt idx="32">
                  <c:v>7.7594564256904246E-27</c:v>
                </c:pt>
                <c:pt idx="33">
                  <c:v>1.6456923743263863E-26</c:v>
                </c:pt>
                <c:pt idx="34">
                  <c:v>3.1871337192329819E-26</c:v>
                </c:pt>
                <c:pt idx="35">
                  <c:v>5.6534965182059188E-26</c:v>
                </c:pt>
                <c:pt idx="36">
                  <c:v>9.2267604001528964E-26</c:v>
                </c:pt>
                <c:pt idx="37">
                  <c:v>1.3946135809808507E-25</c:v>
                </c:pt>
                <c:pt idx="38">
                  <c:v>1.9709068488655347E-25</c:v>
                </c:pt>
                <c:pt idx="39">
                  <c:v>2.6391576781139679E-25</c:v>
                </c:pt>
                <c:pt idx="40">
                  <c:v>3.406964311057497E-25</c:v>
                </c:pt>
                <c:pt idx="41">
                  <c:v>4.32457819515458E-25</c:v>
                </c:pt>
                <c:pt idx="42">
                  <c:v>5.4948913237219929E-25</c:v>
                </c:pt>
                <c:pt idx="43">
                  <c:v>7.0606673012414175E-25</c:v>
                </c:pt>
                <c:pt idx="44">
                  <c:v>9.1665760458285419E-25</c:v>
                </c:pt>
                <c:pt idx="45">
                  <c:v>1.1902495817665725E-24</c:v>
                </c:pt>
                <c:pt idx="46">
                  <c:v>1.524422000699694E-24</c:v>
                </c:pt>
                <c:pt idx="47">
                  <c:v>1.9017845768216191E-24</c:v>
                </c:pt>
                <c:pt idx="48">
                  <c:v>2.2917498025476979E-24</c:v>
                </c:pt>
                <c:pt idx="49">
                  <c:v>2.6589401810599611E-24</c:v>
                </c:pt>
                <c:pt idx="50">
                  <c:v>2.9755372756064151E-24</c:v>
                </c:pt>
                <c:pt idx="51">
                  <c:v>3.2308398182347619E-24</c:v>
                </c:pt>
                <c:pt idx="52">
                  <c:v>3.4311393133194149E-24</c:v>
                </c:pt>
                <c:pt idx="53">
                  <c:v>3.5885748839018163E-24</c:v>
                </c:pt>
                <c:pt idx="54">
                  <c:v>3.7057525396765703E-24</c:v>
                </c:pt>
                <c:pt idx="55">
                  <c:v>3.767195933440525E-24</c:v>
                </c:pt>
                <c:pt idx="56">
                  <c:v>3.7449048779746893E-24</c:v>
                </c:pt>
                <c:pt idx="57">
                  <c:v>3.6155728120537024E-24</c:v>
                </c:pt>
                <c:pt idx="58">
                  <c:v>3.3786081647913664E-24</c:v>
                </c:pt>
                <c:pt idx="59">
                  <c:v>3.0634227083697887E-24</c:v>
                </c:pt>
                <c:pt idx="60">
                  <c:v>2.7216069644421178E-24</c:v>
                </c:pt>
                <c:pt idx="61">
                  <c:v>2.4086500487846541E-24</c:v>
                </c:pt>
                <c:pt idx="62">
                  <c:v>2.1644468374776763E-24</c:v>
                </c:pt>
                <c:pt idx="63">
                  <c:v>2.0018634399021571E-24</c:v>
                </c:pt>
                <c:pt idx="64">
                  <c:v>2.2968544855666933E-24</c:v>
                </c:pt>
                <c:pt idx="65">
                  <c:v>8.5463242232230691E-23</c:v>
                </c:pt>
                <c:pt idx="66">
                  <c:v>1.2423860612656042E-20</c:v>
                </c:pt>
                <c:pt idx="67">
                  <c:v>1.306670129356596E-18</c:v>
                </c:pt>
                <c:pt idx="68">
                  <c:v>9.735508316599406E-17</c:v>
                </c:pt>
                <c:pt idx="69">
                  <c:v>5.1377911671870104E-15</c:v>
                </c:pt>
                <c:pt idx="70">
                  <c:v>1.9205212737262041E-13</c:v>
                </c:pt>
                <c:pt idx="71">
                  <c:v>5.0849572339145673E-12</c:v>
                </c:pt>
                <c:pt idx="72">
                  <c:v>9.5363693298957575E-11</c:v>
                </c:pt>
                <c:pt idx="73">
                  <c:v>1.2668141934265627E-9</c:v>
                </c:pt>
                <c:pt idx="74">
                  <c:v>1.1920582502512573E-8</c:v>
                </c:pt>
                <c:pt idx="75">
                  <c:v>7.9469731026770357E-8</c:v>
                </c:pt>
                <c:pt idx="76">
                  <c:v>3.7551801253484885E-7</c:v>
                </c:pt>
                <c:pt idx="77">
                  <c:v>1.2595930630594307E-6</c:v>
                </c:pt>
                <c:pt idx="78">
                  <c:v>3.0131609092272956E-6</c:v>
                </c:pt>
                <c:pt idx="79">
                  <c:v>5.2147459844529985E-6</c:v>
                </c:pt>
                <c:pt idx="80">
                  <c:v>6.8088455407320494E-6</c:v>
                </c:pt>
                <c:pt idx="81">
                  <c:v>7.4585862174201507E-6</c:v>
                </c:pt>
                <c:pt idx="82">
                  <c:v>8.2947368482967413E-6</c:v>
                </c:pt>
                <c:pt idx="83">
                  <c:v>1.114666808337503E-5</c:v>
                </c:pt>
                <c:pt idx="84">
                  <c:v>1.8095023872812495E-5</c:v>
                </c:pt>
                <c:pt idx="85">
                  <c:v>2.9962993064067727E-5</c:v>
                </c:pt>
                <c:pt idx="86">
                  <c:v>4.2760415780972325E-5</c:v>
                </c:pt>
                <c:pt idx="87">
                  <c:v>5.0171400114214917E-5</c:v>
                </c:pt>
                <c:pt idx="88">
                  <c:v>5.2684789646548574E-5</c:v>
                </c:pt>
                <c:pt idx="89">
                  <c:v>5.7827765539732829E-5</c:v>
                </c:pt>
                <c:pt idx="90">
                  <c:v>7.2806484644827207E-5</c:v>
                </c:pt>
                <c:pt idx="91">
                  <c:v>1.037308024623944E-4</c:v>
                </c:pt>
                <c:pt idx="92">
                  <c:v>1.4809881537110342E-4</c:v>
                </c:pt>
                <c:pt idx="93">
                  <c:v>1.8010142793475236E-4</c:v>
                </c:pt>
                <c:pt idx="94">
                  <c:v>1.7027723202021921E-4</c:v>
                </c:pt>
                <c:pt idx="95">
                  <c:v>1.2519370923995209E-4</c:v>
                </c:pt>
                <c:pt idx="96">
                  <c:v>7.7847786717218743E-5</c:v>
                </c:pt>
                <c:pt idx="97">
                  <c:v>4.5933676771400967E-5</c:v>
                </c:pt>
                <c:pt idx="98">
                  <c:v>2.5794273160059704E-5</c:v>
                </c:pt>
                <c:pt idx="99">
                  <c:v>1.2248715253108838E-5</c:v>
                </c:pt>
                <c:pt idx="100">
                  <c:v>4.4364573123145626E-6</c:v>
                </c:pt>
                <c:pt idx="101">
                  <c:v>1.1680827586190354E-6</c:v>
                </c:pt>
                <c:pt idx="102">
                  <c:v>2.1969831755236869E-7</c:v>
                </c:pt>
                <c:pt idx="103">
                  <c:v>2.9348536231919194E-8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28-4E4D-A374-25E73A119BF1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NaiwnaGęstość!$Z$5:$Z$108</c:f>
              <c:numCache>
                <c:formatCode>General</c:formatCode>
                <c:ptCount val="104"/>
                <c:pt idx="0">
                  <c:v>8.0273831374496242E-48</c:v>
                </c:pt>
                <c:pt idx="1">
                  <c:v>1.8408065512975548E-47</c:v>
                </c:pt>
                <c:pt idx="2">
                  <c:v>4.0195871321742453E-47</c:v>
                </c:pt>
                <c:pt idx="3">
                  <c:v>8.3610999035781404E-47</c:v>
                </c:pt>
                <c:pt idx="4">
                  <c:v>1.6575450068021569E-46</c:v>
                </c:pt>
                <c:pt idx="5">
                  <c:v>3.1339923706245665E-46</c:v>
                </c:pt>
                <c:pt idx="6">
                  <c:v>5.6671142552447747E-46</c:v>
                </c:pt>
                <c:pt idx="7">
                  <c:v>1.0113666240144579E-45</c:v>
                </c:pt>
                <c:pt idx="8">
                  <c:v>2.5034650340315453E-45</c:v>
                </c:pt>
                <c:pt idx="9">
                  <c:v>2.2183358054722751E-44</c:v>
                </c:pt>
                <c:pt idx="10">
                  <c:v>3.9355068833969791E-43</c:v>
                </c:pt>
                <c:pt idx="11">
                  <c:v>7.0132764366032052E-42</c:v>
                </c:pt>
                <c:pt idx="12">
                  <c:v>1.1425996059405851E-40</c:v>
                </c:pt>
                <c:pt idx="13">
                  <c:v>1.6889708907535789E-39</c:v>
                </c:pt>
                <c:pt idx="14">
                  <c:v>2.2638234959837863E-38</c:v>
                </c:pt>
                <c:pt idx="15">
                  <c:v>2.7512786519771963E-37</c:v>
                </c:pt>
                <c:pt idx="16">
                  <c:v>3.0317848268199158E-36</c:v>
                </c:pt>
                <c:pt idx="17">
                  <c:v>3.0292614063449108E-35</c:v>
                </c:pt>
                <c:pt idx="18">
                  <c:v>2.7444405798952714E-34</c:v>
                </c:pt>
                <c:pt idx="19">
                  <c:v>2.2545265771168408E-33</c:v>
                </c:pt>
                <c:pt idx="20">
                  <c:v>1.679381251742478E-32</c:v>
                </c:pt>
                <c:pt idx="21">
                  <c:v>1.1343490439602352E-31</c:v>
                </c:pt>
                <c:pt idx="22">
                  <c:v>6.9480498340383649E-31</c:v>
                </c:pt>
                <c:pt idx="23">
                  <c:v>3.8593951069457759E-30</c:v>
                </c:pt>
                <c:pt idx="24">
                  <c:v>1.9442192730021572E-29</c:v>
                </c:pt>
                <c:pt idx="25">
                  <c:v>8.8834581742134697E-29</c:v>
                </c:pt>
                <c:pt idx="26">
                  <c:v>3.6820268301044005E-28</c:v>
                </c:pt>
                <c:pt idx="27">
                  <c:v>1.3846490910932526E-27</c:v>
                </c:pt>
                <c:pt idx="28">
                  <c:v>4.7255450836981146E-27</c:v>
                </c:pt>
                <c:pt idx="29">
                  <c:v>1.4641304141629804E-26</c:v>
                </c:pt>
                <c:pt idx="30">
                  <c:v>4.120434755802763E-26</c:v>
                </c:pt>
                <c:pt idx="31">
                  <c:v>1.0540284697868478E-25</c:v>
                </c:pt>
                <c:pt idx="32">
                  <c:v>2.4532924553512251E-25</c:v>
                </c:pt>
                <c:pt idx="33">
                  <c:v>5.2031540152694763E-25</c:v>
                </c:pt>
                <c:pt idx="34">
                  <c:v>1.0076699550373521E-24</c:v>
                </c:pt>
                <c:pt idx="35">
                  <c:v>1.7874551506660337E-24</c:v>
                </c:pt>
                <c:pt idx="36">
                  <c:v>2.9172071386449518E-24</c:v>
                </c:pt>
                <c:pt idx="37">
                  <c:v>4.4093230100795947E-24</c:v>
                </c:pt>
                <c:pt idx="38">
                  <c:v>6.2313783817551935E-24</c:v>
                </c:pt>
                <c:pt idx="39">
                  <c:v>8.3441742114340845E-24</c:v>
                </c:pt>
                <c:pt idx="40">
                  <c:v>1.0771733716159807E-23</c:v>
                </c:pt>
                <c:pt idx="41">
                  <c:v>1.3672935933531112E-23</c:v>
                </c:pt>
                <c:pt idx="42">
                  <c:v>1.7373092505333053E-23</c:v>
                </c:pt>
                <c:pt idx="43">
                  <c:v>2.2323576381627004E-23</c:v>
                </c:pt>
                <c:pt idx="44">
                  <c:v>2.8981787667727581E-23</c:v>
                </c:pt>
                <c:pt idx="45">
                  <c:v>3.7631892734974191E-23</c:v>
                </c:pt>
                <c:pt idx="46">
                  <c:v>4.81973580095878E-23</c:v>
                </c:pt>
                <c:pt idx="47">
                  <c:v>6.0128358200099814E-23</c:v>
                </c:pt>
                <c:pt idx="48">
                  <c:v>7.2457813945938369E-23</c:v>
                </c:pt>
                <c:pt idx="49">
                  <c:v>8.4067201715669182E-23</c:v>
                </c:pt>
                <c:pt idx="50">
                  <c:v>9.4076991330124336E-23</c:v>
                </c:pt>
                <c:pt idx="51">
                  <c:v>1.0214884285297605E-22</c:v>
                </c:pt>
                <c:pt idx="52">
                  <c:v>1.0848167357130972E-22</c:v>
                </c:pt>
                <c:pt idx="53">
                  <c:v>1.1345928381002377E-22</c:v>
                </c:pt>
                <c:pt idx="54">
                  <c:v>1.1716406727779571E-22</c:v>
                </c:pt>
                <c:pt idx="55">
                  <c:v>1.1910671127349122E-22</c:v>
                </c:pt>
                <c:pt idx="56">
                  <c:v>1.1840193924828734E-22</c:v>
                </c:pt>
                <c:pt idx="57">
                  <c:v>1.143128721261569E-22</c:v>
                </c:pt>
                <c:pt idx="58">
                  <c:v>1.0682080632385523E-22</c:v>
                </c:pt>
                <c:pt idx="59">
                  <c:v>9.6855648201239767E-23</c:v>
                </c:pt>
                <c:pt idx="60">
                  <c:v>8.6048525386168366E-23</c:v>
                </c:pt>
                <c:pt idx="61">
                  <c:v>7.6153826520472871E-23</c:v>
                </c:pt>
                <c:pt idx="62">
                  <c:v>6.8432847954775847E-23</c:v>
                </c:pt>
                <c:pt idx="63">
                  <c:v>6.327056708842743E-23</c:v>
                </c:pt>
                <c:pt idx="64">
                  <c:v>6.6117421685646712E-23</c:v>
                </c:pt>
                <c:pt idx="65">
                  <c:v>1.3388982261220063E-21</c:v>
                </c:pt>
                <c:pt idx="66">
                  <c:v>1.9036288053694414E-19</c:v>
                </c:pt>
                <c:pt idx="67">
                  <c:v>2.001836912633971E-17</c:v>
                </c:pt>
                <c:pt idx="68">
                  <c:v>1.4914916381805842E-15</c:v>
                </c:pt>
                <c:pt idx="69">
                  <c:v>7.8711580403778536E-14</c:v>
                </c:pt>
                <c:pt idx="70">
                  <c:v>2.942261756134391E-12</c:v>
                </c:pt>
                <c:pt idx="71">
                  <c:v>7.7902158156449803E-11</c:v>
                </c:pt>
                <c:pt idx="72">
                  <c:v>1.4609832838335762E-9</c:v>
                </c:pt>
                <c:pt idx="73">
                  <c:v>1.940774624276793E-8</c:v>
                </c:pt>
                <c:pt idx="74">
                  <c:v>1.8262476176476068E-7</c:v>
                </c:pt>
                <c:pt idx="75">
                  <c:v>1.2174858647397913E-6</c:v>
                </c:pt>
                <c:pt idx="76">
                  <c:v>5.752981245933107E-6</c:v>
                </c:pt>
                <c:pt idx="77">
                  <c:v>1.9297117654551552E-5</c:v>
                </c:pt>
                <c:pt idx="78">
                  <c:v>4.6161988568137426E-5</c:v>
                </c:pt>
                <c:pt idx="79">
                  <c:v>7.9890537469434934E-5</c:v>
                </c:pt>
                <c:pt idx="80">
                  <c:v>1.0431233494731916E-4</c:v>
                </c:pt>
                <c:pt idx="81">
                  <c:v>1.1426644048402665E-4</c:v>
                </c:pt>
                <c:pt idx="82">
                  <c:v>1.2707636900313266E-4</c:v>
                </c:pt>
                <c:pt idx="83">
                  <c:v>1.7076829951624917E-4</c:v>
                </c:pt>
                <c:pt idx="84">
                  <c:v>2.7721794830105895E-4</c:v>
                </c:pt>
                <c:pt idx="85">
                  <c:v>4.5903666779129141E-4</c:v>
                </c:pt>
                <c:pt idx="86">
                  <c:v>6.5509472740247468E-4</c:v>
                </c:pt>
                <c:pt idx="87">
                  <c:v>7.6863190127929922E-4</c:v>
                </c:pt>
                <c:pt idx="88">
                  <c:v>8.071373320724445E-4</c:v>
                </c:pt>
                <c:pt idx="89">
                  <c:v>8.8592834308694093E-4</c:v>
                </c:pt>
                <c:pt idx="90">
                  <c:v>1.1154041264668684E-3</c:v>
                </c:pt>
                <c:pt idx="91">
                  <c:v>1.5891684054339899E-3</c:v>
                </c:pt>
                <c:pt idx="92">
                  <c:v>2.2688917147371179E-3</c:v>
                </c:pt>
                <c:pt idx="93">
                  <c:v>2.7591755992750133E-3</c:v>
                </c:pt>
                <c:pt idx="94">
                  <c:v>2.608667732898199E-3</c:v>
                </c:pt>
                <c:pt idx="95">
                  <c:v>1.9179827260600642E-3</c:v>
                </c:pt>
                <c:pt idx="96">
                  <c:v>1.1926374822832176E-3</c:v>
                </c:pt>
                <c:pt idx="97">
                  <c:v>7.0370946852542653E-4</c:v>
                </c:pt>
                <c:pt idx="98">
                  <c:v>3.9517137604292129E-4</c:v>
                </c:pt>
                <c:pt idx="99">
                  <c:v>1.8765179508232108E-4</c:v>
                </c:pt>
                <c:pt idx="100">
                  <c:v>6.7967061137339991E-5</c:v>
                </c:pt>
                <c:pt idx="101">
                  <c:v>1.7895168752815802E-5</c:v>
                </c:pt>
                <c:pt idx="102">
                  <c:v>3.3658047242794754E-6</c:v>
                </c:pt>
                <c:pt idx="103">
                  <c:v>4.4962311500876562E-7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128-4E4D-A374-25E73A119BF1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NaiwnaGęstość!$AA$5:$AA$108</c:f>
              <c:numCache>
                <c:formatCode>General</c:formatCode>
                <c:ptCount val="104"/>
                <c:pt idx="0">
                  <c:v>4.8005935954187069E-46</c:v>
                </c:pt>
                <c:pt idx="1">
                  <c:v>1.1008524177017298E-45</c:v>
                </c:pt>
                <c:pt idx="2">
                  <c:v>2.4038224717651105E-45</c:v>
                </c:pt>
                <c:pt idx="3">
                  <c:v>5.0001639886287135E-45</c:v>
                </c:pt>
                <c:pt idx="4">
                  <c:v>9.9125233077794111E-45</c:v>
                </c:pt>
                <c:pt idx="5">
                  <c:v>1.8740607533701993E-44</c:v>
                </c:pt>
                <c:pt idx="6">
                  <c:v>3.384629034192181E-44</c:v>
                </c:pt>
                <c:pt idx="7">
                  <c:v>5.929601920731957E-44</c:v>
                </c:pt>
                <c:pt idx="8">
                  <c:v>1.2109336509515855E-43</c:v>
                </c:pt>
                <c:pt idx="9">
                  <c:v>7.0062906597591655E-43</c:v>
                </c:pt>
                <c:pt idx="10">
                  <c:v>1.1120920291767205E-41</c:v>
                </c:pt>
                <c:pt idx="11">
                  <c:v>1.9618386694248382E-40</c:v>
                </c:pt>
                <c:pt idx="12">
                  <c:v>3.1935782287026814E-39</c:v>
                </c:pt>
                <c:pt idx="13">
                  <c:v>4.7203588732465246E-38</c:v>
                </c:pt>
                <c:pt idx="14">
                  <c:v>6.3269243038685003E-37</c:v>
                </c:pt>
                <c:pt idx="15">
                  <c:v>7.6892571541551023E-36</c:v>
                </c:pt>
                <c:pt idx="16">
                  <c:v>8.4732135968150763E-35</c:v>
                </c:pt>
                <c:pt idx="17">
                  <c:v>8.4661610971191954E-34</c:v>
                </c:pt>
                <c:pt idx="18">
                  <c:v>7.6701456014297687E-33</c:v>
                </c:pt>
                <c:pt idx="19">
                  <c:v>6.3009369682180449E-32</c:v>
                </c:pt>
                <c:pt idx="20">
                  <c:v>4.6935243612051109E-31</c:v>
                </c:pt>
                <c:pt idx="21">
                  <c:v>3.1702717095367784E-30</c:v>
                </c:pt>
                <c:pt idx="22">
                  <c:v>1.941836680920954E-29</c:v>
                </c:pt>
                <c:pt idx="23">
                  <c:v>1.0786213633815935E-28</c:v>
                </c:pt>
                <c:pt idx="24">
                  <c:v>5.4336920290545359E-28</c:v>
                </c:pt>
                <c:pt idx="25">
                  <c:v>2.4827434097557901E-27</c:v>
                </c:pt>
                <c:pt idx="26">
                  <c:v>1.0290505867997827E-26</c:v>
                </c:pt>
                <c:pt idx="27">
                  <c:v>3.8698087370017789E-26</c:v>
                </c:pt>
                <c:pt idx="28">
                  <c:v>1.3206924245010164E-25</c:v>
                </c:pt>
                <c:pt idx="29">
                  <c:v>4.0919426483459483E-25</c:v>
                </c:pt>
                <c:pt idx="30">
                  <c:v>1.151576563392078E-24</c:v>
                </c:pt>
                <c:pt idx="31">
                  <c:v>2.9457922643846632E-24</c:v>
                </c:pt>
                <c:pt idx="32">
                  <c:v>6.8564466182857124E-24</c:v>
                </c:pt>
                <c:pt idx="33">
                  <c:v>1.4541742740290902E-23</c:v>
                </c:pt>
                <c:pt idx="34">
                  <c:v>2.8162297733780941E-23</c:v>
                </c:pt>
                <c:pt idx="35">
                  <c:v>4.9955686271276347E-23</c:v>
                </c:pt>
                <c:pt idx="36">
                  <c:v>8.1529925129686926E-23</c:v>
                </c:pt>
                <c:pt idx="37">
                  <c:v>1.2323148744637303E-22</c:v>
                </c:pt>
                <c:pt idx="38">
                  <c:v>1.741541785597158E-22</c:v>
                </c:pt>
                <c:pt idx="39">
                  <c:v>2.3320246605569662E-22</c:v>
                </c:pt>
                <c:pt idx="40">
                  <c:v>3.0104774932210249E-22</c:v>
                </c:pt>
                <c:pt idx="41">
                  <c:v>3.8213036989947941E-22</c:v>
                </c:pt>
                <c:pt idx="42">
                  <c:v>4.8554211748188083E-22</c:v>
                </c:pt>
                <c:pt idx="43">
                  <c:v>6.2389793542953845E-22</c:v>
                </c:pt>
                <c:pt idx="44">
                  <c:v>8.0998121366584774E-22</c:v>
                </c:pt>
                <c:pt idx="45">
                  <c:v>1.0517338164049623E-21</c:v>
                </c:pt>
                <c:pt idx="46">
                  <c:v>1.3470167880487507E-21</c:v>
                </c:pt>
                <c:pt idx="47">
                  <c:v>1.680463645273487E-21</c:v>
                </c:pt>
                <c:pt idx="48">
                  <c:v>2.0250465137752183E-21</c:v>
                </c:pt>
                <c:pt idx="49">
                  <c:v>2.3495049669062885E-21</c:v>
                </c:pt>
                <c:pt idx="50">
                  <c:v>2.6292579494831533E-21</c:v>
                </c:pt>
                <c:pt idx="51">
                  <c:v>2.8548495578396777E-21</c:v>
                </c:pt>
                <c:pt idx="52">
                  <c:v>3.0318391200428455E-21</c:v>
                </c:pt>
                <c:pt idx="53">
                  <c:v>3.170953063893821E-21</c:v>
                </c:pt>
                <c:pt idx="54">
                  <c:v>3.2744941236793294E-21</c:v>
                </c:pt>
                <c:pt idx="55">
                  <c:v>3.3287870182168972E-21</c:v>
                </c:pt>
                <c:pt idx="56">
                  <c:v>3.3090900931383921E-21</c:v>
                </c:pt>
                <c:pt idx="57">
                  <c:v>3.1948090974897885E-21</c:v>
                </c:pt>
                <c:pt idx="58">
                  <c:v>2.9854213046805077E-21</c:v>
                </c:pt>
                <c:pt idx="59">
                  <c:v>2.7069156802839752E-21</c:v>
                </c:pt>
                <c:pt idx="60">
                  <c:v>2.404878878606714E-21</c:v>
                </c:pt>
                <c:pt idx="61">
                  <c:v>2.128342443379073E-21</c:v>
                </c:pt>
                <c:pt idx="62">
                  <c:v>1.9125559514295078E-21</c:v>
                </c:pt>
                <c:pt idx="63">
                  <c:v>1.767838452619359E-21</c:v>
                </c:pt>
                <c:pt idx="64">
                  <c:v>1.7165826186438787E-21</c:v>
                </c:pt>
                <c:pt idx="65">
                  <c:v>9.8985964187919594E-21</c:v>
                </c:pt>
                <c:pt idx="66">
                  <c:v>1.2332385589881413E-18</c:v>
                </c:pt>
                <c:pt idx="67">
                  <c:v>1.2956520771580935E-16</c:v>
                </c:pt>
                <c:pt idx="68">
                  <c:v>9.6533278214910976E-15</c:v>
                </c:pt>
                <c:pt idx="69">
                  <c:v>5.0944209169128124E-13</c:v>
                </c:pt>
                <c:pt idx="70">
                  <c:v>1.9043093451112274E-11</c:v>
                </c:pt>
                <c:pt idx="71">
                  <c:v>5.0420329689720457E-10</c:v>
                </c:pt>
                <c:pt idx="72">
                  <c:v>9.455868821255731E-9</c:v>
                </c:pt>
                <c:pt idx="73">
                  <c:v>1.2561204814492129E-7</c:v>
                </c:pt>
                <c:pt idx="74">
                  <c:v>1.1819955846649712E-6</c:v>
                </c:pt>
                <c:pt idx="75">
                  <c:v>7.8798893567790531E-6</c:v>
                </c:pt>
                <c:pt idx="76">
                  <c:v>3.7234810688554979E-5</c:v>
                </c:pt>
                <c:pt idx="77">
                  <c:v>1.2489603076838431E-4</c:v>
                </c:pt>
                <c:pt idx="78">
                  <c:v>2.987725549352194E-4</c:v>
                </c:pt>
                <c:pt idx="79">
                  <c:v>5.1707261180178484E-4</c:v>
                </c:pt>
                <c:pt idx="80">
                  <c:v>6.7513692087737577E-4</c:v>
                </c:pt>
                <c:pt idx="81">
                  <c:v>7.3956251508476394E-4</c:v>
                </c:pt>
                <c:pt idx="82">
                  <c:v>8.224717482201954E-4</c:v>
                </c:pt>
                <c:pt idx="83">
                  <c:v>1.1052574364967653E-3</c:v>
                </c:pt>
                <c:pt idx="84">
                  <c:v>1.7942276157699077E-3</c:v>
                </c:pt>
                <c:pt idx="85">
                  <c:v>2.9710062824203718E-3</c:v>
                </c:pt>
                <c:pt idx="86">
                  <c:v>4.2399457107817062E-3</c:v>
                </c:pt>
                <c:pt idx="87">
                  <c:v>4.9747882202033451E-3</c:v>
                </c:pt>
                <c:pt idx="88">
                  <c:v>5.2240055155104636E-3</c:v>
                </c:pt>
                <c:pt idx="89">
                  <c:v>5.7339617023411714E-3</c:v>
                </c:pt>
                <c:pt idx="90">
                  <c:v>7.2191894454004266E-3</c:v>
                </c:pt>
                <c:pt idx="91">
                  <c:v>1.0285516708471368E-2</c:v>
                </c:pt>
                <c:pt idx="92">
                  <c:v>1.468486509160607E-2</c:v>
                </c:pt>
                <c:pt idx="93">
                  <c:v>1.7858111595290247E-2</c:v>
                </c:pt>
                <c:pt idx="94">
                  <c:v>1.68839850212395E-2</c:v>
                </c:pt>
                <c:pt idx="95">
                  <c:v>1.2413689642956902E-2</c:v>
                </c:pt>
                <c:pt idx="96">
                  <c:v>7.7190640773047992E-3</c:v>
                </c:pt>
                <c:pt idx="97">
                  <c:v>4.5545931266177762E-3</c:v>
                </c:pt>
                <c:pt idx="98">
                  <c:v>2.5576532840074261E-3</c:v>
                </c:pt>
                <c:pt idx="99">
                  <c:v>1.2145318690543463E-3</c:v>
                </c:pt>
                <c:pt idx="100">
                  <c:v>4.3990073082461828E-4</c:v>
                </c:pt>
                <c:pt idx="101">
                  <c:v>1.1582224802520913E-4</c:v>
                </c:pt>
                <c:pt idx="102">
                  <c:v>2.1784375155365747E-5</c:v>
                </c:pt>
                <c:pt idx="103">
                  <c:v>2.9100792880881979E-6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128-4E4D-A374-25E73A119BF1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NaiwnaGęstość!$AB$5:$AB$108</c:f>
              <c:numCache>
                <c:formatCode>General</c:formatCode>
                <c:ptCount val="104"/>
                <c:pt idx="0">
                  <c:v>2.6253092863907682E-44</c:v>
                </c:pt>
                <c:pt idx="1">
                  <c:v>6.0202514892542855E-44</c:v>
                </c:pt>
                <c:pt idx="2">
                  <c:v>1.3145827261599481E-43</c:v>
                </c:pt>
                <c:pt idx="3">
                  <c:v>2.734448361549097E-43</c:v>
                </c:pt>
                <c:pt idx="4">
                  <c:v>5.420867163527673E-43</c:v>
                </c:pt>
                <c:pt idx="5">
                  <c:v>1.0248310086419653E-42</c:v>
                </c:pt>
                <c:pt idx="6">
                  <c:v>1.8497851036812029E-42</c:v>
                </c:pt>
                <c:pt idx="7">
                  <c:v>3.2115221514599808E-42</c:v>
                </c:pt>
                <c:pt idx="8">
                  <c:v>5.8693837136024647E-42</c:v>
                </c:pt>
                <c:pt idx="9">
                  <c:v>2.1848499451181755E-41</c:v>
                </c:pt>
                <c:pt idx="10">
                  <c:v>2.8160682819467881E-40</c:v>
                </c:pt>
                <c:pt idx="11">
                  <c:v>4.8566637692425643E-39</c:v>
                </c:pt>
                <c:pt idx="12">
                  <c:v>7.8910724027313726E-38</c:v>
                </c:pt>
                <c:pt idx="13">
                  <c:v>1.1661749174607784E-36</c:v>
                </c:pt>
                <c:pt idx="14">
                  <c:v>1.5630576199804748E-35</c:v>
                </c:pt>
                <c:pt idx="15">
                  <c:v>1.8996173316523634E-34</c:v>
                </c:pt>
                <c:pt idx="16">
                  <c:v>2.0932920750991944E-33</c:v>
                </c:pt>
                <c:pt idx="17">
                  <c:v>2.0915497342369237E-32</c:v>
                </c:pt>
                <c:pt idx="18">
                  <c:v>1.8948955470688925E-31</c:v>
                </c:pt>
                <c:pt idx="19">
                  <c:v>1.5566350394077231E-30</c:v>
                </c:pt>
                <c:pt idx="20">
                  <c:v>1.1595266728702505E-29</c:v>
                </c:pt>
                <c:pt idx="21">
                  <c:v>7.8320987056557982E-29</c:v>
                </c:pt>
                <c:pt idx="22">
                  <c:v>4.7972722683275302E-28</c:v>
                </c:pt>
                <c:pt idx="23">
                  <c:v>2.664714497061297E-27</c:v>
                </c:pt>
                <c:pt idx="24">
                  <c:v>1.3423837515134795E-26</c:v>
                </c:pt>
                <c:pt idx="25">
                  <c:v>6.1335725223522395E-26</c:v>
                </c:pt>
                <c:pt idx="26">
                  <c:v>2.5422507934182502E-25</c:v>
                </c:pt>
                <c:pt idx="27">
                  <c:v>9.5602922326828046E-25</c:v>
                </c:pt>
                <c:pt idx="28">
                  <c:v>3.2627466590254598E-24</c:v>
                </c:pt>
                <c:pt idx="29">
                  <c:v>1.0109070028064101E-23</c:v>
                </c:pt>
                <c:pt idx="30">
                  <c:v>2.8449489942664782E-23</c:v>
                </c:pt>
                <c:pt idx="31">
                  <c:v>7.2775263115751349E-23</c:v>
                </c:pt>
                <c:pt idx="32">
                  <c:v>1.6938726899300771E-22</c:v>
                </c:pt>
                <c:pt idx="33">
                  <c:v>3.5925111450698238E-22</c:v>
                </c:pt>
                <c:pt idx="34">
                  <c:v>6.9574445296065472E-22</c:v>
                </c:pt>
                <c:pt idx="35">
                  <c:v>1.2341461604318113E-21</c:v>
                </c:pt>
                <c:pt idx="36">
                  <c:v>2.0141819994764206E-21</c:v>
                </c:pt>
                <c:pt idx="37">
                  <c:v>3.0444115260546194E-21</c:v>
                </c:pt>
                <c:pt idx="38">
                  <c:v>4.3024473655606921E-21</c:v>
                </c:pt>
                <c:pt idx="39">
                  <c:v>5.7612245885880513E-21</c:v>
                </c:pt>
                <c:pt idx="40">
                  <c:v>7.4373299951268718E-21</c:v>
                </c:pt>
                <c:pt idx="41">
                  <c:v>9.4404614168416472E-21</c:v>
                </c:pt>
                <c:pt idx="42">
                  <c:v>1.1995229867610518E-20</c:v>
                </c:pt>
                <c:pt idx="43">
                  <c:v>1.5413285233045131E-20</c:v>
                </c:pt>
                <c:pt idx="44">
                  <c:v>2.0010438840520494E-20</c:v>
                </c:pt>
                <c:pt idx="45">
                  <c:v>2.5982893003690021E-20</c:v>
                </c:pt>
                <c:pt idx="46">
                  <c:v>3.3277805212805512E-20</c:v>
                </c:pt>
                <c:pt idx="47">
                  <c:v>4.151554928696871E-20</c:v>
                </c:pt>
                <c:pt idx="48">
                  <c:v>5.0028406498110896E-20</c:v>
                </c:pt>
                <c:pt idx="49">
                  <c:v>5.8044093680885026E-20</c:v>
                </c:pt>
                <c:pt idx="50">
                  <c:v>6.4955340329399212E-20</c:v>
                </c:pt>
                <c:pt idx="51">
                  <c:v>7.0528540060195917E-20</c:v>
                </c:pt>
                <c:pt idx="52">
                  <c:v>7.4901035063935665E-20</c:v>
                </c:pt>
                <c:pt idx="53">
                  <c:v>7.8337819792182413E-20</c:v>
                </c:pt>
                <c:pt idx="54">
                  <c:v>8.089578287745385E-20</c:v>
                </c:pt>
                <c:pt idx="55">
                  <c:v>8.2237078980732394E-20</c:v>
                </c:pt>
                <c:pt idx="56">
                  <c:v>8.1750470022425929E-20</c:v>
                </c:pt>
                <c:pt idx="57">
                  <c:v>7.8927178771372817E-20</c:v>
                </c:pt>
                <c:pt idx="58">
                  <c:v>7.3754291362048009E-20</c:v>
                </c:pt>
                <c:pt idx="59">
                  <c:v>6.6873860470934891E-20</c:v>
                </c:pt>
                <c:pt idx="60">
                  <c:v>5.9412096116911175E-20</c:v>
                </c:pt>
                <c:pt idx="61">
                  <c:v>5.2580313674968169E-20</c:v>
                </c:pt>
                <c:pt idx="62">
                  <c:v>4.7249340628397555E-20</c:v>
                </c:pt>
                <c:pt idx="63">
                  <c:v>4.3671224327931127E-20</c:v>
                </c:pt>
                <c:pt idx="64">
                  <c:v>4.1548356662418368E-20</c:v>
                </c:pt>
                <c:pt idx="65">
                  <c:v>6.4337526040974801E-20</c:v>
                </c:pt>
                <c:pt idx="66">
                  <c:v>3.7053342900742377E-18</c:v>
                </c:pt>
                <c:pt idx="67">
                  <c:v>3.8587016572893979E-16</c:v>
                </c:pt>
                <c:pt idx="68">
                  <c:v>2.8747289999457983E-14</c:v>
                </c:pt>
                <c:pt idx="69">
                  <c:v>1.5171003383372949E-12</c:v>
                </c:pt>
                <c:pt idx="70">
                  <c:v>5.6709650844605685E-11</c:v>
                </c:pt>
                <c:pt idx="71">
                  <c:v>1.5014993749829601E-9</c:v>
                </c:pt>
                <c:pt idx="72">
                  <c:v>2.8159238966344709E-8</c:v>
                </c:pt>
                <c:pt idx="73">
                  <c:v>3.7406818428075324E-7</c:v>
                </c:pt>
                <c:pt idx="74">
                  <c:v>3.5199405527834018E-6</c:v>
                </c:pt>
                <c:pt idx="75">
                  <c:v>2.3466028518401513E-5</c:v>
                </c:pt>
                <c:pt idx="76">
                  <c:v>1.1088393376275324E-4</c:v>
                </c:pt>
                <c:pt idx="77">
                  <c:v>3.7193591015649043E-4</c:v>
                </c:pt>
                <c:pt idx="78">
                  <c:v>8.8973397686021932E-4</c:v>
                </c:pt>
                <c:pt idx="79">
                  <c:v>1.5398237342236908E-3</c:v>
                </c:pt>
                <c:pt idx="80">
                  <c:v>2.0105335902343316E-3</c:v>
                </c:pt>
                <c:pt idx="81">
                  <c:v>2.2023907042793304E-3</c:v>
                </c:pt>
                <c:pt idx="82">
                  <c:v>2.4492914336050643E-3</c:v>
                </c:pt>
                <c:pt idx="83">
                  <c:v>3.2914170936544631E-3</c:v>
                </c:pt>
                <c:pt idx="84">
                  <c:v>5.3431456323607823E-3</c:v>
                </c:pt>
                <c:pt idx="85">
                  <c:v>8.8475503899872014E-3</c:v>
                </c:pt>
                <c:pt idx="86">
                  <c:v>1.2626406597966077E-2</c:v>
                </c:pt>
                <c:pt idx="87">
                  <c:v>1.4814741294288567E-2</c:v>
                </c:pt>
                <c:pt idx="88">
                  <c:v>1.5556901481337969E-2</c:v>
                </c:pt>
                <c:pt idx="89">
                  <c:v>1.7075532756662896E-2</c:v>
                </c:pt>
                <c:pt idx="90">
                  <c:v>2.1498487825818296E-2</c:v>
                </c:pt>
                <c:pt idx="91">
                  <c:v>3.0629900685070242E-2</c:v>
                </c:pt>
                <c:pt idx="92">
                  <c:v>4.373100273699302E-2</c:v>
                </c:pt>
                <c:pt idx="93">
                  <c:v>5.3180817268628541E-2</c:v>
                </c:pt>
                <c:pt idx="94">
                  <c:v>5.0279903190749757E-2</c:v>
                </c:pt>
                <c:pt idx="95">
                  <c:v>3.6967523526152984E-2</c:v>
                </c:pt>
                <c:pt idx="96">
                  <c:v>2.298709659134647E-2</c:v>
                </c:pt>
                <c:pt idx="97">
                  <c:v>1.3563415342498577E-2</c:v>
                </c:pt>
                <c:pt idx="98">
                  <c:v>7.6165999527732222E-3</c:v>
                </c:pt>
                <c:pt idx="99">
                  <c:v>3.6168324433664902E-3</c:v>
                </c:pt>
                <c:pt idx="100">
                  <c:v>1.3100086343110315E-3</c:v>
                </c:pt>
                <c:pt idx="101">
                  <c:v>3.4491450985751936E-4</c:v>
                </c:pt>
                <c:pt idx="102">
                  <c:v>6.4873089647076316E-5</c:v>
                </c:pt>
                <c:pt idx="103">
                  <c:v>8.6661119811713091E-6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128-4E4D-A374-25E73A119BF1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NaiwnaGęstość!$AC$5:$AC$108</c:f>
              <c:numCache>
                <c:formatCode>General</c:formatCode>
                <c:ptCount val="104"/>
                <c:pt idx="0">
                  <c:v>1.3128968231100766E-42</c:v>
                </c:pt>
                <c:pt idx="1">
                  <c:v>3.0106811012186807E-42</c:v>
                </c:pt>
                <c:pt idx="2">
                  <c:v>6.5741262886332786E-42</c:v>
                </c:pt>
                <c:pt idx="3">
                  <c:v>1.3674763482340157E-41</c:v>
                </c:pt>
                <c:pt idx="4">
                  <c:v>2.7109307791369071E-41</c:v>
                </c:pt>
                <c:pt idx="5">
                  <c:v>5.1250076299479438E-41</c:v>
                </c:pt>
                <c:pt idx="6">
                  <c:v>9.2479088899657956E-41</c:v>
                </c:pt>
                <c:pt idx="7">
                  <c:v>1.5988127396033051E-40</c:v>
                </c:pt>
                <c:pt idx="8">
                  <c:v>2.760473547792075E-40</c:v>
                </c:pt>
                <c:pt idx="9">
                  <c:v>7.1038888460395547E-40</c:v>
                </c:pt>
                <c:pt idx="10">
                  <c:v>6.502569131071875E-39</c:v>
                </c:pt>
                <c:pt idx="11">
                  <c:v>1.0657269955319257E-37</c:v>
                </c:pt>
                <c:pt idx="12">
                  <c:v>1.7239730240608669E-36</c:v>
                </c:pt>
                <c:pt idx="13">
                  <c:v>2.546794910376856E-35</c:v>
                </c:pt>
                <c:pt idx="14">
                  <c:v>3.4134250709056203E-34</c:v>
                </c:pt>
                <c:pt idx="15">
                  <c:v>4.1483946973650219E-33</c:v>
                </c:pt>
                <c:pt idx="16">
                  <c:v>4.5713410961061547E-32</c:v>
                </c:pt>
                <c:pt idx="17">
                  <c:v>4.5675359913571665E-31</c:v>
                </c:pt>
                <c:pt idx="18">
                  <c:v>4.1380816485828967E-30</c:v>
                </c:pt>
                <c:pt idx="19">
                  <c:v>3.3993867875224341E-29</c:v>
                </c:pt>
                <c:pt idx="20">
                  <c:v>2.5321797026532157E-28</c:v>
                </c:pt>
                <c:pt idx="21">
                  <c:v>1.7103773320123263E-27</c:v>
                </c:pt>
                <c:pt idx="22">
                  <c:v>1.0476305332181945E-26</c:v>
                </c:pt>
                <c:pt idx="23">
                  <c:v>5.8192158236683658E-26</c:v>
                </c:pt>
                <c:pt idx="24">
                  <c:v>2.931503835347805E-25</c:v>
                </c:pt>
                <c:pt idx="25">
                  <c:v>1.3394523997617633E-24</c:v>
                </c:pt>
                <c:pt idx="26">
                  <c:v>5.5517790221454846E-24</c:v>
                </c:pt>
                <c:pt idx="27">
                  <c:v>2.0877810324772564E-23</c:v>
                </c:pt>
                <c:pt idx="28">
                  <c:v>7.1252012205283189E-23</c:v>
                </c:pt>
                <c:pt idx="29">
                  <c:v>2.2076233808444917E-22</c:v>
                </c:pt>
                <c:pt idx="30">
                  <c:v>6.2128127509424697E-22</c:v>
                </c:pt>
                <c:pt idx="31">
                  <c:v>1.5892695565015203E-21</c:v>
                </c:pt>
                <c:pt idx="32">
                  <c:v>3.6990870021499855E-21</c:v>
                </c:pt>
                <c:pt idx="33">
                  <c:v>7.8453424279219685E-21</c:v>
                </c:pt>
                <c:pt idx="34">
                  <c:v>1.5193699491494541E-20</c:v>
                </c:pt>
                <c:pt idx="35">
                  <c:v>2.6951340841294725E-20</c:v>
                </c:pt>
                <c:pt idx="36">
                  <c:v>4.3985799514456179E-20</c:v>
                </c:pt>
                <c:pt idx="37">
                  <c:v>6.6483999489295274E-20</c:v>
                </c:pt>
                <c:pt idx="38">
                  <c:v>9.3957044245379373E-20</c:v>
                </c:pt>
                <c:pt idx="39">
                  <c:v>1.2581388860453667E-19</c:v>
                </c:pt>
                <c:pt idx="40">
                  <c:v>1.6241675587088951E-19</c:v>
                </c:pt>
                <c:pt idx="41">
                  <c:v>2.0616123235789885E-19</c:v>
                </c:pt>
                <c:pt idx="42">
                  <c:v>2.6195238375861062E-19</c:v>
                </c:pt>
                <c:pt idx="43">
                  <c:v>3.3659603466622471E-19</c:v>
                </c:pt>
                <c:pt idx="44">
                  <c:v>4.369888874313343E-19</c:v>
                </c:pt>
                <c:pt idx="45">
                  <c:v>5.67415617239635E-19</c:v>
                </c:pt>
                <c:pt idx="46">
                  <c:v>7.2672224692311061E-19</c:v>
                </c:pt>
                <c:pt idx="47">
                  <c:v>9.0661848241311695E-19</c:v>
                </c:pt>
                <c:pt idx="48">
                  <c:v>1.0925226512925074E-18</c:v>
                </c:pt>
                <c:pt idx="49">
                  <c:v>1.2675695981343268E-18</c:v>
                </c:pt>
                <c:pt idx="50">
                  <c:v>1.4184977215886747E-18</c:v>
                </c:pt>
                <c:pt idx="51">
                  <c:v>1.5402055146662459E-18</c:v>
                </c:pt>
                <c:pt idx="52">
                  <c:v>1.6356922624688044E-18</c:v>
                </c:pt>
                <c:pt idx="53">
                  <c:v>1.7107449260663852E-18</c:v>
                </c:pt>
                <c:pt idx="54">
                  <c:v>1.7666058420428839E-18</c:v>
                </c:pt>
                <c:pt idx="55">
                  <c:v>1.7958971282839824E-18</c:v>
                </c:pt>
                <c:pt idx="56">
                  <c:v>1.7852705393821006E-18</c:v>
                </c:pt>
                <c:pt idx="57">
                  <c:v>1.7236153746690698E-18</c:v>
                </c:pt>
                <c:pt idx="58">
                  <c:v>1.6106496205532242E-18</c:v>
                </c:pt>
                <c:pt idx="59">
                  <c:v>1.4603944530319955E-18</c:v>
                </c:pt>
                <c:pt idx="60">
                  <c:v>1.29744409850316E-18</c:v>
                </c:pt>
                <c:pt idx="61">
                  <c:v>1.1482513180289744E-18</c:v>
                </c:pt>
                <c:pt idx="62">
                  <c:v>1.0318332633620177E-18</c:v>
                </c:pt>
                <c:pt idx="63">
                  <c:v>9.5368621602920325E-19</c:v>
                </c:pt>
                <c:pt idx="64">
                  <c:v>9.04967662075515E-19</c:v>
                </c:pt>
                <c:pt idx="65">
                  <c:v>9.0867971950199308E-19</c:v>
                </c:pt>
                <c:pt idx="66">
                  <c:v>7.2098447003511092E-18</c:v>
                </c:pt>
                <c:pt idx="67">
                  <c:v>6.7347194608583816E-16</c:v>
                </c:pt>
                <c:pt idx="68">
                  <c:v>5.0123761302941378E-14</c:v>
                </c:pt>
                <c:pt idx="69">
                  <c:v>2.6451855086822628E-12</c:v>
                </c:pt>
                <c:pt idx="70">
                  <c:v>9.8877785135720777E-11</c:v>
                </c:pt>
                <c:pt idx="71">
                  <c:v>2.6179835333696545E-9</c:v>
                </c:pt>
                <c:pt idx="72">
                  <c:v>4.9097871866170508E-8</c:v>
                </c:pt>
                <c:pt idx="73">
                  <c:v>6.5221761862702571E-7</c:v>
                </c:pt>
                <c:pt idx="74">
                  <c:v>6.1372961976412515E-6</c:v>
                </c:pt>
                <c:pt idx="75">
                  <c:v>4.091488632836239E-5</c:v>
                </c:pt>
                <c:pt idx="76">
                  <c:v>1.9333495405867487E-4</c:v>
                </c:pt>
                <c:pt idx="77">
                  <c:v>6.4849982917030151E-4</c:v>
                </c:pt>
                <c:pt idx="78">
                  <c:v>1.5513219246780935E-3</c:v>
                </c:pt>
                <c:pt idx="79">
                  <c:v>2.6848051003633745E-3</c:v>
                </c:pt>
                <c:pt idx="80">
                  <c:v>3.5055251569001116E-3</c:v>
                </c:pt>
                <c:pt idx="81">
                  <c:v>3.8400432883463065E-3</c:v>
                </c:pt>
                <c:pt idx="82">
                  <c:v>4.2705343391361951E-3</c:v>
                </c:pt>
                <c:pt idx="83">
                  <c:v>5.7388473784772617E-3</c:v>
                </c:pt>
                <c:pt idx="84">
                  <c:v>9.3161992031372126E-3</c:v>
                </c:pt>
                <c:pt idx="85">
                  <c:v>1.54264075067886E-2</c:v>
                </c:pt>
                <c:pt idx="86">
                  <c:v>2.201514373368952E-2</c:v>
                </c:pt>
                <c:pt idx="87">
                  <c:v>2.5830679254676144E-2</c:v>
                </c:pt>
                <c:pt idx="88">
                  <c:v>2.7124694544342673E-2</c:v>
                </c:pt>
                <c:pt idx="89">
                  <c:v>2.9772548907763857E-2</c:v>
                </c:pt>
                <c:pt idx="90">
                  <c:v>3.7484322706557251E-2</c:v>
                </c:pt>
                <c:pt idx="91">
                  <c:v>5.340566699626792E-2</c:v>
                </c:pt>
                <c:pt idx="92">
                  <c:v>7.6248479993377902E-2</c:v>
                </c:pt>
                <c:pt idx="93">
                  <c:v>9.2724982912599258E-2</c:v>
                </c:pt>
                <c:pt idx="94">
                  <c:v>8.7667008588069556E-2</c:v>
                </c:pt>
                <c:pt idx="95">
                  <c:v>6.4455816276176706E-2</c:v>
                </c:pt>
                <c:pt idx="96">
                  <c:v>4.0079830437285004E-2</c:v>
                </c:pt>
                <c:pt idx="97">
                  <c:v>2.3648892974263626E-2</c:v>
                </c:pt>
                <c:pt idx="98">
                  <c:v>1.3280147555942489E-2</c:v>
                </c:pt>
                <c:pt idx="99">
                  <c:v>6.3062349120145663E-3</c:v>
                </c:pt>
                <c:pt idx="100">
                  <c:v>2.2841042028044121E-3</c:v>
                </c:pt>
                <c:pt idx="101">
                  <c:v>6.0138586948178373E-4</c:v>
                </c:pt>
                <c:pt idx="102">
                  <c:v>1.1311138936860868E-4</c:v>
                </c:pt>
                <c:pt idx="103">
                  <c:v>1.5110055216221844E-5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128-4E4D-A374-25E73A119BF1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NaiwnaGęstość!$AD$5:$AD$108</c:f>
              <c:numCache>
                <c:formatCode>General</c:formatCode>
                <c:ptCount val="104"/>
                <c:pt idx="0">
                  <c:v>6.0040640568570478E-41</c:v>
                </c:pt>
                <c:pt idx="1">
                  <c:v>1.376827323144984E-40</c:v>
                </c:pt>
                <c:pt idx="2">
                  <c:v>3.0064415272600293E-40</c:v>
                </c:pt>
                <c:pt idx="3">
                  <c:v>6.2536638298190804E-40</c:v>
                </c:pt>
                <c:pt idx="4">
                  <c:v>1.239746646681073E-39</c:v>
                </c:pt>
                <c:pt idx="5">
                  <c:v>2.3437199297814459E-39</c:v>
                </c:pt>
                <c:pt idx="6">
                  <c:v>4.2286425277724218E-39</c:v>
                </c:pt>
                <c:pt idx="7">
                  <c:v>7.296756722526263E-39</c:v>
                </c:pt>
                <c:pt idx="8">
                  <c:v>1.2266019722682877E-38</c:v>
                </c:pt>
                <c:pt idx="9">
                  <c:v>2.4656444965129623E-38</c:v>
                </c:pt>
                <c:pt idx="10">
                  <c:v>1.4207770916637923E-37</c:v>
                </c:pt>
                <c:pt idx="11">
                  <c:v>2.0813248094422774E-36</c:v>
                </c:pt>
                <c:pt idx="12">
                  <c:v>3.331313046691525E-35</c:v>
                </c:pt>
                <c:pt idx="13">
                  <c:v>4.916774706455008E-34</c:v>
                </c:pt>
                <c:pt idx="14">
                  <c:v>6.5893188436749463E-33</c:v>
                </c:pt>
                <c:pt idx="15">
                  <c:v>8.0080490100590269E-32</c:v>
                </c:pt>
                <c:pt idx="16">
                  <c:v>8.8244961699786688E-31</c:v>
                </c:pt>
                <c:pt idx="17">
                  <c:v>8.8171500034185852E-30</c:v>
                </c:pt>
                <c:pt idx="18">
                  <c:v>7.9881332722803632E-29</c:v>
                </c:pt>
                <c:pt idx="19">
                  <c:v>6.5621601918913502E-28</c:v>
                </c:pt>
                <c:pt idx="20">
                  <c:v>4.888107732048293E-27</c:v>
                </c:pt>
                <c:pt idx="21">
                  <c:v>3.301704319142597E-26</c:v>
                </c:pt>
                <c:pt idx="22">
                  <c:v>2.022341030623427E-25</c:v>
                </c:pt>
                <c:pt idx="23">
                  <c:v>1.1233386726613827E-24</c:v>
                </c:pt>
                <c:pt idx="24">
                  <c:v>5.6589611505850182E-24</c:v>
                </c:pt>
                <c:pt idx="25">
                  <c:v>2.5856725827582504E-23</c:v>
                </c:pt>
                <c:pt idx="26">
                  <c:v>1.0717127988756532E-22</c:v>
                </c:pt>
                <c:pt idx="27">
                  <c:v>4.030242639036119E-22</c:v>
                </c:pt>
                <c:pt idx="28">
                  <c:v>1.3754454765120703E-21</c:v>
                </c:pt>
                <c:pt idx="29">
                  <c:v>4.2615857419949357E-21</c:v>
                </c:pt>
                <c:pt idx="30">
                  <c:v>1.1993184375032579E-20</c:v>
                </c:pt>
                <c:pt idx="31">
                  <c:v>3.067918441587922E-20</c:v>
                </c:pt>
                <c:pt idx="32">
                  <c:v>7.140700068474045E-20</c:v>
                </c:pt>
                <c:pt idx="33">
                  <c:v>1.5144611948760337E-19</c:v>
                </c:pt>
                <c:pt idx="34">
                  <c:v>2.9329845698744145E-19</c:v>
                </c:pt>
                <c:pt idx="35">
                  <c:v>5.2026740998263578E-19</c:v>
                </c:pt>
                <c:pt idx="36">
                  <c:v>8.4909979522570741E-19</c:v>
                </c:pt>
                <c:pt idx="37">
                  <c:v>1.2834039843607602E-18</c:v>
                </c:pt>
                <c:pt idx="38">
                  <c:v>1.8137423420607502E-18</c:v>
                </c:pt>
                <c:pt idx="39">
                  <c:v>2.4287053601367923E-18</c:v>
                </c:pt>
                <c:pt idx="40">
                  <c:v>3.1352853801343715E-18</c:v>
                </c:pt>
                <c:pt idx="41">
                  <c:v>3.9797266870422524E-18</c:v>
                </c:pt>
                <c:pt idx="42">
                  <c:v>5.0567164372042706E-18</c:v>
                </c:pt>
                <c:pt idx="43">
                  <c:v>6.49763394695021E-18</c:v>
                </c:pt>
                <c:pt idx="44">
                  <c:v>8.4356128325440335E-18</c:v>
                </c:pt>
                <c:pt idx="45">
                  <c:v>1.095336426129298E-17</c:v>
                </c:pt>
                <c:pt idx="46">
                  <c:v>1.4028611912478233E-17</c:v>
                </c:pt>
                <c:pt idx="47">
                  <c:v>1.7501320341166401E-17</c:v>
                </c:pt>
                <c:pt idx="48">
                  <c:v>2.1090005632091194E-17</c:v>
                </c:pt>
                <c:pt idx="49">
                  <c:v>2.4469103621873678E-17</c:v>
                </c:pt>
                <c:pt idx="50">
                  <c:v>2.7382612984748141E-17</c:v>
                </c:pt>
                <c:pt idx="51">
                  <c:v>2.9732054470870825E-17</c:v>
                </c:pt>
                <c:pt idx="52">
                  <c:v>3.1575326138111399E-17</c:v>
                </c:pt>
                <c:pt idx="53">
                  <c:v>3.3024139209496069E-17</c:v>
                </c:pt>
                <c:pt idx="54">
                  <c:v>3.4102475691732277E-17</c:v>
                </c:pt>
                <c:pt idx="55">
                  <c:v>3.4667913297135814E-17</c:v>
                </c:pt>
                <c:pt idx="56">
                  <c:v>3.4462778127146E-17</c:v>
                </c:pt>
                <c:pt idx="57">
                  <c:v>3.3272589741113913E-17</c:v>
                </c:pt>
                <c:pt idx="58">
                  <c:v>3.1091904161992912E-17</c:v>
                </c:pt>
                <c:pt idx="59">
                  <c:v>2.8191385508650047E-17</c:v>
                </c:pt>
                <c:pt idx="60">
                  <c:v>2.5045799565238469E-17</c:v>
                </c:pt>
                <c:pt idx="61">
                  <c:v>2.2165789181197699E-17</c:v>
                </c:pt>
                <c:pt idx="62">
                  <c:v>1.9918460526095216E-17</c:v>
                </c:pt>
                <c:pt idx="63">
                  <c:v>1.8409901387554954E-17</c:v>
                </c:pt>
                <c:pt idx="64">
                  <c:v>1.7465824264466764E-17</c:v>
                </c:pt>
                <c:pt idx="65">
                  <c:v>1.6780306320410374E-17</c:v>
                </c:pt>
                <c:pt idx="66">
                  <c:v>2.6194526627737058E-17</c:v>
                </c:pt>
                <c:pt idx="67">
                  <c:v>1.116046660598905E-15</c:v>
                </c:pt>
                <c:pt idx="68">
                  <c:v>8.2106996395115008E-14</c:v>
                </c:pt>
                <c:pt idx="69">
                  <c:v>4.3324649337339415E-12</c:v>
                </c:pt>
                <c:pt idx="70">
                  <c:v>1.6194844837731516E-10</c:v>
                </c:pt>
                <c:pt idx="71">
                  <c:v>4.2879030333616977E-9</c:v>
                </c:pt>
                <c:pt idx="72">
                  <c:v>8.0415675201983234E-8</c:v>
                </c:pt>
                <c:pt idx="73">
                  <c:v>1.0682442677322424E-6</c:v>
                </c:pt>
                <c:pt idx="74">
                  <c:v>1.0052061298647398E-5</c:v>
                </c:pt>
                <c:pt idx="75">
                  <c:v>6.7013051375608673E-5</c:v>
                </c:pt>
                <c:pt idx="76">
                  <c:v>3.1665651237685894E-4</c:v>
                </c:pt>
                <c:pt idx="77">
                  <c:v>1.0621550313128301E-3</c:v>
                </c:pt>
                <c:pt idx="78">
                  <c:v>2.5408555459311135E-3</c:v>
                </c:pt>
                <c:pt idx="79">
                  <c:v>4.3973477203437025E-3</c:v>
                </c:pt>
                <c:pt idx="80">
                  <c:v>5.7415761968032117E-3</c:v>
                </c:pt>
                <c:pt idx="81">
                  <c:v>6.289471663229981E-3</c:v>
                </c:pt>
                <c:pt idx="82">
                  <c:v>6.9945577942728161E-3</c:v>
                </c:pt>
                <c:pt idx="83">
                  <c:v>9.3994560103196692E-3</c:v>
                </c:pt>
                <c:pt idx="84">
                  <c:v>1.5258674576653117E-2</c:v>
                </c:pt>
                <c:pt idx="85">
                  <c:v>2.5266369567715989E-2</c:v>
                </c:pt>
                <c:pt idx="86">
                  <c:v>3.6057828591459423E-2</c:v>
                </c:pt>
                <c:pt idx="87">
                  <c:v>4.2307159845646217E-2</c:v>
                </c:pt>
                <c:pt idx="88">
                  <c:v>4.4426581915924197E-2</c:v>
                </c:pt>
                <c:pt idx="89">
                  <c:v>4.8763409325562376E-2</c:v>
                </c:pt>
                <c:pt idx="90">
                  <c:v>6.1394252037139725E-2</c:v>
                </c:pt>
                <c:pt idx="91">
                  <c:v>8.7471261130906253E-2</c:v>
                </c:pt>
                <c:pt idx="92">
                  <c:v>0.12488470006004265</c:v>
                </c:pt>
                <c:pt idx="93">
                  <c:v>0.15187098392149254</c:v>
                </c:pt>
                <c:pt idx="94">
                  <c:v>0.14358670590722722</c:v>
                </c:pt>
                <c:pt idx="95">
                  <c:v>0.105569911472001</c:v>
                </c:pt>
                <c:pt idx="96">
                  <c:v>6.5645342740634521E-2</c:v>
                </c:pt>
                <c:pt idx="97">
                  <c:v>3.873368893516909E-2</c:v>
                </c:pt>
                <c:pt idx="98">
                  <c:v>2.1751085981268403E-2</c:v>
                </c:pt>
                <c:pt idx="99">
                  <c:v>1.032876006923032E-2</c:v>
                </c:pt>
                <c:pt idx="100">
                  <c:v>3.7410538321273482E-3</c:v>
                </c:pt>
                <c:pt idx="101">
                  <c:v>9.849887359997631E-4</c:v>
                </c:pt>
                <c:pt idx="102">
                  <c:v>1.8526116108675492E-4</c:v>
                </c:pt>
                <c:pt idx="103">
                  <c:v>2.4748227292300559E-5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128-4E4D-A374-25E73A119BF1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NaiwnaGęstość!$AE$5:$AE$108</c:f>
              <c:numCache>
                <c:formatCode>General</c:formatCode>
                <c:ptCount val="104"/>
                <c:pt idx="0">
                  <c:v>2.5108724083963563E-39</c:v>
                </c:pt>
                <c:pt idx="1">
                  <c:v>5.7578295367505771E-39</c:v>
                </c:pt>
                <c:pt idx="2">
                  <c:v>1.2572802358936107E-38</c:v>
                </c:pt>
                <c:pt idx="3">
                  <c:v>2.6152538737607785E-38</c:v>
                </c:pt>
                <c:pt idx="4">
                  <c:v>5.1845632912469524E-38</c:v>
                </c:pt>
                <c:pt idx="5">
                  <c:v>9.8012962689863549E-38</c:v>
                </c:pt>
                <c:pt idx="6">
                  <c:v>1.7682982881195621E-37</c:v>
                </c:pt>
                <c:pt idx="7">
                  <c:v>3.0487868757261581E-37</c:v>
                </c:pt>
                <c:pt idx="8">
                  <c:v>5.0648543167404887E-37</c:v>
                </c:pt>
                <c:pt idx="9">
                  <c:v>8.895217523761036E-37</c:v>
                </c:pt>
                <c:pt idx="10">
                  <c:v>3.1334837046569661E-36</c:v>
                </c:pt>
                <c:pt idx="11">
                  <c:v>3.6545879836995359E-35</c:v>
                </c:pt>
                <c:pt idx="12">
                  <c:v>5.6989414209604721E-34</c:v>
                </c:pt>
                <c:pt idx="13">
                  <c:v>8.391898218014779E-33</c:v>
                </c:pt>
                <c:pt idx="14">
                  <c:v>1.1244226684391865E-31</c:v>
                </c:pt>
                <c:pt idx="15">
                  <c:v>1.3664917492808763E-30</c:v>
                </c:pt>
                <c:pt idx="16">
                  <c:v>1.5058069744799418E-29</c:v>
                </c:pt>
                <c:pt idx="17">
                  <c:v>1.504553082018255E-28</c:v>
                </c:pt>
                <c:pt idx="18">
                  <c:v>1.3630901369922453E-27</c:v>
                </c:pt>
                <c:pt idx="19">
                  <c:v>1.1197629657545154E-26</c:v>
                </c:pt>
                <c:pt idx="20">
                  <c:v>8.3410368663666741E-26</c:v>
                </c:pt>
                <c:pt idx="21">
                  <c:v>5.6340078728856651E-25</c:v>
                </c:pt>
                <c:pt idx="22">
                  <c:v>3.4509102532304958E-24</c:v>
                </c:pt>
                <c:pt idx="23">
                  <c:v>1.9168581780368821E-23</c:v>
                </c:pt>
                <c:pt idx="24">
                  <c:v>9.6564163815250877E-23</c:v>
                </c:pt>
                <c:pt idx="25">
                  <c:v>4.4121757370297651E-22</c:v>
                </c:pt>
                <c:pt idx="26">
                  <c:v>1.8287641056313308E-21</c:v>
                </c:pt>
                <c:pt idx="27">
                  <c:v>6.8771811655011038E-21</c:v>
                </c:pt>
                <c:pt idx="28">
                  <c:v>2.3470516721804048E-20</c:v>
                </c:pt>
                <c:pt idx="29">
                  <c:v>7.2719436085924748E-20</c:v>
                </c:pt>
                <c:pt idx="30">
                  <c:v>2.0465095798321957E-19</c:v>
                </c:pt>
                <c:pt idx="31">
                  <c:v>5.2350770942237652E-19</c:v>
                </c:pt>
                <c:pt idx="32">
                  <c:v>1.2184846526051051E-18</c:v>
                </c:pt>
                <c:pt idx="33">
                  <c:v>2.5842672360229575E-18</c:v>
                </c:pt>
                <c:pt idx="34">
                  <c:v>5.0048267683133106E-18</c:v>
                </c:pt>
                <c:pt idx="35">
                  <c:v>8.8778109742105607E-18</c:v>
                </c:pt>
                <c:pt idx="36">
                  <c:v>1.4488986501203899E-17</c:v>
                </c:pt>
                <c:pt idx="37">
                  <c:v>2.1899926380327744E-17</c:v>
                </c:pt>
                <c:pt idx="38">
                  <c:v>3.0949587384831019E-17</c:v>
                </c:pt>
                <c:pt idx="39">
                  <c:v>4.1443278371147747E-17</c:v>
                </c:pt>
                <c:pt idx="40">
                  <c:v>5.3500316223858498E-17</c:v>
                </c:pt>
                <c:pt idx="41">
                  <c:v>6.7909810567918407E-17</c:v>
                </c:pt>
                <c:pt idx="42">
                  <c:v>8.6287497195300614E-17</c:v>
                </c:pt>
                <c:pt idx="43">
                  <c:v>1.108752246514209E-16</c:v>
                </c:pt>
                <c:pt idx="44">
                  <c:v>1.4394477674750056E-16</c:v>
                </c:pt>
                <c:pt idx="45">
                  <c:v>1.8690753173772323E-16</c:v>
                </c:pt>
                <c:pt idx="46">
                  <c:v>2.3938336786018742E-16</c:v>
                </c:pt>
                <c:pt idx="47">
                  <c:v>2.9864145015957709E-16</c:v>
                </c:pt>
                <c:pt idx="48">
                  <c:v>3.5987855447834167E-16</c:v>
                </c:pt>
                <c:pt idx="49">
                  <c:v>4.1753927402567026E-16</c:v>
                </c:pt>
                <c:pt idx="50">
                  <c:v>4.6725521797852213E-16</c:v>
                </c:pt>
                <c:pt idx="51">
                  <c:v>5.07345942495481E-16</c:v>
                </c:pt>
                <c:pt idx="52">
                  <c:v>5.3879941646269702E-16</c:v>
                </c:pt>
                <c:pt idx="53">
                  <c:v>5.6352187329532443E-16</c:v>
                </c:pt>
                <c:pt idx="54">
                  <c:v>5.8192254047570327E-16</c:v>
                </c:pt>
                <c:pt idx="55">
                  <c:v>5.9157113287677324E-16</c:v>
                </c:pt>
                <c:pt idx="56">
                  <c:v>5.88070718996548E-16</c:v>
                </c:pt>
                <c:pt idx="57">
                  <c:v>5.6776141783304388E-16</c:v>
                </c:pt>
                <c:pt idx="58">
                  <c:v>5.3055033369792715E-16</c:v>
                </c:pt>
                <c:pt idx="59">
                  <c:v>4.8105606241076513E-16</c:v>
                </c:pt>
                <c:pt idx="60">
                  <c:v>4.273799780108718E-16</c:v>
                </c:pt>
                <c:pt idx="61">
                  <c:v>3.7823565856528728E-16</c:v>
                </c:pt>
                <c:pt idx="62">
                  <c:v>3.3988738105383407E-16</c:v>
                </c:pt>
                <c:pt idx="63">
                  <c:v>3.1414540395986074E-16</c:v>
                </c:pt>
                <c:pt idx="64">
                  <c:v>2.9803068574458008E-16</c:v>
                </c:pt>
                <c:pt idx="65">
                  <c:v>2.8527689668488505E-16</c:v>
                </c:pt>
                <c:pt idx="66">
                  <c:v>2.8938501883714568E-16</c:v>
                </c:pt>
                <c:pt idx="67">
                  <c:v>2.4667710865473848E-15</c:v>
                </c:pt>
                <c:pt idx="68">
                  <c:v>1.6594894389397962E-13</c:v>
                </c:pt>
                <c:pt idx="69">
                  <c:v>8.7470321125442244E-12</c:v>
                </c:pt>
                <c:pt idx="70">
                  <c:v>3.2696062542578121E-10</c:v>
                </c:pt>
                <c:pt idx="71">
                  <c:v>8.6569215879696945E-9</c:v>
                </c:pt>
                <c:pt idx="72">
                  <c:v>1.6235259607921115E-7</c:v>
                </c:pt>
                <c:pt idx="73">
                  <c:v>2.1566968085945382E-6</c:v>
                </c:pt>
                <c:pt idx="74">
                  <c:v>2.0294280228981895E-5</c:v>
                </c:pt>
                <c:pt idx="75">
                  <c:v>1.3529380723115999E-4</c:v>
                </c:pt>
                <c:pt idx="76">
                  <c:v>6.3930330382773795E-4</c:v>
                </c:pt>
                <c:pt idx="77">
                  <c:v>2.1444031439574723E-3</c:v>
                </c:pt>
                <c:pt idx="78">
                  <c:v>5.129777160968612E-3</c:v>
                </c:pt>
                <c:pt idx="79">
                  <c:v>8.8778812871828181E-3</c:v>
                </c:pt>
                <c:pt idx="80">
                  <c:v>1.1591767383032744E-2</c:v>
                </c:pt>
                <c:pt idx="81">
                  <c:v>1.269792300639162E-2</c:v>
                </c:pt>
                <c:pt idx="82">
                  <c:v>1.4121433578384333E-2</c:v>
                </c:pt>
                <c:pt idx="83">
                  <c:v>1.8976724137065221E-2</c:v>
                </c:pt>
                <c:pt idx="84">
                  <c:v>3.0806001732492698E-2</c:v>
                </c:pt>
                <c:pt idx="85">
                  <c:v>5.1010710056547157E-2</c:v>
                </c:pt>
                <c:pt idx="86">
                  <c:v>7.2797773127557544E-2</c:v>
                </c:pt>
                <c:pt idx="87">
                  <c:v>8.5414655968611378E-2</c:v>
                </c:pt>
                <c:pt idx="88">
                  <c:v>8.9693593804323957E-2</c:v>
                </c:pt>
                <c:pt idx="89">
                  <c:v>9.8449289590591904E-2</c:v>
                </c:pt>
                <c:pt idx="90">
                  <c:v>0.12394991616867326</c:v>
                </c:pt>
                <c:pt idx="91">
                  <c:v>0.17659724037007868</c:v>
                </c:pt>
                <c:pt idx="92">
                  <c:v>0.25213187862974668</c:v>
                </c:pt>
                <c:pt idx="93">
                  <c:v>0.30661495336949995</c:v>
                </c:pt>
                <c:pt idx="94">
                  <c:v>0.28988968135600596</c:v>
                </c:pt>
                <c:pt idx="95">
                  <c:v>0.21313691824070002</c:v>
                </c:pt>
                <c:pt idx="96">
                  <c:v>0.13253251663760396</c:v>
                </c:pt>
                <c:pt idx="97">
                  <c:v>7.8200113807288418E-2</c:v>
                </c:pt>
                <c:pt idx="98">
                  <c:v>4.3913643289031065E-2</c:v>
                </c:pt>
                <c:pt idx="99">
                  <c:v>2.0852912157525213E-2</c:v>
                </c:pt>
                <c:pt idx="100">
                  <c:v>7.5528782172338679E-3</c:v>
                </c:pt>
                <c:pt idx="101">
                  <c:v>1.9886107771196824E-3</c:v>
                </c:pt>
                <c:pt idx="102">
                  <c:v>3.740269589427213E-4</c:v>
                </c:pt>
                <c:pt idx="103">
                  <c:v>4.9964623664577804E-5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128-4E4D-A374-25E73A119BF1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NaiwnaGęstość!$AF$5:$AF$108</c:f>
              <c:numCache>
                <c:formatCode>General</c:formatCode>
                <c:ptCount val="104"/>
                <c:pt idx="0">
                  <c:v>9.6021523938824895E-38</c:v>
                </c:pt>
                <c:pt idx="1">
                  <c:v>2.2019261705346201E-37</c:v>
                </c:pt>
                <c:pt idx="2">
                  <c:v>4.8081281961891254E-37</c:v>
                </c:pt>
                <c:pt idx="3">
                  <c:v>1.0001331027928793E-36</c:v>
                </c:pt>
                <c:pt idx="4">
                  <c:v>1.9826958309007667E-36</c:v>
                </c:pt>
                <c:pt idx="5">
                  <c:v>3.748235168264294E-36</c:v>
                </c:pt>
                <c:pt idx="6">
                  <c:v>6.7622174944851112E-36</c:v>
                </c:pt>
                <c:pt idx="7">
                  <c:v>1.1654976706235539E-35</c:v>
                </c:pt>
                <c:pt idx="8">
                  <c:v>1.9265821604444093E-35</c:v>
                </c:pt>
                <c:pt idx="9">
                  <c:v>3.1756999339156349E-35</c:v>
                </c:pt>
                <c:pt idx="10">
                  <c:v>7.5005251877038895E-35</c:v>
                </c:pt>
                <c:pt idx="11">
                  <c:v>5.9155988850756277E-34</c:v>
                </c:pt>
                <c:pt idx="12">
                  <c:v>8.6525887945178669E-33</c:v>
                </c:pt>
                <c:pt idx="13">
                  <c:v>1.2665848027829107E-31</c:v>
                </c:pt>
                <c:pt idx="14">
                  <c:v>1.6961653655185324E-30</c:v>
                </c:pt>
                <c:pt idx="15">
                  <c:v>2.0612128723057012E-29</c:v>
                </c:pt>
                <c:pt idx="16">
                  <c:v>2.2713433337777255E-28</c:v>
                </c:pt>
                <c:pt idx="17">
                  <c:v>2.2694506188823598E-27</c:v>
                </c:pt>
                <c:pt idx="18">
                  <c:v>2.0560693888252751E-26</c:v>
                </c:pt>
                <c:pt idx="19">
                  <c:v>1.6890374842958932E-25</c:v>
                </c:pt>
                <c:pt idx="20">
                  <c:v>1.258152335684492E-24</c:v>
                </c:pt>
                <c:pt idx="21">
                  <c:v>8.4982721894268223E-24</c:v>
                </c:pt>
                <c:pt idx="22">
                  <c:v>5.2053130371940103E-23</c:v>
                </c:pt>
                <c:pt idx="23">
                  <c:v>2.8913666633889036E-22</c:v>
                </c:pt>
                <c:pt idx="24">
                  <c:v>1.4565626572286304E-21</c:v>
                </c:pt>
                <c:pt idx="25">
                  <c:v>6.6552747538746693E-21</c:v>
                </c:pt>
                <c:pt idx="26">
                  <c:v>2.7584865853945432E-20</c:v>
                </c:pt>
                <c:pt idx="27">
                  <c:v>1.0373460377938432E-19</c:v>
                </c:pt>
                <c:pt idx="28">
                  <c:v>3.5402655449114473E-19</c:v>
                </c:pt>
                <c:pt idx="29">
                  <c:v>1.09689154726288E-18</c:v>
                </c:pt>
                <c:pt idx="30">
                  <c:v>3.0869313354658097E-18</c:v>
                </c:pt>
                <c:pt idx="31">
                  <c:v>7.8965296253652078E-18</c:v>
                </c:pt>
                <c:pt idx="32">
                  <c:v>1.8379481303084278E-17</c:v>
                </c:pt>
                <c:pt idx="33">
                  <c:v>3.8980787525807714E-17</c:v>
                </c:pt>
                <c:pt idx="34">
                  <c:v>7.5492227018801603E-17</c:v>
                </c:pt>
                <c:pt idx="35">
                  <c:v>1.339118719829297E-16</c:v>
                </c:pt>
                <c:pt idx="36">
                  <c:v>2.1855019341455905E-16</c:v>
                </c:pt>
                <c:pt idx="37">
                  <c:v>3.3033595177879018E-16</c:v>
                </c:pt>
                <c:pt idx="38">
                  <c:v>4.6683998970484149E-16</c:v>
                </c:pt>
                <c:pt idx="39">
                  <c:v>6.2512560854378354E-16</c:v>
                </c:pt>
                <c:pt idx="40">
                  <c:v>8.0699257035630545E-16</c:v>
                </c:pt>
                <c:pt idx="41">
                  <c:v>1.0243437132839782E-15</c:v>
                </c:pt>
                <c:pt idx="42">
                  <c:v>1.3015506087830392E-15</c:v>
                </c:pt>
                <c:pt idx="43">
                  <c:v>1.6724290405293213E-15</c:v>
                </c:pt>
                <c:pt idx="44">
                  <c:v>2.1712463322791976E-15</c:v>
                </c:pt>
                <c:pt idx="45">
                  <c:v>2.8192915500696413E-15</c:v>
                </c:pt>
                <c:pt idx="46">
                  <c:v>3.6108309812922679E-15</c:v>
                </c:pt>
                <c:pt idx="47">
                  <c:v>4.5046730279275781E-15</c:v>
                </c:pt>
                <c:pt idx="48">
                  <c:v>5.4283664133760014E-15</c:v>
                </c:pt>
                <c:pt idx="49">
                  <c:v>6.2981140253600568E-15</c:v>
                </c:pt>
                <c:pt idx="50">
                  <c:v>7.0480235629098592E-15</c:v>
                </c:pt>
                <c:pt idx="51">
                  <c:v>7.6527474058496766E-15</c:v>
                </c:pt>
                <c:pt idx="52">
                  <c:v>8.1271879623733297E-15</c:v>
                </c:pt>
                <c:pt idx="53">
                  <c:v>8.500098636422536E-15</c:v>
                </c:pt>
                <c:pt idx="54">
                  <c:v>8.7776521679200339E-15</c:v>
                </c:pt>
                <c:pt idx="55">
                  <c:v>8.923190417628313E-15</c:v>
                </c:pt>
                <c:pt idx="56">
                  <c:v>8.8703905802835356E-15</c:v>
                </c:pt>
                <c:pt idx="57">
                  <c:v>8.5640474349552176E-15</c:v>
                </c:pt>
                <c:pt idx="58">
                  <c:v>8.0027597538451912E-15</c:v>
                </c:pt>
                <c:pt idx="59">
                  <c:v>7.2561939010974422E-15</c:v>
                </c:pt>
                <c:pt idx="60">
                  <c:v>6.4465500639416727E-15</c:v>
                </c:pt>
                <c:pt idx="61">
                  <c:v>5.7052628442200787E-15</c:v>
                </c:pt>
                <c:pt idx="62">
                  <c:v>5.1268218699262995E-15</c:v>
                </c:pt>
                <c:pt idx="63">
                  <c:v>4.7385328403477831E-15</c:v>
                </c:pt>
                <c:pt idx="64">
                  <c:v>4.4954514126053155E-15</c:v>
                </c:pt>
                <c:pt idx="65">
                  <c:v>4.3012143776556075E-15</c:v>
                </c:pt>
                <c:pt idx="66">
                  <c:v>4.0874516136158429E-15</c:v>
                </c:pt>
                <c:pt idx="67">
                  <c:v>8.0082994008924246E-15</c:v>
                </c:pt>
                <c:pt idx="68">
                  <c:v>3.2755564019679855E-13</c:v>
                </c:pt>
                <c:pt idx="69">
                  <c:v>1.7124736504373564E-11</c:v>
                </c:pt>
                <c:pt idx="70">
                  <c:v>6.4003746114326085E-10</c:v>
                </c:pt>
                <c:pt idx="71">
                  <c:v>1.6946202382747997E-8</c:v>
                </c:pt>
                <c:pt idx="72">
                  <c:v>3.1781040850399367E-7</c:v>
                </c:pt>
                <c:pt idx="73">
                  <c:v>4.2218030939435185E-6</c:v>
                </c:pt>
                <c:pt idx="74">
                  <c:v>3.9726703684909305E-5</c:v>
                </c:pt>
                <c:pt idx="75">
                  <c:v>2.6484196185372078E-4</c:v>
                </c:pt>
                <c:pt idx="76">
                  <c:v>1.2514566976149031E-3</c:v>
                </c:pt>
                <c:pt idx="77">
                  <c:v>4.1977378512266829E-3</c:v>
                </c:pt>
                <c:pt idx="78">
                  <c:v>1.0041703127340261E-2</c:v>
                </c:pt>
                <c:pt idx="79">
                  <c:v>1.7378737026624756E-2</c:v>
                </c:pt>
                <c:pt idx="80">
                  <c:v>2.2691255999826247E-2</c:v>
                </c:pt>
                <c:pt idx="81">
                  <c:v>2.485659106874968E-2</c:v>
                </c:pt>
                <c:pt idx="82">
                  <c:v>2.7643158616233954E-2</c:v>
                </c:pt>
                <c:pt idx="83">
                  <c:v>3.7147545426292859E-2</c:v>
                </c:pt>
                <c:pt idx="84">
                  <c:v>6.0303735275629461E-2</c:v>
                </c:pt>
                <c:pt idx="85">
                  <c:v>9.985509908698563E-2</c:v>
                </c:pt>
                <c:pt idx="86">
                  <c:v>0.14250397300696194</c:v>
                </c:pt>
                <c:pt idx="87">
                  <c:v>0.16720192535590436</c:v>
                </c:pt>
                <c:pt idx="88">
                  <c:v>0.17557808324703122</c:v>
                </c:pt>
                <c:pt idx="89">
                  <c:v>0.19271763824134702</c:v>
                </c:pt>
                <c:pt idx="90">
                  <c:v>0.24263593169211051</c:v>
                </c:pt>
                <c:pt idx="91">
                  <c:v>0.34569475539733457</c:v>
                </c:pt>
                <c:pt idx="92">
                  <c:v>0.49355622957712186</c:v>
                </c:pt>
                <c:pt idx="93">
                  <c:v>0.60020859377026514</c:v>
                </c:pt>
                <c:pt idx="94">
                  <c:v>0.56746833800215568</c:v>
                </c:pt>
                <c:pt idx="95">
                  <c:v>0.41722234539427344</c:v>
                </c:pt>
                <c:pt idx="96">
                  <c:v>0.25943664705755143</c:v>
                </c:pt>
                <c:pt idx="97">
                  <c:v>0.15307922795397561</c:v>
                </c:pt>
                <c:pt idx="98">
                  <c:v>8.596236353181147E-2</c:v>
                </c:pt>
                <c:pt idx="99">
                  <c:v>4.0820243580879753E-2</c:v>
                </c:pt>
                <c:pt idx="100">
                  <c:v>1.4785001070123774E-2</c:v>
                </c:pt>
                <c:pt idx="101">
                  <c:v>3.8927693022623748E-3</c:v>
                </c:pt>
                <c:pt idx="102">
                  <c:v>7.321697542541013E-4</c:v>
                </c:pt>
                <c:pt idx="103">
                  <c:v>9.7807351462852332E-5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128-4E4D-A374-25E73A119BF1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NaiwnaGęstość!$AG$5:$AG$108</c:f>
              <c:numCache>
                <c:formatCode>General</c:formatCode>
                <c:ptCount val="104"/>
                <c:pt idx="0">
                  <c:v>3.3579729087285676E-36</c:v>
                </c:pt>
                <c:pt idx="1">
                  <c:v>7.7003656308876984E-36</c:v>
                </c:pt>
                <c:pt idx="2">
                  <c:v>1.6814526119325071E-35</c:v>
                </c:pt>
                <c:pt idx="3">
                  <c:v>3.497569836542299E-35</c:v>
                </c:pt>
                <c:pt idx="4">
                  <c:v>6.9336940134175516E-35</c:v>
                </c:pt>
                <c:pt idx="5">
                  <c:v>1.3107961848510944E-34</c:v>
                </c:pt>
                <c:pt idx="6">
                  <c:v>2.3647953407102884E-34</c:v>
                </c:pt>
                <c:pt idx="7">
                  <c:v>4.0752632325134763E-34</c:v>
                </c:pt>
                <c:pt idx="8">
                  <c:v>6.7228944380662578E-34</c:v>
                </c:pt>
                <c:pt idx="9">
                  <c:v>1.0787197818992289E-33</c:v>
                </c:pt>
                <c:pt idx="10">
                  <c:v>1.9912649949639653E-33</c:v>
                </c:pt>
                <c:pt idx="11">
                  <c:v>9.3278034584050477E-33</c:v>
                </c:pt>
                <c:pt idx="12">
                  <c:v>1.1738464020321446E-31</c:v>
                </c:pt>
                <c:pt idx="13">
                  <c:v>1.691535437706418E-30</c:v>
                </c:pt>
                <c:pt idx="14">
                  <c:v>2.2619593475719581E-29</c:v>
                </c:pt>
                <c:pt idx="15">
                  <c:v>2.7483905698952527E-28</c:v>
                </c:pt>
                <c:pt idx="16">
                  <c:v>3.0285314889880422E-27</c:v>
                </c:pt>
                <c:pt idx="17">
                  <c:v>3.0260029599510199E-26</c:v>
                </c:pt>
                <c:pt idx="18">
                  <c:v>2.7414876637327236E-25</c:v>
                </c:pt>
                <c:pt idx="19">
                  <c:v>2.2521007024288204E-24</c:v>
                </c:pt>
                <c:pt idx="20">
                  <c:v>1.677574225507344E-23</c:v>
                </c:pt>
                <c:pt idx="21">
                  <c:v>1.133128475384713E-22</c:v>
                </c:pt>
                <c:pt idx="22">
                  <c:v>6.9405736763944575E-22</c:v>
                </c:pt>
                <c:pt idx="23">
                  <c:v>3.8552423666091889E-21</c:v>
                </c:pt>
                <c:pt idx="24">
                  <c:v>1.942127277338486E-20</c:v>
                </c:pt>
                <c:pt idx="25">
                  <c:v>8.8738995013565632E-20</c:v>
                </c:pt>
                <c:pt idx="26">
                  <c:v>3.6780649394493383E-19</c:v>
                </c:pt>
                <c:pt idx="27">
                  <c:v>1.3831591974700169E-18</c:v>
                </c:pt>
                <c:pt idx="28">
                  <c:v>4.720460358960365E-18</c:v>
                </c:pt>
                <c:pt idx="29">
                  <c:v>1.4625549979931314E-17</c:v>
                </c:pt>
                <c:pt idx="30">
                  <c:v>4.1160011346729025E-17</c:v>
                </c:pt>
                <c:pt idx="31">
                  <c:v>1.0528943266267014E-16</c:v>
                </c:pt>
                <c:pt idx="32">
                  <c:v>2.4506526928231419E-16</c:v>
                </c:pt>
                <c:pt idx="33">
                  <c:v>5.1975553794576745E-16</c:v>
                </c:pt>
                <c:pt idx="34">
                  <c:v>1.0065856940140973E-15</c:v>
                </c:pt>
                <c:pt idx="35">
                  <c:v>1.7855318344641411E-15</c:v>
                </c:pt>
                <c:pt idx="36">
                  <c:v>2.9140682001647662E-15</c:v>
                </c:pt>
                <c:pt idx="37">
                  <c:v>4.4045785428511426E-15</c:v>
                </c:pt>
                <c:pt idx="38">
                  <c:v>6.2246733682071412E-15</c:v>
                </c:pt>
                <c:pt idx="39">
                  <c:v>8.3351958124816501E-15</c:v>
                </c:pt>
                <c:pt idx="40">
                  <c:v>1.0760143243542332E-14</c:v>
                </c:pt>
                <c:pt idx="41">
                  <c:v>1.3658223743858213E-14</c:v>
                </c:pt>
                <c:pt idx="42">
                  <c:v>1.7354398917256156E-14</c:v>
                </c:pt>
                <c:pt idx="43">
                  <c:v>2.2299556032851836E-14</c:v>
                </c:pt>
                <c:pt idx="44">
                  <c:v>2.8950603029746384E-14</c:v>
                </c:pt>
                <c:pt idx="45">
                  <c:v>3.7591400513964855E-14</c:v>
                </c:pt>
                <c:pt idx="46">
                  <c:v>4.8145497262472714E-14</c:v>
                </c:pt>
                <c:pt idx="47">
                  <c:v>6.0063659600262857E-14</c:v>
                </c:pt>
                <c:pt idx="48">
                  <c:v>7.2379848751978672E-14</c:v>
                </c:pt>
                <c:pt idx="49">
                  <c:v>8.3976744726554101E-14</c:v>
                </c:pt>
                <c:pt idx="50">
                  <c:v>9.3975763726409028E-14</c:v>
                </c:pt>
                <c:pt idx="51">
                  <c:v>1.020389298717242E-13</c:v>
                </c:pt>
                <c:pt idx="52">
                  <c:v>1.0836494641297494E-13</c:v>
                </c:pt>
                <c:pt idx="53">
                  <c:v>1.1333720070280532E-13</c:v>
                </c:pt>
                <c:pt idx="54">
                  <c:v>1.1703799779359576E-13</c:v>
                </c:pt>
                <c:pt idx="55">
                  <c:v>1.1897855148863671E-13</c:v>
                </c:pt>
                <c:pt idx="56">
                  <c:v>1.1827453780383328E-13</c:v>
                </c:pt>
                <c:pt idx="57">
                  <c:v>1.1418987055100513E-13</c:v>
                </c:pt>
                <c:pt idx="58">
                  <c:v>1.0670586627211445E-13</c:v>
                </c:pt>
                <c:pt idx="59">
                  <c:v>9.6751430740252861E-14</c:v>
                </c:pt>
                <c:pt idx="60">
                  <c:v>8.5955936476655299E-14</c:v>
                </c:pt>
                <c:pt idx="61">
                  <c:v>7.6071884303423987E-14</c:v>
                </c:pt>
                <c:pt idx="62">
                  <c:v>6.8359164298221037E-14</c:v>
                </c:pt>
                <c:pt idx="63">
                  <c:v>6.3181860597769267E-14</c:v>
                </c:pt>
                <c:pt idx="64">
                  <c:v>5.9940686304069097E-14</c:v>
                </c:pt>
                <c:pt idx="65">
                  <c:v>5.734753396214483E-14</c:v>
                </c:pt>
                <c:pt idx="66">
                  <c:v>5.4013104536491747E-14</c:v>
                </c:pt>
                <c:pt idx="67">
                  <c:v>5.550265305704893E-14</c:v>
                </c:pt>
                <c:pt idx="68">
                  <c:v>5.4704004238814616E-13</c:v>
                </c:pt>
                <c:pt idx="69">
                  <c:v>2.671466194084108E-11</c:v>
                </c:pt>
                <c:pt idx="70">
                  <c:v>9.9739956721780741E-10</c:v>
                </c:pt>
                <c:pt idx="71">
                  <c:v>2.6407494416664326E-8</c:v>
                </c:pt>
                <c:pt idx="72">
                  <c:v>4.9524796456180441E-7</c:v>
                </c:pt>
                <c:pt idx="73">
                  <c:v>6.5788888535420688E-6</c:v>
                </c:pt>
                <c:pt idx="74">
                  <c:v>6.1906621901473895E-5</c:v>
                </c:pt>
                <c:pt idx="75">
                  <c:v>4.1270655943566781E-4</c:v>
                </c:pt>
                <c:pt idx="76">
                  <c:v>1.9501607084429823E-3</c:v>
                </c:pt>
                <c:pt idx="77">
                  <c:v>6.5413876783801074E-3</c:v>
                </c:pt>
                <c:pt idx="78">
                  <c:v>1.5648112253588621E-2</c:v>
                </c:pt>
                <c:pt idx="79">
                  <c:v>2.7081504439003468E-2</c:v>
                </c:pt>
                <c:pt idx="80">
                  <c:v>3.5360069557667226E-2</c:v>
                </c:pt>
                <c:pt idx="81">
                  <c:v>3.8734338423761498E-2</c:v>
                </c:pt>
                <c:pt idx="82">
                  <c:v>4.3076681672938037E-2</c:v>
                </c:pt>
                <c:pt idx="83">
                  <c:v>5.7887487152777105E-2</c:v>
                </c:pt>
                <c:pt idx="84">
                  <c:v>9.3972068974486733E-2</c:v>
                </c:pt>
                <c:pt idx="85">
                  <c:v>0.15560545654372773</c:v>
                </c:pt>
                <c:pt idx="86">
                  <c:v>0.22206573306513711</c:v>
                </c:pt>
                <c:pt idx="87">
                  <c:v>0.26055286277700679</c:v>
                </c:pt>
                <c:pt idx="88">
                  <c:v>0.27360553494546308</c:v>
                </c:pt>
                <c:pt idx="89">
                  <c:v>0.30031431901590461</c:v>
                </c:pt>
                <c:pt idx="90">
                  <c:v>0.37810262340207679</c:v>
                </c:pt>
                <c:pt idx="91">
                  <c:v>0.5387004843039146</c:v>
                </c:pt>
                <c:pt idx="92">
                  <c:v>0.76911487881502183</c:v>
                </c:pt>
                <c:pt idx="93">
                  <c:v>0.93531259904646602</c:v>
                </c:pt>
                <c:pt idx="94">
                  <c:v>0.88429304678787657</c:v>
                </c:pt>
                <c:pt idx="95">
                  <c:v>0.65016282722593821</c:v>
                </c:pt>
                <c:pt idx="96">
                  <c:v>0.40428338941807473</c:v>
                </c:pt>
                <c:pt idx="97">
                  <c:v>0.23854528582851567</c:v>
                </c:pt>
                <c:pt idx="98">
                  <c:v>0.1339562320327092</c:v>
                </c:pt>
                <c:pt idx="99">
                  <c:v>6.3610698869726714E-2</c:v>
                </c:pt>
                <c:pt idx="100">
                  <c:v>2.3039653082833497E-2</c:v>
                </c:pt>
                <c:pt idx="101">
                  <c:v>6.0661513536757628E-3</c:v>
                </c:pt>
                <c:pt idx="102">
                  <c:v>1.1409493347853189E-3</c:v>
                </c:pt>
                <c:pt idx="103">
                  <c:v>1.524144256714633E-4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128-4E4D-A374-25E73A119BF1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NaiwnaGęstość!$AH$5:$AH$108</c:f>
              <c:numCache>
                <c:formatCode>General</c:formatCode>
                <c:ptCount val="104"/>
                <c:pt idx="0">
                  <c:v>1.0738668972126814E-34</c:v>
                </c:pt>
                <c:pt idx="1">
                  <c:v>2.4625474868884274E-34</c:v>
                </c:pt>
                <c:pt idx="2">
                  <c:v>5.3772211634634475E-34</c:v>
                </c:pt>
                <c:pt idx="3">
                  <c:v>1.1185094601543315E-33</c:v>
                </c:pt>
                <c:pt idx="4">
                  <c:v>2.217368805208844E-33</c:v>
                </c:pt>
                <c:pt idx="5">
                  <c:v>4.1918751192950866E-33</c:v>
                </c:pt>
                <c:pt idx="6">
                  <c:v>7.5624968441057584E-33</c:v>
                </c:pt>
                <c:pt idx="7">
                  <c:v>1.3031784703743486E-32</c:v>
                </c:pt>
                <c:pt idx="8">
                  <c:v>2.1481435951551497E-32</c:v>
                </c:pt>
                <c:pt idx="9">
                  <c:v>3.4100647605316173E-32</c:v>
                </c:pt>
                <c:pt idx="10">
                  <c:v>5.581868952247373E-32</c:v>
                </c:pt>
                <c:pt idx="11">
                  <c:v>1.5694452970081852E-31</c:v>
                </c:pt>
                <c:pt idx="12">
                  <c:v>1.4492945093225402E-30</c:v>
                </c:pt>
                <c:pt idx="13">
                  <c:v>2.0026034674209535E-29</c:v>
                </c:pt>
                <c:pt idx="14">
                  <c:v>2.6672232305715773E-28</c:v>
                </c:pt>
                <c:pt idx="15">
                  <c:v>3.2395461021966847E-27</c:v>
                </c:pt>
                <c:pt idx="16">
                  <c:v>3.5696067431318085E-26</c:v>
                </c:pt>
                <c:pt idx="17">
                  <c:v>3.5666106474898435E-25</c:v>
                </c:pt>
                <c:pt idx="18">
                  <c:v>3.2312638421324372E-24</c:v>
                </c:pt>
                <c:pt idx="19">
                  <c:v>2.6544460431619179E-23</c:v>
                </c:pt>
                <c:pt idx="20">
                  <c:v>1.977278466880796E-22</c:v>
                </c:pt>
                <c:pt idx="21">
                  <c:v>1.3355656623045686E-21</c:v>
                </c:pt>
                <c:pt idx="22">
                  <c:v>8.1805303443142483E-21</c:v>
                </c:pt>
                <c:pt idx="23">
                  <c:v>4.5439942912542762E-20</c:v>
                </c:pt>
                <c:pt idx="24">
                  <c:v>2.2890948017923466E-19</c:v>
                </c:pt>
                <c:pt idx="25">
                  <c:v>1.0459251284494813E-18</c:v>
                </c:pt>
                <c:pt idx="26">
                  <c:v>4.3351635249529608E-18</c:v>
                </c:pt>
                <c:pt idx="27">
                  <c:v>1.6302652075992229E-17</c:v>
                </c:pt>
                <c:pt idx="28">
                  <c:v>5.56378636757111E-17</c:v>
                </c:pt>
                <c:pt idx="29">
                  <c:v>1.7238453330533434E-16</c:v>
                </c:pt>
                <c:pt idx="30">
                  <c:v>4.8513384840803487E-16</c:v>
                </c:pt>
                <c:pt idx="31">
                  <c:v>1.2409974145548688E-15</c:v>
                </c:pt>
                <c:pt idx="32">
                  <c:v>2.8884699811320266E-15</c:v>
                </c:pt>
                <c:pt idx="33">
                  <c:v>6.1261160068911577E-15</c:v>
                </c:pt>
                <c:pt idx="34">
                  <c:v>1.1864155900635789E-14</c:v>
                </c:pt>
                <c:pt idx="35">
                  <c:v>2.1045230600440171E-14</c:v>
                </c:pt>
                <c:pt idx="36">
                  <c:v>3.4346762165840729E-14</c:v>
                </c:pt>
                <c:pt idx="37">
                  <c:v>5.191471210025892E-14</c:v>
                </c:pt>
                <c:pt idx="38">
                  <c:v>7.3367320547187243E-14</c:v>
                </c:pt>
                <c:pt idx="39">
                  <c:v>9.8243063824254927E-14</c:v>
                </c:pt>
                <c:pt idx="40">
                  <c:v>1.2682478770930277E-13</c:v>
                </c:pt>
                <c:pt idx="41">
                  <c:v>1.609831103169144E-13</c:v>
                </c:pt>
                <c:pt idx="42">
                  <c:v>2.0454820244372396E-13</c:v>
                </c:pt>
                <c:pt idx="43">
                  <c:v>2.628344619459814E-13</c:v>
                </c:pt>
                <c:pt idx="44">
                  <c:v>3.4122724950779954E-13</c:v>
                </c:pt>
                <c:pt idx="45">
                  <c:v>4.430722976425227E-13</c:v>
                </c:pt>
                <c:pt idx="46">
                  <c:v>5.6746851145652201E-13</c:v>
                </c:pt>
                <c:pt idx="47">
                  <c:v>7.0794232989591649E-13</c:v>
                </c:pt>
                <c:pt idx="48">
                  <c:v>8.5310750467102042E-13</c:v>
                </c:pt>
                <c:pt idx="49">
                  <c:v>9.8979470639067004E-13</c:v>
                </c:pt>
                <c:pt idx="50">
                  <c:v>1.1076484777815804E-12</c:v>
                </c:pt>
                <c:pt idx="51">
                  <c:v>1.2026852548484795E-12</c:v>
                </c:pt>
                <c:pt idx="52">
                  <c:v>1.2772470600894236E-12</c:v>
                </c:pt>
                <c:pt idx="53">
                  <c:v>1.3358527013407949E-12</c:v>
                </c:pt>
                <c:pt idx="54">
                  <c:v>1.3794722698513149E-12</c:v>
                </c:pt>
                <c:pt idx="55">
                  <c:v>1.4023446707888927E-12</c:v>
                </c:pt>
                <c:pt idx="56">
                  <c:v>1.3940467899801753E-12</c:v>
                </c:pt>
                <c:pt idx="57">
                  <c:v>1.34590272298423E-12</c:v>
                </c:pt>
                <c:pt idx="58">
                  <c:v>1.2576922565989001E-12</c:v>
                </c:pt>
                <c:pt idx="59">
                  <c:v>1.1403639697425005E-12</c:v>
                </c:pt>
                <c:pt idx="60">
                  <c:v>1.0131225160546569E-12</c:v>
                </c:pt>
                <c:pt idx="61">
                  <c:v>8.9662380500542917E-13</c:v>
                </c:pt>
                <c:pt idx="62">
                  <c:v>8.057175730730517E-13</c:v>
                </c:pt>
                <c:pt idx="63">
                  <c:v>7.4469511002110566E-13</c:v>
                </c:pt>
                <c:pt idx="64">
                  <c:v>7.0649287907450691E-13</c:v>
                </c:pt>
                <c:pt idx="65">
                  <c:v>6.7592402043851061E-13</c:v>
                </c:pt>
                <c:pt idx="66">
                  <c:v>6.3594355223623416E-13</c:v>
                </c:pt>
                <c:pt idx="67">
                  <c:v>5.8226556575296224E-13</c:v>
                </c:pt>
                <c:pt idx="68">
                  <c:v>1.0893364758460578E-12</c:v>
                </c:pt>
                <c:pt idx="69">
                  <c:v>3.2092103001258143E-11</c:v>
                </c:pt>
                <c:pt idx="70">
                  <c:v>1.1854416357710714E-9</c:v>
                </c:pt>
                <c:pt idx="71">
                  <c:v>3.1379612798534106E-8</c:v>
                </c:pt>
                <c:pt idx="72">
                  <c:v>5.8849233303350491E-7</c:v>
                </c:pt>
                <c:pt idx="73">
                  <c:v>7.8175485262192462E-6</c:v>
                </c:pt>
                <c:pt idx="74">
                  <c:v>7.3562272929485407E-5</c:v>
                </c:pt>
                <c:pt idx="75">
                  <c:v>4.9041009864864518E-4</c:v>
                </c:pt>
                <c:pt idx="76">
                  <c:v>2.3173329415744882E-3</c:v>
                </c:pt>
                <c:pt idx="77">
                  <c:v>7.7729866492846243E-3</c:v>
                </c:pt>
                <c:pt idx="78">
                  <c:v>1.8594306531568135E-2</c:v>
                </c:pt>
                <c:pt idx="79">
                  <c:v>3.2180354199552341E-2</c:v>
                </c:pt>
                <c:pt idx="80">
                  <c:v>4.2017590472104689E-2</c:v>
                </c:pt>
                <c:pt idx="81">
                  <c:v>4.6027159715940583E-2</c:v>
                </c:pt>
                <c:pt idx="82">
                  <c:v>5.1187070389635658E-2</c:v>
                </c:pt>
                <c:pt idx="83">
                  <c:v>6.8786423756262233E-2</c:v>
                </c:pt>
                <c:pt idx="84">
                  <c:v>0.11166493616611657</c:v>
                </c:pt>
                <c:pt idx="85">
                  <c:v>0.18490253073785412</c:v>
                </c:pt>
                <c:pt idx="86">
                  <c:v>0.26387581095115348</c:v>
                </c:pt>
                <c:pt idx="87">
                  <c:v>0.30960921800915692</c:v>
                </c:pt>
                <c:pt idx="88">
                  <c:v>0.32511942035325592</c:v>
                </c:pt>
                <c:pt idx="89">
                  <c:v>0.35685687916253428</c:v>
                </c:pt>
                <c:pt idx="90">
                  <c:v>0.44929100494634205</c:v>
                </c:pt>
                <c:pt idx="91">
                  <c:v>0.64012589963071254</c:v>
                </c:pt>
                <c:pt idx="92">
                  <c:v>0.91392224077355388</c:v>
                </c:pt>
                <c:pt idx="93">
                  <c:v>1.1114113247442061</c:v>
                </c:pt>
                <c:pt idx="94">
                  <c:v>1.0507859164888447</c:v>
                </c:pt>
                <c:pt idx="95">
                  <c:v>0.77257414242392752</c:v>
                </c:pt>
                <c:pt idx="96">
                  <c:v>0.48040103155169606</c:v>
                </c:pt>
                <c:pt idx="97">
                  <c:v>0.28345809989563148</c:v>
                </c:pt>
                <c:pt idx="98">
                  <c:v>0.15917723491910243</c:v>
                </c:pt>
                <c:pt idx="99">
                  <c:v>7.558718996278109E-2</c:v>
                </c:pt>
                <c:pt idx="100">
                  <c:v>2.7377511412274669E-2</c:v>
                </c:pt>
                <c:pt idx="101">
                  <c:v>7.2082738102330407E-3</c:v>
                </c:pt>
                <c:pt idx="102">
                  <c:v>1.3557649206613273E-3</c:v>
                </c:pt>
                <c:pt idx="103">
                  <c:v>1.8111069915912985E-4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128-4E4D-A374-25E73A119BF1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NaiwnaGęstość!$AI$5:$AI$108</c:f>
              <c:numCache>
                <c:formatCode>General</c:formatCode>
                <c:ptCount val="104"/>
                <c:pt idx="0">
                  <c:v>3.1404250794710818E-33</c:v>
                </c:pt>
                <c:pt idx="1">
                  <c:v>7.2014938790647941E-33</c:v>
                </c:pt>
                <c:pt idx="2">
                  <c:v>1.572518926059202E-32</c:v>
                </c:pt>
                <c:pt idx="3">
                  <c:v>3.2709781523469676E-32</c:v>
                </c:pt>
                <c:pt idx="4">
                  <c:v>6.4844913175916261E-32</c:v>
                </c:pt>
                <c:pt idx="5">
                  <c:v>1.2258752600742459E-31</c:v>
                </c:pt>
                <c:pt idx="6">
                  <c:v>2.21157961877452E-31</c:v>
                </c:pt>
                <c:pt idx="7">
                  <c:v>3.8109431543138376E-31</c:v>
                </c:pt>
                <c:pt idx="8">
                  <c:v>6.280057178108589E-31</c:v>
                </c:pt>
                <c:pt idx="9">
                  <c:v>9.9288647186630026E-31</c:v>
                </c:pt>
                <c:pt idx="10">
                  <c:v>1.5459871907561831E-30</c:v>
                </c:pt>
                <c:pt idx="11">
                  <c:v>3.0364856888155339E-30</c:v>
                </c:pt>
                <c:pt idx="12">
                  <c:v>1.7060049230120918E-29</c:v>
                </c:pt>
                <c:pt idx="13">
                  <c:v>2.1129612270214708E-28</c:v>
                </c:pt>
                <c:pt idx="14">
                  <c:v>2.7824377744947322E-27</c:v>
                </c:pt>
                <c:pt idx="15">
                  <c:v>3.3757287727031782E-26</c:v>
                </c:pt>
                <c:pt idx="16">
                  <c:v>3.7192371341028923E-25</c:v>
                </c:pt>
                <c:pt idx="17">
                  <c:v>3.7160682801364817E-24</c:v>
                </c:pt>
                <c:pt idx="18">
                  <c:v>3.3666638136416672E-23</c:v>
                </c:pt>
                <c:pt idx="19">
                  <c:v>2.7656750309810533E-22</c:v>
                </c:pt>
                <c:pt idx="20">
                  <c:v>2.0601321152096606E-21</c:v>
                </c:pt>
                <c:pt idx="21">
                  <c:v>1.3915296951410593E-20</c:v>
                </c:pt>
                <c:pt idx="22">
                  <c:v>8.5233180294996495E-20</c:v>
                </c:pt>
                <c:pt idx="23">
                  <c:v>4.7344006848421092E-19</c:v>
                </c:pt>
                <c:pt idx="24">
                  <c:v>2.3850144393711124E-18</c:v>
                </c:pt>
                <c:pt idx="25">
                  <c:v>1.0897523911591756E-17</c:v>
                </c:pt>
                <c:pt idx="26">
                  <c:v>4.516819310367722E-17</c:v>
                </c:pt>
                <c:pt idx="27">
                  <c:v>1.6985779955747348E-16</c:v>
                </c:pt>
                <c:pt idx="28">
                  <c:v>5.7969249739136577E-16</c:v>
                </c:pt>
                <c:pt idx="29">
                  <c:v>1.7960793966831908E-15</c:v>
                </c:pt>
                <c:pt idx="30">
                  <c:v>5.0546234807269151E-15</c:v>
                </c:pt>
                <c:pt idx="31">
                  <c:v>1.2929987655395542E-14</c:v>
                </c:pt>
                <c:pt idx="32">
                  <c:v>3.0095051577858379E-14</c:v>
                </c:pt>
                <c:pt idx="33">
                  <c:v>6.3828178379433252E-14</c:v>
                </c:pt>
                <c:pt idx="34">
                  <c:v>1.2361298060555009E-13</c:v>
                </c:pt>
                <c:pt idx="35">
                  <c:v>2.1927086122596637E-13</c:v>
                </c:pt>
                <c:pt idx="36">
                  <c:v>3.578599001081895E-13</c:v>
                </c:pt>
                <c:pt idx="37">
                  <c:v>5.4090087434270165E-13</c:v>
                </c:pt>
                <c:pt idx="38">
                  <c:v>7.6441621703526532E-13</c:v>
                </c:pt>
                <c:pt idx="39">
                  <c:v>1.0235972997022611E-12</c:v>
                </c:pt>
                <c:pt idx="40">
                  <c:v>1.321391100615335E-12</c:v>
                </c:pt>
                <c:pt idx="41">
                  <c:v>1.6772876435616854E-12</c:v>
                </c:pt>
                <c:pt idx="42">
                  <c:v>2.1311935879248849E-12</c:v>
                </c:pt>
                <c:pt idx="43">
                  <c:v>2.7384797973918815E-12</c:v>
                </c:pt>
                <c:pt idx="44">
                  <c:v>3.5552564993884162E-12</c:v>
                </c:pt>
                <c:pt idx="45">
                  <c:v>4.6163829769302529E-12</c:v>
                </c:pt>
                <c:pt idx="46">
                  <c:v>5.9124706964762948E-12</c:v>
                </c:pt>
                <c:pt idx="47">
                  <c:v>7.3760714397374223E-12</c:v>
                </c:pt>
                <c:pt idx="48">
                  <c:v>8.8885515592134804E-12</c:v>
                </c:pt>
                <c:pt idx="49">
                  <c:v>1.0312699434267322E-11</c:v>
                </c:pt>
                <c:pt idx="50">
                  <c:v>1.1540621258562875E-11</c:v>
                </c:pt>
                <c:pt idx="51">
                  <c:v>1.2530812164580473E-11</c:v>
                </c:pt>
                <c:pt idx="52">
                  <c:v>1.3307673751899103E-11</c:v>
                </c:pt>
                <c:pt idx="53">
                  <c:v>1.391828760897033E-11</c:v>
                </c:pt>
                <c:pt idx="54">
                  <c:v>1.4372761144337851E-11</c:v>
                </c:pt>
                <c:pt idx="55">
                  <c:v>1.4611069345711676E-11</c:v>
                </c:pt>
                <c:pt idx="56">
                  <c:v>1.4524613487573453E-11</c:v>
                </c:pt>
                <c:pt idx="57">
                  <c:v>1.4022999072718774E-11</c:v>
                </c:pt>
                <c:pt idx="58">
                  <c:v>1.3103931693478422E-11</c:v>
                </c:pt>
                <c:pt idx="59">
                  <c:v>1.1881484907619403E-11</c:v>
                </c:pt>
                <c:pt idx="60">
                  <c:v>1.0555752552223218E-11</c:v>
                </c:pt>
                <c:pt idx="61">
                  <c:v>9.3419491404922545E-12</c:v>
                </c:pt>
                <c:pt idx="62">
                  <c:v>8.3947945026995506E-12</c:v>
                </c:pt>
                <c:pt idx="63">
                  <c:v>7.7589997098921659E-12</c:v>
                </c:pt>
                <c:pt idx="64">
                  <c:v>7.3609695466448795E-12</c:v>
                </c:pt>
                <c:pt idx="65">
                  <c:v>7.0424668464808309E-12</c:v>
                </c:pt>
                <c:pt idx="66">
                  <c:v>6.625185138816779E-12</c:v>
                </c:pt>
                <c:pt idx="67">
                  <c:v>5.9899621539759188E-12</c:v>
                </c:pt>
                <c:pt idx="68">
                  <c:v>5.6367216170548926E-12</c:v>
                </c:pt>
                <c:pt idx="69">
                  <c:v>3.2866587413386664E-11</c:v>
                </c:pt>
                <c:pt idx="70">
                  <c:v>1.0809197070093357E-9</c:v>
                </c:pt>
                <c:pt idx="71">
                  <c:v>2.8543595024114599E-8</c:v>
                </c:pt>
                <c:pt idx="72">
                  <c:v>5.352731531168879E-7</c:v>
                </c:pt>
                <c:pt idx="73">
                  <c:v>7.1105694784504256E-6</c:v>
                </c:pt>
                <c:pt idx="74">
                  <c:v>6.6909672293810445E-5</c:v>
                </c:pt>
                <c:pt idx="75">
                  <c:v>4.4605988289322029E-4</c:v>
                </c:pt>
                <c:pt idx="76">
                  <c:v>2.1077650380546672E-3</c:v>
                </c:pt>
                <c:pt idx="77">
                  <c:v>7.0700369404329737E-3</c:v>
                </c:pt>
                <c:pt idx="78">
                  <c:v>1.6912731230749791E-2</c:v>
                </c:pt>
                <c:pt idx="79">
                  <c:v>2.9270125269966259E-2</c:v>
                </c:pt>
                <c:pt idx="80">
                  <c:v>3.8217731508923915E-2</c:v>
                </c:pt>
                <c:pt idx="81">
                  <c:v>4.1864695532933524E-2</c:v>
                </c:pt>
                <c:pt idx="82">
                  <c:v>4.6557969909726257E-2</c:v>
                </c:pt>
                <c:pt idx="83">
                  <c:v>6.2565726521637138E-2</c:v>
                </c:pt>
                <c:pt idx="84">
                  <c:v>0.10156652253038932</c:v>
                </c:pt>
                <c:pt idx="85">
                  <c:v>0.16818087842879015</c:v>
                </c:pt>
                <c:pt idx="86">
                  <c:v>0.24001221348772434</c:v>
                </c:pt>
                <c:pt idx="87">
                  <c:v>0.2816097218715391</c:v>
                </c:pt>
                <c:pt idx="88">
                  <c:v>0.29571725974259766</c:v>
                </c:pt>
                <c:pt idx="89">
                  <c:v>0.32458454284760518</c:v>
                </c:pt>
                <c:pt idx="90">
                  <c:v>0.40865939249451422</c:v>
                </c:pt>
                <c:pt idx="91">
                  <c:v>0.58223614179485517</c:v>
                </c:pt>
                <c:pt idx="92">
                  <c:v>0.83127172275872752</c:v>
                </c:pt>
                <c:pt idx="93">
                  <c:v>1.0109008900272405</c:v>
                </c:pt>
                <c:pt idx="94">
                  <c:v>0.95575813792534448</c:v>
                </c:pt>
                <c:pt idx="95">
                  <c:v>0.702706433523276</c:v>
                </c:pt>
                <c:pt idx="96">
                  <c:v>0.4369559851996152</c:v>
                </c:pt>
                <c:pt idx="97">
                  <c:v>0.25782357898492175</c:v>
                </c:pt>
                <c:pt idx="98">
                  <c:v>0.14478204861627639</c:v>
                </c:pt>
                <c:pt idx="99">
                  <c:v>6.8751465732652783E-2</c:v>
                </c:pt>
                <c:pt idx="100">
                  <c:v>2.4901627360841484E-2</c:v>
                </c:pt>
                <c:pt idx="101">
                  <c:v>6.5563938823474874E-3</c:v>
                </c:pt>
                <c:pt idx="102">
                  <c:v>1.2331563791467403E-3</c:v>
                </c:pt>
                <c:pt idx="103">
                  <c:v>1.6473196097363649E-4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128-4E4D-A374-25E73A119BF1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NaiwnaGęstość!$AJ$5:$AJ$108</c:f>
              <c:numCache>
                <c:formatCode>General</c:formatCode>
                <c:ptCount val="104"/>
                <c:pt idx="0">
                  <c:v>8.3982962787733828E-32</c:v>
                </c:pt>
                <c:pt idx="1">
                  <c:v>1.9258628279815494E-31</c:v>
                </c:pt>
                <c:pt idx="2">
                  <c:v>4.2053160036466392E-31</c:v>
                </c:pt>
                <c:pt idx="3">
                  <c:v>8.7474284362299578E-31</c:v>
                </c:pt>
                <c:pt idx="4">
                  <c:v>1.7341180835259814E-30</c:v>
                </c:pt>
                <c:pt idx="5">
                  <c:v>3.2783024756667941E-30</c:v>
                </c:pt>
                <c:pt idx="6">
                  <c:v>5.9143240029650898E-30</c:v>
                </c:pt>
                <c:pt idx="7">
                  <c:v>1.0191352233275603E-29</c:v>
                </c:pt>
                <c:pt idx="8">
                  <c:v>1.6792539564440845E-29</c:v>
                </c:pt>
                <c:pt idx="9">
                  <c:v>2.6510047417126301E-29</c:v>
                </c:pt>
                <c:pt idx="10">
                  <c:v>4.0505454186144698E-29</c:v>
                </c:pt>
                <c:pt idx="11">
                  <c:v>6.613175598806364E-29</c:v>
                </c:pt>
                <c:pt idx="12">
                  <c:v>2.1050509745970961E-28</c:v>
                </c:pt>
                <c:pt idx="13">
                  <c:v>2.0181211664252757E-27</c:v>
                </c:pt>
                <c:pt idx="14">
                  <c:v>2.5721072367669994E-26</c:v>
                </c:pt>
                <c:pt idx="15">
                  <c:v>3.1103379577446779E-25</c:v>
                </c:pt>
                <c:pt idx="16">
                  <c:v>3.4256771653526365E-24</c:v>
                </c:pt>
                <c:pt idx="17">
                  <c:v>3.4226299649879413E-23</c:v>
                </c:pt>
                <c:pt idx="18">
                  <c:v>3.1008023322107199E-22</c:v>
                </c:pt>
                <c:pt idx="19">
                  <c:v>2.5472714837416121E-21</c:v>
                </c:pt>
                <c:pt idx="20">
                  <c:v>1.8974446830182965E-20</c:v>
                </c:pt>
                <c:pt idx="21">
                  <c:v>1.2816413916233649E-19</c:v>
                </c:pt>
                <c:pt idx="22">
                  <c:v>7.8502364691281066E-19</c:v>
                </c:pt>
                <c:pt idx="23">
                  <c:v>4.3605277634073482E-18</c:v>
                </c:pt>
                <c:pt idx="24">
                  <c:v>2.1966712094517174E-17</c:v>
                </c:pt>
                <c:pt idx="25">
                  <c:v>1.0036952663874809E-16</c:v>
                </c:pt>
                <c:pt idx="26">
                  <c:v>4.1601286656593362E-16</c:v>
                </c:pt>
                <c:pt idx="27">
                  <c:v>1.5644422600710742E-15</c:v>
                </c:pt>
                <c:pt idx="28">
                  <c:v>5.3391451150772248E-15</c:v>
                </c:pt>
                <c:pt idx="29">
                  <c:v>1.654244031144901E-14</c:v>
                </c:pt>
                <c:pt idx="30">
                  <c:v>4.6554627474256027E-14</c:v>
                </c:pt>
                <c:pt idx="31">
                  <c:v>1.1908913905039234E-13</c:v>
                </c:pt>
                <c:pt idx="32">
                  <c:v>2.7718462519867438E-13</c:v>
                </c:pt>
                <c:pt idx="33">
                  <c:v>5.8787703538058972E-13</c:v>
                </c:pt>
                <c:pt idx="34">
                  <c:v>1.1385133403143559E-12</c:v>
                </c:pt>
                <c:pt idx="35">
                  <c:v>2.0195516637900067E-12</c:v>
                </c:pt>
                <c:pt idx="36">
                  <c:v>3.2959990790679421E-12</c:v>
                </c:pt>
                <c:pt idx="37">
                  <c:v>4.9818624080585835E-12</c:v>
                </c:pt>
                <c:pt idx="38">
                  <c:v>7.0405070437093554E-12</c:v>
                </c:pt>
                <c:pt idx="39">
                  <c:v>9.4276440476709231E-12</c:v>
                </c:pt>
                <c:pt idx="40">
                  <c:v>1.2170415990727116E-11</c:v>
                </c:pt>
                <c:pt idx="41">
                  <c:v>1.5448331950129099E-11</c:v>
                </c:pt>
                <c:pt idx="42">
                  <c:v>1.9628944458410334E-11</c:v>
                </c:pt>
                <c:pt idx="43">
                  <c:v>2.5222236097201786E-11</c:v>
                </c:pt>
                <c:pt idx="44">
                  <c:v>3.2744999214194903E-11</c:v>
                </c:pt>
                <c:pt idx="45">
                  <c:v>4.2518298462574319E-11</c:v>
                </c:pt>
                <c:pt idx="46">
                  <c:v>5.4455662578317731E-11</c:v>
                </c:pt>
                <c:pt idx="47">
                  <c:v>6.793587285181698E-11</c:v>
                </c:pt>
                <c:pt idx="48">
                  <c:v>8.1866277122858616E-11</c:v>
                </c:pt>
                <c:pt idx="49">
                  <c:v>9.4983114419283628E-11</c:v>
                </c:pt>
                <c:pt idx="50">
                  <c:v>1.0629264980120821E-10</c:v>
                </c:pt>
                <c:pt idx="51">
                  <c:v>1.1541261075058747E-10</c:v>
                </c:pt>
                <c:pt idx="52">
                  <c:v>1.2256774345920155E-10</c:v>
                </c:pt>
                <c:pt idx="53">
                  <c:v>1.2819168374970191E-10</c:v>
                </c:pt>
                <c:pt idx="54">
                  <c:v>1.3237752394464759E-10</c:v>
                </c:pt>
                <c:pt idx="55">
                  <c:v>1.3457241533098341E-10</c:v>
                </c:pt>
                <c:pt idx="56">
                  <c:v>1.3377613044766046E-10</c:v>
                </c:pt>
                <c:pt idx="57">
                  <c:v>1.2915610834149996E-10</c:v>
                </c:pt>
                <c:pt idx="58">
                  <c:v>1.2069121681645963E-10</c:v>
                </c:pt>
                <c:pt idx="59">
                  <c:v>1.0943210821227466E-10</c:v>
                </c:pt>
                <c:pt idx="60">
                  <c:v>9.722170793787856E-11</c:v>
                </c:pt>
                <c:pt idx="61">
                  <c:v>8.6042207451723845E-11</c:v>
                </c:pt>
                <c:pt idx="62">
                  <c:v>7.7318623689039251E-11</c:v>
                </c:pt>
                <c:pt idx="63">
                  <c:v>7.1462759282441248E-11</c:v>
                </c:pt>
                <c:pt idx="64">
                  <c:v>6.779677978072095E-11</c:v>
                </c:pt>
                <c:pt idx="65">
                  <c:v>6.4863268578086967E-11</c:v>
                </c:pt>
                <c:pt idx="66">
                  <c:v>6.1019388571149597E-11</c:v>
                </c:pt>
                <c:pt idx="67">
                  <c:v>5.5107121415807825E-11</c:v>
                </c:pt>
                <c:pt idx="68">
                  <c:v>4.7277077527343871E-11</c:v>
                </c:pt>
                <c:pt idx="69">
                  <c:v>5.7901791435238303E-11</c:v>
                </c:pt>
                <c:pt idx="70">
                  <c:v>8.0454969053370628E-10</c:v>
                </c:pt>
                <c:pt idx="71">
                  <c:v>2.0603182853071688E-8</c:v>
                </c:pt>
                <c:pt idx="72">
                  <c:v>3.8606489576602708E-7</c:v>
                </c:pt>
                <c:pt idx="73">
                  <c:v>5.1283566959628664E-6</c:v>
                </c:pt>
                <c:pt idx="74">
                  <c:v>4.8257218545942915E-5</c:v>
                </c:pt>
                <c:pt idx="75">
                  <c:v>3.2171145538751006E-4</c:v>
                </c:pt>
                <c:pt idx="76">
                  <c:v>1.5201818891398843E-3</c:v>
                </c:pt>
                <c:pt idx="77">
                  <c:v>5.0991177455022921E-3</c:v>
                </c:pt>
                <c:pt idx="78">
                  <c:v>1.2197957191333932E-2</c:v>
                </c:pt>
                <c:pt idx="79">
                  <c:v>2.111047175970774E-2</c:v>
                </c:pt>
                <c:pt idx="80">
                  <c:v>2.7563747483048396E-2</c:v>
                </c:pt>
                <c:pt idx="81">
                  <c:v>3.0194044768325025E-2</c:v>
                </c:pt>
                <c:pt idx="82">
                  <c:v>3.3578971729787653E-2</c:v>
                </c:pt>
                <c:pt idx="83">
                  <c:v>4.5124234716358798E-2</c:v>
                </c:pt>
                <c:pt idx="84">
                  <c:v>7.3252751255124399E-2</c:v>
                </c:pt>
                <c:pt idx="85">
                  <c:v>0.12129697607522545</c:v>
                </c:pt>
                <c:pt idx="86">
                  <c:v>0.17310383908780153</c:v>
                </c:pt>
                <c:pt idx="87">
                  <c:v>0.20310518065741973</c:v>
                </c:pt>
                <c:pt idx="88">
                  <c:v>0.21327995022464299</c:v>
                </c:pt>
                <c:pt idx="89">
                  <c:v>0.2340998804144323</c:v>
                </c:pt>
                <c:pt idx="90">
                  <c:v>0.29473712479930614</c:v>
                </c:pt>
                <c:pt idx="91">
                  <c:v>0.41992576100929913</c:v>
                </c:pt>
                <c:pt idx="92">
                  <c:v>0.59953751704400682</c:v>
                </c:pt>
                <c:pt idx="93">
                  <c:v>0.72909133438720142</c:v>
                </c:pt>
                <c:pt idx="94">
                  <c:v>0.68932076626486982</c:v>
                </c:pt>
                <c:pt idx="95">
                  <c:v>0.50681246436151683</c:v>
                </c:pt>
                <c:pt idx="96">
                  <c:v>0.31514545635534752</c:v>
                </c:pt>
                <c:pt idx="97">
                  <c:v>0.18594991763587748</c:v>
                </c:pt>
                <c:pt idx="98">
                  <c:v>0.10442105458835746</c:v>
                </c:pt>
                <c:pt idx="99">
                  <c:v>4.9585571035302013E-2</c:v>
                </c:pt>
                <c:pt idx="100">
                  <c:v>1.7959783100437797E-2</c:v>
                </c:pt>
                <c:pt idx="101">
                  <c:v>4.7286633255610271E-3</c:v>
                </c:pt>
                <c:pt idx="102">
                  <c:v>8.8938850370975453E-4</c:v>
                </c:pt>
                <c:pt idx="103">
                  <c:v>1.1880951577681623E-4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128-4E4D-A374-25E73A119BF1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NaiwnaGęstość!$AK$5:$AK$108</c:f>
              <c:numCache>
                <c:formatCode>General</c:formatCode>
                <c:ptCount val="104"/>
                <c:pt idx="0">
                  <c:v>2.0538030819996256E-30</c:v>
                </c:pt>
                <c:pt idx="1">
                  <c:v>4.7096969198547549E-30</c:v>
                </c:pt>
                <c:pt idx="2">
                  <c:v>1.0284098920021762E-29</c:v>
                </c:pt>
                <c:pt idx="3">
                  <c:v>2.1391833396814767E-29</c:v>
                </c:pt>
                <c:pt idx="4">
                  <c:v>4.2407852068956624E-29</c:v>
                </c:pt>
                <c:pt idx="5">
                  <c:v>8.0170875507419937E-29</c:v>
                </c:pt>
                <c:pt idx="6">
                  <c:v>1.4463474846595104E-28</c:v>
                </c:pt>
                <c:pt idx="7">
                  <c:v>2.4922879925319931E-28</c:v>
                </c:pt>
                <c:pt idx="8">
                  <c:v>4.1064494051257436E-28</c:v>
                </c:pt>
                <c:pt idx="9">
                  <c:v>6.4794092115169772E-28</c:v>
                </c:pt>
                <c:pt idx="10">
                  <c:v>9.8337771311781601E-28</c:v>
                </c:pt>
                <c:pt idx="11">
                  <c:v>1.4880911655851541E-27</c:v>
                </c:pt>
                <c:pt idx="12">
                  <c:v>3.0420939786180762E-27</c:v>
                </c:pt>
                <c:pt idx="13">
                  <c:v>1.8223539241418984E-26</c:v>
                </c:pt>
                <c:pt idx="14">
                  <c:v>2.1175861364460057E-25</c:v>
                </c:pt>
                <c:pt idx="15">
                  <c:v>2.535387465763705E-24</c:v>
                </c:pt>
                <c:pt idx="16">
                  <c:v>2.7895419005066932E-23</c:v>
                </c:pt>
                <c:pt idx="17">
                  <c:v>2.7867409112584686E-22</c:v>
                </c:pt>
                <c:pt idx="18">
                  <c:v>2.5246711816186399E-21</c:v>
                </c:pt>
                <c:pt idx="19">
                  <c:v>2.0739831448214093E-20</c:v>
                </c:pt>
                <c:pt idx="20">
                  <c:v>1.5448951485671531E-19</c:v>
                </c:pt>
                <c:pt idx="21">
                  <c:v>1.0435094717299575E-18</c:v>
                </c:pt>
                <c:pt idx="22">
                  <c:v>6.3916444325040847E-18</c:v>
                </c:pt>
                <c:pt idx="23">
                  <c:v>3.5503316472970504E-17</c:v>
                </c:pt>
                <c:pt idx="24">
                  <c:v>1.7885246317396165E-16</c:v>
                </c:pt>
                <c:pt idx="25">
                  <c:v>8.172063706695866E-16</c:v>
                </c:pt>
                <c:pt idx="26">
                  <c:v>3.3871671633878455E-15</c:v>
                </c:pt>
                <c:pt idx="27">
                  <c:v>1.2737652794398265E-14</c:v>
                </c:pt>
                <c:pt idx="28">
                  <c:v>4.3471196368499328E-14</c:v>
                </c:pt>
                <c:pt idx="29">
                  <c:v>1.3468816743009236E-13</c:v>
                </c:pt>
                <c:pt idx="30">
                  <c:v>3.7904670301625306E-13</c:v>
                </c:pt>
                <c:pt idx="31">
                  <c:v>9.6962102311003513E-13</c:v>
                </c:pt>
                <c:pt idx="32">
                  <c:v>2.2568308245286907E-12</c:v>
                </c:pt>
                <c:pt idx="33">
                  <c:v>4.7864812614642838E-12</c:v>
                </c:pt>
                <c:pt idx="34">
                  <c:v>9.2697493546652936E-12</c:v>
                </c:pt>
                <c:pt idx="35">
                  <c:v>1.6443143061425727E-11</c:v>
                </c:pt>
                <c:pt idx="36">
                  <c:v>2.6835948472708631E-11</c:v>
                </c:pt>
                <c:pt idx="37">
                  <c:v>4.0562208809412225E-11</c:v>
                </c:pt>
                <c:pt idx="38">
                  <c:v>5.7323645945967722E-11</c:v>
                </c:pt>
                <c:pt idx="39">
                  <c:v>7.6759660367951171E-11</c:v>
                </c:pt>
                <c:pt idx="40">
                  <c:v>9.9091246260584743E-11</c:v>
                </c:pt>
                <c:pt idx="41">
                  <c:v>1.2577996239009783E-10</c:v>
                </c:pt>
                <c:pt idx="42">
                  <c:v>1.5981841299801552E-10</c:v>
                </c:pt>
                <c:pt idx="43">
                  <c:v>2.0535886450016998E-10</c:v>
                </c:pt>
                <c:pt idx="44">
                  <c:v>2.6660902827057642E-10</c:v>
                </c:pt>
                <c:pt idx="45">
                  <c:v>3.4618300530944117E-10</c:v>
                </c:pt>
                <c:pt idx="46">
                  <c:v>4.4337674857973401E-10</c:v>
                </c:pt>
                <c:pt idx="47">
                  <c:v>5.5313230967752466E-10</c:v>
                </c:pt>
                <c:pt idx="48">
                  <c:v>6.6655333991864609E-10</c:v>
                </c:pt>
                <c:pt idx="49">
                  <c:v>7.7335032661905056E-10</c:v>
                </c:pt>
                <c:pt idx="50">
                  <c:v>8.6543230282076384E-10</c:v>
                </c:pt>
                <c:pt idx="51">
                  <c:v>9.3968681449977376E-10</c:v>
                </c:pt>
                <c:pt idx="52">
                  <c:v>9.9794373996531682E-10</c:v>
                </c:pt>
                <c:pt idx="53">
                  <c:v>1.0437337320827104E-9</c:v>
                </c:pt>
                <c:pt idx="54">
                  <c:v>1.0778147463948624E-9</c:v>
                </c:pt>
                <c:pt idx="55">
                  <c:v>1.0956855014326816E-9</c:v>
                </c:pt>
                <c:pt idx="56">
                  <c:v>1.0892021682806303E-9</c:v>
                </c:pt>
                <c:pt idx="57">
                  <c:v>1.0515860548626744E-9</c:v>
                </c:pt>
                <c:pt idx="58">
                  <c:v>9.8266510332609549E-10</c:v>
                </c:pt>
                <c:pt idx="59">
                  <c:v>8.909937007855398E-10</c:v>
                </c:pt>
                <c:pt idx="60">
                  <c:v>7.9157690340964274E-10</c:v>
                </c:pt>
                <c:pt idx="61">
                  <c:v>7.0055366832976294E-10</c:v>
                </c:pt>
                <c:pt idx="62">
                  <c:v>6.2952645056155793E-10</c:v>
                </c:pt>
                <c:pt idx="63">
                  <c:v>5.8184813764066758E-10</c:v>
                </c:pt>
                <c:pt idx="64">
                  <c:v>5.5199981708895764E-10</c:v>
                </c:pt>
                <c:pt idx="65">
                  <c:v>5.2811523400446601E-10</c:v>
                </c:pt>
                <c:pt idx="66">
                  <c:v>4.9681807516862082E-10</c:v>
                </c:pt>
                <c:pt idx="67">
                  <c:v>4.4864104085585032E-10</c:v>
                </c:pt>
                <c:pt idx="68">
                  <c:v>3.8195826618991515E-10</c:v>
                </c:pt>
                <c:pt idx="69">
                  <c:v>3.1466494860097356E-10</c:v>
                </c:pt>
                <c:pt idx="70">
                  <c:v>6.9051304858275027E-10</c:v>
                </c:pt>
                <c:pt idx="71">
                  <c:v>1.2592666659609661E-8</c:v>
                </c:pt>
                <c:pt idx="72">
                  <c:v>2.3348648462850936E-7</c:v>
                </c:pt>
                <c:pt idx="73">
                  <c:v>3.100492824679414E-6</c:v>
                </c:pt>
                <c:pt idx="74">
                  <c:v>2.9174849123096186E-5</c:v>
                </c:pt>
                <c:pt idx="75">
                  <c:v>1.9449683127185222E-4</c:v>
                </c:pt>
                <c:pt idx="76">
                  <c:v>9.1905507353306874E-4</c:v>
                </c:pt>
                <c:pt idx="77">
                  <c:v>3.082769270814805E-3</c:v>
                </c:pt>
                <c:pt idx="78">
                  <c:v>7.3745085826236933E-3</c:v>
                </c:pt>
                <c:pt idx="79">
                  <c:v>1.2762739918076296E-2</c:v>
                </c:pt>
                <c:pt idx="80">
                  <c:v>1.6664191321439831E-2</c:v>
                </c:pt>
                <c:pt idx="81">
                  <c:v>1.8254387909180169E-2</c:v>
                </c:pt>
                <c:pt idx="82">
                  <c:v>2.0300810317059641E-2</c:v>
                </c:pt>
                <c:pt idx="83">
                  <c:v>2.7280720120042467E-2</c:v>
                </c:pt>
                <c:pt idx="84">
                  <c:v>4.4286353388052535E-2</c:v>
                </c:pt>
                <c:pt idx="85">
                  <c:v>7.3332409436209264E-2</c:v>
                </c:pt>
                <c:pt idx="86">
                  <c:v>0.10465324044924049</c:v>
                </c:pt>
                <c:pt idx="87">
                  <c:v>0.12279112594981864</c:v>
                </c:pt>
                <c:pt idx="88">
                  <c:v>0.12894247771443279</c:v>
                </c:pt>
                <c:pt idx="89">
                  <c:v>0.14152956516304366</c:v>
                </c:pt>
                <c:pt idx="90">
                  <c:v>0.17818897231559563</c:v>
                </c:pt>
                <c:pt idx="91">
                  <c:v>0.25387415940235697</c:v>
                </c:pt>
                <c:pt idx="92">
                  <c:v>0.36246188565305221</c:v>
                </c:pt>
                <c:pt idx="93">
                  <c:v>0.44078612657677513</c:v>
                </c:pt>
                <c:pt idx="94">
                  <c:v>0.41674206810619335</c:v>
                </c:pt>
                <c:pt idx="95">
                  <c:v>0.30640317958861263</c:v>
                </c:pt>
                <c:pt idx="96">
                  <c:v>0.19052721992903476</c:v>
                </c:pt>
                <c:pt idx="97">
                  <c:v>0.11241958320747202</c:v>
                </c:pt>
                <c:pt idx="98">
                  <c:v>6.312974796737901E-2</c:v>
                </c:pt>
                <c:pt idx="99">
                  <c:v>2.9977906415687584E-2</c:v>
                </c:pt>
                <c:pt idx="100">
                  <c:v>1.0857930760697802E-2</c:v>
                </c:pt>
                <c:pt idx="101">
                  <c:v>2.8588039561758998E-3</c:v>
                </c:pt>
                <c:pt idx="102">
                  <c:v>5.3769684960202734E-4</c:v>
                </c:pt>
                <c:pt idx="103">
                  <c:v>7.182856768383007E-5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128-4E4D-A374-25E73A119BF1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NaiwnaGęstość!$AL$5:$AL$108</c:f>
              <c:numCache>
                <c:formatCode>General</c:formatCode>
                <c:ptCount val="104"/>
                <c:pt idx="0">
                  <c:v>4.5929464292301511E-29</c:v>
                </c:pt>
                <c:pt idx="1">
                  <c:v>1.0532356212914876E-28</c:v>
                </c:pt>
                <c:pt idx="2">
                  <c:v>2.2998463594934958E-28</c:v>
                </c:pt>
                <c:pt idx="3">
                  <c:v>4.7838834051092933E-28</c:v>
                </c:pt>
                <c:pt idx="4">
                  <c:v>9.4837228747146693E-28</c:v>
                </c:pt>
                <c:pt idx="5">
                  <c:v>1.7928716645245715E-27</c:v>
                </c:pt>
                <c:pt idx="6">
                  <c:v>3.2344854149818307E-27</c:v>
                </c:pt>
                <c:pt idx="7">
                  <c:v>5.573530716959514E-27</c:v>
                </c:pt>
                <c:pt idx="8">
                  <c:v>9.1831806387972384E-27</c:v>
                </c:pt>
                <c:pt idx="9">
                  <c:v>1.4487245164602563E-26</c:v>
                </c:pt>
                <c:pt idx="10">
                  <c:v>2.1937033643498926E-26</c:v>
                </c:pt>
                <c:pt idx="11">
                  <c:v>3.2300738349399256E-26</c:v>
                </c:pt>
                <c:pt idx="12">
                  <c:v>5.2091564040772819E-26</c:v>
                </c:pt>
                <c:pt idx="13">
                  <c:v>1.719106304935096E-25</c:v>
                </c:pt>
                <c:pt idx="14">
                  <c:v>1.577355555639822E-24</c:v>
                </c:pt>
                <c:pt idx="15">
                  <c:v>1.8316458587644729E-23</c:v>
                </c:pt>
                <c:pt idx="16">
                  <c:v>2.0086838677754401E-22</c:v>
                </c:pt>
                <c:pt idx="17">
                  <c:v>2.0059403452240788E-21</c:v>
                </c:pt>
                <c:pt idx="18">
                  <c:v>1.8172203606800518E-20</c:v>
                </c:pt>
                <c:pt idx="19">
                  <c:v>1.4928137239674155E-19</c:v>
                </c:pt>
                <c:pt idx="20">
                  <c:v>1.1119853879706326E-18</c:v>
                </c:pt>
                <c:pt idx="21">
                  <c:v>7.5109767647095948E-18</c:v>
                </c:pt>
                <c:pt idx="22">
                  <c:v>4.6005803758363779E-17</c:v>
                </c:pt>
                <c:pt idx="23">
                  <c:v>2.5554591197017555E-16</c:v>
                </c:pt>
                <c:pt idx="24">
                  <c:v>1.2873449673096363E-15</c:v>
                </c:pt>
                <c:pt idx="25">
                  <c:v>5.8820912485451005E-15</c:v>
                </c:pt>
                <c:pt idx="26">
                  <c:v>2.4380165211277197E-14</c:v>
                </c:pt>
                <c:pt idx="27">
                  <c:v>9.1683127684460509E-14</c:v>
                </c:pt>
                <c:pt idx="28">
                  <c:v>3.1289714922957353E-13</c:v>
                </c:pt>
                <c:pt idx="29">
                  <c:v>9.6945902446687244E-13</c:v>
                </c:pt>
                <c:pt idx="30">
                  <c:v>2.7283038587944338E-12</c:v>
                </c:pt>
                <c:pt idx="31">
                  <c:v>6.9791420367683879E-12</c:v>
                </c:pt>
                <c:pt idx="32">
                  <c:v>1.6244225838691561E-11</c:v>
                </c:pt>
                <c:pt idx="33">
                  <c:v>3.445215376306648E-11</c:v>
                </c:pt>
                <c:pt idx="34">
                  <c:v>6.6721838583844011E-11</c:v>
                </c:pt>
                <c:pt idx="35">
                  <c:v>1.1835452019027262E-10</c:v>
                </c:pt>
                <c:pt idx="36">
                  <c:v>1.9315989610218196E-10</c:v>
                </c:pt>
                <c:pt idx="37">
                  <c:v>2.9195882706620295E-10</c:v>
                </c:pt>
                <c:pt idx="38">
                  <c:v>4.1260436560988038E-10</c:v>
                </c:pt>
                <c:pt idx="39">
                  <c:v>5.525009871214621E-10</c:v>
                </c:pt>
                <c:pt idx="40">
                  <c:v>7.1323936442177684E-10</c:v>
                </c:pt>
                <c:pt idx="41">
                  <c:v>9.0533951098153229E-10</c:v>
                </c:pt>
                <c:pt idx="42">
                  <c:v>1.1503416054516071E-9</c:v>
                </c:pt>
                <c:pt idx="43">
                  <c:v>1.4781328474696963E-9</c:v>
                </c:pt>
                <c:pt idx="44">
                  <c:v>1.9189995186128893E-9</c:v>
                </c:pt>
                <c:pt idx="45">
                  <c:v>2.4917574054040293E-9</c:v>
                </c:pt>
                <c:pt idx="46">
                  <c:v>3.191338915294184E-9</c:v>
                </c:pt>
                <c:pt idx="47">
                  <c:v>3.9813379272480949E-9</c:v>
                </c:pt>
                <c:pt idx="48">
                  <c:v>4.7977202675055161E-9</c:v>
                </c:pt>
                <c:pt idx="49">
                  <c:v>5.5664240409553412E-9</c:v>
                </c:pt>
                <c:pt idx="50">
                  <c:v>6.2292120536128748E-9</c:v>
                </c:pt>
                <c:pt idx="51">
                  <c:v>6.7636814715886253E-9</c:v>
                </c:pt>
                <c:pt idx="52">
                  <c:v>7.1830034002173334E-9</c:v>
                </c:pt>
                <c:pt idx="53">
                  <c:v>7.5125907866631811E-9</c:v>
                </c:pt>
                <c:pt idx="54">
                  <c:v>7.7578992463320107E-9</c:v>
                </c:pt>
                <c:pt idx="55">
                  <c:v>7.8865294376547887E-9</c:v>
                </c:pt>
                <c:pt idx="56">
                  <c:v>7.839863676639497E-9</c:v>
                </c:pt>
                <c:pt idx="57">
                  <c:v>7.5691102666391212E-9</c:v>
                </c:pt>
                <c:pt idx="58">
                  <c:v>7.0730307689605601E-9</c:v>
                </c:pt>
                <c:pt idx="59">
                  <c:v>6.4131979850258773E-9</c:v>
                </c:pt>
                <c:pt idx="60">
                  <c:v>5.6976153674981553E-9</c:v>
                </c:pt>
                <c:pt idx="61">
                  <c:v>5.0424479658766146E-9</c:v>
                </c:pt>
                <c:pt idx="62">
                  <c:v>4.531207976781914E-9</c:v>
                </c:pt>
                <c:pt idx="63">
                  <c:v>4.1880288273848689E-9</c:v>
                </c:pt>
                <c:pt idx="64">
                  <c:v>3.9731864676064824E-9</c:v>
                </c:pt>
                <c:pt idx="65">
                  <c:v>3.8012699196084765E-9</c:v>
                </c:pt>
                <c:pt idx="66">
                  <c:v>3.5759989035636625E-9</c:v>
                </c:pt>
                <c:pt idx="67">
                  <c:v>3.229208831069467E-9</c:v>
                </c:pt>
                <c:pt idx="68">
                  <c:v>2.7476641980969454E-9</c:v>
                </c:pt>
                <c:pt idx="69">
                  <c:v>2.1806422047750489E-9</c:v>
                </c:pt>
                <c:pt idx="70">
                  <c:v>1.8207233137488602E-9</c:v>
                </c:pt>
                <c:pt idx="71">
                  <c:v>7.251559858061405E-9</c:v>
                </c:pt>
                <c:pt idx="72">
                  <c:v>1.1672500545893341E-7</c:v>
                </c:pt>
                <c:pt idx="73">
                  <c:v>1.5423102723681828E-6</c:v>
                </c:pt>
                <c:pt idx="74">
                  <c:v>1.4509745622735896E-5</c:v>
                </c:pt>
                <c:pt idx="75">
                  <c:v>9.6729500063429889E-5</c:v>
                </c:pt>
                <c:pt idx="76">
                  <c:v>4.5707516727620394E-4</c:v>
                </c:pt>
                <c:pt idx="77">
                  <c:v>1.5331585998700607E-3</c:v>
                </c:pt>
                <c:pt idx="78">
                  <c:v>3.6675761890168999E-3</c:v>
                </c:pt>
                <c:pt idx="79">
                  <c:v>6.3473139206915441E-3</c:v>
                </c:pt>
                <c:pt idx="80">
                  <c:v>8.2876290054372682E-3</c:v>
                </c:pt>
                <c:pt idx="81">
                  <c:v>9.0784840253595647E-3</c:v>
                </c:pt>
                <c:pt idx="82">
                  <c:v>1.0096234564567205E-2</c:v>
                </c:pt>
                <c:pt idx="83">
                  <c:v>1.3567564305069321E-2</c:v>
                </c:pt>
                <c:pt idx="84">
                  <c:v>2.202500318119532E-2</c:v>
                </c:pt>
                <c:pt idx="85">
                  <c:v>3.6470524835600815E-2</c:v>
                </c:pt>
                <c:pt idx="86">
                  <c:v>5.2047363972818242E-2</c:v>
                </c:pt>
                <c:pt idx="87">
                  <c:v>6.1067907668297686E-2</c:v>
                </c:pt>
                <c:pt idx="88">
                  <c:v>6.4127169310300977E-2</c:v>
                </c:pt>
                <c:pt idx="89">
                  <c:v>7.038712570518485E-2</c:v>
                </c:pt>
                <c:pt idx="90">
                  <c:v>8.8619007478803219E-2</c:v>
                </c:pt>
                <c:pt idx="91">
                  <c:v>0.12625964299802661</c:v>
                </c:pt>
                <c:pt idx="92">
                  <c:v>0.18026375110676601</c:v>
                </c:pt>
                <c:pt idx="93">
                  <c:v>0.21921687150468575</c:v>
                </c:pt>
                <c:pt idx="94">
                  <c:v>0.2072590013304787</c:v>
                </c:pt>
                <c:pt idx="95">
                  <c:v>0.15238398488207577</c:v>
                </c:pt>
                <c:pt idx="96">
                  <c:v>9.4755207959235477E-2</c:v>
                </c:pt>
                <c:pt idx="97">
                  <c:v>5.5909811676684518E-2</c:v>
                </c:pt>
                <c:pt idx="98">
                  <c:v>3.1396418838689689E-2</c:v>
                </c:pt>
                <c:pt idx="99">
                  <c:v>1.4908960292702502E-2</c:v>
                </c:pt>
                <c:pt idx="100">
                  <c:v>5.3999921251153072E-3</c:v>
                </c:pt>
                <c:pt idx="101">
                  <c:v>1.4217735580408352E-3</c:v>
                </c:pt>
                <c:pt idx="102">
                  <c:v>2.6741363686534099E-4</c:v>
                </c:pt>
                <c:pt idx="103">
                  <c:v>3.5722616804204684E-5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128-4E4D-A374-25E73A119BF1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NaiwnaGęstość!$AM$5:$AM$108</c:f>
              <c:numCache>
                <c:formatCode>General</c:formatCode>
                <c:ptCount val="104"/>
                <c:pt idx="0">
                  <c:v>9.392670539041539E-28</c:v>
                </c:pt>
                <c:pt idx="1">
                  <c:v>2.1538886514798163E-27</c:v>
                </c:pt>
                <c:pt idx="2">
                  <c:v>4.7032334206329495E-27</c:v>
                </c:pt>
                <c:pt idx="3">
                  <c:v>9.7831406077894079E-27</c:v>
                </c:pt>
                <c:pt idx="4">
                  <c:v>1.9394409626149668E-26</c:v>
                </c:pt>
                <c:pt idx="5">
                  <c:v>3.6664596686893121E-26</c:v>
                </c:pt>
                <c:pt idx="6">
                  <c:v>6.6145895090718129E-26</c:v>
                </c:pt>
                <c:pt idx="7">
                  <c:v>1.1397982235164524E-25</c:v>
                </c:pt>
                <c:pt idx="8">
                  <c:v>1.8779710728567009E-25</c:v>
                </c:pt>
                <c:pt idx="9">
                  <c:v>2.9624883322732492E-25</c:v>
                </c:pt>
                <c:pt idx="10">
                  <c:v>4.4825337133371056E-25</c:v>
                </c:pt>
                <c:pt idx="11">
                  <c:v>6.5402041356226349E-25</c:v>
                </c:pt>
                <c:pt idx="12">
                  <c:v>9.5871569690732876E-25</c:v>
                </c:pt>
                <c:pt idx="13">
                  <c:v>1.9402471338426667E-24</c:v>
                </c:pt>
                <c:pt idx="14">
                  <c:v>1.114167403154499E-23</c:v>
                </c:pt>
                <c:pt idx="15">
                  <c:v>1.1795263175183983E-22</c:v>
                </c:pt>
                <c:pt idx="16">
                  <c:v>1.2799332504667447E-21</c:v>
                </c:pt>
                <c:pt idx="17">
                  <c:v>1.2766763676808429E-20</c:v>
                </c:pt>
                <c:pt idx="18">
                  <c:v>1.1564038570167283E-19</c:v>
                </c:pt>
                <c:pt idx="19">
                  <c:v>9.4994793693811037E-19</c:v>
                </c:pt>
                <c:pt idx="20">
                  <c:v>7.0760713455943288E-18</c:v>
                </c:pt>
                <c:pt idx="21">
                  <c:v>4.7795761396831112E-17</c:v>
                </c:pt>
                <c:pt idx="22">
                  <c:v>2.9275583748041644E-16</c:v>
                </c:pt>
                <c:pt idx="23">
                  <c:v>1.6261547592747674E-15</c:v>
                </c:pt>
                <c:pt idx="24">
                  <c:v>8.1919609883343073E-15</c:v>
                </c:pt>
                <c:pt idx="25">
                  <c:v>3.7430419385471452E-14</c:v>
                </c:pt>
                <c:pt idx="26">
                  <c:v>1.5514206936140357E-13</c:v>
                </c:pt>
                <c:pt idx="27">
                  <c:v>5.8342140141208026E-13</c:v>
                </c:pt>
                <c:pt idx="28">
                  <c:v>1.9911067380765034E-12</c:v>
                </c:pt>
                <c:pt idx="29">
                  <c:v>6.1691082857584027E-12</c:v>
                </c:pt>
                <c:pt idx="30">
                  <c:v>1.7361437169150959E-11</c:v>
                </c:pt>
                <c:pt idx="31">
                  <c:v>4.4411452036525539E-11</c:v>
                </c:pt>
                <c:pt idx="32">
                  <c:v>1.0336939023518553E-10</c:v>
                </c:pt>
                <c:pt idx="33">
                  <c:v>2.1923470912934618E-10</c:v>
                </c:pt>
                <c:pt idx="34">
                  <c:v>4.245813766855229E-10</c:v>
                </c:pt>
                <c:pt idx="35">
                  <c:v>7.5314359115259772E-10</c:v>
                </c:pt>
                <c:pt idx="36">
                  <c:v>1.2291641889400026E-9</c:v>
                </c:pt>
                <c:pt idx="37">
                  <c:v>1.8578666799699607E-9</c:v>
                </c:pt>
                <c:pt idx="38">
                  <c:v>2.6255890619224813E-9</c:v>
                </c:pt>
                <c:pt idx="39">
                  <c:v>3.5158148323109895E-9</c:v>
                </c:pt>
                <c:pt idx="40">
                  <c:v>4.5386661650812029E-9</c:v>
                </c:pt>
                <c:pt idx="41">
                  <c:v>5.7610866861425052E-9</c:v>
                </c:pt>
                <c:pt idx="42">
                  <c:v>7.3201463399052225E-9</c:v>
                </c:pt>
                <c:pt idx="43">
                  <c:v>9.4060309581266946E-9</c:v>
                </c:pt>
                <c:pt idx="44">
                  <c:v>1.2211465912283715E-8</c:v>
                </c:pt>
                <c:pt idx="45">
                  <c:v>1.585618460173773E-8</c:v>
                </c:pt>
                <c:pt idx="46">
                  <c:v>2.0307939632433447E-8</c:v>
                </c:pt>
                <c:pt idx="47">
                  <c:v>2.5335062313624207E-8</c:v>
                </c:pt>
                <c:pt idx="48">
                  <c:v>3.0530074101146672E-8</c:v>
                </c:pt>
                <c:pt idx="49">
                  <c:v>3.5421685503379643E-8</c:v>
                </c:pt>
                <c:pt idx="50">
                  <c:v>3.9639306792564772E-8</c:v>
                </c:pt>
                <c:pt idx="51">
                  <c:v>4.3040378557026E-8</c:v>
                </c:pt>
                <c:pt idx="52">
                  <c:v>4.5708714524834793E-8</c:v>
                </c:pt>
                <c:pt idx="53">
                  <c:v>4.7806028826201244E-8</c:v>
                </c:pt>
                <c:pt idx="54">
                  <c:v>4.9367038020933109E-8</c:v>
                </c:pt>
                <c:pt idx="55">
                  <c:v>5.0185570376670237E-8</c:v>
                </c:pt>
                <c:pt idx="56">
                  <c:v>4.988861493484662E-8</c:v>
                </c:pt>
                <c:pt idx="57">
                  <c:v>4.8165687959208788E-8</c:v>
                </c:pt>
                <c:pt idx="58">
                  <c:v>4.5008908701617633E-8</c:v>
                </c:pt>
                <c:pt idx="59">
                  <c:v>4.081009287562417E-8</c:v>
                </c:pt>
                <c:pt idx="60">
                  <c:v>3.6256515526277643E-8</c:v>
                </c:pt>
                <c:pt idx="61">
                  <c:v>3.2087387647848593E-8</c:v>
                </c:pt>
                <c:pt idx="62">
                  <c:v>2.8834135294591692E-8</c:v>
                </c:pt>
                <c:pt idx="63">
                  <c:v>2.6650330429597389E-8</c:v>
                </c:pt>
                <c:pt idx="64">
                  <c:v>2.5283190871975133E-8</c:v>
                </c:pt>
                <c:pt idx="65">
                  <c:v>2.4189207759210754E-8</c:v>
                </c:pt>
                <c:pt idx="66">
                  <c:v>2.2755705835784291E-8</c:v>
                </c:pt>
                <c:pt idx="67">
                  <c:v>2.0548913868993646E-8</c:v>
                </c:pt>
                <c:pt idx="68">
                  <c:v>1.7483946975495263E-8</c:v>
                </c:pt>
                <c:pt idx="69">
                  <c:v>1.3840065092419766E-8</c:v>
                </c:pt>
                <c:pt idx="70">
                  <c:v>1.0227236955649923E-8</c:v>
                </c:pt>
                <c:pt idx="71">
                  <c:v>1.0166673706973536E-8</c:v>
                </c:pt>
                <c:pt idx="72">
                  <c:v>6.8034404055262635E-8</c:v>
                </c:pt>
                <c:pt idx="73">
                  <c:v>8.5115652138384361E-7</c:v>
                </c:pt>
                <c:pt idx="74">
                  <c:v>7.9887689394685716E-6</c:v>
                </c:pt>
                <c:pt idx="75">
                  <c:v>5.3250652924735715E-5</c:v>
                </c:pt>
                <c:pt idx="76">
                  <c:v>2.516227808931646E-4</c:v>
                </c:pt>
                <c:pt idx="77">
                  <c:v>8.4401292688501502E-4</c:v>
                </c:pt>
                <c:pt idx="78">
                  <c:v>2.0190223422248323E-3</c:v>
                </c:pt>
                <c:pt idx="79">
                  <c:v>3.4942337438987271E-3</c:v>
                </c:pt>
                <c:pt idx="80">
                  <c:v>4.5623886315460539E-3</c:v>
                </c:pt>
                <c:pt idx="81">
                  <c:v>4.997758980890092E-3</c:v>
                </c:pt>
                <c:pt idx="82">
                  <c:v>5.5580366526312595E-3</c:v>
                </c:pt>
                <c:pt idx="83">
                  <c:v>7.4690241406922889E-3</c:v>
                </c:pt>
                <c:pt idx="84">
                  <c:v>1.2124894104766356E-2</c:v>
                </c:pt>
                <c:pt idx="85">
                  <c:v>2.0077238942433566E-2</c:v>
                </c:pt>
                <c:pt idx="86">
                  <c:v>2.8652380724337269E-2</c:v>
                </c:pt>
                <c:pt idx="87">
                  <c:v>3.3618243211405191E-2</c:v>
                </c:pt>
                <c:pt idx="88">
                  <c:v>3.5302384781914227E-2</c:v>
                </c:pt>
                <c:pt idx="89">
                  <c:v>3.8748527684321993E-2</c:v>
                </c:pt>
                <c:pt idx="90">
                  <c:v>4.8785286090984682E-2</c:v>
                </c:pt>
                <c:pt idx="91">
                  <c:v>6.9506677863410249E-2</c:v>
                </c:pt>
                <c:pt idx="92">
                  <c:v>9.9236257771010639E-2</c:v>
                </c:pt>
                <c:pt idx="93">
                  <c:v>0.12068018020721742</c:v>
                </c:pt>
                <c:pt idx="94">
                  <c:v>0.1140973021759206</c:v>
                </c:pt>
                <c:pt idx="95">
                  <c:v>8.3888282092693403E-2</c:v>
                </c:pt>
                <c:pt idx="96">
                  <c:v>5.2163300632855146E-2</c:v>
                </c:pt>
                <c:pt idx="97">
                  <c:v>3.0778680957271373E-2</c:v>
                </c:pt>
                <c:pt idx="98">
                  <c:v>1.7283913675564699E-2</c:v>
                </c:pt>
                <c:pt idx="99">
                  <c:v>8.2074705403645393E-3</c:v>
                </c:pt>
                <c:pt idx="100">
                  <c:v>2.9727275017814533E-3</c:v>
                </c:pt>
                <c:pt idx="101">
                  <c:v>7.8269472609710693E-4</c:v>
                </c:pt>
                <c:pt idx="102">
                  <c:v>1.4721278369346199E-4</c:v>
                </c:pt>
                <c:pt idx="103">
                  <c:v>1.966551116168377E-5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128-4E4D-A374-25E73A119BF1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NaiwnaGęstość!$AN$5:$AN$108</c:f>
              <c:numCache>
                <c:formatCode>General</c:formatCode>
                <c:ptCount val="104"/>
                <c:pt idx="0">
                  <c:v>1.7565161825740058E-26</c:v>
                </c:pt>
                <c:pt idx="1">
                  <c:v>4.0279708055988662E-26</c:v>
                </c:pt>
                <c:pt idx="2">
                  <c:v>8.7954810928640773E-26</c:v>
                </c:pt>
                <c:pt idx="3">
                  <c:v>1.8295376935164128E-25</c:v>
                </c:pt>
                <c:pt idx="4">
                  <c:v>3.6269338115754233E-25</c:v>
                </c:pt>
                <c:pt idx="5">
                  <c:v>6.8566183723464608E-25</c:v>
                </c:pt>
                <c:pt idx="6">
                  <c:v>1.2369893517541535E-24</c:v>
                </c:pt>
                <c:pt idx="7">
                  <c:v>2.1315277943888303E-24</c:v>
                </c:pt>
                <c:pt idx="8">
                  <c:v>3.5119744880818049E-24</c:v>
                </c:pt>
                <c:pt idx="9">
                  <c:v>5.5400186660172885E-24</c:v>
                </c:pt>
                <c:pt idx="10">
                  <c:v>8.3806052759697831E-24</c:v>
                </c:pt>
                <c:pt idx="11">
                  <c:v>1.2192180638790357E-23</c:v>
                </c:pt>
                <c:pt idx="12">
                  <c:v>1.7299455019418389E-23</c:v>
                </c:pt>
                <c:pt idx="13">
                  <c:v>2.6979944024843085E-23</c:v>
                </c:pt>
                <c:pt idx="14">
                  <c:v>8.3645807050286523E-23</c:v>
                </c:pt>
                <c:pt idx="15">
                  <c:v>6.9014593733429503E-22</c:v>
                </c:pt>
                <c:pt idx="16">
                  <c:v>7.2338545295228805E-21</c:v>
                </c:pt>
                <c:pt idx="17">
                  <c:v>7.1868492133054047E-20</c:v>
                </c:pt>
                <c:pt idx="18">
                  <c:v>6.5067179312169072E-19</c:v>
                </c:pt>
                <c:pt idx="19">
                  <c:v>5.3447340514061349E-18</c:v>
                </c:pt>
                <c:pt idx="20">
                  <c:v>3.9812084376099371E-17</c:v>
                </c:pt>
                <c:pt idx="21">
                  <c:v>2.6891285796031724E-16</c:v>
                </c:pt>
                <c:pt idx="22">
                  <c:v>1.6471291886769948E-15</c:v>
                </c:pt>
                <c:pt idx="23">
                  <c:v>9.1492176663983447E-15</c:v>
                </c:pt>
                <c:pt idx="24">
                  <c:v>4.6090344911340355E-14</c:v>
                </c:pt>
                <c:pt idx="25">
                  <c:v>2.1059437904647311E-13</c:v>
                </c:pt>
                <c:pt idx="26">
                  <c:v>8.7287421003297815E-13</c:v>
                </c:pt>
                <c:pt idx="27">
                  <c:v>3.2824977579407587E-12</c:v>
                </c:pt>
                <c:pt idx="28">
                  <c:v>1.1202543114854329E-11</c:v>
                </c:pt>
                <c:pt idx="29">
                  <c:v>3.4709189733267805E-11</c:v>
                </c:pt>
                <c:pt idx="30">
                  <c:v>9.7680473227630618E-11</c:v>
                </c:pt>
                <c:pt idx="31">
                  <c:v>2.4987169030914972E-10</c:v>
                </c:pt>
                <c:pt idx="32">
                  <c:v>5.8158612429614608E-10</c:v>
                </c:pt>
                <c:pt idx="33">
                  <c:v>1.2334779619346067E-9</c:v>
                </c:pt>
                <c:pt idx="34">
                  <c:v>2.3888177801282656E-9</c:v>
                </c:pt>
                <c:pt idx="35">
                  <c:v>4.237403947341563E-9</c:v>
                </c:pt>
                <c:pt idx="36">
                  <c:v>6.9156336817183444E-9</c:v>
                </c:pt>
                <c:pt idx="37">
                  <c:v>1.0452895962761885E-8</c:v>
                </c:pt>
                <c:pt idx="38">
                  <c:v>1.4772324409028608E-8</c:v>
                </c:pt>
                <c:pt idx="39">
                  <c:v>1.9780992394500524E-8</c:v>
                </c:pt>
                <c:pt idx="40">
                  <c:v>2.5535850201085515E-8</c:v>
                </c:pt>
                <c:pt idx="41">
                  <c:v>3.2413542054413464E-8</c:v>
                </c:pt>
                <c:pt idx="42">
                  <c:v>4.1185263155942983E-8</c:v>
                </c:pt>
                <c:pt idx="43">
                  <c:v>5.2921054071223651E-8</c:v>
                </c:pt>
                <c:pt idx="44">
                  <c:v>6.8705243551694277E-8</c:v>
                </c:pt>
                <c:pt idx="45">
                  <c:v>8.9211486375863068E-8</c:v>
                </c:pt>
                <c:pt idx="46">
                  <c:v>1.1425834936622367E-7</c:v>
                </c:pt>
                <c:pt idx="47">
                  <c:v>1.4254239737949487E-7</c:v>
                </c:pt>
                <c:pt idx="48">
                  <c:v>1.7177103812414265E-7</c:v>
                </c:pt>
                <c:pt idx="49">
                  <c:v>1.9929266043916651E-7</c:v>
                </c:pt>
                <c:pt idx="50">
                  <c:v>2.2302221919679177E-7</c:v>
                </c:pt>
                <c:pt idx="51">
                  <c:v>2.4215763386302327E-7</c:v>
                </c:pt>
                <c:pt idx="52">
                  <c:v>2.5717046474368228E-7</c:v>
                </c:pt>
                <c:pt idx="53">
                  <c:v>2.6897056236626867E-7</c:v>
                </c:pt>
                <c:pt idx="54">
                  <c:v>2.7775325214985993E-7</c:v>
                </c:pt>
                <c:pt idx="55">
                  <c:v>2.8235855222274397E-7</c:v>
                </c:pt>
                <c:pt idx="56">
                  <c:v>2.8068779491145594E-7</c:v>
                </c:pt>
                <c:pt idx="57">
                  <c:v>2.7099410880257467E-7</c:v>
                </c:pt>
                <c:pt idx="58">
                  <c:v>2.5323315452487683E-7</c:v>
                </c:pt>
                <c:pt idx="59">
                  <c:v>2.2960940074905855E-7</c:v>
                </c:pt>
                <c:pt idx="60">
                  <c:v>2.0398965590715342E-7</c:v>
                </c:pt>
                <c:pt idx="61">
                  <c:v>1.8053293512169139E-7</c:v>
                </c:pt>
                <c:pt idx="62">
                  <c:v>1.6222919527004923E-7</c:v>
                </c:pt>
                <c:pt idx="63">
                  <c:v>1.4994247668961393E-7</c:v>
                </c:pt>
                <c:pt idx="64">
                  <c:v>1.4225055362727929E-7</c:v>
                </c:pt>
                <c:pt idx="65">
                  <c:v>1.3609548782706168E-7</c:v>
                </c:pt>
                <c:pt idx="66">
                  <c:v>1.2803019083668434E-7</c:v>
                </c:pt>
                <c:pt idx="67">
                  <c:v>1.1561413595908547E-7</c:v>
                </c:pt>
                <c:pt idx="68">
                  <c:v>9.8369432524299198E-8</c:v>
                </c:pt>
                <c:pt idx="69">
                  <c:v>7.7851519118611787E-8</c:v>
                </c:pt>
                <c:pt idx="70">
                  <c:v>5.6917331079443739E-8</c:v>
                </c:pt>
                <c:pt idx="71">
                  <c:v>4.0677284211256091E-8</c:v>
                </c:pt>
                <c:pt idx="72">
                  <c:v>7.2900731772435618E-8</c:v>
                </c:pt>
                <c:pt idx="73">
                  <c:v>6.723907517472257E-7</c:v>
                </c:pt>
                <c:pt idx="74">
                  <c:v>6.2116689146626812E-6</c:v>
                </c:pt>
                <c:pt idx="75">
                  <c:v>4.1369864777264646E-5</c:v>
                </c:pt>
                <c:pt idx="76">
                  <c:v>1.9547179021551137E-4</c:v>
                </c:pt>
                <c:pt idx="77">
                  <c:v>6.556635962316255E-4</c:v>
                </c:pt>
                <c:pt idx="78">
                  <c:v>1.5684578838293627E-3</c:v>
                </c:pt>
                <c:pt idx="79">
                  <c:v>2.7144613196440552E-3</c:v>
                </c:pt>
                <c:pt idx="80">
                  <c:v>3.5442469543213325E-3</c:v>
                </c:pt>
                <c:pt idx="81">
                  <c:v>3.8824601383109459E-3</c:v>
                </c:pt>
                <c:pt idx="82">
                  <c:v>4.3177063598142983E-3</c:v>
                </c:pt>
                <c:pt idx="83">
                  <c:v>5.8022382802653504E-3</c:v>
                </c:pt>
                <c:pt idx="84">
                  <c:v>9.4191052796046004E-3</c:v>
                </c:pt>
                <c:pt idx="85">
                  <c:v>1.5596806511295939E-2</c:v>
                </c:pt>
                <c:pt idx="86">
                  <c:v>2.225832145180252E-2</c:v>
                </c:pt>
                <c:pt idx="87">
                  <c:v>2.611600310785752E-2</c:v>
                </c:pt>
                <c:pt idx="88">
                  <c:v>2.7424311998744504E-2</c:v>
                </c:pt>
                <c:pt idx="89">
                  <c:v>3.0101414373887907E-2</c:v>
                </c:pt>
                <c:pt idx="90">
                  <c:v>3.7898371879754561E-2</c:v>
                </c:pt>
                <c:pt idx="91">
                  <c:v>5.3995582210608649E-2</c:v>
                </c:pt>
                <c:pt idx="92">
                  <c:v>7.7090715301881607E-2</c:v>
                </c:pt>
                <c:pt idx="93">
                  <c:v>9.3749216505140079E-2</c:v>
                </c:pt>
                <c:pt idx="94">
                  <c:v>8.8635372154532557E-2</c:v>
                </c:pt>
                <c:pt idx="95">
                  <c:v>6.5167790656661922E-2</c:v>
                </c:pt>
                <c:pt idx="96">
                  <c:v>4.0522549405008094E-2</c:v>
                </c:pt>
                <c:pt idx="97">
                  <c:v>2.3910116970750902E-2</c:v>
                </c:pt>
                <c:pt idx="98">
                  <c:v>1.3426839125069184E-2</c:v>
                </c:pt>
                <c:pt idx="99">
                  <c:v>6.3758931361139687E-3</c:v>
                </c:pt>
                <c:pt idx="100">
                  <c:v>2.3093342560208258E-3</c:v>
                </c:pt>
                <c:pt idx="101">
                  <c:v>6.0802873519342484E-4</c:v>
                </c:pt>
                <c:pt idx="102">
                  <c:v>1.1436080976267329E-4</c:v>
                </c:pt>
                <c:pt idx="103">
                  <c:v>1.5276959815731865E-5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128-4E4D-A374-25E73A119BF1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NaiwnaGęstość!$AO$5:$AO$108</c:f>
              <c:numCache>
                <c:formatCode>General</c:formatCode>
                <c:ptCount val="104"/>
                <c:pt idx="0">
                  <c:v>3.0038683641086149E-25</c:v>
                </c:pt>
                <c:pt idx="1">
                  <c:v>6.8883476249907741E-25</c:v>
                </c:pt>
                <c:pt idx="2">
                  <c:v>1.5041402785855738E-24</c:v>
                </c:pt>
                <c:pt idx="3">
                  <c:v>3.1287445302341044E-24</c:v>
                </c:pt>
                <c:pt idx="4">
                  <c:v>6.2025228365772975E-24</c:v>
                </c:pt>
                <c:pt idx="5">
                  <c:v>1.1725698411082287E-23</c:v>
                </c:pt>
                <c:pt idx="6">
                  <c:v>2.1154107262248688E-23</c:v>
                </c:pt>
                <c:pt idx="7">
                  <c:v>3.6451862978750046E-23</c:v>
                </c:pt>
                <c:pt idx="8">
                  <c:v>6.005925039708026E-23</c:v>
                </c:pt>
                <c:pt idx="9">
                  <c:v>9.4740872553907346E-23</c:v>
                </c:pt>
                <c:pt idx="10">
                  <c:v>1.4330791517751061E-22</c:v>
                </c:pt>
                <c:pt idx="11">
                  <c:v>2.0830050678157735E-22</c:v>
                </c:pt>
                <c:pt idx="12">
                  <c:v>2.9255855055454033E-22</c:v>
                </c:pt>
                <c:pt idx="13">
                  <c:v>4.1283989346378782E-22</c:v>
                </c:pt>
                <c:pt idx="14">
                  <c:v>7.7967959900895227E-22</c:v>
                </c:pt>
                <c:pt idx="15">
                  <c:v>3.893400778448306E-21</c:v>
                </c:pt>
                <c:pt idx="16">
                  <c:v>3.6554797723350736E-20</c:v>
                </c:pt>
                <c:pt idx="17">
                  <c:v>3.5823485560104927E-19</c:v>
                </c:pt>
                <c:pt idx="18">
                  <c:v>3.2379988061440532E-18</c:v>
                </c:pt>
                <c:pt idx="19">
                  <c:v>2.6591917103264602E-17</c:v>
                </c:pt>
                <c:pt idx="20">
                  <c:v>1.9807331590797299E-16</c:v>
                </c:pt>
                <c:pt idx="21">
                  <c:v>1.3378911506921636E-15</c:v>
                </c:pt>
                <c:pt idx="22">
                  <c:v>8.1947664911793923E-15</c:v>
                </c:pt>
                <c:pt idx="23">
                  <c:v>4.5519012215165276E-14</c:v>
                </c:pt>
                <c:pt idx="24">
                  <c:v>2.293077948698783E-13</c:v>
                </c:pt>
                <c:pt idx="25">
                  <c:v>1.0477450875031335E-12</c:v>
                </c:pt>
                <c:pt idx="26">
                  <c:v>4.3427069081672219E-12</c:v>
                </c:pt>
                <c:pt idx="27">
                  <c:v>1.6331019432585695E-11</c:v>
                </c:pt>
                <c:pt idx="28">
                  <c:v>5.5734676086167633E-11</c:v>
                </c:pt>
                <c:pt idx="29">
                  <c:v>1.7268449022078465E-10</c:v>
                </c:pt>
                <c:pt idx="30">
                  <c:v>4.8597800332930456E-10</c:v>
                </c:pt>
                <c:pt idx="31">
                  <c:v>1.2431568063943056E-9</c:v>
                </c:pt>
                <c:pt idx="32">
                  <c:v>2.8934960500256856E-9</c:v>
                </c:pt>
                <c:pt idx="33">
                  <c:v>6.1367757268452082E-9</c:v>
                </c:pt>
                <c:pt idx="34">
                  <c:v>1.1884800070487896E-8</c:v>
                </c:pt>
                <c:pt idx="35">
                  <c:v>2.108185025705218E-8</c:v>
                </c:pt>
                <c:pt idx="36">
                  <c:v>3.4406527091210178E-8</c:v>
                </c:pt>
                <c:pt idx="37">
                  <c:v>5.2005046056025336E-8</c:v>
                </c:pt>
                <c:pt idx="38">
                  <c:v>7.3494983015509519E-8</c:v>
                </c:pt>
                <c:pt idx="39">
                  <c:v>9.8414011215133409E-8</c:v>
                </c:pt>
                <c:pt idx="40">
                  <c:v>1.2704546859723125E-7</c:v>
                </c:pt>
                <c:pt idx="41">
                  <c:v>1.6126322823682423E-7</c:v>
                </c:pt>
                <c:pt idx="42">
                  <c:v>2.0490412560160631E-7</c:v>
                </c:pt>
                <c:pt idx="43">
                  <c:v>2.6329180584134867E-7</c:v>
                </c:pt>
                <c:pt idx="44">
                  <c:v>3.4182100041222711E-7</c:v>
                </c:pt>
                <c:pt idx="45">
                  <c:v>4.4384326355404162E-7</c:v>
                </c:pt>
                <c:pt idx="46">
                  <c:v>5.6845593242714237E-7</c:v>
                </c:pt>
                <c:pt idx="47">
                  <c:v>7.0917418168754222E-7</c:v>
                </c:pt>
                <c:pt idx="48">
                  <c:v>8.5459195045664325E-7</c:v>
                </c:pt>
                <c:pt idx="49">
                  <c:v>9.9151699411230956E-7</c:v>
                </c:pt>
                <c:pt idx="50">
                  <c:v>1.1095758364155056E-6</c:v>
                </c:pt>
                <c:pt idx="51">
                  <c:v>1.2047779817887714E-6</c:v>
                </c:pt>
                <c:pt idx="52">
                  <c:v>1.2794695279556273E-6</c:v>
                </c:pt>
                <c:pt idx="53">
                  <c:v>1.3381771456832256E-6</c:v>
                </c:pt>
                <c:pt idx="54">
                  <c:v>1.3818726142230988E-6</c:v>
                </c:pt>
                <c:pt idx="55">
                  <c:v>1.4047848141766189E-6</c:v>
                </c:pt>
                <c:pt idx="56">
                  <c:v>1.3964724946786054E-6</c:v>
                </c:pt>
                <c:pt idx="57">
                  <c:v>1.3482446548205488E-6</c:v>
                </c:pt>
                <c:pt idx="58">
                  <c:v>1.2598806982193242E-6</c:v>
                </c:pt>
                <c:pt idx="59">
                  <c:v>1.1423482548175833E-6</c:v>
                </c:pt>
                <c:pt idx="60">
                  <c:v>1.0148853952240956E-6</c:v>
                </c:pt>
                <c:pt idx="61">
                  <c:v>8.9818397112909038E-7</c:v>
                </c:pt>
                <c:pt idx="62">
                  <c:v>8.0711955822636985E-7</c:v>
                </c:pt>
                <c:pt idx="63">
                  <c:v>7.4599091331023799E-7</c:v>
                </c:pt>
                <c:pt idx="64">
                  <c:v>7.0772220628960289E-7</c:v>
                </c:pt>
                <c:pt idx="65">
                  <c:v>6.7709964182894659E-7</c:v>
                </c:pt>
                <c:pt idx="66">
                  <c:v>6.3697333202578488E-7</c:v>
                </c:pt>
                <c:pt idx="67">
                  <c:v>5.7520121263288371E-7</c:v>
                </c:pt>
                <c:pt idx="68">
                  <c:v>4.894054724086543E-7</c:v>
                </c:pt>
                <c:pt idx="69">
                  <c:v>3.873133466716875E-7</c:v>
                </c:pt>
                <c:pt idx="70">
                  <c:v>2.8272442407381976E-7</c:v>
                </c:pt>
                <c:pt idx="71">
                  <c:v>1.9047327391912747E-7</c:v>
                </c:pt>
                <c:pt idx="72">
                  <c:v>1.3945391204003824E-7</c:v>
                </c:pt>
                <c:pt idx="73">
                  <c:v>3.7973323132532978E-7</c:v>
                </c:pt>
                <c:pt idx="74">
                  <c:v>2.9988422632745917E-6</c:v>
                </c:pt>
                <c:pt idx="75">
                  <c:v>1.9788916434566537E-5</c:v>
                </c:pt>
                <c:pt idx="76">
                  <c:v>9.3443455955685934E-5</c:v>
                </c:pt>
                <c:pt idx="77">
                  <c:v>3.1341682177952237E-4</c:v>
                </c:pt>
                <c:pt idx="78">
                  <c:v>7.4974143345161364E-4</c:v>
                </c:pt>
                <c:pt idx="79">
                  <c:v>1.2975435754516422E-3</c:v>
                </c:pt>
                <c:pt idx="80">
                  <c:v>1.6941903645782191E-3</c:v>
                </c:pt>
                <c:pt idx="81">
                  <c:v>1.8558600581128444E-3</c:v>
                </c:pt>
                <c:pt idx="82">
                  <c:v>2.0639126820598134E-3</c:v>
                </c:pt>
                <c:pt idx="83">
                  <c:v>2.7735357973242233E-3</c:v>
                </c:pt>
                <c:pt idx="84">
                  <c:v>4.5024393006246437E-3</c:v>
                </c:pt>
                <c:pt idx="85">
                  <c:v>7.4554506520340593E-3</c:v>
                </c:pt>
                <c:pt idx="86">
                  <c:v>1.063973045124798E-2</c:v>
                </c:pt>
                <c:pt idx="87">
                  <c:v>1.2483746096179801E-2</c:v>
                </c:pt>
                <c:pt idx="88">
                  <c:v>1.3109132605047162E-2</c:v>
                </c:pt>
                <c:pt idx="89">
                  <c:v>1.4388817945362934E-2</c:v>
                </c:pt>
                <c:pt idx="90">
                  <c:v>1.8115852186550173E-2</c:v>
                </c:pt>
                <c:pt idx="91">
                  <c:v>2.5810501547604722E-2</c:v>
                </c:pt>
                <c:pt idx="92">
                  <c:v>3.6850237466542937E-2</c:v>
                </c:pt>
                <c:pt idx="93">
                  <c:v>4.4813190239427418E-2</c:v>
                </c:pt>
                <c:pt idx="94">
                  <c:v>4.2368714559718336E-2</c:v>
                </c:pt>
                <c:pt idx="95">
                  <c:v>3.1150944072370488E-2</c:v>
                </c:pt>
                <c:pt idx="96">
                  <c:v>1.9370238847528497E-2</c:v>
                </c:pt>
                <c:pt idx="97">
                  <c:v>1.1429307469449352E-2</c:v>
                </c:pt>
                <c:pt idx="98">
                  <c:v>6.4181815961408331E-3</c:v>
                </c:pt>
                <c:pt idx="99">
                  <c:v>3.0477493328092942E-3</c:v>
                </c:pt>
                <c:pt idx="100">
                  <c:v>1.1038880024753462E-3</c:v>
                </c:pt>
                <c:pt idx="101">
                  <c:v>2.906446410649997E-4</c:v>
                </c:pt>
                <c:pt idx="102">
                  <c:v>5.4665765911213344E-5</c:v>
                </c:pt>
                <c:pt idx="103">
                  <c:v>7.3025602988900113E-6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128-4E4D-A374-25E73A119BF1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NaiwnaGęstość!$AP$5:$AP$108</c:f>
              <c:numCache>
                <c:formatCode>General</c:formatCode>
                <c:ptCount val="104"/>
                <c:pt idx="0">
                  <c:v>4.6975970713763527E-24</c:v>
                </c:pt>
                <c:pt idx="1">
                  <c:v>1.0772336769617802E-23</c:v>
                </c:pt>
                <c:pt idx="2">
                  <c:v>2.3522485379346911E-23</c:v>
                </c:pt>
                <c:pt idx="3">
                  <c:v>4.8928845610957096E-23</c:v>
                </c:pt>
                <c:pt idx="4">
                  <c:v>9.6998102381353939E-23</c:v>
                </c:pt>
                <c:pt idx="5">
                  <c:v>1.8337223818457309E-22</c:v>
                </c:pt>
                <c:pt idx="6">
                  <c:v>3.3081833230222047E-22</c:v>
                </c:pt>
                <c:pt idx="7">
                  <c:v>5.7005215454257098E-22</c:v>
                </c:pt>
                <c:pt idx="8">
                  <c:v>9.392359744273523E-22</c:v>
                </c:pt>
                <c:pt idx="9">
                  <c:v>1.4816017517138426E-21</c:v>
                </c:pt>
                <c:pt idx="10">
                  <c:v>2.241067997056282E-21</c:v>
                </c:pt>
                <c:pt idx="11">
                  <c:v>3.2565769153957167E-21</c:v>
                </c:pt>
                <c:pt idx="12">
                  <c:v>4.5600307690369089E-21</c:v>
                </c:pt>
                <c:pt idx="13">
                  <c:v>6.2323276097281476E-21</c:v>
                </c:pt>
                <c:pt idx="14">
                  <c:v>9.1923975945948153E-21</c:v>
                </c:pt>
                <c:pt idx="15">
                  <c:v>2.4419702101387442E-20</c:v>
                </c:pt>
                <c:pt idx="16">
                  <c:v>1.698096518905542E-19</c:v>
                </c:pt>
                <c:pt idx="17">
                  <c:v>1.5870750052837515E-18</c:v>
                </c:pt>
                <c:pt idx="18">
                  <c:v>1.4260837657490493E-17</c:v>
                </c:pt>
                <c:pt idx="19">
                  <c:v>1.17028028404478E-16</c:v>
                </c:pt>
                <c:pt idx="20">
                  <c:v>8.7160803114277057E-16</c:v>
                </c:pt>
                <c:pt idx="21">
                  <c:v>5.8872081728684757E-15</c:v>
                </c:pt>
                <c:pt idx="22">
                  <c:v>3.6059868469992742E-14</c:v>
                </c:pt>
                <c:pt idx="23">
                  <c:v>2.0029965583668419E-13</c:v>
                </c:pt>
                <c:pt idx="24">
                  <c:v>1.0090348317647519E-12</c:v>
                </c:pt>
                <c:pt idx="25">
                  <c:v>4.6104462878135139E-12</c:v>
                </c:pt>
                <c:pt idx="26">
                  <c:v>1.9109435219031577E-11</c:v>
                </c:pt>
                <c:pt idx="27">
                  <c:v>7.1862219637341815E-11</c:v>
                </c:pt>
                <c:pt idx="28">
                  <c:v>2.4525214424076798E-10</c:v>
                </c:pt>
                <c:pt idx="29">
                  <c:v>7.5987238960120545E-10</c:v>
                </c:pt>
                <c:pt idx="30">
                  <c:v>2.1384738502251465E-9</c:v>
                </c:pt>
                <c:pt idx="31">
                  <c:v>5.4703264427081789E-9</c:v>
                </c:pt>
                <c:pt idx="32">
                  <c:v>1.2732398578260645E-8</c:v>
                </c:pt>
                <c:pt idx="33">
                  <c:v>2.7003967929667669E-8</c:v>
                </c:pt>
                <c:pt idx="34">
                  <c:v>5.2297293275669221E-8</c:v>
                </c:pt>
                <c:pt idx="35">
                  <c:v>9.2767543345078573E-8</c:v>
                </c:pt>
                <c:pt idx="36">
                  <c:v>1.5140079994731138E-7</c:v>
                </c:pt>
                <c:pt idx="37">
                  <c:v>2.288404625467133E-7</c:v>
                </c:pt>
                <c:pt idx="38">
                  <c:v>3.2340373066899454E-7</c:v>
                </c:pt>
                <c:pt idx="39">
                  <c:v>4.3305620426304792E-7</c:v>
                </c:pt>
                <c:pt idx="40">
                  <c:v>5.5904466976015437E-7</c:v>
                </c:pt>
                <c:pt idx="41">
                  <c:v>7.0961482664070032E-7</c:v>
                </c:pt>
                <c:pt idx="42">
                  <c:v>9.0165009814397561E-7</c:v>
                </c:pt>
                <c:pt idx="43">
                  <c:v>1.1585763921558347E-6</c:v>
                </c:pt>
                <c:pt idx="44">
                  <c:v>1.504132421269984E-6</c:v>
                </c:pt>
                <c:pt idx="45">
                  <c:v>1.9530662009320761E-6</c:v>
                </c:pt>
                <c:pt idx="46">
                  <c:v>2.5014056977066128E-6</c:v>
                </c:pt>
                <c:pt idx="47">
                  <c:v>3.1206154031420905E-6</c:v>
                </c:pt>
                <c:pt idx="48">
                  <c:v>3.7605046445010608E-6</c:v>
                </c:pt>
                <c:pt idx="49">
                  <c:v>4.3630229134134994E-6</c:v>
                </c:pt>
                <c:pt idx="50">
                  <c:v>4.8825232721149356E-6</c:v>
                </c:pt>
                <c:pt idx="51">
                  <c:v>5.3014461389302989E-6</c:v>
                </c:pt>
                <c:pt idx="52">
                  <c:v>5.6301151675998774E-6</c:v>
                </c:pt>
                <c:pt idx="53">
                  <c:v>5.888449298894068E-6</c:v>
                </c:pt>
                <c:pt idx="54">
                  <c:v>6.0807247027286602E-6</c:v>
                </c:pt>
                <c:pt idx="55">
                  <c:v>6.18154642740663E-6</c:v>
                </c:pt>
                <c:pt idx="56">
                  <c:v>6.1449693030115846E-6</c:v>
                </c:pt>
                <c:pt idx="57">
                  <c:v>5.9327498739804931E-6</c:v>
                </c:pt>
                <c:pt idx="58">
                  <c:v>5.5439174387722776E-6</c:v>
                </c:pt>
                <c:pt idx="59">
                  <c:v>5.0267334200652963E-6</c:v>
                </c:pt>
                <c:pt idx="60">
                  <c:v>4.465852083368205E-6</c:v>
                </c:pt>
                <c:pt idx="61">
                  <c:v>3.9523248413965775E-6</c:v>
                </c:pt>
                <c:pt idx="62">
                  <c:v>3.5516094502833586E-6</c:v>
                </c:pt>
                <c:pt idx="63">
                  <c:v>3.2826219492937477E-6</c:v>
                </c:pt>
                <c:pt idx="64">
                  <c:v>3.1142262015766624E-6</c:v>
                </c:pt>
                <c:pt idx="65">
                  <c:v>2.9794761658205656E-6</c:v>
                </c:pt>
                <c:pt idx="66">
                  <c:v>2.8029063136099796E-6</c:v>
                </c:pt>
                <c:pt idx="67">
                  <c:v>2.531087297636011E-6</c:v>
                </c:pt>
                <c:pt idx="68">
                  <c:v>2.1535558159585232E-6</c:v>
                </c:pt>
                <c:pt idx="69">
                  <c:v>1.7043093541255315E-6</c:v>
                </c:pt>
                <c:pt idx="70">
                  <c:v>1.2438862328320855E-6</c:v>
                </c:pt>
                <c:pt idx="71">
                  <c:v>8.3284058144691833E-7</c:v>
                </c:pt>
                <c:pt idx="72">
                  <c:v>5.1408635042213455E-7</c:v>
                </c:pt>
                <c:pt idx="73">
                  <c:v>3.4840378405158969E-7</c:v>
                </c:pt>
                <c:pt idx="74">
                  <c:v>7.5085433414494431E-7</c:v>
                </c:pt>
                <c:pt idx="75">
                  <c:v>4.1116717718114069E-6</c:v>
                </c:pt>
                <c:pt idx="76">
                  <c:v>1.9142692938191623E-5</c:v>
                </c:pt>
                <c:pt idx="77">
                  <c:v>6.4127167235977919E-5</c:v>
                </c:pt>
                <c:pt idx="78">
                  <c:v>1.5338141035326999E-4</c:v>
                </c:pt>
                <c:pt idx="79">
                  <c:v>2.6544532370441229E-4</c:v>
                </c:pt>
                <c:pt idx="80">
                  <c:v>3.4658833058313112E-4</c:v>
                </c:pt>
                <c:pt idx="81">
                  <c:v>3.796615847847446E-4</c:v>
                </c:pt>
                <c:pt idx="82">
                  <c:v>4.2222376944015786E-4</c:v>
                </c:pt>
                <c:pt idx="83">
                  <c:v>5.6739449566215903E-4</c:v>
                </c:pt>
                <c:pt idx="84">
                  <c:v>9.2108393299012716E-4</c:v>
                </c:pt>
                <c:pt idx="85">
                  <c:v>1.5251945323842473E-3</c:v>
                </c:pt>
                <c:pt idx="86">
                  <c:v>2.1766167420880314E-3</c:v>
                </c:pt>
                <c:pt idx="87">
                  <c:v>2.5538551828165668E-3</c:v>
                </c:pt>
                <c:pt idx="88">
                  <c:v>2.6817932684356457E-3</c:v>
                </c:pt>
                <c:pt idx="89">
                  <c:v>2.943584161453868E-3</c:v>
                </c:pt>
                <c:pt idx="90">
                  <c:v>3.70604004929765E-3</c:v>
                </c:pt>
                <c:pt idx="91">
                  <c:v>5.2801685199716578E-3</c:v>
                </c:pt>
                <c:pt idx="92">
                  <c:v>7.5386161506953439E-3</c:v>
                </c:pt>
                <c:pt idx="93">
                  <c:v>9.1676326376418198E-3</c:v>
                </c:pt>
                <c:pt idx="94">
                  <c:v>8.667555430384527E-3</c:v>
                </c:pt>
                <c:pt idx="95">
                  <c:v>6.3726864801506612E-3</c:v>
                </c:pt>
                <c:pt idx="96">
                  <c:v>3.9626554795307222E-3</c:v>
                </c:pt>
                <c:pt idx="97">
                  <c:v>2.3381440067701395E-3</c:v>
                </c:pt>
                <c:pt idx="98">
                  <c:v>1.3129958112940762E-3</c:v>
                </c:pt>
                <c:pt idx="99">
                  <c:v>6.234915681193995E-4</c:v>
                </c:pt>
                <c:pt idx="100">
                  <c:v>2.2582725366627511E-4</c:v>
                </c:pt>
                <c:pt idx="101">
                  <c:v>5.9458460403001828E-5</c:v>
                </c:pt>
                <c:pt idx="102">
                  <c:v>1.1183217643103699E-5</c:v>
                </c:pt>
                <c:pt idx="103">
                  <c:v>1.4939170761279607E-6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128-4E4D-A374-25E73A119BF1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NaiwnaGęstość!$AQ$5:$AQ$108</c:f>
              <c:numCache>
                <c:formatCode>General</c:formatCode>
                <c:ptCount val="104"/>
                <c:pt idx="0">
                  <c:v>6.7179595670210246E-23</c:v>
                </c:pt>
                <c:pt idx="1">
                  <c:v>1.540534910956573E-22</c:v>
                </c:pt>
                <c:pt idx="2">
                  <c:v>3.3639135773727866E-22</c:v>
                </c:pt>
                <c:pt idx="3">
                  <c:v>6.9972371295588102E-22</c:v>
                </c:pt>
                <c:pt idx="4">
                  <c:v>1.3871545813196068E-21</c:v>
                </c:pt>
                <c:pt idx="5">
                  <c:v>2.6223774902539126E-21</c:v>
                </c:pt>
                <c:pt idx="6">
                  <c:v>4.7309808532158112E-21</c:v>
                </c:pt>
                <c:pt idx="7">
                  <c:v>8.1522260374227105E-21</c:v>
                </c:pt>
                <c:pt idx="8">
                  <c:v>1.34318652201226E-20</c:v>
                </c:pt>
                <c:pt idx="9">
                  <c:v>2.1188142628756695E-20</c:v>
                </c:pt>
                <c:pt idx="10">
                  <c:v>3.2048949867307541E-20</c:v>
                </c:pt>
                <c:pt idx="11">
                  <c:v>4.6568008244494597E-20</c:v>
                </c:pt>
                <c:pt idx="12">
                  <c:v>6.5150568762111199E-20</c:v>
                </c:pt>
                <c:pt idx="13">
                  <c:v>8.8215249634304552E-20</c:v>
                </c:pt>
                <c:pt idx="14">
                  <c:v>1.1923107864941734E-19</c:v>
                </c:pt>
                <c:pt idx="15">
                  <c:v>2.0061302669406034E-19</c:v>
                </c:pt>
                <c:pt idx="16">
                  <c:v>7.9081376841149439E-19</c:v>
                </c:pt>
                <c:pt idx="17">
                  <c:v>6.3340665686446178E-18</c:v>
                </c:pt>
                <c:pt idx="18">
                  <c:v>5.5702053265542717E-17</c:v>
                </c:pt>
                <c:pt idx="19">
                  <c:v>4.5582523374403199E-16</c:v>
                </c:pt>
                <c:pt idx="20">
                  <c:v>3.3936136322332365E-15</c:v>
                </c:pt>
                <c:pt idx="21">
                  <c:v>2.2920593966434785E-14</c:v>
                </c:pt>
                <c:pt idx="22">
                  <c:v>1.4039016481208786E-13</c:v>
                </c:pt>
                <c:pt idx="23">
                  <c:v>7.7981587843701122E-13</c:v>
                </c:pt>
                <c:pt idx="24">
                  <c:v>3.9284199142180031E-12</c:v>
                </c:pt>
                <c:pt idx="25">
                  <c:v>1.7949596376932366E-11</c:v>
                </c:pt>
                <c:pt idx="26">
                  <c:v>7.4397709770102577E-11</c:v>
                </c:pt>
                <c:pt idx="27">
                  <c:v>2.7977721385521227E-10</c:v>
                </c:pt>
                <c:pt idx="28">
                  <c:v>9.5482663770168572E-10</c:v>
                </c:pt>
                <c:pt idx="29">
                  <c:v>2.9583692364051391E-9</c:v>
                </c:pt>
                <c:pt idx="30">
                  <c:v>8.3256022162436767E-9</c:v>
                </c:pt>
                <c:pt idx="31">
                  <c:v>2.1297320025270052E-8</c:v>
                </c:pt>
                <c:pt idx="32">
                  <c:v>4.9570344667381419E-8</c:v>
                </c:pt>
                <c:pt idx="33">
                  <c:v>1.0513305795667641E-7</c:v>
                </c:pt>
                <c:pt idx="34">
                  <c:v>2.0360616555462205E-7</c:v>
                </c:pt>
                <c:pt idx="35">
                  <c:v>3.6116675654391875E-7</c:v>
                </c:pt>
                <c:pt idx="36">
                  <c:v>5.8944037842740918E-7</c:v>
                </c:pt>
                <c:pt idx="37">
                  <c:v>8.9093194282957258E-7</c:v>
                </c:pt>
                <c:pt idx="38">
                  <c:v>1.2590898955398101E-6</c:v>
                </c:pt>
                <c:pt idx="39">
                  <c:v>1.68599381912034E-6</c:v>
                </c:pt>
                <c:pt idx="40">
                  <c:v>2.176497758372298E-6</c:v>
                </c:pt>
                <c:pt idx="41">
                  <c:v>2.7627042399917516E-6</c:v>
                </c:pt>
                <c:pt idx="42">
                  <c:v>3.5103445638580571E-6</c:v>
                </c:pt>
                <c:pt idx="43">
                  <c:v>4.5106215242367713E-6</c:v>
                </c:pt>
                <c:pt idx="44">
                  <c:v>5.8559557406984323E-6</c:v>
                </c:pt>
                <c:pt idx="45">
                  <c:v>7.6037648478153717E-6</c:v>
                </c:pt>
                <c:pt idx="46">
                  <c:v>9.73858474703488E-6</c:v>
                </c:pt>
                <c:pt idx="47">
                  <c:v>1.2149319718214687E-5</c:v>
                </c:pt>
                <c:pt idx="48">
                  <c:v>1.4640565185274841E-5</c:v>
                </c:pt>
                <c:pt idx="49">
                  <c:v>1.6986316307861681E-5</c:v>
                </c:pt>
                <c:pt idx="50">
                  <c:v>1.9008858382490889E-5</c:v>
                </c:pt>
                <c:pt idx="51">
                  <c:v>2.0639827658963145E-5</c:v>
                </c:pt>
                <c:pt idx="52">
                  <c:v>2.1919416648609583E-5</c:v>
                </c:pt>
                <c:pt idx="53">
                  <c:v>2.2925174664179246E-5</c:v>
                </c:pt>
                <c:pt idx="54">
                  <c:v>2.3673749881997875E-5</c:v>
                </c:pt>
                <c:pt idx="55">
                  <c:v>2.4066273538203979E-5</c:v>
                </c:pt>
                <c:pt idx="56">
                  <c:v>2.3923869838535996E-5</c:v>
                </c:pt>
                <c:pt idx="57">
                  <c:v>2.3097647648156614E-5</c:v>
                </c:pt>
                <c:pt idx="58">
                  <c:v>2.1583827788330239E-5</c:v>
                </c:pt>
                <c:pt idx="59">
                  <c:v>1.9570303792359603E-5</c:v>
                </c:pt>
                <c:pt idx="60">
                  <c:v>1.7386655439970103E-5</c:v>
                </c:pt>
                <c:pt idx="61">
                  <c:v>1.5387368171040933E-5</c:v>
                </c:pt>
                <c:pt idx="62">
                  <c:v>1.3827285054825469E-5</c:v>
                </c:pt>
                <c:pt idx="63">
                  <c:v>1.2780050862994E-5</c:v>
                </c:pt>
                <c:pt idx="64">
                  <c:v>1.2124444992388254E-5</c:v>
                </c:pt>
                <c:pt idx="65">
                  <c:v>1.1599830115209436E-5</c:v>
                </c:pt>
                <c:pt idx="66">
                  <c:v>1.091240045471625E-5</c:v>
                </c:pt>
                <c:pt idx="67">
                  <c:v>9.8541424816201972E-6</c:v>
                </c:pt>
                <c:pt idx="68">
                  <c:v>8.3843199818338267E-6</c:v>
                </c:pt>
                <c:pt idx="69">
                  <c:v>6.6352925489793271E-6</c:v>
                </c:pt>
                <c:pt idx="70">
                  <c:v>4.8427163736390349E-6</c:v>
                </c:pt>
                <c:pt idx="71">
                  <c:v>3.2414661372357226E-6</c:v>
                </c:pt>
                <c:pt idx="72">
                  <c:v>1.9829699990039087E-6</c:v>
                </c:pt>
                <c:pt idx="73">
                  <c:v>1.1107461542945539E-6</c:v>
                </c:pt>
                <c:pt idx="74">
                  <c:v>6.1148430408438483E-7</c:v>
                </c:pt>
                <c:pt idx="75">
                  <c:v>5.9606737913857357E-7</c:v>
                </c:pt>
                <c:pt idx="76">
                  <c:v>1.7024503118212567E-6</c:v>
                </c:pt>
                <c:pt idx="77">
                  <c:v>5.3880956752357934E-6</c:v>
                </c:pt>
                <c:pt idx="78">
                  <c:v>1.2804820334562615E-5</c:v>
                </c:pt>
                <c:pt idx="79">
                  <c:v>2.2140559966321723E-5</c:v>
                </c:pt>
                <c:pt idx="80">
                  <c:v>2.8904167381250143E-5</c:v>
                </c:pt>
                <c:pt idx="81">
                  <c:v>3.1661313682053525E-5</c:v>
                </c:pt>
                <c:pt idx="82">
                  <c:v>3.5210442993874334E-5</c:v>
                </c:pt>
                <c:pt idx="83">
                  <c:v>4.7316558834310606E-5</c:v>
                </c:pt>
                <c:pt idx="84">
                  <c:v>7.6811653223159544E-5</c:v>
                </c:pt>
                <c:pt idx="85">
                  <c:v>1.2719004768960612E-4</c:v>
                </c:pt>
                <c:pt idx="86">
                  <c:v>1.8151388581744707E-4</c:v>
                </c:pt>
                <c:pt idx="87">
                  <c:v>2.1297280724544933E-4</c:v>
                </c:pt>
                <c:pt idx="88">
                  <c:v>2.2364190602715536E-4</c:v>
                </c:pt>
                <c:pt idx="89">
                  <c:v>2.4547334806265266E-4</c:v>
                </c:pt>
                <c:pt idx="90">
                  <c:v>3.0905658172362916E-4</c:v>
                </c:pt>
                <c:pt idx="91">
                  <c:v>4.4032736074083213E-4</c:v>
                </c:pt>
                <c:pt idx="92">
                  <c:v>6.2866534291820234E-4</c:v>
                </c:pt>
                <c:pt idx="93">
                  <c:v>7.6451338026536832E-4</c:v>
                </c:pt>
                <c:pt idx="94">
                  <c:v>7.2281060581690603E-4</c:v>
                </c:pt>
                <c:pt idx="95">
                  <c:v>5.3143535249298719E-4</c:v>
                </c:pt>
                <c:pt idx="96">
                  <c:v>3.3045642809073031E-4</c:v>
                </c:pt>
                <c:pt idx="97">
                  <c:v>1.9498407591328389E-4</c:v>
                </c:pt>
                <c:pt idx="98">
                  <c:v>1.0949422884214859E-4</c:v>
                </c:pt>
                <c:pt idx="99">
                  <c:v>5.1994627746398215E-5</c:v>
                </c:pt>
                <c:pt idx="100">
                  <c:v>1.8832338061580403E-5</c:v>
                </c:pt>
                <c:pt idx="101">
                  <c:v>4.9583998775682051E-6</c:v>
                </c:pt>
                <c:pt idx="102">
                  <c:v>9.3259839922771474E-7</c:v>
                </c:pt>
                <c:pt idx="103">
                  <c:v>1.2458173651257137E-7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128-4E4D-A374-25E73A119BF1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NaiwnaGęstość!$AR$5:$AR$108</c:f>
              <c:numCache>
                <c:formatCode>General</c:formatCode>
                <c:ptCount val="104"/>
                <c:pt idx="0">
                  <c:v>8.7855034951404547E-22</c:v>
                </c:pt>
                <c:pt idx="1">
                  <c:v>2.0146555973686025E-21</c:v>
                </c:pt>
                <c:pt idx="2">
                  <c:v>4.3992039839656476E-21</c:v>
                </c:pt>
                <c:pt idx="3">
                  <c:v>9.1507325468058373E-21</c:v>
                </c:pt>
                <c:pt idx="4">
                  <c:v>1.8140703737348693E-20</c:v>
                </c:pt>
                <c:pt idx="5">
                  <c:v>3.4294500251595401E-20</c:v>
                </c:pt>
                <c:pt idx="6">
                  <c:v>6.1870049089876835E-20</c:v>
                </c:pt>
                <c:pt idx="7">
                  <c:v>1.0661185078852508E-19</c:v>
                </c:pt>
                <c:pt idx="8">
                  <c:v>1.7565705254066278E-19</c:v>
                </c:pt>
                <c:pt idx="9">
                  <c:v>2.7709079456635955E-19</c:v>
                </c:pt>
                <c:pt idx="10">
                  <c:v>4.1912376632324958E-19</c:v>
                </c:pt>
                <c:pt idx="11">
                  <c:v>6.0898585886752106E-19</c:v>
                </c:pt>
                <c:pt idx="12">
                  <c:v>8.5179313229693656E-19</c:v>
                </c:pt>
                <c:pt idx="13">
                  <c:v>1.1503601911370453E-18</c:v>
                </c:pt>
                <c:pt idx="14">
                  <c:v>1.5152056467288481E-18</c:v>
                </c:pt>
                <c:pt idx="15">
                  <c:v>2.0881319951391595E-18</c:v>
                </c:pt>
                <c:pt idx="16">
                  <c:v>4.4419731611023897E-18</c:v>
                </c:pt>
                <c:pt idx="17">
                  <c:v>2.3883707972760375E-17</c:v>
                </c:pt>
                <c:pt idx="18">
                  <c:v>1.9436961157245408E-16</c:v>
                </c:pt>
                <c:pt idx="19">
                  <c:v>1.5736974509739296E-15</c:v>
                </c:pt>
                <c:pt idx="20">
                  <c:v>1.1698862906501999E-14</c:v>
                </c:pt>
                <c:pt idx="21">
                  <c:v>7.8997310333227654E-14</c:v>
                </c:pt>
                <c:pt idx="22">
                  <c:v>4.8384697802724989E-13</c:v>
                </c:pt>
                <c:pt idx="23">
                  <c:v>2.6875764821576618E-12</c:v>
                </c:pt>
                <c:pt idx="24">
                  <c:v>1.3538987310288241E-11</c:v>
                </c:pt>
                <c:pt idx="25">
                  <c:v>6.1861844908985542E-11</c:v>
                </c:pt>
                <c:pt idx="26">
                  <c:v>2.5640572985893401E-10</c:v>
                </c:pt>
                <c:pt idx="27">
                  <c:v>9.6422968004341303E-10</c:v>
                </c:pt>
                <c:pt idx="28">
                  <c:v>3.2907332513614215E-9</c:v>
                </c:pt>
                <c:pt idx="29">
                  <c:v>1.0195781750687164E-8</c:v>
                </c:pt>
                <c:pt idx="30">
                  <c:v>2.8693518737540781E-8</c:v>
                </c:pt>
                <c:pt idx="31">
                  <c:v>7.339950135463075E-8</c:v>
                </c:pt>
                <c:pt idx="32">
                  <c:v>1.7084020788171685E-7</c:v>
                </c:pt>
                <c:pt idx="33">
                  <c:v>3.6233263248082122E-7</c:v>
                </c:pt>
                <c:pt idx="34">
                  <c:v>7.0171228144708651E-7</c:v>
                </c:pt>
                <c:pt idx="35">
                  <c:v>1.2447321918086083E-6</c:v>
                </c:pt>
                <c:pt idx="36">
                  <c:v>2.0314588784423355E-6</c:v>
                </c:pt>
                <c:pt idx="37">
                  <c:v>3.0705253178891935E-6</c:v>
                </c:pt>
                <c:pt idx="38">
                  <c:v>4.3393521052495644E-6</c:v>
                </c:pt>
                <c:pt idx="39">
                  <c:v>5.8106421585558897E-6</c:v>
                </c:pt>
                <c:pt idx="40">
                  <c:v>7.5011245529928482E-6</c:v>
                </c:pt>
                <c:pt idx="41">
                  <c:v>9.5214380660581673E-6</c:v>
                </c:pt>
                <c:pt idx="42">
                  <c:v>1.2098120338568747E-5</c:v>
                </c:pt>
                <c:pt idx="43">
                  <c:v>1.5545494469059828E-5</c:v>
                </c:pt>
                <c:pt idx="44">
                  <c:v>2.0182080693077851E-5</c:v>
                </c:pt>
                <c:pt idx="45">
                  <c:v>2.6205764272304491E-5</c:v>
                </c:pt>
                <c:pt idx="46">
                  <c:v>3.3563249434255128E-5</c:v>
                </c:pt>
                <c:pt idx="47">
                  <c:v>4.1871653710576426E-5</c:v>
                </c:pt>
                <c:pt idx="48">
                  <c:v>5.0457530938614954E-5</c:v>
                </c:pt>
                <c:pt idx="49">
                  <c:v>5.854197360488952E-5</c:v>
                </c:pt>
                <c:pt idx="50">
                  <c:v>6.5512502270537653E-5</c:v>
                </c:pt>
                <c:pt idx="51">
                  <c:v>7.1133506766340518E-5</c:v>
                </c:pt>
                <c:pt idx="52">
                  <c:v>7.5543507351477133E-5</c:v>
                </c:pt>
                <c:pt idx="53">
                  <c:v>7.9009771498055587E-5</c:v>
                </c:pt>
                <c:pt idx="54">
                  <c:v>8.1589675807415896E-5</c:v>
                </c:pt>
                <c:pt idx="55">
                  <c:v>8.2942477033086867E-5</c:v>
                </c:pt>
                <c:pt idx="56">
                  <c:v>8.2451694130183711E-5</c:v>
                </c:pt>
                <c:pt idx="57">
                  <c:v>7.960418577202498E-5</c:v>
                </c:pt>
                <c:pt idx="58">
                  <c:v>7.4386927322911075E-5</c:v>
                </c:pt>
                <c:pt idx="59">
                  <c:v>6.7447478740385408E-5</c:v>
                </c:pt>
                <c:pt idx="60">
                  <c:v>5.9921710239961371E-5</c:v>
                </c:pt>
                <c:pt idx="61">
                  <c:v>5.3031327392676745E-5</c:v>
                </c:pt>
                <c:pt idx="62">
                  <c:v>4.7654626349576068E-5</c:v>
                </c:pt>
                <c:pt idx="63">
                  <c:v>4.4045417895830261E-5</c:v>
                </c:pt>
                <c:pt idx="64">
                  <c:v>4.1785924967722703E-5</c:v>
                </c:pt>
                <c:pt idx="65">
                  <c:v>3.9977881967939403E-5</c:v>
                </c:pt>
                <c:pt idx="66">
                  <c:v>3.7608710906336907E-5</c:v>
                </c:pt>
                <c:pt idx="67">
                  <c:v>3.3961509876658854E-5</c:v>
                </c:pt>
                <c:pt idx="68">
                  <c:v>2.8895884790531471E-5</c:v>
                </c:pt>
                <c:pt idx="69">
                  <c:v>2.2868002276576007E-5</c:v>
                </c:pt>
                <c:pt idx="70">
                  <c:v>1.6690029887924107E-5</c:v>
                </c:pt>
                <c:pt idx="71">
                  <c:v>1.1171378795166088E-5</c:v>
                </c:pt>
                <c:pt idx="72">
                  <c:v>6.8327652345826002E-6</c:v>
                </c:pt>
                <c:pt idx="73">
                  <c:v>3.8097460541409629E-6</c:v>
                </c:pt>
                <c:pt idx="74">
                  <c:v>1.9347480369055969E-6</c:v>
                </c:pt>
                <c:pt idx="75">
                  <c:v>9.0308710651381803E-7</c:v>
                </c:pt>
                <c:pt idx="76">
                  <c:v>4.2754432221685879E-7</c:v>
                </c:pt>
                <c:pt idx="77">
                  <c:v>3.2297260367816174E-7</c:v>
                </c:pt>
                <c:pt idx="78">
                  <c:v>4.816544321880778E-7</c:v>
                </c:pt>
                <c:pt idx="79">
                  <c:v>7.6401806342557762E-7</c:v>
                </c:pt>
                <c:pt idx="80">
                  <c:v>9.8186689258916546E-7</c:v>
                </c:pt>
                <c:pt idx="81">
                  <c:v>1.0719029078713463E-6</c:v>
                </c:pt>
                <c:pt idx="82">
                  <c:v>1.1910803779900822E-6</c:v>
                </c:pt>
                <c:pt idx="83">
                  <c:v>1.6003047127483039E-6</c:v>
                </c:pt>
                <c:pt idx="84">
                  <c:v>2.5977863205006395E-6</c:v>
                </c:pt>
                <c:pt idx="85">
                  <c:v>4.3015785162530808E-6</c:v>
                </c:pt>
                <c:pt idx="86">
                  <c:v>6.1388131145516187E-6</c:v>
                </c:pt>
                <c:pt idx="87">
                  <c:v>7.2027558749155297E-6</c:v>
                </c:pt>
                <c:pt idx="88">
                  <c:v>7.5635855353068754E-6</c:v>
                </c:pt>
                <c:pt idx="89">
                  <c:v>8.3019264881881375E-6</c:v>
                </c:pt>
                <c:pt idx="90">
                  <c:v>1.0452316075160098E-5</c:v>
                </c:pt>
                <c:pt idx="91">
                  <c:v>1.4891903370275893E-5</c:v>
                </c:pt>
                <c:pt idx="92">
                  <c:v>2.1261507627470835E-5</c:v>
                </c:pt>
                <c:pt idx="93">
                  <c:v>2.5855898132323445E-5</c:v>
                </c:pt>
                <c:pt idx="94">
                  <c:v>2.4445507266959568E-5</c:v>
                </c:pt>
                <c:pt idx="95">
                  <c:v>1.7973182278647026E-5</c:v>
                </c:pt>
                <c:pt idx="96">
                  <c:v>1.1176060435880927E-5</c:v>
                </c:pt>
                <c:pt idx="97">
                  <c:v>6.5943756307955543E-6</c:v>
                </c:pt>
                <c:pt idx="98">
                  <c:v>3.7031027842013885E-6</c:v>
                </c:pt>
                <c:pt idx="99">
                  <c:v>1.7584620925435049E-6</c:v>
                </c:pt>
                <c:pt idx="100">
                  <c:v>6.3691104313267016E-7</c:v>
                </c:pt>
                <c:pt idx="101">
                  <c:v>1.6769344454014366E-7</c:v>
                </c:pt>
                <c:pt idx="102">
                  <c:v>3.1540545700364059E-8</c:v>
                </c:pt>
                <c:pt idx="103">
                  <c:v>4.2133633911010242E-9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128-4E4D-A374-25E73A119BF1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NaiwnaGęstość!$AS$5:$AS$108</c:f>
              <c:numCache>
                <c:formatCode>General</c:formatCode>
                <c:ptCount val="104"/>
                <c:pt idx="0">
                  <c:v>1.0506663708613265E-20</c:v>
                </c:pt>
                <c:pt idx="1">
                  <c:v>2.4093449922290276E-20</c:v>
                </c:pt>
                <c:pt idx="2">
                  <c:v>5.2610481426232494E-20</c:v>
                </c:pt>
                <c:pt idx="3">
                  <c:v>1.0943444460517382E-19</c:v>
                </c:pt>
                <c:pt idx="4">
                  <c:v>2.1694632949759175E-19</c:v>
                </c:pt>
                <c:pt idx="5">
                  <c:v>4.1013105440970004E-19</c:v>
                </c:pt>
                <c:pt idx="6">
                  <c:v>7.3990955643539939E-19</c:v>
                </c:pt>
                <c:pt idx="7">
                  <c:v>1.2749808408869682E-18</c:v>
                </c:pt>
                <c:pt idx="8">
                  <c:v>2.1006986966842912E-18</c:v>
                </c:pt>
                <c:pt idx="9">
                  <c:v>3.3137539468298823E-18</c:v>
                </c:pt>
                <c:pt idx="10">
                  <c:v>5.0123369071689745E-18</c:v>
                </c:pt>
                <c:pt idx="11">
                  <c:v>7.2828739353355065E-18</c:v>
                </c:pt>
                <c:pt idx="12">
                  <c:v>1.0185963160443998E-17</c:v>
                </c:pt>
                <c:pt idx="13">
                  <c:v>1.3746788089353341E-17</c:v>
                </c:pt>
                <c:pt idx="14">
                  <c:v>1.7980088795005619E-17</c:v>
                </c:pt>
                <c:pt idx="15">
                  <c:v>2.3265922525608327E-17</c:v>
                </c:pt>
                <c:pt idx="16">
                  <c:v>3.4319984947880211E-17</c:v>
                </c:pt>
                <c:pt idx="17">
                  <c:v>9.7764162739253205E-17</c:v>
                </c:pt>
                <c:pt idx="18">
                  <c:v>6.2248617154537771E-16</c:v>
                </c:pt>
                <c:pt idx="19">
                  <c:v>4.8382743834224285E-15</c:v>
                </c:pt>
                <c:pt idx="20">
                  <c:v>3.5758926021664835E-14</c:v>
                </c:pt>
                <c:pt idx="21">
                  <c:v>2.4125587493757277E-13</c:v>
                </c:pt>
                <c:pt idx="22">
                  <c:v>1.4774537043345236E-12</c:v>
                </c:pt>
                <c:pt idx="23">
                  <c:v>8.2064706430237411E-12</c:v>
                </c:pt>
                <c:pt idx="24">
                  <c:v>4.1340894076458051E-11</c:v>
                </c:pt>
                <c:pt idx="25">
                  <c:v>1.8889313243636055E-10</c:v>
                </c:pt>
                <c:pt idx="26">
                  <c:v>7.8292641024401946E-10</c:v>
                </c:pt>
                <c:pt idx="27">
                  <c:v>2.9442432816126493E-9</c:v>
                </c:pt>
                <c:pt idx="28">
                  <c:v>1.0048144495386617E-8</c:v>
                </c:pt>
                <c:pt idx="29">
                  <c:v>3.1132480241684432E-8</c:v>
                </c:pt>
                <c:pt idx="30">
                  <c:v>8.7614704400951799E-8</c:v>
                </c:pt>
                <c:pt idx="31">
                  <c:v>2.241229342028812E-7</c:v>
                </c:pt>
                <c:pt idx="32">
                  <c:v>5.2165488809229193E-7</c:v>
                </c:pt>
                <c:pt idx="33">
                  <c:v>1.1063706324310552E-6</c:v>
                </c:pt>
                <c:pt idx="34">
                  <c:v>2.1426550936778914E-6</c:v>
                </c:pt>
                <c:pt idx="35">
                  <c:v>3.8007483145560251E-6</c:v>
                </c:pt>
                <c:pt idx="36">
                  <c:v>6.2029920645547174E-6</c:v>
                </c:pt>
                <c:pt idx="37">
                  <c:v>9.3757468501770165E-6</c:v>
                </c:pt>
                <c:pt idx="38">
                  <c:v>1.3250067210158539E-5</c:v>
                </c:pt>
                <c:pt idx="39">
                  <c:v>1.774260241334452E-5</c:v>
                </c:pt>
                <c:pt idx="40">
                  <c:v>2.2904434133953412E-5</c:v>
                </c:pt>
                <c:pt idx="41">
                  <c:v>2.9073394196260362E-5</c:v>
                </c:pt>
                <c:pt idx="42">
                  <c:v>3.6941207745779907E-5</c:v>
                </c:pt>
                <c:pt idx="43">
                  <c:v>4.746764990106997E-5</c:v>
                </c:pt>
                <c:pt idx="44">
                  <c:v>6.1625311598842845E-5</c:v>
                </c:pt>
                <c:pt idx="45">
                  <c:v>8.0018428898670721E-5</c:v>
                </c:pt>
                <c:pt idx="46">
                  <c:v>1.0248426493331937E-4</c:v>
                </c:pt>
                <c:pt idx="47">
                  <c:v>1.2785370083061596E-4</c:v>
                </c:pt>
                <c:pt idx="48">
                  <c:v>1.5407039114978663E-4</c:v>
                </c:pt>
                <c:pt idx="49">
                  <c:v>1.7875596772577905E-4</c:v>
                </c:pt>
                <c:pt idx="50">
                  <c:v>2.0004024497952588E-4</c:v>
                </c:pt>
                <c:pt idx="51">
                  <c:v>2.1720379510203308E-4</c:v>
                </c:pt>
                <c:pt idx="52">
                  <c:v>2.3066958509380318E-4</c:v>
                </c:pt>
                <c:pt idx="53">
                  <c:v>2.4125370728443117E-4</c:v>
                </c:pt>
                <c:pt idx="54">
                  <c:v>2.4913135921622337E-4</c:v>
                </c:pt>
                <c:pt idx="55">
                  <c:v>2.5326209272834288E-4</c:v>
                </c:pt>
                <c:pt idx="56">
                  <c:v>2.5176350347093422E-4</c:v>
                </c:pt>
                <c:pt idx="57">
                  <c:v>2.4306873148382407E-4</c:v>
                </c:pt>
                <c:pt idx="58">
                  <c:v>2.2713800647545271E-4</c:v>
                </c:pt>
                <c:pt idx="59">
                  <c:v>2.0594863122096017E-4</c:v>
                </c:pt>
                <c:pt idx="60">
                  <c:v>1.8296894761389695E-4</c:v>
                </c:pt>
                <c:pt idx="61">
                  <c:v>1.6192939294872047E-4</c:v>
                </c:pt>
                <c:pt idx="62">
                  <c:v>1.4551181528694974E-4</c:v>
                </c:pt>
                <c:pt idx="63">
                  <c:v>1.3449121741254761E-4</c:v>
                </c:pt>
                <c:pt idx="64">
                  <c:v>1.2759193096792968E-4</c:v>
                </c:pt>
                <c:pt idx="65">
                  <c:v>1.2207113185211258E-4</c:v>
                </c:pt>
                <c:pt idx="66">
                  <c:v>1.1483694687770546E-4</c:v>
                </c:pt>
                <c:pt idx="67">
                  <c:v>1.0370033993734628E-4</c:v>
                </c:pt>
                <c:pt idx="68">
                  <c:v>8.8232622355419226E-5</c:v>
                </c:pt>
                <c:pt idx="69">
                  <c:v>6.9826683745961561E-5</c:v>
                </c:pt>
                <c:pt idx="70">
                  <c:v>5.0962450620765384E-5</c:v>
                </c:pt>
                <c:pt idx="71">
                  <c:v>3.4111431072185704E-5</c:v>
                </c:pt>
                <c:pt idx="72">
                  <c:v>2.0863579586291602E-5</c:v>
                </c:pt>
                <c:pt idx="73">
                  <c:v>1.1632379928341381E-5</c:v>
                </c:pt>
                <c:pt idx="74">
                  <c:v>5.9024866255128758E-6</c:v>
                </c:pt>
                <c:pt idx="75">
                  <c:v>2.7228660859173031E-6</c:v>
                </c:pt>
                <c:pt idx="76">
                  <c:v>1.1416175133564019E-6</c:v>
                </c:pt>
                <c:pt idx="77">
                  <c:v>4.3650376649655028E-7</c:v>
                </c:pt>
                <c:pt idx="78">
                  <c:v>1.5578212625308301E-7</c:v>
                </c:pt>
                <c:pt idx="79">
                  <c:v>5.7205487736197655E-8</c:v>
                </c:pt>
                <c:pt idx="80">
                  <c:v>2.6739759089168706E-8</c:v>
                </c:pt>
                <c:pt idx="81">
                  <c:v>1.8117010417463334E-8</c:v>
                </c:pt>
                <c:pt idx="82">
                  <c:v>1.7128024546391087E-8</c:v>
                </c:pt>
                <c:pt idx="83">
                  <c:v>2.2107366227506722E-8</c:v>
                </c:pt>
                <c:pt idx="84">
                  <c:v>3.5644318172981426E-8</c:v>
                </c:pt>
                <c:pt idx="85">
                  <c:v>5.8973804545573643E-8</c:v>
                </c:pt>
                <c:pt idx="86">
                  <c:v>8.4154720664207045E-8</c:v>
                </c:pt>
                <c:pt idx="87">
                  <c:v>9.8738993527103385E-8</c:v>
                </c:pt>
                <c:pt idx="88">
                  <c:v>1.0368530918621914E-7</c:v>
                </c:pt>
                <c:pt idx="89">
                  <c:v>1.1380682967801719E-7</c:v>
                </c:pt>
                <c:pt idx="90">
                  <c:v>1.4328540949380941E-7</c:v>
                </c:pt>
                <c:pt idx="91">
                  <c:v>2.0414542138651235E-7</c:v>
                </c:pt>
                <c:pt idx="92">
                  <c:v>2.9146304039139043E-7</c:v>
                </c:pt>
                <c:pt idx="93">
                  <c:v>3.544451698202648E-7</c:v>
                </c:pt>
                <c:pt idx="94">
                  <c:v>3.3511084899212386E-7</c:v>
                </c:pt>
                <c:pt idx="95">
                  <c:v>2.4638508445386612E-7</c:v>
                </c:pt>
                <c:pt idx="96">
                  <c:v>1.5320684738325105E-7</c:v>
                </c:pt>
                <c:pt idx="97">
                  <c:v>9.0398893836644601E-8</c:v>
                </c:pt>
                <c:pt idx="98">
                  <c:v>5.0763925835813953E-8</c:v>
                </c:pt>
                <c:pt idx="99">
                  <c:v>2.4105849730071669E-8</c:v>
                </c:pt>
                <c:pt idx="100">
                  <c:v>8.7310849419402535E-9</c:v>
                </c:pt>
                <c:pt idx="101">
                  <c:v>2.2988229271156726E-9</c:v>
                </c:pt>
                <c:pt idx="102">
                  <c:v>4.323730709245436E-10</c:v>
                </c:pt>
                <c:pt idx="103">
                  <c:v>5.775882527962638E-11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128-4E4D-A374-25E73A119BF1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NaiwnaGęstość!$AT$5:$AT$108</c:f>
              <c:numCache>
                <c:formatCode>General</c:formatCode>
                <c:ptCount val="104"/>
                <c:pt idx="0">
                  <c:v>1.149036147045822E-19</c:v>
                </c:pt>
                <c:pt idx="1">
                  <c:v>2.6349225249357306E-19</c:v>
                </c:pt>
                <c:pt idx="2">
                  <c:v>5.7536194693912694E-19</c:v>
                </c:pt>
                <c:pt idx="3">
                  <c:v>1.1968036293018916E-18</c:v>
                </c:pt>
                <c:pt idx="4">
                  <c:v>2.3725816441358707E-18</c:v>
                </c:pt>
                <c:pt idx="5">
                  <c:v>4.4853001829338421E-18</c:v>
                </c:pt>
                <c:pt idx="6">
                  <c:v>8.0918438951212389E-18</c:v>
                </c:pt>
                <c:pt idx="7">
                  <c:v>1.3943523020543161E-17</c:v>
                </c:pt>
                <c:pt idx="8">
                  <c:v>2.2973788843284952E-17</c:v>
                </c:pt>
                <c:pt idx="9">
                  <c:v>3.6240077124400344E-17</c:v>
                </c:pt>
                <c:pt idx="10">
                  <c:v>5.4816216935374403E-17</c:v>
                </c:pt>
                <c:pt idx="11">
                  <c:v>7.9647286309560495E-17</c:v>
                </c:pt>
                <c:pt idx="12">
                  <c:v>1.1139435112485728E-16</c:v>
                </c:pt>
                <c:pt idx="13">
                  <c:v>1.5030891319763138E-16</c:v>
                </c:pt>
                <c:pt idx="14">
                  <c:v>1.9623890546886748E-16</c:v>
                </c:pt>
                <c:pt idx="15">
                  <c:v>2.4962908392680719E-16</c:v>
                </c:pt>
                <c:pt idx="16">
                  <c:v>3.2229397092980213E-16</c:v>
                </c:pt>
                <c:pt idx="17">
                  <c:v>5.3923246999673484E-16</c:v>
                </c:pt>
                <c:pt idx="18">
                  <c:v>2.0065202999602194E-15</c:v>
                </c:pt>
                <c:pt idx="19">
                  <c:v>1.3471725113729383E-14</c:v>
                </c:pt>
                <c:pt idx="20">
                  <c:v>9.7276365124891267E-14</c:v>
                </c:pt>
                <c:pt idx="21">
                  <c:v>6.5399601066724348E-13</c:v>
                </c:pt>
                <c:pt idx="22">
                  <c:v>4.0028336437608714E-12</c:v>
                </c:pt>
                <c:pt idx="23">
                  <c:v>2.2231472998066851E-11</c:v>
                </c:pt>
                <c:pt idx="24">
                  <c:v>1.1199120469816927E-10</c:v>
                </c:pt>
                <c:pt idx="25">
                  <c:v>5.1170381943489798E-10</c:v>
                </c:pt>
                <c:pt idx="26">
                  <c:v>2.1209141635264986E-9</c:v>
                </c:pt>
                <c:pt idx="27">
                  <c:v>7.9758276510000666E-9</c:v>
                </c:pt>
                <c:pt idx="28">
                  <c:v>2.7219987331098903E-8</c:v>
                </c:pt>
                <c:pt idx="29">
                  <c:v>8.4336536610538404E-8</c:v>
                </c:pt>
                <c:pt idx="30">
                  <c:v>2.3734442730975576E-7</c:v>
                </c:pt>
                <c:pt idx="31">
                  <c:v>6.0713928959152724E-7</c:v>
                </c:pt>
                <c:pt idx="32">
                  <c:v>1.4131404227892663E-6</c:v>
                </c:pt>
                <c:pt idx="33">
                  <c:v>2.9971099641145381E-6</c:v>
                </c:pt>
                <c:pt idx="34">
                  <c:v>5.8043595356358364E-6</c:v>
                </c:pt>
                <c:pt idx="35">
                  <c:v>1.0296062014934794E-5</c:v>
                </c:pt>
                <c:pt idx="36">
                  <c:v>1.6803635938926063E-5</c:v>
                </c:pt>
                <c:pt idx="37">
                  <c:v>2.5398490774170258E-5</c:v>
                </c:pt>
                <c:pt idx="38">
                  <c:v>3.5893856262275585E-5</c:v>
                </c:pt>
                <c:pt idx="39">
                  <c:v>4.8063938894730412E-5</c:v>
                </c:pt>
                <c:pt idx="40">
                  <c:v>6.2047116707125827E-5</c:v>
                </c:pt>
                <c:pt idx="41">
                  <c:v>7.875856143020252E-5</c:v>
                </c:pt>
                <c:pt idx="42">
                  <c:v>1.0007212642273106E-4</c:v>
                </c:pt>
                <c:pt idx="43">
                  <c:v>1.2858780077175939E-4</c:v>
                </c:pt>
                <c:pt idx="44">
                  <c:v>1.6694029105877652E-4</c:v>
                </c:pt>
                <c:pt idx="45">
                  <c:v>2.167664465107665E-4</c:v>
                </c:pt>
                <c:pt idx="46">
                  <c:v>2.7762542002648163E-4</c:v>
                </c:pt>
                <c:pt idx="47">
                  <c:v>3.4635011938782779E-4</c:v>
                </c:pt>
                <c:pt idx="48">
                  <c:v>4.1736999415874264E-4</c:v>
                </c:pt>
                <c:pt idx="49">
                  <c:v>4.8424214833729472E-4</c:v>
                </c:pt>
                <c:pt idx="50">
                  <c:v>5.4190033046279862E-4</c:v>
                </c:pt>
                <c:pt idx="51">
                  <c:v>5.8839564186499813E-4</c:v>
                </c:pt>
                <c:pt idx="52">
                  <c:v>6.2487388176729597E-4</c:v>
                </c:pt>
                <c:pt idx="53">
                  <c:v>6.5354580882548484E-4</c:v>
                </c:pt>
                <c:pt idx="54">
                  <c:v>6.7488602556807942E-4</c:v>
                </c:pt>
                <c:pt idx="55">
                  <c:v>6.860760031423259E-4</c:v>
                </c:pt>
                <c:pt idx="56">
                  <c:v>6.8201638996846922E-4</c:v>
                </c:pt>
                <c:pt idx="57">
                  <c:v>6.5846263050573113E-4</c:v>
                </c:pt>
                <c:pt idx="58">
                  <c:v>6.1530698876258161E-4</c:v>
                </c:pt>
                <c:pt idx="59">
                  <c:v>5.5790589202885359E-4</c:v>
                </c:pt>
                <c:pt idx="60">
                  <c:v>4.9565492776978352E-4</c:v>
                </c:pt>
                <c:pt idx="61">
                  <c:v>4.3865968850173483E-4</c:v>
                </c:pt>
                <c:pt idx="62">
                  <c:v>3.9418518407778217E-4</c:v>
                </c:pt>
                <c:pt idx="63">
                  <c:v>3.6433086336023747E-4</c:v>
                </c:pt>
                <c:pt idx="64">
                  <c:v>3.4564099620536622E-4</c:v>
                </c:pt>
                <c:pt idx="65">
                  <c:v>3.3068539131903159E-4</c:v>
                </c:pt>
                <c:pt idx="66">
                  <c:v>3.1108829860071132E-4</c:v>
                </c:pt>
                <c:pt idx="67">
                  <c:v>2.8091971436491924E-4</c:v>
                </c:pt>
                <c:pt idx="68">
                  <c:v>2.3901833961901647E-4</c:v>
                </c:pt>
                <c:pt idx="69">
                  <c:v>1.8915745179633582E-4</c:v>
                </c:pt>
                <c:pt idx="70">
                  <c:v>1.3805506404574372E-4</c:v>
                </c:pt>
                <c:pt idx="71">
                  <c:v>9.2406384360563663E-5</c:v>
                </c:pt>
                <c:pt idx="72">
                  <c:v>5.6518529919355897E-5</c:v>
                </c:pt>
                <c:pt idx="73">
                  <c:v>3.151160497540784E-5</c:v>
                </c:pt>
                <c:pt idx="74">
                  <c:v>1.5989516341060622E-5</c:v>
                </c:pt>
                <c:pt idx="75">
                  <c:v>7.375703089850123E-6</c:v>
                </c:pt>
                <c:pt idx="76">
                  <c:v>3.090594335446419E-6</c:v>
                </c:pt>
                <c:pt idx="77">
                  <c:v>1.1757682264297839E-6</c:v>
                </c:pt>
                <c:pt idx="78">
                  <c:v>4.0597586338165691E-7</c:v>
                </c:pt>
                <c:pt idx="79">
                  <c:v>1.2722277471513819E-7</c:v>
                </c:pt>
                <c:pt idx="80">
                  <c:v>3.6211231908916767E-8</c:v>
                </c:pt>
                <c:pt idx="81">
                  <c:v>9.3957162498432012E-9</c:v>
                </c:pt>
                <c:pt idx="82">
                  <c:v>2.2679613655502586E-9</c:v>
                </c:pt>
                <c:pt idx="83">
                  <c:v>5.8343717802918021E-10</c:v>
                </c:pt>
                <c:pt idx="84">
                  <c:v>2.8659141451834176E-10</c:v>
                </c:pt>
                <c:pt idx="85">
                  <c:v>3.4310637943769396E-10</c:v>
                </c:pt>
                <c:pt idx="86">
                  <c:v>4.7002251642069245E-10</c:v>
                </c:pt>
                <c:pt idx="87">
                  <c:v>5.4896614114881241E-10</c:v>
                </c:pt>
                <c:pt idx="88">
                  <c:v>5.7614479823006491E-10</c:v>
                </c:pt>
                <c:pt idx="89">
                  <c:v>6.3234220386658897E-10</c:v>
                </c:pt>
                <c:pt idx="90">
                  <c:v>7.9612717285935806E-10</c:v>
                </c:pt>
                <c:pt idx="91">
                  <c:v>1.1342788419088071E-9</c:v>
                </c:pt>
                <c:pt idx="92">
                  <c:v>1.6194355107807838E-9</c:v>
                </c:pt>
                <c:pt idx="93">
                  <c:v>1.9693786637530734E-9</c:v>
                </c:pt>
                <c:pt idx="94">
                  <c:v>1.8619527421178874E-9</c:v>
                </c:pt>
                <c:pt idx="95">
                  <c:v>1.3689720430994539E-9</c:v>
                </c:pt>
                <c:pt idx="96">
                  <c:v>8.5125238544256531E-10</c:v>
                </c:pt>
                <c:pt idx="97">
                  <c:v>5.0227698914334961E-10</c:v>
                </c:pt>
                <c:pt idx="98">
                  <c:v>2.8205601577364464E-10</c:v>
                </c:pt>
                <c:pt idx="99">
                  <c:v>1.3393763031040753E-10</c:v>
                </c:pt>
                <c:pt idx="100">
                  <c:v>4.8511910604981728E-11</c:v>
                </c:pt>
                <c:pt idx="101">
                  <c:v>1.2772787468968948E-11</c:v>
                </c:pt>
                <c:pt idx="102">
                  <c:v>2.402363956389558E-12</c:v>
                </c:pt>
                <c:pt idx="103">
                  <c:v>3.2092128151845978E-13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128-4E4D-A374-25E73A119BF1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NaiwnaGęstość!$AU$5:$AU$108</c:f>
              <c:numCache>
                <c:formatCode>General</c:formatCode>
                <c:ptCount val="104"/>
                <c:pt idx="0">
                  <c:v>1.1491474264858443E-18</c:v>
                </c:pt>
                <c:pt idx="1">
                  <c:v>2.635177706379614E-18</c:v>
                </c:pt>
                <c:pt idx="2">
                  <c:v>5.7541766838481875E-18</c:v>
                </c:pt>
                <c:pt idx="3">
                  <c:v>1.1969195348267331E-17</c:v>
                </c:pt>
                <c:pt idx="4">
                  <c:v>2.3728114189409875E-17</c:v>
                </c:pt>
                <c:pt idx="5">
                  <c:v>4.4857345658675141E-17</c:v>
                </c:pt>
                <c:pt idx="6">
                  <c:v>8.0926275570214124E-17</c:v>
                </c:pt>
                <c:pt idx="7">
                  <c:v>1.3944873393419146E-16</c:v>
                </c:pt>
                <c:pt idx="8">
                  <c:v>2.2976013756617048E-16</c:v>
                </c:pt>
                <c:pt idx="9">
                  <c:v>3.6243586741347654E-16</c:v>
                </c:pt>
                <c:pt idx="10">
                  <c:v>5.4821523956823259E-16</c:v>
                </c:pt>
                <c:pt idx="11">
                  <c:v>7.9654969174824292E-16</c:v>
                </c:pt>
                <c:pt idx="12">
                  <c:v>1.1140463953490069E-15</c:v>
                </c:pt>
                <c:pt idx="13">
                  <c:v>1.5031608341613277E-15</c:v>
                </c:pt>
                <c:pt idx="14">
                  <c:v>1.9615890327777593E-15</c:v>
                </c:pt>
                <c:pt idx="15">
                  <c:v>2.4845000164518974E-15</c:v>
                </c:pt>
                <c:pt idx="16">
                  <c:v>3.0906582508708369E-15</c:v>
                </c:pt>
                <c:pt idx="17">
                  <c:v>4.0680146523421891E-15</c:v>
                </c:pt>
                <c:pt idx="18">
                  <c:v>8.064473091089985E-15</c:v>
                </c:pt>
                <c:pt idx="19">
                  <c:v>3.6129709568736062E-14</c:v>
                </c:pt>
                <c:pt idx="20">
                  <c:v>2.3838889718970277E-13</c:v>
                </c:pt>
                <c:pt idx="21">
                  <c:v>1.5795748601821063E-12</c:v>
                </c:pt>
                <c:pt idx="22">
                  <c:v>9.6452657666297773E-12</c:v>
                </c:pt>
                <c:pt idx="23">
                  <c:v>5.3547552141692737E-11</c:v>
                </c:pt>
                <c:pt idx="24">
                  <c:v>2.6972596416959692E-10</c:v>
                </c:pt>
                <c:pt idx="25">
                  <c:v>1.2323979089441445E-9</c:v>
                </c:pt>
                <c:pt idx="26">
                  <c:v>5.1080361000488376E-9</c:v>
                </c:pt>
                <c:pt idx="27">
                  <c:v>1.9209067679257421E-8</c:v>
                </c:pt>
                <c:pt idx="28">
                  <c:v>6.5556892100228444E-8</c:v>
                </c:pt>
                <c:pt idx="29">
                  <c:v>2.0311695389910651E-7</c:v>
                </c:pt>
                <c:pt idx="30">
                  <c:v>5.7162266999100994E-7</c:v>
                </c:pt>
                <c:pt idx="31">
                  <c:v>1.4622402707531645E-6</c:v>
                </c:pt>
                <c:pt idx="32">
                  <c:v>3.40342136500071E-6</c:v>
                </c:pt>
                <c:pt idx="33">
                  <c:v>7.2182692612838316E-6</c:v>
                </c:pt>
                <c:pt idx="34">
                  <c:v>1.3979276870755094E-5</c:v>
                </c:pt>
                <c:pt idx="35">
                  <c:v>2.4797137509080938E-5</c:v>
                </c:pt>
                <c:pt idx="36">
                  <c:v>4.0470042855626122E-5</c:v>
                </c:pt>
                <c:pt idx="37">
                  <c:v>6.1169976175298157E-5</c:v>
                </c:pt>
                <c:pt idx="38">
                  <c:v>8.6447118132094202E-5</c:v>
                </c:pt>
                <c:pt idx="39">
                  <c:v>1.1575766540880099E-4</c:v>
                </c:pt>
                <c:pt idx="40">
                  <c:v>1.4943488903378286E-4</c:v>
                </c:pt>
                <c:pt idx="41">
                  <c:v>1.8968289764710459E-4</c:v>
                </c:pt>
                <c:pt idx="42">
                  <c:v>2.4101469819549947E-4</c:v>
                </c:pt>
                <c:pt idx="43">
                  <c:v>3.096921300893794E-4</c:v>
                </c:pt>
                <c:pt idx="44">
                  <c:v>4.0206064669585218E-4</c:v>
                </c:pt>
                <c:pt idx="45">
                  <c:v>5.2206245186859203E-4</c:v>
                </c:pt>
                <c:pt idx="46">
                  <c:v>6.6863580509252693E-4</c:v>
                </c:pt>
                <c:pt idx="47">
                  <c:v>8.3415305017236607E-4</c:v>
                </c:pt>
                <c:pt idx="48">
                  <c:v>1.0051980183896441E-3</c:v>
                </c:pt>
                <c:pt idx="49">
                  <c:v>1.1662535753445139E-3</c:v>
                </c:pt>
                <c:pt idx="50">
                  <c:v>1.305118110954279E-3</c:v>
                </c:pt>
                <c:pt idx="51">
                  <c:v>1.4170978784024334E-3</c:v>
                </c:pt>
                <c:pt idx="52">
                  <c:v>1.5049524318614075E-3</c:v>
                </c:pt>
                <c:pt idx="53">
                  <c:v>1.5740061843245487E-3</c:v>
                </c:pt>
                <c:pt idx="54">
                  <c:v>1.6254021732115573E-3</c:v>
                </c:pt>
                <c:pt idx="55">
                  <c:v>1.6523522257807237E-3</c:v>
                </c:pt>
                <c:pt idx="56">
                  <c:v>1.6425750132955119E-3</c:v>
                </c:pt>
                <c:pt idx="57">
                  <c:v>1.585847906246763E-3</c:v>
                </c:pt>
                <c:pt idx="58">
                  <c:v>1.4819114322078321E-3</c:v>
                </c:pt>
                <c:pt idx="59">
                  <c:v>1.3436660635958398E-3</c:v>
                </c:pt>
                <c:pt idx="60">
                  <c:v>1.1937402261093797E-3</c:v>
                </c:pt>
                <c:pt idx="61">
                  <c:v>1.0564723286284573E-3</c:v>
                </c:pt>
                <c:pt idx="62">
                  <c:v>9.4935949267613707E-4</c:v>
                </c:pt>
                <c:pt idx="63">
                  <c:v>8.7745805163918882E-4</c:v>
                </c:pt>
                <c:pt idx="64">
                  <c:v>8.3244519088986871E-4</c:v>
                </c:pt>
                <c:pt idx="65">
                  <c:v>7.9642596429012726E-4</c:v>
                </c:pt>
                <c:pt idx="66">
                  <c:v>7.4922813252859238E-4</c:v>
                </c:pt>
                <c:pt idx="67">
                  <c:v>6.7656981612876377E-4</c:v>
                </c:pt>
                <c:pt idx="68">
                  <c:v>5.7565413112079704E-4</c:v>
                </c:pt>
                <c:pt idx="69">
                  <c:v>4.5556867616270683E-4</c:v>
                </c:pt>
                <c:pt idx="70">
                  <c:v>3.3249318050971184E-4</c:v>
                </c:pt>
                <c:pt idx="71">
                  <c:v>2.2255244925494593E-4</c:v>
                </c:pt>
                <c:pt idx="72">
                  <c:v>1.3611978597211907E-4</c:v>
                </c:pt>
                <c:pt idx="73">
                  <c:v>7.5892860787533454E-5</c:v>
                </c:pt>
                <c:pt idx="74">
                  <c:v>3.8509308850778272E-5</c:v>
                </c:pt>
                <c:pt idx="75">
                  <c:v>1.7763714117466877E-5</c:v>
                </c:pt>
                <c:pt idx="76">
                  <c:v>7.4434080585547778E-6</c:v>
                </c:pt>
                <c:pt idx="77">
                  <c:v>2.8316986744260495E-6</c:v>
                </c:pt>
                <c:pt idx="78">
                  <c:v>9.776770021625744E-7</c:v>
                </c:pt>
                <c:pt idx="79">
                  <c:v>3.0626738302651286E-7</c:v>
                </c:pt>
                <c:pt idx="80">
                  <c:v>8.7032341713531675E-8</c:v>
                </c:pt>
                <c:pt idx="81">
                  <c:v>2.2432493527731374E-8</c:v>
                </c:pt>
                <c:pt idx="82">
                  <c:v>5.2439383274381565E-9</c:v>
                </c:pt>
                <c:pt idx="83">
                  <c:v>1.1118766657340428E-9</c:v>
                </c:pt>
                <c:pt idx="84">
                  <c:v>2.1413269535629869E-10</c:v>
                </c:pt>
                <c:pt idx="85">
                  <c:v>3.7986593304954286E-11</c:v>
                </c:pt>
                <c:pt idx="86">
                  <c:v>6.9405834647412138E-12</c:v>
                </c:pt>
                <c:pt idx="87">
                  <c:v>2.0793022241591462E-12</c:v>
                </c:pt>
                <c:pt idx="88">
                  <c:v>1.4070334422861578E-12</c:v>
                </c:pt>
                <c:pt idx="89">
                  <c:v>1.436943791969177E-12</c:v>
                </c:pt>
                <c:pt idx="90">
                  <c:v>1.7942575668127342E-12</c:v>
                </c:pt>
                <c:pt idx="91">
                  <c:v>2.5545294852921351E-12</c:v>
                </c:pt>
                <c:pt idx="92">
                  <c:v>3.6469803950670399E-12</c:v>
                </c:pt>
                <c:pt idx="93">
                  <c:v>4.4350415502928269E-12</c:v>
                </c:pt>
                <c:pt idx="94">
                  <c:v>4.1931175149659813E-12</c:v>
                </c:pt>
                <c:pt idx="95">
                  <c:v>3.0829249515325904E-12</c:v>
                </c:pt>
                <c:pt idx="96">
                  <c:v>1.9170203138612978E-12</c:v>
                </c:pt>
                <c:pt idx="97">
                  <c:v>1.1311277450958844E-12</c:v>
                </c:pt>
                <c:pt idx="98">
                  <c:v>6.3519012816667328E-13</c:v>
                </c:pt>
                <c:pt idx="99">
                  <c:v>3.0162753426751796E-13</c:v>
                </c:pt>
                <c:pt idx="100">
                  <c:v>1.0924881935326104E-13</c:v>
                </c:pt>
                <c:pt idx="101">
                  <c:v>2.8764316503577899E-14</c:v>
                </c:pt>
                <c:pt idx="102">
                  <c:v>5.4101234649256157E-15</c:v>
                </c:pt>
                <c:pt idx="103">
                  <c:v>7.2271470395615569E-16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128-4E4D-A374-25E73A119BF1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NaiwnaGęstość!$AV$5:$AV$108</c:f>
              <c:numCache>
                <c:formatCode>General</c:formatCode>
                <c:ptCount val="104"/>
                <c:pt idx="0">
                  <c:v>1.0509802798127947E-17</c:v>
                </c:pt>
                <c:pt idx="1">
                  <c:v>2.4100648353506987E-17</c:v>
                </c:pt>
                <c:pt idx="2">
                  <c:v>5.2626199927860375E-17</c:v>
                </c:pt>
                <c:pt idx="3">
                  <c:v>1.0946714047582614E-16</c:v>
                </c:pt>
                <c:pt idx="4">
                  <c:v>2.1701114683323977E-16</c:v>
                </c:pt>
                <c:pt idx="5">
                  <c:v>4.1025358979554629E-16</c:v>
                </c:pt>
                <c:pt idx="6">
                  <c:v>7.4013062016828232E-16</c:v>
                </c:pt>
                <c:pt idx="7">
                  <c:v>1.2753617684848583E-15</c:v>
                </c:pt>
                <c:pt idx="8">
                  <c:v>2.1013263232685131E-15</c:v>
                </c:pt>
                <c:pt idx="9">
                  <c:v>3.3147439601726446E-15</c:v>
                </c:pt>
                <c:pt idx="10">
                  <c:v>5.0138336322392817E-15</c:v>
                </c:pt>
                <c:pt idx="11">
                  <c:v>7.285035152583924E-15</c:v>
                </c:pt>
                <c:pt idx="12">
                  <c:v>1.0188766826628087E-14</c:v>
                </c:pt>
                <c:pt idx="13">
                  <c:v>1.3747353183595812E-14</c:v>
                </c:pt>
                <c:pt idx="14">
                  <c:v>1.7937984338387607E-14</c:v>
                </c:pt>
                <c:pt idx="15">
                  <c:v>2.2695881506693176E-14</c:v>
                </c:pt>
                <c:pt idx="16">
                  <c:v>2.7972044848018753E-14</c:v>
                </c:pt>
                <c:pt idx="17">
                  <c:v>3.4264352841469808E-14</c:v>
                </c:pt>
                <c:pt idx="18">
                  <c:v>4.7113973343338594E-14</c:v>
                </c:pt>
                <c:pt idx="19">
                  <c:v>1.1157524432403136E-13</c:v>
                </c:pt>
                <c:pt idx="20">
                  <c:v>5.4998713240674123E-13</c:v>
                </c:pt>
                <c:pt idx="21">
                  <c:v>3.4347120421150103E-12</c:v>
                </c:pt>
                <c:pt idx="22">
                  <c:v>2.0765048670615731E-11</c:v>
                </c:pt>
                <c:pt idx="23">
                  <c:v>1.1508203996787873E-10</c:v>
                </c:pt>
                <c:pt idx="24">
                  <c:v>5.7949686379447474E-10</c:v>
                </c:pt>
                <c:pt idx="25">
                  <c:v>2.6475929443236336E-9</c:v>
                </c:pt>
                <c:pt idx="26">
                  <c:v>1.0973573857334195E-8</c:v>
                </c:pt>
                <c:pt idx="27">
                  <c:v>4.1266626064279327E-8</c:v>
                </c:pt>
                <c:pt idx="28">
                  <c:v>1.4083501818751694E-7</c:v>
                </c:pt>
                <c:pt idx="29">
                  <c:v>4.363534008830858E-7</c:v>
                </c:pt>
                <c:pt idx="30">
                  <c:v>1.2280091448947597E-6</c:v>
                </c:pt>
                <c:pt idx="31">
                  <c:v>3.1413106436987713E-6</c:v>
                </c:pt>
                <c:pt idx="32">
                  <c:v>7.3115231937427115E-6</c:v>
                </c:pt>
                <c:pt idx="33">
                  <c:v>1.5506908270610398E-5</c:v>
                </c:pt>
                <c:pt idx="34">
                  <c:v>3.0031487590546983E-5</c:v>
                </c:pt>
                <c:pt idx="35">
                  <c:v>5.3271348271450198E-5</c:v>
                </c:pt>
                <c:pt idx="36">
                  <c:v>8.6941234479668517E-5</c:v>
                </c:pt>
                <c:pt idx="37">
                  <c:v>1.3141061548890631E-4</c:v>
                </c:pt>
                <c:pt idx="38">
                  <c:v>1.857131506286865E-4</c:v>
                </c:pt>
                <c:pt idx="39">
                  <c:v>2.4868059473911E-4</c:v>
                </c:pt>
                <c:pt idx="40">
                  <c:v>3.2102890936988278E-4</c:v>
                </c:pt>
                <c:pt idx="41">
                  <c:v>4.0749315068707933E-4</c:v>
                </c:pt>
                <c:pt idx="42">
                  <c:v>5.1776854921716377E-4</c:v>
                </c:pt>
                <c:pt idx="43">
                  <c:v>6.6530732812759266E-4</c:v>
                </c:pt>
                <c:pt idx="44">
                  <c:v>8.6374133729483292E-4</c:v>
                </c:pt>
                <c:pt idx="45">
                  <c:v>1.1215395588400115E-3</c:v>
                </c:pt>
                <c:pt idx="46">
                  <c:v>1.4364210702711132E-3</c:v>
                </c:pt>
                <c:pt idx="47">
                  <c:v>1.7919994830759274E-3</c:v>
                </c:pt>
                <c:pt idx="48">
                  <c:v>2.1594530271930681E-3</c:v>
                </c:pt>
                <c:pt idx="49">
                  <c:v>2.5054464569894178E-3</c:v>
                </c:pt>
                <c:pt idx="50">
                  <c:v>2.8037672219549084E-3</c:v>
                </c:pt>
                <c:pt idx="51">
                  <c:v>3.0443318105958447E-3</c:v>
                </c:pt>
                <c:pt idx="52">
                  <c:v>3.2330685350478892E-3</c:v>
                </c:pt>
                <c:pt idx="53">
                  <c:v>3.3814157582464839E-3</c:v>
                </c:pt>
                <c:pt idx="54">
                  <c:v>3.4918290517018773E-3</c:v>
                </c:pt>
                <c:pt idx="55">
                  <c:v>3.5497254776168615E-3</c:v>
                </c:pt>
                <c:pt idx="56">
                  <c:v>3.5287212269979741E-3</c:v>
                </c:pt>
                <c:pt idx="57">
                  <c:v>3.406855165983695E-3</c:v>
                </c:pt>
                <c:pt idx="58">
                  <c:v>3.1835698735416559E-3</c:v>
                </c:pt>
                <c:pt idx="59">
                  <c:v>2.8865792564877336E-3</c:v>
                </c:pt>
                <c:pt idx="60">
                  <c:v>2.5644956493879201E-3</c:v>
                </c:pt>
                <c:pt idx="61">
                  <c:v>2.269604920072246E-3</c:v>
                </c:pt>
                <c:pt idx="62">
                  <c:v>2.0394958931787962E-3</c:v>
                </c:pt>
                <c:pt idx="63">
                  <c:v>1.8850310199248208E-3</c:v>
                </c:pt>
                <c:pt idx="64">
                  <c:v>1.7883305125334613E-3</c:v>
                </c:pt>
                <c:pt idx="65">
                  <c:v>1.7109509052377703E-3</c:v>
                </c:pt>
                <c:pt idx="66">
                  <c:v>1.609556454782262E-3</c:v>
                </c:pt>
                <c:pt idx="67">
                  <c:v>1.4534655966343122E-3</c:v>
                </c:pt>
                <c:pt idx="68">
                  <c:v>1.2366698235696195E-3</c:v>
                </c:pt>
                <c:pt idx="69">
                  <c:v>9.7869189834017532E-4</c:v>
                </c:pt>
                <c:pt idx="70">
                  <c:v>7.1429050996032854E-4</c:v>
                </c:pt>
                <c:pt idx="71">
                  <c:v>4.7810635462519461E-4</c:v>
                </c:pt>
                <c:pt idx="72">
                  <c:v>2.9242425720931082E-4</c:v>
                </c:pt>
                <c:pt idx="73">
                  <c:v>1.6303958520637882E-4</c:v>
                </c:pt>
                <c:pt idx="74">
                  <c:v>8.2729016621828358E-5</c:v>
                </c:pt>
                <c:pt idx="75">
                  <c:v>3.8161541824425471E-5</c:v>
                </c:pt>
                <c:pt idx="76">
                  <c:v>1.5990570763691797E-5</c:v>
                </c:pt>
                <c:pt idx="77">
                  <c:v>6.0832991069553377E-6</c:v>
                </c:pt>
                <c:pt idx="78">
                  <c:v>2.1003298485789283E-6</c:v>
                </c:pt>
                <c:pt idx="79">
                  <c:v>6.57949715493919E-7</c:v>
                </c:pt>
                <c:pt idx="80">
                  <c:v>1.8697001826170049E-7</c:v>
                </c:pt>
                <c:pt idx="81">
                  <c:v>4.8191021781039857E-8</c:v>
                </c:pt>
                <c:pt idx="82">
                  <c:v>1.1265041699398279E-8</c:v>
                </c:pt>
                <c:pt idx="83">
                  <c:v>2.3880398615148867E-9</c:v>
                </c:pt>
                <c:pt idx="84">
                  <c:v>4.5906145623410838E-10</c:v>
                </c:pt>
                <c:pt idx="85">
                  <c:v>8.0021643452336607E-11</c:v>
                </c:pt>
                <c:pt idx="86">
                  <c:v>1.2649206694345038E-11</c:v>
                </c:pt>
                <c:pt idx="87">
                  <c:v>1.8138935490816236E-12</c:v>
                </c:pt>
                <c:pt idx="88">
                  <c:v>2.3676081458775147E-13</c:v>
                </c:pt>
                <c:pt idx="89">
                  <c:v>2.9058385332587789E-14</c:v>
                </c:pt>
                <c:pt idx="90">
                  <c:v>4.6022153644725709E-15</c:v>
                </c:pt>
                <c:pt idx="91">
                  <c:v>2.6188523839455201E-15</c:v>
                </c:pt>
                <c:pt idx="92">
                  <c:v>3.354040647869935E-15</c:v>
                </c:pt>
                <c:pt idx="93">
                  <c:v>4.0501348464667379E-15</c:v>
                </c:pt>
                <c:pt idx="94">
                  <c:v>3.8274525134453278E-15</c:v>
                </c:pt>
                <c:pt idx="95">
                  <c:v>2.8139782389330703E-15</c:v>
                </c:pt>
                <c:pt idx="96">
                  <c:v>1.7497788824917805E-15</c:v>
                </c:pt>
                <c:pt idx="97">
                  <c:v>1.0324475165019727E-15</c:v>
                </c:pt>
                <c:pt idx="98">
                  <c:v>5.7977576411826048E-16</c:v>
                </c:pt>
                <c:pt idx="99">
                  <c:v>2.7531336839037026E-16</c:v>
                </c:pt>
                <c:pt idx="100">
                  <c:v>9.9717887213084566E-17</c:v>
                </c:pt>
                <c:pt idx="101">
                  <c:v>2.6254900380435349E-17</c:v>
                </c:pt>
                <c:pt idx="102">
                  <c:v>4.9381410679229145E-18</c:v>
                </c:pt>
                <c:pt idx="103">
                  <c:v>6.5966464224582017E-19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128-4E4D-A374-25E73A119BF1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NaiwnaGęstość!$AW$5:$AW$108</c:f>
              <c:numCache>
                <c:formatCode>General</c:formatCode>
                <c:ptCount val="104"/>
                <c:pt idx="0">
                  <c:v>8.7901280260692953E-17</c:v>
                </c:pt>
                <c:pt idx="1">
                  <c:v>2.0157160758176915E-16</c:v>
                </c:pt>
                <c:pt idx="2">
                  <c:v>4.4015196457711859E-16</c:v>
                </c:pt>
                <c:pt idx="3">
                  <c:v>9.1555493277344893E-16</c:v>
                </c:pt>
                <c:pt idx="4">
                  <c:v>1.8150252677320283E-15</c:v>
                </c:pt>
                <c:pt idx="5">
                  <c:v>3.4312552259303164E-15</c:v>
                </c:pt>
                <c:pt idx="6">
                  <c:v>6.1902616369279873E-15</c:v>
                </c:pt>
                <c:pt idx="7">
                  <c:v>1.0666796932217817E-14</c:v>
                </c:pt>
                <c:pt idx="8">
                  <c:v>1.757495146263701E-14</c:v>
                </c:pt>
                <c:pt idx="9">
                  <c:v>2.7723663649316852E-14</c:v>
                </c:pt>
                <c:pt idx="10">
                  <c:v>4.1934411422124922E-14</c:v>
                </c:pt>
                <c:pt idx="11">
                  <c:v>6.093015395489505E-14</c:v>
                </c:pt>
                <c:pt idx="12">
                  <c:v>8.5216196265176406E-14</c:v>
                </c:pt>
                <c:pt idx="13">
                  <c:v>1.1497899271065269E-13</c:v>
                </c:pt>
                <c:pt idx="14">
                  <c:v>1.5002433156022459E-13</c:v>
                </c:pt>
                <c:pt idx="15">
                  <c:v>1.8976971268175685E-13</c:v>
                </c:pt>
                <c:pt idx="16">
                  <c:v>2.3336927762938914E-13</c:v>
                </c:pt>
                <c:pt idx="17">
                  <c:v>2.8076613385085574E-13</c:v>
                </c:pt>
                <c:pt idx="18">
                  <c:v>3.4139305341158377E-13</c:v>
                </c:pt>
                <c:pt idx="19">
                  <c:v>5.0062297508533152E-13</c:v>
                </c:pt>
                <c:pt idx="20">
                  <c:v>1.3778142467967748E-12</c:v>
                </c:pt>
                <c:pt idx="21">
                  <c:v>6.9629155353312038E-12</c:v>
                </c:pt>
                <c:pt idx="22">
                  <c:v>4.0365107414358762E-11</c:v>
                </c:pt>
                <c:pt idx="23">
                  <c:v>2.2203562555891448E-10</c:v>
                </c:pt>
                <c:pt idx="24">
                  <c:v>1.1164959079276632E-9</c:v>
                </c:pt>
                <c:pt idx="25">
                  <c:v>5.0995827787624731E-9</c:v>
                </c:pt>
                <c:pt idx="26">
                  <c:v>2.1135121362950242E-8</c:v>
                </c:pt>
                <c:pt idx="27">
                  <c:v>7.947842490900534E-8</c:v>
                </c:pt>
                <c:pt idx="28">
                  <c:v>2.7124346942901067E-7</c:v>
                </c:pt>
                <c:pt idx="29">
                  <c:v>8.4040094534005426E-7</c:v>
                </c:pt>
                <c:pt idx="30">
                  <c:v>2.3651006204672011E-6</c:v>
                </c:pt>
                <c:pt idx="31">
                  <c:v>6.0500485131259282E-6</c:v>
                </c:pt>
                <c:pt idx="32">
                  <c:v>1.4081723572288232E-5</c:v>
                </c:pt>
                <c:pt idx="33">
                  <c:v>2.9865731962924892E-5</c:v>
                </c:pt>
                <c:pt idx="34">
                  <c:v>5.7839534246806102E-5</c:v>
                </c:pt>
                <c:pt idx="35">
                  <c:v>1.0259864591197261E-4</c:v>
                </c:pt>
                <c:pt idx="36">
                  <c:v>1.6744560076512881E-4</c:v>
                </c:pt>
                <c:pt idx="37">
                  <c:v>2.5309198295278399E-4</c:v>
                </c:pt>
                <c:pt idx="38">
                  <c:v>3.576766561020463E-4</c:v>
                </c:pt>
                <c:pt idx="39">
                  <c:v>4.7894962326558552E-4</c:v>
                </c:pt>
                <c:pt idx="40">
                  <c:v>6.1828979989269478E-4</c:v>
                </c:pt>
                <c:pt idx="41">
                  <c:v>7.8481672893425912E-4</c:v>
                </c:pt>
                <c:pt idx="42">
                  <c:v>9.9720306560411101E-4</c:v>
                </c:pt>
                <c:pt idx="43">
                  <c:v>1.281357293912148E-3</c:v>
                </c:pt>
                <c:pt idx="44">
                  <c:v>1.6635338522629341E-3</c:v>
                </c:pt>
                <c:pt idx="45">
                  <c:v>2.1600436868213111E-3</c:v>
                </c:pt>
                <c:pt idx="46">
                  <c:v>2.7664938252778795E-3</c:v>
                </c:pt>
                <c:pt idx="47">
                  <c:v>3.4513246897547923E-3</c:v>
                </c:pt>
                <c:pt idx="48">
                  <c:v>4.1590266176937118E-3</c:v>
                </c:pt>
                <c:pt idx="49">
                  <c:v>4.8253971596101631E-3</c:v>
                </c:pt>
                <c:pt idx="50">
                  <c:v>5.3999519132433612E-3</c:v>
                </c:pt>
                <c:pt idx="51">
                  <c:v>5.8632704086059289E-3</c:v>
                </c:pt>
                <c:pt idx="52">
                  <c:v>6.2267703554865234E-3</c:v>
                </c:pt>
                <c:pt idx="53">
                  <c:v>6.5124816176094094E-3</c:v>
                </c:pt>
                <c:pt idx="54">
                  <c:v>6.7251335348320722E-3</c:v>
                </c:pt>
                <c:pt idx="55">
                  <c:v>6.8366399086142041E-3</c:v>
                </c:pt>
                <c:pt idx="56">
                  <c:v>6.796186499195403E-3</c:v>
                </c:pt>
                <c:pt idx="57">
                  <c:v>6.5614769754536867E-3</c:v>
                </c:pt>
                <c:pt idx="58">
                  <c:v>6.131437765108997E-3</c:v>
                </c:pt>
                <c:pt idx="59">
                  <c:v>5.5594448271065779E-3</c:v>
                </c:pt>
                <c:pt idx="60">
                  <c:v>4.9391237188698848E-3</c:v>
                </c:pt>
                <c:pt idx="61">
                  <c:v>4.3711750869458053E-3</c:v>
                </c:pt>
                <c:pt idx="62">
                  <c:v>3.9279936165730134E-3</c:v>
                </c:pt>
                <c:pt idx="63">
                  <c:v>3.6304999868192241E-3</c:v>
                </c:pt>
                <c:pt idx="64">
                  <c:v>3.4442583880863373E-3</c:v>
                </c:pt>
                <c:pt idx="65">
                  <c:v>3.2952281279479481E-3</c:v>
                </c:pt>
                <c:pt idx="66">
                  <c:v>3.0999461685786564E-3</c:v>
                </c:pt>
                <c:pt idx="67">
                  <c:v>2.7993209520921218E-3</c:v>
                </c:pt>
                <c:pt idx="68">
                  <c:v>2.381780315925397E-3</c:v>
                </c:pt>
                <c:pt idx="69">
                  <c:v>1.884924378678358E-3</c:v>
                </c:pt>
                <c:pt idx="70">
                  <c:v>1.3756970891106997E-3</c:v>
                </c:pt>
                <c:pt idx="71">
                  <c:v>9.2081514617873596E-4</c:v>
                </c:pt>
                <c:pt idx="72">
                  <c:v>5.6319829791739247E-4</c:v>
                </c:pt>
                <c:pt idx="73">
                  <c:v>3.1400820765585356E-4</c:v>
                </c:pt>
                <c:pt idx="74">
                  <c:v>1.5933302453921582E-4</c:v>
                </c:pt>
                <c:pt idx="75">
                  <c:v>7.3497717345776954E-5</c:v>
                </c:pt>
                <c:pt idx="76">
                  <c:v>3.0797247542934999E-5</c:v>
                </c:pt>
                <c:pt idx="77">
                  <c:v>1.17162089610485E-5</c:v>
                </c:pt>
                <c:pt idx="78">
                  <c:v>4.0451575633135972E-6</c:v>
                </c:pt>
                <c:pt idx="79">
                  <c:v>1.2671868036931326E-6</c:v>
                </c:pt>
                <c:pt idx="80">
                  <c:v>3.6009733585481678E-7</c:v>
                </c:pt>
                <c:pt idx="81">
                  <c:v>9.2814124267928472E-8</c:v>
                </c:pt>
                <c:pt idx="82">
                  <c:v>2.1696053079296079E-8</c:v>
                </c:pt>
                <c:pt idx="83">
                  <c:v>4.599275918903134E-9</c:v>
                </c:pt>
                <c:pt idx="84">
                  <c:v>8.8413459347611589E-10</c:v>
                </c:pt>
                <c:pt idx="85">
                  <c:v>1.5411742716377582E-10</c:v>
                </c:pt>
                <c:pt idx="86">
                  <c:v>2.43600532655593E-11</c:v>
                </c:pt>
                <c:pt idx="87">
                  <c:v>3.491320362206724E-12</c:v>
                </c:pt>
                <c:pt idx="88">
                  <c:v>4.5371229602009662E-13</c:v>
                </c:pt>
                <c:pt idx="89">
                  <c:v>5.3462508340885632E-14</c:v>
                </c:pt>
                <c:pt idx="90">
                  <c:v>5.7125301216426566E-15</c:v>
                </c:pt>
                <c:pt idx="91">
                  <c:v>5.5419874353991366E-16</c:v>
                </c:pt>
                <c:pt idx="92">
                  <c:v>4.9834556042040371E-17</c:v>
                </c:pt>
                <c:pt idx="93">
                  <c:v>5.368445890334129E-18</c:v>
                </c:pt>
                <c:pt idx="94">
                  <c:v>1.6954359146355449E-18</c:v>
                </c:pt>
                <c:pt idx="95">
                  <c:v>1.0593320407972849E-18</c:v>
                </c:pt>
                <c:pt idx="96">
                  <c:v>6.4841875959782175E-19</c:v>
                </c:pt>
                <c:pt idx="97">
                  <c:v>3.8201348502818098E-19</c:v>
                </c:pt>
                <c:pt idx="98">
                  <c:v>2.1449149016168856E-19</c:v>
                </c:pt>
                <c:pt idx="99">
                  <c:v>1.0185258828538342E-19</c:v>
                </c:pt>
                <c:pt idx="100">
                  <c:v>3.6890739352145373E-20</c:v>
                </c:pt>
                <c:pt idx="101">
                  <c:v>9.7130274123623168E-21</c:v>
                </c:pt>
                <c:pt idx="102">
                  <c:v>1.8268703408976426E-21</c:v>
                </c:pt>
                <c:pt idx="103">
                  <c:v>2.4404360875250185E-22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128-4E4D-A374-25E73A119BF1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NaiwnaGęstość!$AX$5:$AX$108</c:f>
              <c:numCache>
                <c:formatCode>General</c:formatCode>
                <c:ptCount val="104"/>
                <c:pt idx="0">
                  <c:v>6.7233362361862622E-16</c:v>
                </c:pt>
                <c:pt idx="1">
                  <c:v>1.5417678666585353E-15</c:v>
                </c:pt>
                <c:pt idx="2">
                  <c:v>3.3666058606807653E-15</c:v>
                </c:pt>
                <c:pt idx="3">
                  <c:v>7.0028373164519376E-15</c:v>
                </c:pt>
                <c:pt idx="4">
                  <c:v>1.3882647802108608E-14</c:v>
                </c:pt>
                <c:pt idx="5">
                  <c:v>2.6244762906390573E-14</c:v>
                </c:pt>
                <c:pt idx="6">
                  <c:v>4.734767258406153E-14</c:v>
                </c:pt>
                <c:pt idx="7">
                  <c:v>8.1587506035994616E-14</c:v>
                </c:pt>
                <c:pt idx="8">
                  <c:v>1.3442615132254592E-13</c:v>
                </c:pt>
                <c:pt idx="9">
                  <c:v>2.1205096428019135E-13</c:v>
                </c:pt>
                <c:pt idx="10">
                  <c:v>3.207452120209891E-13</c:v>
                </c:pt>
                <c:pt idx="11">
                  <c:v>4.6603861588492577E-13</c:v>
                </c:pt>
                <c:pt idx="12">
                  <c:v>6.5179608817653839E-13</c:v>
                </c:pt>
                <c:pt idx="13">
                  <c:v>8.7944330531899866E-13</c:v>
                </c:pt>
                <c:pt idx="14">
                  <c:v>1.1474887195058929E-12</c:v>
                </c:pt>
                <c:pt idx="15">
                  <c:v>1.4514049794954747E-12</c:v>
                </c:pt>
                <c:pt idx="16">
                  <c:v>1.7839515133794515E-12</c:v>
                </c:pt>
                <c:pt idx="17">
                  <c:v>2.1372312522354125E-12</c:v>
                </c:pt>
                <c:pt idx="18">
                  <c:v>2.5181397660012401E-12</c:v>
                </c:pt>
                <c:pt idx="19">
                  <c:v>3.0644472914789173E-12</c:v>
                </c:pt>
                <c:pt idx="20">
                  <c:v>4.8424483828781038E-12</c:v>
                </c:pt>
                <c:pt idx="21">
                  <c:v>1.4782898598290094E-11</c:v>
                </c:pt>
                <c:pt idx="22">
                  <c:v>7.3079608980823079E-11</c:v>
                </c:pt>
                <c:pt idx="23">
                  <c:v>3.8927065601783412E-10</c:v>
                </c:pt>
                <c:pt idx="24">
                  <c:v>1.9454218618852957E-9</c:v>
                </c:pt>
                <c:pt idx="25">
                  <c:v>8.8746424424411469E-9</c:v>
                </c:pt>
                <c:pt idx="26">
                  <c:v>3.6770779602430821E-8</c:v>
                </c:pt>
                <c:pt idx="27">
                  <c:v>1.3826722705248524E-7</c:v>
                </c:pt>
                <c:pt idx="28">
                  <c:v>4.718696007467878E-7</c:v>
                </c:pt>
                <c:pt idx="29">
                  <c:v>1.4619993169551766E-6</c:v>
                </c:pt>
                <c:pt idx="30">
                  <c:v>4.1144294030642551E-6</c:v>
                </c:pt>
                <c:pt idx="31">
                  <c:v>1.0524915806916817E-5</c:v>
                </c:pt>
                <c:pt idx="32">
                  <c:v>2.4497146887683473E-5</c:v>
                </c:pt>
                <c:pt idx="33">
                  <c:v>5.1955654655610842E-5</c:v>
                </c:pt>
                <c:pt idx="34">
                  <c:v>1.0062002730290661E-4</c:v>
                </c:pt>
                <c:pt idx="35">
                  <c:v>1.7848481184412035E-4</c:v>
                </c:pt>
                <c:pt idx="36">
                  <c:v>2.9129523138332131E-4</c:v>
                </c:pt>
                <c:pt idx="37">
                  <c:v>4.4028918684025525E-4</c:v>
                </c:pt>
                <c:pt idx="38">
                  <c:v>6.2222896911295368E-4</c:v>
                </c:pt>
                <c:pt idx="39">
                  <c:v>8.3320039131606026E-4</c:v>
                </c:pt>
                <c:pt idx="40">
                  <c:v>1.0756022712563908E-3</c:v>
                </c:pt>
                <c:pt idx="41">
                  <c:v>1.365299339492307E-3</c:v>
                </c:pt>
                <c:pt idx="42">
                  <c:v>1.734775312083679E-3</c:v>
                </c:pt>
                <c:pt idx="43">
                  <c:v>2.2291016493293744E-3</c:v>
                </c:pt>
                <c:pt idx="44">
                  <c:v>2.8939516479702387E-3</c:v>
                </c:pt>
                <c:pt idx="45">
                  <c:v>3.7577004982516193E-3</c:v>
                </c:pt>
                <c:pt idx="46">
                  <c:v>4.8127060055779547E-3</c:v>
                </c:pt>
                <c:pt idx="47">
                  <c:v>6.0040658352597549E-3</c:v>
                </c:pt>
                <c:pt idx="48">
                  <c:v>7.2352131040338413E-3</c:v>
                </c:pt>
                <c:pt idx="49">
                  <c:v>8.394458600342887E-3</c:v>
                </c:pt>
                <c:pt idx="50">
                  <c:v>9.3939775896158245E-3</c:v>
                </c:pt>
                <c:pt idx="51">
                  <c:v>1.0199985426578734E-2</c:v>
                </c:pt>
                <c:pt idx="52">
                  <c:v>1.0832344826963694E-2</c:v>
                </c:pt>
                <c:pt idx="53">
                  <c:v>1.1329379844281324E-2</c:v>
                </c:pt>
                <c:pt idx="54">
                  <c:v>1.1699317831910753E-2</c:v>
                </c:pt>
                <c:pt idx="55">
                  <c:v>1.1893298888157879E-2</c:v>
                </c:pt>
                <c:pt idx="56">
                  <c:v>1.1822924479637436E-2</c:v>
                </c:pt>
                <c:pt idx="57">
                  <c:v>1.1414614175817614E-2</c:v>
                </c:pt>
                <c:pt idx="58">
                  <c:v>1.066650034637745E-2</c:v>
                </c:pt>
                <c:pt idx="59">
                  <c:v>9.6714379963560183E-3</c:v>
                </c:pt>
                <c:pt idx="60">
                  <c:v>8.5923019813626562E-3</c:v>
                </c:pt>
                <c:pt idx="61">
                  <c:v>7.6042752719169011E-3</c:v>
                </c:pt>
                <c:pt idx="62">
                  <c:v>6.833298628527518E-3</c:v>
                </c:pt>
                <c:pt idx="63">
                  <c:v>6.315766521635984E-3</c:v>
                </c:pt>
                <c:pt idx="64">
                  <c:v>5.9917730060003276E-3</c:v>
                </c:pt>
                <c:pt idx="65">
                  <c:v>5.7325138595663927E-3</c:v>
                </c:pt>
                <c:pt idx="66">
                  <c:v>5.3927933621831245E-3</c:v>
                </c:pt>
                <c:pt idx="67">
                  <c:v>4.8698134187212111E-3</c:v>
                </c:pt>
                <c:pt idx="68">
                  <c:v>4.143442621064565E-3</c:v>
                </c:pt>
                <c:pt idx="69">
                  <c:v>3.2790916760366104E-3</c:v>
                </c:pt>
                <c:pt idx="70">
                  <c:v>2.3932190196475872E-3</c:v>
                </c:pt>
                <c:pt idx="71">
                  <c:v>1.6018877548392722E-3</c:v>
                </c:pt>
                <c:pt idx="72">
                  <c:v>9.7976283375019292E-4</c:v>
                </c:pt>
                <c:pt idx="73">
                  <c:v>5.4626154321020407E-4</c:v>
                </c:pt>
                <c:pt idx="74">
                  <c:v>2.7718225749223766E-4</c:v>
                </c:pt>
                <c:pt idx="75">
                  <c:v>1.2785964035606849E-4</c:v>
                </c:pt>
                <c:pt idx="76">
                  <c:v>5.3576153614010547E-5</c:v>
                </c:pt>
                <c:pt idx="77">
                  <c:v>2.0381997131265672E-5</c:v>
                </c:pt>
                <c:pt idx="78">
                  <c:v>7.0371218305410293E-6</c:v>
                </c:pt>
                <c:pt idx="79">
                  <c:v>2.2044500813801525E-6</c:v>
                </c:pt>
                <c:pt idx="80">
                  <c:v>6.2644007893414209E-7</c:v>
                </c:pt>
                <c:pt idx="81">
                  <c:v>1.6146325324666223E-7</c:v>
                </c:pt>
                <c:pt idx="82">
                  <c:v>3.7743342841592712E-8</c:v>
                </c:pt>
                <c:pt idx="83">
                  <c:v>8.0010888244438341E-9</c:v>
                </c:pt>
                <c:pt idx="84">
                  <c:v>1.5380767622638672E-9</c:v>
                </c:pt>
                <c:pt idx="85">
                  <c:v>2.6810899017724724E-10</c:v>
                </c:pt>
                <c:pt idx="86">
                  <c:v>4.2377746093486477E-11</c:v>
                </c:pt>
                <c:pt idx="87">
                  <c:v>6.0736432186304607E-12</c:v>
                </c:pt>
                <c:pt idx="88">
                  <c:v>7.8929573706023208E-13</c:v>
                </c:pt>
                <c:pt idx="89">
                  <c:v>9.3004733463074725E-14</c:v>
                </c:pt>
                <c:pt idx="90">
                  <c:v>9.9366983378092081E-15</c:v>
                </c:pt>
                <c:pt idx="91">
                  <c:v>9.6260642687559207E-16</c:v>
                </c:pt>
                <c:pt idx="92">
                  <c:v>8.4552061325654657E-17</c:v>
                </c:pt>
                <c:pt idx="93">
                  <c:v>6.7340927601622251E-18</c:v>
                </c:pt>
                <c:pt idx="94">
                  <c:v>4.8647612325833068E-19</c:v>
                </c:pt>
                <c:pt idx="95">
                  <c:v>3.1994016399856818E-20</c:v>
                </c:pt>
                <c:pt idx="96">
                  <c:v>1.9871536723822045E-21</c:v>
                </c:pt>
                <c:pt idx="97">
                  <c:v>1.5901060612693351E-22</c:v>
                </c:pt>
                <c:pt idx="98">
                  <c:v>3.7126877405753158E-23</c:v>
                </c:pt>
                <c:pt idx="99">
                  <c:v>1.5491999341489832E-23</c:v>
                </c:pt>
                <c:pt idx="100">
                  <c:v>5.5403992514506863E-24</c:v>
                </c:pt>
                <c:pt idx="101">
                  <c:v>1.4567411166688357E-24</c:v>
                </c:pt>
                <c:pt idx="102">
                  <c:v>2.7394074974021778E-25</c:v>
                </c:pt>
                <c:pt idx="103">
                  <c:v>3.6593448388238616E-26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128-4E4D-A374-25E73A119BF1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NaiwnaGęstość!$AY$5:$AY$108</c:f>
              <c:numCache>
                <c:formatCode>General</c:formatCode>
                <c:ptCount val="104"/>
                <c:pt idx="0">
                  <c:v>4.7029859706562678E-15</c:v>
                </c:pt>
                <c:pt idx="1">
                  <c:v>1.0784694372234363E-14</c:v>
                </c:pt>
                <c:pt idx="2">
                  <c:v>2.3549469452820286E-14</c:v>
                </c:pt>
                <c:pt idx="3">
                  <c:v>4.8984974865310669E-14</c:v>
                </c:pt>
                <c:pt idx="4">
                  <c:v>9.7109374803354806E-14</c:v>
                </c:pt>
                <c:pt idx="5">
                  <c:v>1.8358259562810209E-13</c:v>
                </c:pt>
                <c:pt idx="6">
                  <c:v>3.3119783405682744E-13</c:v>
                </c:pt>
                <c:pt idx="7">
                  <c:v>5.7070609410091771E-13</c:v>
                </c:pt>
                <c:pt idx="8">
                  <c:v>9.4031338244885188E-13</c:v>
                </c:pt>
                <c:pt idx="9">
                  <c:v>1.4833003661176877E-12</c:v>
                </c:pt>
                <c:pt idx="10">
                  <c:v>2.2436186130772344E-12</c:v>
                </c:pt>
                <c:pt idx="11">
                  <c:v>3.2599486218620819E-12</c:v>
                </c:pt>
                <c:pt idx="12">
                  <c:v>4.5593254736405892E-12</c:v>
                </c:pt>
                <c:pt idx="13">
                  <c:v>6.1517210630510668E-12</c:v>
                </c:pt>
                <c:pt idx="14">
                  <c:v>8.0266923177643585E-12</c:v>
                </c:pt>
                <c:pt idx="15">
                  <c:v>1.0152455783005596E-11</c:v>
                </c:pt>
                <c:pt idx="16">
                  <c:v>1.2477136514774638E-11</c:v>
                </c:pt>
                <c:pt idx="17">
                  <c:v>1.4933616375264127E-11</c:v>
                </c:pt>
                <c:pt idx="18">
                  <c:v>1.7466258866490368E-11</c:v>
                </c:pt>
                <c:pt idx="19">
                  <c:v>2.0218625979393336E-11</c:v>
                </c:pt>
                <c:pt idx="20">
                  <c:v>2.4805887471102355E-11</c:v>
                </c:pt>
                <c:pt idx="21">
                  <c:v>4.2162141079768104E-11</c:v>
                </c:pt>
                <c:pt idx="22">
                  <c:v>1.3606186569549706E-10</c:v>
                </c:pt>
                <c:pt idx="23">
                  <c:v>6.3923391757107374E-10</c:v>
                </c:pt>
                <c:pt idx="24">
                  <c:v>3.1112502571170554E-9</c:v>
                </c:pt>
                <c:pt idx="25">
                  <c:v>1.4115712394422556E-8</c:v>
                </c:pt>
                <c:pt idx="26">
                  <c:v>5.8416401393053884E-8</c:v>
                </c:pt>
                <c:pt idx="27">
                  <c:v>2.1959753142682477E-7</c:v>
                </c:pt>
                <c:pt idx="28">
                  <c:v>7.4937303879132126E-7</c:v>
                </c:pt>
                <c:pt idx="29">
                  <c:v>2.3217427849789252E-6</c:v>
                </c:pt>
                <c:pt idx="30">
                  <c:v>6.5339184421339862E-6</c:v>
                </c:pt>
                <c:pt idx="31">
                  <c:v>1.6714052303131698E-5</c:v>
                </c:pt>
                <c:pt idx="32">
                  <c:v>3.8902568157609814E-5</c:v>
                </c:pt>
                <c:pt idx="33">
                  <c:v>8.2507882438518336E-5</c:v>
                </c:pt>
                <c:pt idx="34">
                  <c:v>1.5978903944317941E-4</c:v>
                </c:pt>
                <c:pt idx="35">
                  <c:v>2.8344173010721752E-4</c:v>
                </c:pt>
                <c:pt idx="36">
                  <c:v>4.6258962040117359E-4</c:v>
                </c:pt>
                <c:pt idx="37">
                  <c:v>6.9919855112495258E-4</c:v>
                </c:pt>
                <c:pt idx="38">
                  <c:v>9.8812689822873594E-4</c:v>
                </c:pt>
                <c:pt idx="39">
                  <c:v>1.3231587613238729E-3</c:v>
                </c:pt>
                <c:pt idx="40">
                  <c:v>1.7081035681839473E-3</c:v>
                </c:pt>
                <c:pt idx="41">
                  <c:v>2.168155206226307E-3</c:v>
                </c:pt>
                <c:pt idx="42">
                  <c:v>2.7548992402188894E-3</c:v>
                </c:pt>
                <c:pt idx="43">
                  <c:v>3.5399111244741864E-3</c:v>
                </c:pt>
                <c:pt idx="44">
                  <c:v>4.5957220559700437E-3</c:v>
                </c:pt>
                <c:pt idx="45">
                  <c:v>5.967393080488311E-3</c:v>
                </c:pt>
                <c:pt idx="46">
                  <c:v>7.6427880582255036E-3</c:v>
                </c:pt>
                <c:pt idx="47">
                  <c:v>9.5347196757364829E-3</c:v>
                </c:pt>
                <c:pt idx="48">
                  <c:v>1.1489835490488001E-2</c:v>
                </c:pt>
                <c:pt idx="49">
                  <c:v>1.3330768139852804E-2</c:v>
                </c:pt>
                <c:pt idx="50">
                  <c:v>1.4918048096459444E-2</c:v>
                </c:pt>
                <c:pt idx="51">
                  <c:v>1.6198023862968803E-2</c:v>
                </c:pt>
                <c:pt idx="52">
                  <c:v>1.7202238302354813E-2</c:v>
                </c:pt>
                <c:pt idx="53">
                  <c:v>1.7991551691050864E-2</c:v>
                </c:pt>
                <c:pt idx="54">
                  <c:v>1.8579029426762102E-2</c:v>
                </c:pt>
                <c:pt idx="55">
                  <c:v>1.8887079844389545E-2</c:v>
                </c:pt>
                <c:pt idx="56">
                  <c:v>1.8775322198995702E-2</c:v>
                </c:pt>
                <c:pt idx="57">
                  <c:v>1.8126907542359641E-2</c:v>
                </c:pt>
                <c:pt idx="58">
                  <c:v>1.6938869995703276E-2</c:v>
                </c:pt>
                <c:pt idx="59">
                  <c:v>1.5358667376277868E-2</c:v>
                </c:pt>
                <c:pt idx="60">
                  <c:v>1.3644952092552315E-2</c:v>
                </c:pt>
                <c:pt idx="61">
                  <c:v>1.2075922378851042E-2</c:v>
                </c:pt>
                <c:pt idx="62">
                  <c:v>1.0851577682026116E-2</c:v>
                </c:pt>
                <c:pt idx="63">
                  <c:v>1.0029714016060981E-2</c:v>
                </c:pt>
                <c:pt idx="64">
                  <c:v>9.5151981146043771E-3</c:v>
                </c:pt>
                <c:pt idx="65">
                  <c:v>9.103483228359471E-3</c:v>
                </c:pt>
                <c:pt idx="66">
                  <c:v>8.5639921907198352E-3</c:v>
                </c:pt>
                <c:pt idx="67">
                  <c:v>7.7334771216321114E-3</c:v>
                </c:pt>
                <c:pt idx="68">
                  <c:v>6.5799684627728793E-3</c:v>
                </c:pt>
                <c:pt idx="69">
                  <c:v>5.207341283106624E-3</c:v>
                </c:pt>
                <c:pt idx="70">
                  <c:v>3.8005366826422554E-3</c:v>
                </c:pt>
                <c:pt idx="71">
                  <c:v>2.5438679551518083E-3</c:v>
                </c:pt>
                <c:pt idx="72">
                  <c:v>1.555906316716766E-3</c:v>
                </c:pt>
                <c:pt idx="73">
                  <c:v>8.6748726975784932E-4</c:v>
                </c:pt>
                <c:pt idx="74">
                  <c:v>4.4017757201832706E-4</c:v>
                </c:pt>
                <c:pt idx="75">
                  <c:v>2.0304671215344992E-4</c:v>
                </c:pt>
                <c:pt idx="76">
                  <c:v>8.5081279838251835E-5</c:v>
                </c:pt>
                <c:pt idx="77">
                  <c:v>3.2367504656664314E-5</c:v>
                </c:pt>
                <c:pt idx="78">
                  <c:v>1.1175257858816392E-5</c:v>
                </c:pt>
                <c:pt idx="79">
                  <c:v>3.5007633361404952E-6</c:v>
                </c:pt>
                <c:pt idx="80">
                  <c:v>9.9481429819839838E-7</c:v>
                </c:pt>
                <c:pt idx="81">
                  <c:v>2.5641072205454329E-7</c:v>
                </c:pt>
                <c:pt idx="82">
                  <c:v>5.9938082481098683E-8</c:v>
                </c:pt>
                <c:pt idx="83">
                  <c:v>1.2706079689624929E-8</c:v>
                </c:pt>
                <c:pt idx="84">
                  <c:v>2.4425333025150162E-9</c:v>
                </c:pt>
                <c:pt idx="85">
                  <c:v>4.2576882589893285E-10</c:v>
                </c:pt>
                <c:pt idx="86">
                  <c:v>6.729771794119408E-11</c:v>
                </c:pt>
                <c:pt idx="87">
                  <c:v>9.6452115999149785E-12</c:v>
                </c:pt>
                <c:pt idx="88">
                  <c:v>1.2534362201173851E-12</c:v>
                </c:pt>
                <c:pt idx="89">
                  <c:v>1.4769559242585607E-13</c:v>
                </c:pt>
                <c:pt idx="90">
                  <c:v>1.5779912278046982E-14</c:v>
                </c:pt>
                <c:pt idx="91">
                  <c:v>1.5286609853606592E-15</c:v>
                </c:pt>
                <c:pt idx="92">
                  <c:v>1.3427208552827932E-16</c:v>
                </c:pt>
                <c:pt idx="93">
                  <c:v>1.0693677819496409E-17</c:v>
                </c:pt>
                <c:pt idx="94">
                  <c:v>7.7220825875054844E-19</c:v>
                </c:pt>
                <c:pt idx="95">
                  <c:v>5.0560020125216184E-20</c:v>
                </c:pt>
                <c:pt idx="96">
                  <c:v>3.0015506956989378E-21</c:v>
                </c:pt>
                <c:pt idx="97">
                  <c:v>1.6156842752876582E-22</c:v>
                </c:pt>
                <c:pt idx="98">
                  <c:v>7.8871756028580427E-24</c:v>
                </c:pt>
                <c:pt idx="99">
                  <c:v>3.4986341803218441E-25</c:v>
                </c:pt>
                <c:pt idx="100">
                  <c:v>1.4336562935151897E-26</c:v>
                </c:pt>
                <c:pt idx="101">
                  <c:v>5.9784281469097133E-28</c:v>
                </c:pt>
                <c:pt idx="102">
                  <c:v>3.3448421726010644E-29</c:v>
                </c:pt>
                <c:pt idx="103">
                  <c:v>2.7263916164192111E-30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128-4E4D-A374-25E73A119BF1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NaiwnaGęstość!$AZ$5:$AZ$108</c:f>
              <c:numCache>
                <c:formatCode>General</c:formatCode>
                <c:ptCount val="104"/>
                <c:pt idx="0">
                  <c:v>3.0086823734978486E-14</c:v>
                </c:pt>
                <c:pt idx="1">
                  <c:v>6.8993869137090213E-14</c:v>
                </c:pt>
                <c:pt idx="2">
                  <c:v>1.5065508187777861E-13</c:v>
                </c:pt>
                <c:pt idx="3">
                  <c:v>3.1337586665802768E-13</c:v>
                </c:pt>
                <c:pt idx="4">
                  <c:v>6.212463020200745E-13</c:v>
                </c:pt>
                <c:pt idx="5">
                  <c:v>1.1744490053628176E-12</c:v>
                </c:pt>
                <c:pt idx="6">
                  <c:v>2.1188008888072264E-12</c:v>
                </c:pt>
                <c:pt idx="7">
                  <c:v>3.6510280415095877E-12</c:v>
                </c:pt>
                <c:pt idx="8">
                  <c:v>6.0155490936812021E-12</c:v>
                </c:pt>
                <c:pt idx="9">
                  <c:v>9.4892472441528923E-12</c:v>
                </c:pt>
                <c:pt idx="10">
                  <c:v>1.435329770488766E-11</c:v>
                </c:pt>
                <c:pt idx="11">
                  <c:v>2.0855154609702442E-11</c:v>
                </c:pt>
                <c:pt idx="12">
                  <c:v>2.9167771775601637E-11</c:v>
                </c:pt>
                <c:pt idx="13">
                  <c:v>3.9354942208814115E-11</c:v>
                </c:pt>
                <c:pt idx="14">
                  <c:v>5.1349843536314017E-11</c:v>
                </c:pt>
                <c:pt idx="15">
                  <c:v>6.4948978896340961E-11</c:v>
                </c:pt>
                <c:pt idx="16">
                  <c:v>7.9818708353920437E-11</c:v>
                </c:pt>
                <c:pt idx="17">
                  <c:v>9.5512460512138019E-11</c:v>
                </c:pt>
                <c:pt idx="18">
                  <c:v>1.11523977625058E-10</c:v>
                </c:pt>
                <c:pt idx="19">
                  <c:v>1.2758471309657025E-10</c:v>
                </c:pt>
                <c:pt idx="20">
                  <c:v>1.4557029951576217E-10</c:v>
                </c:pt>
                <c:pt idx="21">
                  <c:v>1.8109026229589442E-10</c:v>
                </c:pt>
                <c:pt idx="22">
                  <c:v>3.27524409416482E-10</c:v>
                </c:pt>
                <c:pt idx="23">
                  <c:v>1.0737209792110216E-9</c:v>
                </c:pt>
                <c:pt idx="24">
                  <c:v>4.7118712627501096E-9</c:v>
                </c:pt>
                <c:pt idx="25">
                  <c:v>2.0888920855450417E-8</c:v>
                </c:pt>
                <c:pt idx="26">
                  <c:v>8.6001187709948321E-8</c:v>
                </c:pt>
                <c:pt idx="27">
                  <c:v>3.2289475878737377E-7</c:v>
                </c:pt>
                <c:pt idx="28">
                  <c:v>1.1015196891655042E-6</c:v>
                </c:pt>
                <c:pt idx="29">
                  <c:v>3.4124689727311847E-6</c:v>
                </c:pt>
                <c:pt idx="30">
                  <c:v>9.6032004736646237E-6</c:v>
                </c:pt>
                <c:pt idx="31">
                  <c:v>2.4565174012901202E-5</c:v>
                </c:pt>
                <c:pt idx="32">
                  <c:v>5.7176135309069087E-5</c:v>
                </c:pt>
                <c:pt idx="33">
                  <c:v>1.2126384401649582E-4</c:v>
                </c:pt>
                <c:pt idx="34">
                  <c:v>2.3484569114360485E-4</c:v>
                </c:pt>
                <c:pt idx="35">
                  <c:v>4.1658081688474675E-4</c:v>
                </c:pt>
                <c:pt idx="36">
                  <c:v>6.7987847638504748E-4</c:v>
                </c:pt>
                <c:pt idx="37">
                  <c:v>1.0276279090953703E-3</c:v>
                </c:pt>
                <c:pt idx="38">
                  <c:v>1.4522723545693334E-3</c:v>
                </c:pt>
                <c:pt idx="39">
                  <c:v>1.9446761645913167E-3</c:v>
                </c:pt>
                <c:pt idx="40">
                  <c:v>2.5104381401028302E-3</c:v>
                </c:pt>
                <c:pt idx="41">
                  <c:v>3.1865863006770149E-3</c:v>
                </c:pt>
                <c:pt idx="42">
                  <c:v>4.0489371042775951E-3</c:v>
                </c:pt>
                <c:pt idx="43">
                  <c:v>5.202686596555553E-3</c:v>
                </c:pt>
                <c:pt idx="44">
                  <c:v>6.754435499646801E-3</c:v>
                </c:pt>
                <c:pt idx="45">
                  <c:v>8.7704110405347809E-3</c:v>
                </c:pt>
                <c:pt idx="46">
                  <c:v>1.1232776464142712E-2</c:v>
                </c:pt>
                <c:pt idx="47">
                  <c:v>1.4013390628022843E-2</c:v>
                </c:pt>
                <c:pt idx="48">
                  <c:v>1.6886868020604014E-2</c:v>
                </c:pt>
                <c:pt idx="49">
                  <c:v>1.9592527865317535E-2</c:v>
                </c:pt>
                <c:pt idx="50">
                  <c:v>2.192538868075861E-2</c:v>
                </c:pt>
                <c:pt idx="51">
                  <c:v>2.3806597661903871E-2</c:v>
                </c:pt>
                <c:pt idx="52">
                  <c:v>2.5282514058902288E-2</c:v>
                </c:pt>
                <c:pt idx="53">
                  <c:v>2.6442585579739532E-2</c:v>
                </c:pt>
                <c:pt idx="54">
                  <c:v>2.730601473129398E-2</c:v>
                </c:pt>
                <c:pt idx="55">
                  <c:v>2.7758763309583764E-2</c:v>
                </c:pt>
                <c:pt idx="56">
                  <c:v>2.759451059700296E-2</c:v>
                </c:pt>
                <c:pt idx="57">
                  <c:v>2.6641521083430368E-2</c:v>
                </c:pt>
                <c:pt idx="58">
                  <c:v>2.4895435750665367E-2</c:v>
                </c:pt>
                <c:pt idx="59">
                  <c:v>2.2572976647819553E-2</c:v>
                </c:pt>
                <c:pt idx="60">
                  <c:v>2.0054290999370859E-2</c:v>
                </c:pt>
                <c:pt idx="61">
                  <c:v>1.7748252966772016E-2</c:v>
                </c:pt>
                <c:pt idx="62">
                  <c:v>1.5948806206096251E-2</c:v>
                </c:pt>
                <c:pt idx="63">
                  <c:v>1.4740894810493831E-2</c:v>
                </c:pt>
                <c:pt idx="64">
                  <c:v>1.3984699292510727E-2</c:v>
                </c:pt>
                <c:pt idx="65">
                  <c:v>1.3379592723908406E-2</c:v>
                </c:pt>
                <c:pt idx="66">
                  <c:v>1.2586690690478885E-2</c:v>
                </c:pt>
                <c:pt idx="67">
                  <c:v>1.1366064134991404E-2</c:v>
                </c:pt>
                <c:pt idx="68">
                  <c:v>9.6707266831696573E-3</c:v>
                </c:pt>
                <c:pt idx="69">
                  <c:v>7.653345845003926E-3</c:v>
                </c:pt>
                <c:pt idx="70">
                  <c:v>5.5857336877877294E-3</c:v>
                </c:pt>
                <c:pt idx="71">
                  <c:v>3.738779577964365E-3</c:v>
                </c:pt>
                <c:pt idx="72">
                  <c:v>2.286750281351536E-3</c:v>
                </c:pt>
                <c:pt idx="73">
                  <c:v>1.2749654248934959E-3</c:v>
                </c:pt>
                <c:pt idx="74">
                  <c:v>6.4693881363069028E-4</c:v>
                </c:pt>
                <c:pt idx="75">
                  <c:v>2.9842229005408439E-4</c:v>
                </c:pt>
                <c:pt idx="76">
                  <c:v>1.2504585817116838E-4</c:v>
                </c:pt>
                <c:pt idx="77">
                  <c:v>4.7571244865454785E-5</c:v>
                </c:pt>
                <c:pt idx="78">
                  <c:v>1.6424526193028115E-5</c:v>
                </c:pt>
                <c:pt idx="79">
                  <c:v>5.145150101809033E-6</c:v>
                </c:pt>
                <c:pt idx="80">
                  <c:v>1.4621008037919879E-6</c:v>
                </c:pt>
                <c:pt idx="81">
                  <c:v>3.7685256785690462E-7</c:v>
                </c:pt>
                <c:pt idx="82">
                  <c:v>8.8092339175333641E-8</c:v>
                </c:pt>
                <c:pt idx="83">
                  <c:v>1.8674409244910941E-8</c:v>
                </c:pt>
                <c:pt idx="84">
                  <c:v>3.5898457745967621E-9</c:v>
                </c:pt>
                <c:pt idx="85">
                  <c:v>6.2576195748673513E-10</c:v>
                </c:pt>
                <c:pt idx="86">
                  <c:v>9.8908959866567138E-11</c:v>
                </c:pt>
                <c:pt idx="87">
                  <c:v>1.4175783016508819E-11</c:v>
                </c:pt>
                <c:pt idx="88">
                  <c:v>1.8422032215005868E-12</c:v>
                </c:pt>
                <c:pt idx="89">
                  <c:v>2.1707151253606785E-13</c:v>
                </c:pt>
                <c:pt idx="90">
                  <c:v>2.3192089686773875E-14</c:v>
                </c:pt>
                <c:pt idx="91">
                  <c:v>2.2467072090330734E-15</c:v>
                </c:pt>
                <c:pt idx="92">
                  <c:v>1.9734268447599703E-16</c:v>
                </c:pt>
                <c:pt idx="93">
                  <c:v>1.571673722802003E-17</c:v>
                </c:pt>
                <c:pt idx="94">
                  <c:v>1.1349317143897136E-18</c:v>
                </c:pt>
                <c:pt idx="95">
                  <c:v>7.4309177430403015E-20</c:v>
                </c:pt>
                <c:pt idx="96">
                  <c:v>4.4114374592461038E-21</c:v>
                </c:pt>
                <c:pt idx="97">
                  <c:v>2.374556127407065E-22</c:v>
                </c:pt>
                <c:pt idx="98">
                  <c:v>1.1589085566263078E-23</c:v>
                </c:pt>
                <c:pt idx="99">
                  <c:v>5.1283796607523913E-25</c:v>
                </c:pt>
                <c:pt idx="100">
                  <c:v>2.0576686635868183E-26</c:v>
                </c:pt>
                <c:pt idx="101">
                  <c:v>7.4857566718481801E-28</c:v>
                </c:pt>
                <c:pt idx="102">
                  <c:v>2.4692486129925145E-29</c:v>
                </c:pt>
                <c:pt idx="103">
                  <c:v>7.38544953619911E-31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128-4E4D-A374-25E73A119BF1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NaiwnaGęstość!$BA$5:$BA$108</c:f>
              <c:numCache>
                <c:formatCode>General</c:formatCode>
                <c:ptCount val="104"/>
                <c:pt idx="0">
                  <c:v>1.7604093032443049E-13</c:v>
                </c:pt>
                <c:pt idx="1">
                  <c:v>4.0368983501089598E-13</c:v>
                </c:pt>
                <c:pt idx="2">
                  <c:v>8.8149752880141838E-13</c:v>
                </c:pt>
                <c:pt idx="3">
                  <c:v>1.8335926581564536E-12</c:v>
                </c:pt>
                <c:pt idx="4">
                  <c:v>3.6349725026334434E-12</c:v>
                </c:pt>
                <c:pt idx="5">
                  <c:v>6.8718152950890196E-12</c:v>
                </c:pt>
                <c:pt idx="6">
                  <c:v>1.2397309962773344E-11</c:v>
                </c:pt>
                <c:pt idx="7">
                  <c:v>2.1362519976500595E-11</c:v>
                </c:pt>
                <c:pt idx="8">
                  <c:v>3.5197562500847773E-11</c:v>
                </c:pt>
                <c:pt idx="9">
                  <c:v>5.5522508047152358E-11</c:v>
                </c:pt>
                <c:pt idx="10">
                  <c:v>8.398254011247261E-11</c:v>
                </c:pt>
                <c:pt idx="11">
                  <c:v>1.2202553688191337E-10</c:v>
                </c:pt>
                <c:pt idx="12">
                  <c:v>1.7066346785279235E-10</c:v>
                </c:pt>
                <c:pt idx="13">
                  <c:v>2.3026959068200039E-10</c:v>
                </c:pt>
                <c:pt idx="14">
                  <c:v>3.0045290251752205E-10</c:v>
                </c:pt>
                <c:pt idx="15">
                  <c:v>3.8002250245018209E-10</c:v>
                </c:pt>
                <c:pt idx="16">
                  <c:v>4.6702386364385937E-10</c:v>
                </c:pt>
                <c:pt idx="17">
                  <c:v>5.5882113847068951E-10</c:v>
                </c:pt>
                <c:pt idx="18">
                  <c:v>6.5225177594478155E-10</c:v>
                </c:pt>
                <c:pt idx="19">
                  <c:v>7.4416226720042854E-10</c:v>
                </c:pt>
                <c:pt idx="20">
                  <c:v>8.3425371377115278E-10</c:v>
                </c:pt>
                <c:pt idx="21">
                  <c:v>9.4142412008744291E-10</c:v>
                </c:pt>
                <c:pt idx="22">
                  <c:v>1.1926755665891478E-9</c:v>
                </c:pt>
                <c:pt idx="23">
                  <c:v>2.2625403177366516E-9</c:v>
                </c:pt>
                <c:pt idx="24">
                  <c:v>7.3188325520440291E-9</c:v>
                </c:pt>
                <c:pt idx="25">
                  <c:v>2.9693936936655876E-8</c:v>
                </c:pt>
                <c:pt idx="26">
                  <c:v>1.1968525259557292E-7</c:v>
                </c:pt>
                <c:pt idx="27">
                  <c:v>4.4705263630288766E-7</c:v>
                </c:pt>
                <c:pt idx="28">
                  <c:v>1.5230205315971759E-6</c:v>
                </c:pt>
                <c:pt idx="29">
                  <c:v>4.7164586923153929E-6</c:v>
                </c:pt>
                <c:pt idx="30">
                  <c:v>1.3271242790548432E-5</c:v>
                </c:pt>
                <c:pt idx="31">
                  <c:v>3.3946720049568754E-5</c:v>
                </c:pt>
                <c:pt idx="32">
                  <c:v>7.9010754013182882E-5</c:v>
                </c:pt>
                <c:pt idx="33">
                  <c:v>1.6757146864552206E-4</c:v>
                </c:pt>
                <c:pt idx="34">
                  <c:v>3.2452650067914317E-4</c:v>
                </c:pt>
                <c:pt idx="35">
                  <c:v>5.7566029810372571E-4</c:v>
                </c:pt>
                <c:pt idx="36">
                  <c:v>9.3950266502640888E-4</c:v>
                </c:pt>
                <c:pt idx="37">
                  <c:v>1.4200461421291707E-3</c:v>
                </c:pt>
                <c:pt idx="38">
                  <c:v>2.0068482872855182E-3</c:v>
                </c:pt>
                <c:pt idx="39">
                  <c:v>2.6872848464058745E-3</c:v>
                </c:pt>
                <c:pt idx="40">
                  <c:v>3.4690926168832823E-3</c:v>
                </c:pt>
                <c:pt idx="41">
                  <c:v>4.403439399787326E-3</c:v>
                </c:pt>
                <c:pt idx="42">
                  <c:v>5.5950934630713683E-3</c:v>
                </c:pt>
                <c:pt idx="43">
                  <c:v>7.1894217603125357E-3</c:v>
                </c:pt>
                <c:pt idx="44">
                  <c:v>9.3337323219861365E-3</c:v>
                </c:pt>
                <c:pt idx="45">
                  <c:v>1.211954237601745E-2</c:v>
                </c:pt>
                <c:pt idx="46">
                  <c:v>1.5522203903127757E-2</c:v>
                </c:pt>
                <c:pt idx="47">
                  <c:v>1.9364642885188625E-2</c:v>
                </c:pt>
                <c:pt idx="48">
                  <c:v>2.3335406513906119E-2</c:v>
                </c:pt>
                <c:pt idx="49">
                  <c:v>2.7074268616084095E-2</c:v>
                </c:pt>
                <c:pt idx="50">
                  <c:v>3.0297972037332557E-2</c:v>
                </c:pt>
                <c:pt idx="51">
                  <c:v>3.2897552682983805E-2</c:v>
                </c:pt>
                <c:pt idx="52">
                  <c:v>3.4937072870121127E-2</c:v>
                </c:pt>
                <c:pt idx="53">
                  <c:v>3.6540137436140124E-2</c:v>
                </c:pt>
                <c:pt idx="54">
                  <c:v>3.7733281691763272E-2</c:v>
                </c:pt>
                <c:pt idx="55">
                  <c:v>3.8358920002686377E-2</c:v>
                </c:pt>
                <c:pt idx="56">
                  <c:v>3.813194457174595E-2</c:v>
                </c:pt>
                <c:pt idx="57">
                  <c:v>3.6815039759933776E-2</c:v>
                </c:pt>
                <c:pt idx="58">
                  <c:v>3.4402181984363289E-2</c:v>
                </c:pt>
                <c:pt idx="59">
                  <c:v>3.1192852300375586E-2</c:v>
                </c:pt>
                <c:pt idx="60">
                  <c:v>2.7712363625170697E-2</c:v>
                </c:pt>
                <c:pt idx="61">
                  <c:v>2.4525725682830245E-2</c:v>
                </c:pt>
                <c:pt idx="62">
                  <c:v>2.2039129520788674E-2</c:v>
                </c:pt>
                <c:pt idx="63">
                  <c:v>2.0369956580500264E-2</c:v>
                </c:pt>
                <c:pt idx="64">
                  <c:v>1.9324994921186899E-2</c:v>
                </c:pt>
                <c:pt idx="65">
                  <c:v>1.8488818101066472E-2</c:v>
                </c:pt>
                <c:pt idx="66">
                  <c:v>1.7393132919825628E-2</c:v>
                </c:pt>
                <c:pt idx="67">
                  <c:v>1.570638932278438E-2</c:v>
                </c:pt>
                <c:pt idx="68">
                  <c:v>1.3363658388164222E-2</c:v>
                </c:pt>
                <c:pt idx="69">
                  <c:v>1.0575906314913565E-2</c:v>
                </c:pt>
                <c:pt idx="70">
                  <c:v>7.7187412379147412E-3</c:v>
                </c:pt>
                <c:pt idx="71">
                  <c:v>5.1664962421919241E-3</c:v>
                </c:pt>
                <c:pt idx="72">
                  <c:v>3.1599848263456271E-3</c:v>
                </c:pt>
                <c:pt idx="73">
                  <c:v>1.7618326887859387E-3</c:v>
                </c:pt>
                <c:pt idx="74">
                  <c:v>8.9398341887868163E-4</c:v>
                </c:pt>
                <c:pt idx="75">
                  <c:v>4.1237992451689874E-4</c:v>
                </c:pt>
                <c:pt idx="76">
                  <c:v>1.7279674901101322E-4</c:v>
                </c:pt>
                <c:pt idx="77">
                  <c:v>6.5737134994941655E-5</c:v>
                </c:pt>
                <c:pt idx="78">
                  <c:v>2.2696511277614563E-5</c:v>
                </c:pt>
                <c:pt idx="79">
                  <c:v>7.1099133051577563E-6</c:v>
                </c:pt>
                <c:pt idx="80">
                  <c:v>2.0204288995781085E-6</c:v>
                </c:pt>
                <c:pt idx="81">
                  <c:v>5.2076013979582482E-7</c:v>
                </c:pt>
                <c:pt idx="82">
                  <c:v>1.2173189935993103E-7</c:v>
                </c:pt>
                <c:pt idx="83">
                  <c:v>2.58055504949544E-8</c:v>
                </c:pt>
                <c:pt idx="84">
                  <c:v>4.9606895292125517E-9</c:v>
                </c:pt>
                <c:pt idx="85">
                  <c:v>8.6471981951172274E-10</c:v>
                </c:pt>
                <c:pt idx="86">
                  <c:v>1.3667903090087308E-10</c:v>
                </c:pt>
                <c:pt idx="87">
                  <c:v>1.9589047216467127E-11</c:v>
                </c:pt>
                <c:pt idx="88">
                  <c:v>2.5456798997478344E-12</c:v>
                </c:pt>
                <c:pt idx="89">
                  <c:v>2.999639669618325E-13</c:v>
                </c:pt>
                <c:pt idx="90">
                  <c:v>3.2048384162932001E-14</c:v>
                </c:pt>
                <c:pt idx="91">
                  <c:v>3.1046506248152925E-15</c:v>
                </c:pt>
                <c:pt idx="92">
                  <c:v>2.7270134986847379E-16</c:v>
                </c:pt>
                <c:pt idx="93">
                  <c:v>2.1718441040811294E-17</c:v>
                </c:pt>
                <c:pt idx="94">
                  <c:v>1.568324720767786E-18</c:v>
                </c:pt>
                <c:pt idx="95">
                  <c:v>1.0268540253830018E-19</c:v>
                </c:pt>
                <c:pt idx="96">
                  <c:v>6.0960199929732808E-21</c:v>
                </c:pt>
                <c:pt idx="97">
                  <c:v>3.2813208295838705E-22</c:v>
                </c:pt>
                <c:pt idx="98">
                  <c:v>1.6014575224236611E-23</c:v>
                </c:pt>
                <c:pt idx="99">
                  <c:v>7.086738474613423E-25</c:v>
                </c:pt>
                <c:pt idx="100">
                  <c:v>2.8434233514077895E-26</c:v>
                </c:pt>
                <c:pt idx="101">
                  <c:v>1.0344290276676083E-27</c:v>
                </c:pt>
                <c:pt idx="102">
                  <c:v>3.4121166252989647E-29</c:v>
                </c:pt>
                <c:pt idx="103">
                  <c:v>1.0204952559450109E-30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128-4E4D-A374-25E73A119BF1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NaiwnaGęstość!$BB$5:$BB$108</c:f>
              <c:numCache>
                <c:formatCode>General</c:formatCode>
                <c:ptCount val="104"/>
                <c:pt idx="0">
                  <c:v>9.4214011372633921E-13</c:v>
                </c:pt>
                <c:pt idx="1">
                  <c:v>2.1604770343260967E-12</c:v>
                </c:pt>
                <c:pt idx="2">
                  <c:v>4.7176198200266009E-12</c:v>
                </c:pt>
                <c:pt idx="3">
                  <c:v>9.8130655882108993E-12</c:v>
                </c:pt>
                <c:pt idx="4">
                  <c:v>1.9453733860141522E-11</c:v>
                </c:pt>
                <c:pt idx="5">
                  <c:v>3.6776747496676299E-11</c:v>
                </c:pt>
                <c:pt idx="6">
                  <c:v>6.6348223658569458E-11</c:v>
                </c:pt>
                <c:pt idx="7">
                  <c:v>1.1432845170182762E-10</c:v>
                </c:pt>
                <c:pt idx="8">
                  <c:v>1.8837116729799766E-10</c:v>
                </c:pt>
                <c:pt idx="9">
                  <c:v>2.9714670303950198E-10</c:v>
                </c:pt>
                <c:pt idx="10">
                  <c:v>4.4945979180344147E-10</c:v>
                </c:pt>
                <c:pt idx="11">
                  <c:v>6.5305922311344822E-10</c:v>
                </c:pt>
                <c:pt idx="12">
                  <c:v>9.1336087970744476E-10</c:v>
                </c:pt>
                <c:pt idx="13">
                  <c:v>1.2323623691767662E-9</c:v>
                </c:pt>
                <c:pt idx="14">
                  <c:v>1.6079710897325906E-9</c:v>
                </c:pt>
                <c:pt idx="15">
                  <c:v>2.0338132734956693E-9</c:v>
                </c:pt>
                <c:pt idx="16">
                  <c:v>2.4994256847813849E-9</c:v>
                </c:pt>
                <c:pt idx="17">
                  <c:v>2.9906731573399451E-9</c:v>
                </c:pt>
                <c:pt idx="18">
                  <c:v>3.490380407244838E-9</c:v>
                </c:pt>
                <c:pt idx="19">
                  <c:v>3.9796975154208736E-9</c:v>
                </c:pt>
                <c:pt idx="20">
                  <c:v>4.4429678186605322E-9</c:v>
                </c:pt>
                <c:pt idx="21">
                  <c:v>4.8910098207691639E-9</c:v>
                </c:pt>
                <c:pt idx="22">
                  <c:v>5.4805936330328853E-9</c:v>
                </c:pt>
                <c:pt idx="23">
                  <c:v>7.0962266113758226E-9</c:v>
                </c:pt>
                <c:pt idx="24">
                  <c:v>1.3918043363062668E-8</c:v>
                </c:pt>
                <c:pt idx="25">
                  <c:v>4.3540468662244334E-8</c:v>
                </c:pt>
                <c:pt idx="26">
                  <c:v>1.6232146214432509E-7</c:v>
                </c:pt>
                <c:pt idx="27">
                  <c:v>5.9419750326921874E-7</c:v>
                </c:pt>
                <c:pt idx="28">
                  <c:v>2.0135115267800758E-6</c:v>
                </c:pt>
                <c:pt idx="29">
                  <c:v>6.2258769273532718E-6</c:v>
                </c:pt>
                <c:pt idx="30">
                  <c:v>1.7510122579704359E-5</c:v>
                </c:pt>
                <c:pt idx="31">
                  <c:v>4.4782143719637901E-5</c:v>
                </c:pt>
                <c:pt idx="32">
                  <c:v>1.0422382173875233E-4</c:v>
                </c:pt>
                <c:pt idx="33">
                  <c:v>2.2103965730358523E-4</c:v>
                </c:pt>
                <c:pt idx="34">
                  <c:v>4.2807078500965321E-4</c:v>
                </c:pt>
                <c:pt idx="35">
                  <c:v>7.5932808073361216E-4</c:v>
                </c:pt>
                <c:pt idx="36">
                  <c:v>1.2392532022637653E-3</c:v>
                </c:pt>
                <c:pt idx="37">
                  <c:v>1.8731124756140661E-3</c:v>
                </c:pt>
                <c:pt idx="38">
                  <c:v>2.6471318112403349E-3</c:v>
                </c:pt>
                <c:pt idx="39">
                  <c:v>3.5446592130488242E-3</c:v>
                </c:pt>
                <c:pt idx="40">
                  <c:v>4.5758998722974006E-3</c:v>
                </c:pt>
                <c:pt idx="41">
                  <c:v>5.8083465144883155E-3</c:v>
                </c:pt>
                <c:pt idx="42">
                  <c:v>7.3801933960943337E-3</c:v>
                </c:pt>
                <c:pt idx="43">
                  <c:v>9.4831863448670128E-3</c:v>
                </c:pt>
                <c:pt idx="44">
                  <c:v>1.2311631563644699E-2</c:v>
                </c:pt>
                <c:pt idx="45">
                  <c:v>1.5986244579991933E-2</c:v>
                </c:pt>
                <c:pt idx="46">
                  <c:v>2.0474513530189691E-2</c:v>
                </c:pt>
                <c:pt idx="47">
                  <c:v>2.5542869532393753E-2</c:v>
                </c:pt>
                <c:pt idx="48">
                  <c:v>3.0780491797189523E-2</c:v>
                </c:pt>
                <c:pt idx="49">
                  <c:v>3.5712225181349269E-2</c:v>
                </c:pt>
                <c:pt idx="50">
                  <c:v>3.9964440264384088E-2</c:v>
                </c:pt>
                <c:pt idx="51">
                  <c:v>4.3393408304851694E-2</c:v>
                </c:pt>
                <c:pt idx="52">
                  <c:v>4.6083630476052427E-2</c:v>
                </c:pt>
                <c:pt idx="53">
                  <c:v>4.8198147319128547E-2</c:v>
                </c:pt>
                <c:pt idx="54">
                  <c:v>4.9771960144690812E-2</c:v>
                </c:pt>
                <c:pt idx="55">
                  <c:v>5.0597206148536945E-2</c:v>
                </c:pt>
                <c:pt idx="56">
                  <c:v>5.0297814844909181E-2</c:v>
                </c:pt>
                <c:pt idx="57">
                  <c:v>4.8560755835512018E-2</c:v>
                </c:pt>
                <c:pt idx="58">
                  <c:v>4.5378083736906445E-2</c:v>
                </c:pt>
                <c:pt idx="59">
                  <c:v>4.1144828038794837E-2</c:v>
                </c:pt>
                <c:pt idx="60">
                  <c:v>3.6553900993745572E-2</c:v>
                </c:pt>
                <c:pt idx="61">
                  <c:v>3.2350576793638106E-2</c:v>
                </c:pt>
                <c:pt idx="62">
                  <c:v>2.9070640383338384E-2</c:v>
                </c:pt>
                <c:pt idx="63">
                  <c:v>2.6868923359220573E-2</c:v>
                </c:pt>
                <c:pt idx="64">
                  <c:v>2.5490570152179443E-2</c:v>
                </c:pt>
                <c:pt idx="65">
                  <c:v>2.4387613896624444E-2</c:v>
                </c:pt>
                <c:pt idx="66">
                  <c:v>2.2942354005836513E-2</c:v>
                </c:pt>
                <c:pt idx="67">
                  <c:v>2.0717460484033504E-2</c:v>
                </c:pt>
                <c:pt idx="68">
                  <c:v>1.762728905248025E-2</c:v>
                </c:pt>
                <c:pt idx="69">
                  <c:v>1.3950113972115218E-2</c:v>
                </c:pt>
                <c:pt idx="70">
                  <c:v>1.0181379900893442E-2</c:v>
                </c:pt>
                <c:pt idx="71">
                  <c:v>6.8148496466526433E-3</c:v>
                </c:pt>
                <c:pt idx="72">
                  <c:v>4.1681674519128452E-3</c:v>
                </c:pt>
                <c:pt idx="73">
                  <c:v>2.3239395353625908E-3</c:v>
                </c:pt>
                <c:pt idx="74">
                  <c:v>1.1792058487224612E-3</c:v>
                </c:pt>
                <c:pt idx="75">
                  <c:v>5.4394836483143149E-4</c:v>
                </c:pt>
                <c:pt idx="76">
                  <c:v>2.2792697579245125E-4</c:v>
                </c:pt>
                <c:pt idx="77">
                  <c:v>8.6710348790733344E-5</c:v>
                </c:pt>
                <c:pt idx="78">
                  <c:v>2.9937757545496613E-5</c:v>
                </c:pt>
                <c:pt idx="79">
                  <c:v>9.378307445391781E-6</c:v>
                </c:pt>
                <c:pt idx="80">
                  <c:v>2.6650400052065889E-6</c:v>
                </c:pt>
                <c:pt idx="81">
                  <c:v>6.8690692652564892E-7</c:v>
                </c:pt>
                <c:pt idx="82">
                  <c:v>1.6057005607657827E-7</c:v>
                </c:pt>
                <c:pt idx="83">
                  <c:v>3.4038725361629546E-8</c:v>
                </c:pt>
                <c:pt idx="84">
                  <c:v>6.5433809878314512E-9</c:v>
                </c:pt>
                <c:pt idx="85">
                  <c:v>1.140605795520112E-9</c:v>
                </c:pt>
                <c:pt idx="86">
                  <c:v>1.802860201119383E-10</c:v>
                </c:pt>
                <c:pt idx="87">
                  <c:v>2.583886743391984E-11</c:v>
                </c:pt>
                <c:pt idx="88">
                  <c:v>3.3578705861487694E-12</c:v>
                </c:pt>
                <c:pt idx="89">
                  <c:v>3.9566647074020387E-13</c:v>
                </c:pt>
                <c:pt idx="90">
                  <c:v>4.2273314302200208E-14</c:v>
                </c:pt>
                <c:pt idx="91">
                  <c:v>4.0951790578517178E-15</c:v>
                </c:pt>
                <c:pt idx="92">
                  <c:v>3.5970580654500129E-16</c:v>
                </c:pt>
                <c:pt idx="93">
                  <c:v>2.8647637261005432E-17</c:v>
                </c:pt>
                <c:pt idx="94">
                  <c:v>2.0686934953143528E-18</c:v>
                </c:pt>
                <c:pt idx="95">
                  <c:v>1.3544683795114506E-19</c:v>
                </c:pt>
                <c:pt idx="96">
                  <c:v>8.0409348538089349E-21</c:v>
                </c:pt>
                <c:pt idx="97">
                  <c:v>4.3282153049610839E-22</c:v>
                </c:pt>
                <c:pt idx="98">
                  <c:v>2.1123972093670063E-23</c:v>
                </c:pt>
                <c:pt idx="99">
                  <c:v>9.3477387888727727E-25</c:v>
                </c:pt>
                <c:pt idx="100">
                  <c:v>3.7506081189510229E-26</c:v>
                </c:pt>
                <c:pt idx="101">
                  <c:v>1.3644601839626476E-27</c:v>
                </c:pt>
                <c:pt idx="102">
                  <c:v>4.5007412609542818E-29</c:v>
                </c:pt>
                <c:pt idx="103">
                  <c:v>1.3460810302460738E-30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128-4E4D-A374-25E73A119BF1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NaiwnaGęstość!$BC$5:$BC$108</c:f>
              <c:numCache>
                <c:formatCode>General</c:formatCode>
                <c:ptCount val="104"/>
                <c:pt idx="0">
                  <c:v>4.6123766963491635E-12</c:v>
                </c:pt>
                <c:pt idx="1">
                  <c:v>1.0576912903867425E-11</c:v>
                </c:pt>
                <c:pt idx="2">
                  <c:v>2.3095757630001553E-11</c:v>
                </c:pt>
                <c:pt idx="3">
                  <c:v>4.8041214230643455E-11</c:v>
                </c:pt>
                <c:pt idx="4">
                  <c:v>9.5238433653572727E-11</c:v>
                </c:pt>
                <c:pt idx="5">
                  <c:v>1.8004563296883315E-10</c:v>
                </c:pt>
                <c:pt idx="6">
                  <c:v>3.2481686767010713E-10</c:v>
                </c:pt>
                <c:pt idx="7">
                  <c:v>5.5971068281289783E-10</c:v>
                </c:pt>
                <c:pt idx="8">
                  <c:v>9.2219699559649766E-10</c:v>
                </c:pt>
                <c:pt idx="9">
                  <c:v>1.4547226134715415E-9</c:v>
                </c:pt>
                <c:pt idx="10">
                  <c:v>2.2003923189940054E-9</c:v>
                </c:pt>
                <c:pt idx="11">
                  <c:v>3.1971413785796299E-9</c:v>
                </c:pt>
                <c:pt idx="12">
                  <c:v>4.4714839920059011E-9</c:v>
                </c:pt>
                <c:pt idx="13">
                  <c:v>6.0331997202816556E-9</c:v>
                </c:pt>
                <c:pt idx="14">
                  <c:v>7.8720439155600548E-9</c:v>
                </c:pt>
                <c:pt idx="15">
                  <c:v>9.9568125927782377E-9</c:v>
                </c:pt>
                <c:pt idx="16">
                  <c:v>1.2236278043200805E-8</c:v>
                </c:pt>
                <c:pt idx="17">
                  <c:v>1.4641205758663018E-8</c:v>
                </c:pt>
                <c:pt idx="18">
                  <c:v>1.7087215716109369E-8</c:v>
                </c:pt>
                <c:pt idx="19">
                  <c:v>1.9479687956971907E-8</c:v>
                </c:pt>
                <c:pt idx="20">
                  <c:v>2.1725317680685572E-8</c:v>
                </c:pt>
                <c:pt idx="21">
                  <c:v>2.3770052364903587E-8</c:v>
                </c:pt>
                <c:pt idx="22">
                  <c:v>2.5761796737754852E-8</c:v>
                </c:pt>
                <c:pt idx="23">
                  <c:v>2.8801504444645346E-8</c:v>
                </c:pt>
                <c:pt idx="24">
                  <c:v>3.82189783039478E-8</c:v>
                </c:pt>
                <c:pt idx="25">
                  <c:v>7.6454800505220591E-8</c:v>
                </c:pt>
                <c:pt idx="26">
                  <c:v>2.2805645009077041E-7</c:v>
                </c:pt>
                <c:pt idx="27">
                  <c:v>7.7820122068083301E-7</c:v>
                </c:pt>
                <c:pt idx="28">
                  <c:v>2.5854932340175216E-6</c:v>
                </c:pt>
                <c:pt idx="29">
                  <c:v>7.9487905365581824E-6</c:v>
                </c:pt>
                <c:pt idx="30">
                  <c:v>2.2315691022538645E-5</c:v>
                </c:pt>
                <c:pt idx="31">
                  <c:v>5.7037430101232349E-5</c:v>
                </c:pt>
                <c:pt idx="32">
                  <c:v>1.3271588152186946E-4</c:v>
                </c:pt>
                <c:pt idx="33">
                  <c:v>2.8144000926737277E-4</c:v>
                </c:pt>
                <c:pt idx="34">
                  <c:v>5.4502130584853945E-4</c:v>
                </c:pt>
                <c:pt idx="35">
                  <c:v>9.6676049461505973E-4</c:v>
                </c:pt>
                <c:pt idx="36">
                  <c:v>1.5777752719244407E-3</c:v>
                </c:pt>
                <c:pt idx="37">
                  <c:v>2.3847703336254389E-3</c:v>
                </c:pt>
                <c:pt idx="38">
                  <c:v>3.3702091589365665E-3</c:v>
                </c:pt>
                <c:pt idx="39">
                  <c:v>4.5128912586572473E-3</c:v>
                </c:pt>
                <c:pt idx="40">
                  <c:v>5.825809298964103E-3</c:v>
                </c:pt>
                <c:pt idx="41">
                  <c:v>7.3948913753909334E-3</c:v>
                </c:pt>
                <c:pt idx="42">
                  <c:v>9.396078982676111E-3</c:v>
                </c:pt>
                <c:pt idx="43">
                  <c:v>1.2073492604878052E-2</c:v>
                </c:pt>
                <c:pt idx="44">
                  <c:v>1.5674512475549914E-2</c:v>
                </c:pt>
                <c:pt idx="45">
                  <c:v>2.0352827179326832E-2</c:v>
                </c:pt>
                <c:pt idx="46">
                  <c:v>2.6067044499788635E-2</c:v>
                </c:pt>
                <c:pt idx="47">
                  <c:v>3.2519797331750727E-2</c:v>
                </c:pt>
                <c:pt idx="48">
                  <c:v>3.9188051050062803E-2</c:v>
                </c:pt>
                <c:pt idx="49">
                  <c:v>4.5466863994086268E-2</c:v>
                </c:pt>
                <c:pt idx="50">
                  <c:v>5.0880551491934059E-2</c:v>
                </c:pt>
                <c:pt idx="51">
                  <c:v>5.5246125874629064E-2</c:v>
                </c:pt>
                <c:pt idx="52">
                  <c:v>5.8671169366854292E-2</c:v>
                </c:pt>
                <c:pt idx="53">
                  <c:v>6.1363256256125459E-2</c:v>
                </c:pt>
                <c:pt idx="54">
                  <c:v>6.3366948289756087E-2</c:v>
                </c:pt>
                <c:pt idx="55">
                  <c:v>6.4417605890043139E-2</c:v>
                </c:pt>
                <c:pt idx="56">
                  <c:v>6.4036436644864567E-2</c:v>
                </c:pt>
                <c:pt idx="57">
                  <c:v>6.1824907345660561E-2</c:v>
                </c:pt>
                <c:pt idx="58">
                  <c:v>5.7772902380382365E-2</c:v>
                </c:pt>
                <c:pt idx="59">
                  <c:v>5.2383351758065126E-2</c:v>
                </c:pt>
                <c:pt idx="60">
                  <c:v>4.6538433565299138E-2</c:v>
                </c:pt>
                <c:pt idx="61">
                  <c:v>4.1186990246642123E-2</c:v>
                </c:pt>
                <c:pt idx="62">
                  <c:v>3.7011153959045806E-2</c:v>
                </c:pt>
                <c:pt idx="63">
                  <c:v>3.4208047832869758E-2</c:v>
                </c:pt>
                <c:pt idx="64">
                  <c:v>3.2453203645588062E-2</c:v>
                </c:pt>
                <c:pt idx="65">
                  <c:v>3.1048979861144008E-2</c:v>
                </c:pt>
                <c:pt idx="66">
                  <c:v>2.9208953775653176E-2</c:v>
                </c:pt>
                <c:pt idx="67">
                  <c:v>2.6376340685872166E-2</c:v>
                </c:pt>
                <c:pt idx="68">
                  <c:v>2.2442102963208189E-2</c:v>
                </c:pt>
                <c:pt idx="69">
                  <c:v>1.7760524215773236E-2</c:v>
                </c:pt>
                <c:pt idx="70">
                  <c:v>1.2962377556910975E-2</c:v>
                </c:pt>
                <c:pt idx="71">
                  <c:v>8.676294860841734E-3</c:v>
                </c:pt>
                <c:pt idx="72">
                  <c:v>5.3066834510713768E-3</c:v>
                </c:pt>
                <c:pt idx="73">
                  <c:v>2.9587130593308588E-3</c:v>
                </c:pt>
                <c:pt idx="74">
                  <c:v>1.5013005679103662E-3</c:v>
                </c:pt>
                <c:pt idx="75">
                  <c:v>6.9252538894407404E-4</c:v>
                </c:pt>
                <c:pt idx="76">
                  <c:v>2.9018419351251122E-4</c:v>
                </c:pt>
                <c:pt idx="77">
                  <c:v>1.10394886544245E-4</c:v>
                </c:pt>
                <c:pt idx="78">
                  <c:v>3.8115119979467032E-5</c:v>
                </c:pt>
                <c:pt idx="79">
                  <c:v>1.1939949508307085E-5</c:v>
                </c:pt>
                <c:pt idx="80">
                  <c:v>3.3929835724683542E-6</c:v>
                </c:pt>
                <c:pt idx="81">
                  <c:v>8.7453243214458139E-7</c:v>
                </c:pt>
                <c:pt idx="82">
                  <c:v>2.0442903725038255E-7</c:v>
                </c:pt>
                <c:pt idx="83">
                  <c:v>4.3336248519413565E-8</c:v>
                </c:pt>
                <c:pt idx="84">
                  <c:v>8.3306757710064704E-9</c:v>
                </c:pt>
                <c:pt idx="85">
                  <c:v>1.4521570855633379E-9</c:v>
                </c:pt>
                <c:pt idx="86">
                  <c:v>2.2953032727196724E-10</c:v>
                </c:pt>
                <c:pt idx="87">
                  <c:v>3.2896636659784441E-11</c:v>
                </c:pt>
                <c:pt idx="88">
                  <c:v>4.2750576783634307E-12</c:v>
                </c:pt>
                <c:pt idx="89">
                  <c:v>5.0374096929110818E-13</c:v>
                </c:pt>
                <c:pt idx="90">
                  <c:v>5.3820078012034171E-14</c:v>
                </c:pt>
                <c:pt idx="91">
                  <c:v>5.2137586089319423E-15</c:v>
                </c:pt>
                <c:pt idx="92">
                  <c:v>4.579578131087433E-16</c:v>
                </c:pt>
                <c:pt idx="93">
                  <c:v>3.647260920706802E-17</c:v>
                </c:pt>
                <c:pt idx="94">
                  <c:v>2.6337477239645301E-18</c:v>
                </c:pt>
                <c:pt idx="95">
                  <c:v>1.7244352634555026E-19</c:v>
                </c:pt>
                <c:pt idx="96">
                  <c:v>1.0237279681041372E-20</c:v>
                </c:pt>
                <c:pt idx="97">
                  <c:v>5.5104476595973775E-22</c:v>
                </c:pt>
                <c:pt idx="98">
                  <c:v>2.6893889207988353E-23</c:v>
                </c:pt>
                <c:pt idx="99">
                  <c:v>1.1901031289387198E-24</c:v>
                </c:pt>
                <c:pt idx="100">
                  <c:v>4.7750698056392796E-26</c:v>
                </c:pt>
                <c:pt idx="101">
                  <c:v>1.7371563942966843E-27</c:v>
                </c:pt>
                <c:pt idx="102">
                  <c:v>5.7300992492288296E-29</c:v>
                </c:pt>
                <c:pt idx="103">
                  <c:v>1.7137577414820376E-30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128-4E4D-A374-25E73A119BF1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NaiwnaGęstość!$BD$5:$BD$108</c:f>
              <c:numCache>
                <c:formatCode>General</c:formatCode>
                <c:ptCount val="104"/>
                <c:pt idx="0">
                  <c:v>2.0658713112154123E-11</c:v>
                </c:pt>
                <c:pt idx="1">
                  <c:v>4.7373712876962498E-11</c:v>
                </c:pt>
                <c:pt idx="2">
                  <c:v>1.0344528697400378E-10</c:v>
                </c:pt>
                <c:pt idx="3">
                  <c:v>2.1517532666747908E-10</c:v>
                </c:pt>
                <c:pt idx="4">
                  <c:v>4.2657042293562498E-10</c:v>
                </c:pt>
                <c:pt idx="5">
                  <c:v>8.0641962343262817E-10</c:v>
                </c:pt>
                <c:pt idx="6">
                  <c:v>1.4548461509001808E-9</c:v>
                </c:pt>
                <c:pt idx="7">
                  <c:v>2.5069293302066887E-9</c:v>
                </c:pt>
                <c:pt idx="8">
                  <c:v>4.1304959284869907E-9</c:v>
                </c:pt>
                <c:pt idx="9">
                  <c:v>6.5156640725505175E-9</c:v>
                </c:pt>
                <c:pt idx="10">
                  <c:v>9.8554989422833419E-9</c:v>
                </c:pt>
                <c:pt idx="11">
                  <c:v>1.4319911591630509E-8</c:v>
                </c:pt>
                <c:pt idx="12">
                  <c:v>2.0027658419277189E-8</c:v>
                </c:pt>
                <c:pt idx="13">
                  <c:v>2.702254181767454E-8</c:v>
                </c:pt>
                <c:pt idx="14">
                  <c:v>3.5258676248929127E-8</c:v>
                </c:pt>
                <c:pt idx="15">
                  <c:v>4.4596299517903145E-8</c:v>
                </c:pt>
                <c:pt idx="16">
                  <c:v>5.4805960087052807E-8</c:v>
                </c:pt>
                <c:pt idx="17">
                  <c:v>6.5577519837677557E-8</c:v>
                </c:pt>
                <c:pt idx="18">
                  <c:v>7.6532705420824302E-8</c:v>
                </c:pt>
                <c:pt idx="19">
                  <c:v>8.7245052041208141E-8</c:v>
                </c:pt>
                <c:pt idx="20">
                  <c:v>9.7277665171574724E-8</c:v>
                </c:pt>
                <c:pt idx="21">
                  <c:v>1.0626646228428939E-7</c:v>
                </c:pt>
                <c:pt idx="22">
                  <c:v>1.1416766779650124E-7</c:v>
                </c:pt>
                <c:pt idx="23">
                  <c:v>1.2223152016091017E-7</c:v>
                </c:pt>
                <c:pt idx="24">
                  <c:v>1.3707879192599353E-7</c:v>
                </c:pt>
                <c:pt idx="25">
                  <c:v>1.8661680148390627E-7</c:v>
                </c:pt>
                <c:pt idx="26">
                  <c:v>3.7560489589817438E-7</c:v>
                </c:pt>
                <c:pt idx="27">
                  <c:v>1.0567688789090433E-6</c:v>
                </c:pt>
                <c:pt idx="28">
                  <c:v>3.2914108440193538E-6</c:v>
                </c:pt>
                <c:pt idx="29">
                  <c:v>9.9205251174162672E-6</c:v>
                </c:pt>
                <c:pt idx="30">
                  <c:v>2.767600929754376E-5</c:v>
                </c:pt>
                <c:pt idx="31">
                  <c:v>7.0584988331802358E-5</c:v>
                </c:pt>
                <c:pt idx="32">
                  <c:v>1.6410583281273482E-4</c:v>
                </c:pt>
                <c:pt idx="33">
                  <c:v>3.4789182928974264E-4</c:v>
                </c:pt>
                <c:pt idx="34">
                  <c:v>6.7361064799399087E-4</c:v>
                </c:pt>
                <c:pt idx="35">
                  <c:v>1.1947701649001978E-3</c:v>
                </c:pt>
                <c:pt idx="36">
                  <c:v>1.9498231852814554E-3</c:v>
                </c:pt>
                <c:pt idx="37">
                  <c:v>2.9470544776622511E-3</c:v>
                </c:pt>
                <c:pt idx="38">
                  <c:v>4.164793122741259E-3</c:v>
                </c:pt>
                <c:pt idx="39">
                  <c:v>5.5768406213434606E-3</c:v>
                </c:pt>
                <c:pt idx="40">
                  <c:v>7.1992523361247484E-3</c:v>
                </c:pt>
                <c:pt idx="41">
                  <c:v>9.138212708397795E-3</c:v>
                </c:pt>
                <c:pt idx="42">
                  <c:v>1.1611139090382666E-2</c:v>
                </c:pt>
                <c:pt idx="43">
                  <c:v>1.4919700149063774E-2</c:v>
                </c:pt>
                <c:pt idx="44">
                  <c:v>1.9369592820647045E-2</c:v>
                </c:pt>
                <c:pt idx="45">
                  <c:v>2.515073601663945E-2</c:v>
                </c:pt>
                <c:pt idx="46">
                  <c:v>3.2211980471449402E-2</c:v>
                </c:pt>
                <c:pt idx="47">
                  <c:v>4.0185859777672008E-2</c:v>
                </c:pt>
                <c:pt idx="48">
                  <c:v>4.8426042235009396E-2</c:v>
                </c:pt>
                <c:pt idx="49">
                  <c:v>5.6184980633999071E-2</c:v>
                </c:pt>
                <c:pt idx="50">
                  <c:v>6.2874854919926448E-2</c:v>
                </c:pt>
                <c:pt idx="51">
                  <c:v>6.8269540675465298E-2</c:v>
                </c:pt>
                <c:pt idx="52">
                  <c:v>7.2501980652736914E-2</c:v>
                </c:pt>
                <c:pt idx="53">
                  <c:v>7.5828681301490758E-2</c:v>
                </c:pt>
                <c:pt idx="54">
                  <c:v>7.8304709035490624E-2</c:v>
                </c:pt>
                <c:pt idx="55">
                  <c:v>7.9603039754237673E-2</c:v>
                </c:pt>
                <c:pt idx="56">
                  <c:v>7.9132013461174086E-2</c:v>
                </c:pt>
                <c:pt idx="57">
                  <c:v>7.6399149200194652E-2</c:v>
                </c:pt>
                <c:pt idx="58">
                  <c:v>7.1391946838809353E-2</c:v>
                </c:pt>
                <c:pt idx="59">
                  <c:v>6.4731894142577559E-2</c:v>
                </c:pt>
                <c:pt idx="60">
                  <c:v>5.750912859410142E-2</c:v>
                </c:pt>
                <c:pt idx="61">
                  <c:v>5.0896167060206089E-2</c:v>
                </c:pt>
                <c:pt idx="62">
                  <c:v>4.5735943409563738E-2</c:v>
                </c:pt>
                <c:pt idx="63">
                  <c:v>4.2272049344736912E-2</c:v>
                </c:pt>
                <c:pt idx="64">
                  <c:v>4.010352838662077E-2</c:v>
                </c:pt>
                <c:pt idx="65">
                  <c:v>3.8368281102235516E-2</c:v>
                </c:pt>
                <c:pt idx="66">
                  <c:v>3.6094498158940565E-2</c:v>
                </c:pt>
                <c:pt idx="67">
                  <c:v>3.2594141725742987E-2</c:v>
                </c:pt>
                <c:pt idx="68">
                  <c:v>2.7732470276030367E-2</c:v>
                </c:pt>
                <c:pt idx="69">
                  <c:v>2.1947284107419598E-2</c:v>
                </c:pt>
                <c:pt idx="70">
                  <c:v>1.6018051011884204E-2</c:v>
                </c:pt>
                <c:pt idx="71">
                  <c:v>1.0721592782471501E-2</c:v>
                </c:pt>
                <c:pt idx="72">
                  <c:v>6.5576493072626533E-3</c:v>
                </c:pt>
                <c:pt idx="73">
                  <c:v>3.6561824013025749E-3</c:v>
                </c:pt>
                <c:pt idx="74">
                  <c:v>1.8552081953360649E-3</c:v>
                </c:pt>
                <c:pt idx="75">
                  <c:v>8.5577718711915953E-4</c:v>
                </c:pt>
                <c:pt idx="76">
                  <c:v>3.5859048178245252E-4</c:v>
                </c:pt>
                <c:pt idx="77">
                  <c:v>1.3641871761788815E-4</c:v>
                </c:pt>
                <c:pt idx="78">
                  <c:v>4.7100150669974157E-5</c:v>
                </c:pt>
                <c:pt idx="79">
                  <c:v>1.4754601878063337E-5</c:v>
                </c:pt>
                <c:pt idx="80">
                  <c:v>4.1928252506994313E-6</c:v>
                </c:pt>
                <c:pt idx="81">
                  <c:v>1.0806894833805636E-6</c:v>
                </c:pt>
                <c:pt idx="82">
                  <c:v>2.5261991726530524E-7</c:v>
                </c:pt>
                <c:pt idx="83">
                  <c:v>5.3552076861611873E-8</c:v>
                </c:pt>
                <c:pt idx="84">
                  <c:v>1.0294499511174244E-8</c:v>
                </c:pt>
                <c:pt idx="85">
                  <c:v>1.7944799219733457E-9</c:v>
                </c:pt>
                <c:pt idx="86">
                  <c:v>2.83638435449526E-10</c:v>
                </c:pt>
                <c:pt idx="87">
                  <c:v>4.0651493267678683E-11</c:v>
                </c:pt>
                <c:pt idx="88">
                  <c:v>5.2828342371565731E-12</c:v>
                </c:pt>
                <c:pt idx="89">
                  <c:v>6.2248985616357348E-13</c:v>
                </c:pt>
                <c:pt idx="90">
                  <c:v>6.6507301697026438E-14</c:v>
                </c:pt>
                <c:pt idx="91">
                  <c:v>6.442818918368512E-15</c:v>
                </c:pt>
                <c:pt idx="92">
                  <c:v>5.6591405237356583E-16</c:v>
                </c:pt>
                <c:pt idx="93">
                  <c:v>4.5070444243805533E-17</c:v>
                </c:pt>
                <c:pt idx="94">
                  <c:v>3.2546116819702819E-18</c:v>
                </c:pt>
                <c:pt idx="95">
                  <c:v>2.1309433348882753E-19</c:v>
                </c:pt>
                <c:pt idx="96">
                  <c:v>1.2650554883556891E-20</c:v>
                </c:pt>
                <c:pt idx="97">
                  <c:v>6.8094477242822187E-22</c:v>
                </c:pt>
                <c:pt idx="98">
                  <c:v>3.3233694542321063E-23</c:v>
                </c:pt>
                <c:pt idx="99">
                  <c:v>1.4706509868327301E-24</c:v>
                </c:pt>
                <c:pt idx="100">
                  <c:v>5.900716771149922E-26</c:v>
                </c:pt>
                <c:pt idx="101">
                  <c:v>2.1466637530474073E-27</c:v>
                </c:pt>
                <c:pt idx="102">
                  <c:v>7.080882843398932E-29</c:v>
                </c:pt>
                <c:pt idx="103">
                  <c:v>2.1177522362299798E-30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128-4E4D-A374-25E73A119BF1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NaiwnaGęstość!$BE$5:$BE$108</c:f>
              <c:numCache>
                <c:formatCode>General</c:formatCode>
                <c:ptCount val="104"/>
                <c:pt idx="0">
                  <c:v>8.4672072279614484E-11</c:v>
                </c:pt>
                <c:pt idx="1">
                  <c:v>1.9416652039724335E-10</c:v>
                </c:pt>
                <c:pt idx="2">
                  <c:v>4.23982208770554E-10</c:v>
                </c:pt>
                <c:pt idx="3">
                  <c:v>8.8192041360308528E-10</c:v>
                </c:pt>
                <c:pt idx="4">
                  <c:v>1.7483471253541603E-9</c:v>
                </c:pt>
                <c:pt idx="5">
                  <c:v>3.3052020361720957E-9</c:v>
                </c:pt>
                <c:pt idx="6">
                  <c:v>5.9628514988315412E-9</c:v>
                </c:pt>
                <c:pt idx="7">
                  <c:v>1.0274933404359223E-8</c:v>
                </c:pt>
                <c:pt idx="8">
                  <c:v>1.6929304739787634E-8</c:v>
                </c:pt>
                <c:pt idx="9">
                  <c:v>2.6705186151024373E-8</c:v>
                </c:pt>
                <c:pt idx="10">
                  <c:v>4.0393877114335427E-8</c:v>
                </c:pt>
                <c:pt idx="11">
                  <c:v>5.8691777301975324E-8</c:v>
                </c:pt>
                <c:pt idx="12">
                  <c:v>8.2085623245632812E-8</c:v>
                </c:pt>
                <c:pt idx="13">
                  <c:v>1.1075494400236213E-7</c:v>
                </c:pt>
                <c:pt idx="14">
                  <c:v>1.4451167247058767E-7</c:v>
                </c:pt>
                <c:pt idx="15">
                  <c:v>1.827829770750868E-7</c:v>
                </c:pt>
                <c:pt idx="16">
                  <c:v>2.246284203375704E-7</c:v>
                </c:pt>
                <c:pt idx="17">
                  <c:v>2.6877682350951887E-7</c:v>
                </c:pt>
                <c:pt idx="18">
                  <c:v>3.1367741803398311E-7</c:v>
                </c:pt>
                <c:pt idx="19">
                  <c:v>3.575793489151567E-7</c:v>
                </c:pt>
                <c:pt idx="20">
                  <c:v>3.9867100112634512E-7</c:v>
                </c:pt>
                <c:pt idx="21">
                  <c:v>4.3532550974627587E-7</c:v>
                </c:pt>
                <c:pt idx="22">
                  <c:v>4.665839866047137E-7</c:v>
                </c:pt>
                <c:pt idx="23">
                  <c:v>4.9350808652332461E-7</c:v>
                </c:pt>
                <c:pt idx="24">
                  <c:v>5.2419367979659197E-7</c:v>
                </c:pt>
                <c:pt idx="25">
                  <c:v>5.928901193900372E-7</c:v>
                </c:pt>
                <c:pt idx="26">
                  <c:v>8.266345109682569E-7</c:v>
                </c:pt>
                <c:pt idx="27">
                  <c:v>1.6506653897898922E-6</c:v>
                </c:pt>
                <c:pt idx="28">
                  <c:v>4.3417665604138166E-6</c:v>
                </c:pt>
                <c:pt idx="29">
                  <c:v>1.2315455991237668E-5</c:v>
                </c:pt>
                <c:pt idx="30">
                  <c:v>3.3663400812886434E-5</c:v>
                </c:pt>
                <c:pt idx="31">
                  <c:v>8.5245157014403515E-5</c:v>
                </c:pt>
                <c:pt idx="32">
                  <c:v>1.9765939615027479E-4</c:v>
                </c:pt>
                <c:pt idx="33">
                  <c:v>4.1856565948676509E-4</c:v>
                </c:pt>
                <c:pt idx="34">
                  <c:v>8.1006351845574825E-4</c:v>
                </c:pt>
                <c:pt idx="35">
                  <c:v>1.4364639753583462E-3</c:v>
                </c:pt>
                <c:pt idx="36">
                  <c:v>2.3439826771435024E-3</c:v>
                </c:pt>
                <c:pt idx="37">
                  <c:v>3.5425754467940905E-3</c:v>
                </c:pt>
                <c:pt idx="38">
                  <c:v>5.0061937888104769E-3</c:v>
                </c:pt>
                <c:pt idx="39">
                  <c:v>6.7033478594447395E-3</c:v>
                </c:pt>
                <c:pt idx="40">
                  <c:v>8.6533344583286237E-3</c:v>
                </c:pt>
                <c:pt idx="41">
                  <c:v>1.0983779510395647E-2</c:v>
                </c:pt>
                <c:pt idx="42">
                  <c:v>1.3956003207485086E-2</c:v>
                </c:pt>
                <c:pt idx="43">
                  <c:v>1.7932589986043065E-2</c:v>
                </c:pt>
                <c:pt idx="44">
                  <c:v>2.3280966284891132E-2</c:v>
                </c:pt>
                <c:pt idx="45">
                  <c:v>3.0229402309221429E-2</c:v>
                </c:pt>
                <c:pt idx="46">
                  <c:v>3.8716422732454583E-2</c:v>
                </c:pt>
                <c:pt idx="47">
                  <c:v>4.8300363156807372E-2</c:v>
                </c:pt>
                <c:pt idx="48">
                  <c:v>5.8204384262476233E-2</c:v>
                </c:pt>
                <c:pt idx="49">
                  <c:v>6.7529992951307488E-2</c:v>
                </c:pt>
                <c:pt idx="50">
                  <c:v>7.5570675032231138E-2</c:v>
                </c:pt>
                <c:pt idx="51">
                  <c:v>8.2054645642964108E-2</c:v>
                </c:pt>
                <c:pt idx="52">
                  <c:v>8.7141690334164398E-2</c:v>
                </c:pt>
                <c:pt idx="53">
                  <c:v>9.1140108797504518E-2</c:v>
                </c:pt>
                <c:pt idx="54">
                  <c:v>9.4116086264009635E-2</c:v>
                </c:pt>
                <c:pt idx="55">
                  <c:v>9.5676565919645462E-2</c:v>
                </c:pt>
                <c:pt idx="56">
                  <c:v>9.5110419863124865E-2</c:v>
                </c:pt>
                <c:pt idx="57">
                  <c:v>9.1825725551237497E-2</c:v>
                </c:pt>
                <c:pt idx="58">
                  <c:v>8.5807459113912798E-2</c:v>
                </c:pt>
                <c:pt idx="59">
                  <c:v>7.7802599533070227E-2</c:v>
                </c:pt>
                <c:pt idx="60">
                  <c:v>6.9121405295716185E-2</c:v>
                </c:pt>
                <c:pt idx="61">
                  <c:v>6.1173148225708532E-2</c:v>
                </c:pt>
                <c:pt idx="62">
                  <c:v>5.4970967537701948E-2</c:v>
                </c:pt>
                <c:pt idx="63">
                  <c:v>5.0807640838688897E-2</c:v>
                </c:pt>
                <c:pt idx="64">
                  <c:v>4.8201250135213952E-2</c:v>
                </c:pt>
                <c:pt idx="65">
                  <c:v>4.6115620342708233E-2</c:v>
                </c:pt>
                <c:pt idx="66">
                  <c:v>4.3382713852113799E-2</c:v>
                </c:pt>
                <c:pt idx="67">
                  <c:v>3.9175563851387478E-2</c:v>
                </c:pt>
                <c:pt idx="68">
                  <c:v>3.3332221676587039E-2</c:v>
                </c:pt>
                <c:pt idx="69">
                  <c:v>2.6378888386128736E-2</c:v>
                </c:pt>
                <c:pt idx="70">
                  <c:v>1.9252422186990033E-2</c:v>
                </c:pt>
                <c:pt idx="71">
                  <c:v>1.2886501018546874E-2</c:v>
                </c:pt>
                <c:pt idx="72">
                  <c:v>7.8817724354711908E-3</c:v>
                </c:pt>
                <c:pt idx="73">
                  <c:v>4.3944401896692789E-3</c:v>
                </c:pt>
                <c:pt idx="74">
                  <c:v>2.2298125635600513E-3</c:v>
                </c:pt>
                <c:pt idx="75">
                  <c:v>1.0285760531576456E-3</c:v>
                </c:pt>
                <c:pt idx="76">
                  <c:v>4.3099721281512226E-4</c:v>
                </c:pt>
                <c:pt idx="77">
                  <c:v>1.6396443869778256E-4</c:v>
                </c:pt>
                <c:pt idx="78">
                  <c:v>5.6610631604859087E-5</c:v>
                </c:pt>
                <c:pt idx="79">
                  <c:v>1.7733856888073506E-5</c:v>
                </c:pt>
                <c:pt idx="80">
                  <c:v>5.0394421731426183E-6</c:v>
                </c:pt>
                <c:pt idx="81">
                  <c:v>1.2989027285843152E-6</c:v>
                </c:pt>
                <c:pt idx="82">
                  <c:v>3.0362903024155336E-7</c:v>
                </c:pt>
                <c:pt idx="83">
                  <c:v>6.4365333268276151E-8</c:v>
                </c:pt>
                <c:pt idx="84">
                  <c:v>1.2373168898466507E-8</c:v>
                </c:pt>
                <c:pt idx="85">
                  <c:v>2.1568220131229853E-9</c:v>
                </c:pt>
                <c:pt idx="86">
                  <c:v>3.4091081982431986E-10</c:v>
                </c:pt>
                <c:pt idx="87">
                  <c:v>4.8859858768634742E-11</c:v>
                </c:pt>
                <c:pt idx="88">
                  <c:v>6.3495462033630595E-12</c:v>
                </c:pt>
                <c:pt idx="89">
                  <c:v>7.4818325272472507E-13</c:v>
                </c:pt>
                <c:pt idx="90">
                  <c:v>7.9936482221706682E-14</c:v>
                </c:pt>
                <c:pt idx="91">
                  <c:v>7.743755450974462E-15</c:v>
                </c:pt>
                <c:pt idx="92">
                  <c:v>6.8018364091670171E-16</c:v>
                </c:pt>
                <c:pt idx="93">
                  <c:v>5.4171086153906415E-17</c:v>
                </c:pt>
                <c:pt idx="94">
                  <c:v>3.9117841644781269E-18</c:v>
                </c:pt>
                <c:pt idx="95">
                  <c:v>2.5612242662601383E-19</c:v>
                </c:pt>
                <c:pt idx="96">
                  <c:v>1.5204960082986637E-20</c:v>
                </c:pt>
                <c:pt idx="97">
                  <c:v>8.1844142927564946E-22</c:v>
                </c:pt>
                <c:pt idx="98">
                  <c:v>3.9944257414673862E-23</c:v>
                </c:pt>
                <c:pt idx="99">
                  <c:v>1.7676056351529357E-24</c:v>
                </c:pt>
                <c:pt idx="100">
                  <c:v>7.0921939609654862E-26</c:v>
                </c:pt>
                <c:pt idx="101">
                  <c:v>2.5801208933288784E-27</c:v>
                </c:pt>
                <c:pt idx="102">
                  <c:v>8.5106744030503502E-29</c:v>
                </c:pt>
                <c:pt idx="103">
                  <c:v>2.5453835313568591E-30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F128-4E4D-A374-25E73A119BF1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NaiwnaGęstość!$BF$5:$BF$108</c:f>
              <c:numCache>
                <c:formatCode>General</c:formatCode>
                <c:ptCount val="104"/>
                <c:pt idx="0">
                  <c:v>3.1766155454328553E-10</c:v>
                </c:pt>
                <c:pt idx="1">
                  <c:v>7.2844843700014987E-10</c:v>
                </c:pt>
                <c:pt idx="2">
                  <c:v>1.590640737975372E-9</c:v>
                </c:pt>
                <c:pt idx="3">
                  <c:v>3.3086731200278236E-9</c:v>
                </c:pt>
                <c:pt idx="4">
                  <c:v>6.5592190053791809E-9</c:v>
                </c:pt>
                <c:pt idx="5">
                  <c:v>1.2400022683073526E-8</c:v>
                </c:pt>
                <c:pt idx="6">
                  <c:v>2.2370642711736544E-8</c:v>
                </c:pt>
                <c:pt idx="7">
                  <c:v>3.854814498077789E-8</c:v>
                </c:pt>
                <c:pt idx="8">
                  <c:v>6.3513140947097144E-8</c:v>
                </c:pt>
                <c:pt idx="9">
                  <c:v>1.0018900823742593E-7</c:v>
                </c:pt>
                <c:pt idx="10">
                  <c:v>1.5154444024702914E-7</c:v>
                </c:pt>
                <c:pt idx="11">
                  <c:v>2.2019209775666851E-7</c:v>
                </c:pt>
                <c:pt idx="12">
                  <c:v>3.0795805492668946E-7</c:v>
                </c:pt>
                <c:pt idx="13">
                  <c:v>4.1551584527970888E-7</c:v>
                </c:pt>
                <c:pt idx="14">
                  <c:v>5.4215990333967556E-7</c:v>
                </c:pt>
                <c:pt idx="15">
                  <c:v>6.8574115443538071E-7</c:v>
                </c:pt>
                <c:pt idx="16">
                  <c:v>8.4273138410453913E-7</c:v>
                </c:pt>
                <c:pt idx="17">
                  <c:v>1.0083615053775124E-6</c:v>
                </c:pt>
                <c:pt idx="18">
                  <c:v>1.1768131499809169E-6</c:v>
                </c:pt>
                <c:pt idx="19">
                  <c:v>1.3415145431246546E-6</c:v>
                </c:pt>
                <c:pt idx="20">
                  <c:v>1.4956466823917397E-6</c:v>
                </c:pt>
                <c:pt idx="21">
                  <c:v>1.6329620342270605E-6</c:v>
                </c:pt>
                <c:pt idx="22">
                  <c:v>1.7490290214675576E-6</c:v>
                </c:pt>
                <c:pt idx="23">
                  <c:v>1.8434830532178809E-6</c:v>
                </c:pt>
                <c:pt idx="24">
                  <c:v>1.9263214270372707E-6</c:v>
                </c:pt>
                <c:pt idx="25">
                  <c:v>2.0402833885459103E-6</c:v>
                </c:pt>
                <c:pt idx="26">
                  <c:v>2.3384314751995024E-6</c:v>
                </c:pt>
                <c:pt idx="27">
                  <c:v>3.3240901473619529E-6</c:v>
                </c:pt>
                <c:pt idx="28">
                  <c:v>6.4986782149982606E-6</c:v>
                </c:pt>
                <c:pt idx="29">
                  <c:v>1.5870254361395366E-5</c:v>
                </c:pt>
                <c:pt idx="30">
                  <c:v>4.0928441552527484E-5</c:v>
                </c:pt>
                <c:pt idx="31">
                  <c:v>1.0144227088506995E-4</c:v>
                </c:pt>
                <c:pt idx="32">
                  <c:v>2.332894517188917E-4</c:v>
                </c:pt>
                <c:pt idx="33">
                  <c:v>4.9235147082783888E-4</c:v>
                </c:pt>
                <c:pt idx="34">
                  <c:v>9.5144046139135081E-4</c:v>
                </c:pt>
                <c:pt idx="35">
                  <c:v>1.6859603071117664E-3</c:v>
                </c:pt>
                <c:pt idx="36">
                  <c:v>2.7500957563310964E-3</c:v>
                </c:pt>
                <c:pt idx="37">
                  <c:v>4.1555139711404359E-3</c:v>
                </c:pt>
                <c:pt idx="38">
                  <c:v>5.8716651400656942E-3</c:v>
                </c:pt>
                <c:pt idx="39">
                  <c:v>7.861620777786113E-3</c:v>
                </c:pt>
                <c:pt idx="40">
                  <c:v>1.0148005762904512E-2</c:v>
                </c:pt>
                <c:pt idx="41">
                  <c:v>1.2880471177703539E-2</c:v>
                </c:pt>
                <c:pt idx="42">
                  <c:v>1.6365436424422161E-2</c:v>
                </c:pt>
                <c:pt idx="43">
                  <c:v>2.1028062128806511E-2</c:v>
                </c:pt>
                <c:pt idx="44">
                  <c:v>2.7299187691098851E-2</c:v>
                </c:pt>
                <c:pt idx="45">
                  <c:v>3.5446483005102405E-2</c:v>
                </c:pt>
                <c:pt idx="46">
                  <c:v>4.5397872146776479E-2</c:v>
                </c:pt>
                <c:pt idx="47">
                  <c:v>5.6635482217316714E-2</c:v>
                </c:pt>
                <c:pt idx="48">
                  <c:v>6.8248425004486815E-2</c:v>
                </c:pt>
                <c:pt idx="49">
                  <c:v>7.9183163475719368E-2</c:v>
                </c:pt>
                <c:pt idx="50">
                  <c:v>8.8611265182275994E-2</c:v>
                </c:pt>
                <c:pt idx="51">
                  <c:v>9.6214042234253991E-2</c:v>
                </c:pt>
                <c:pt idx="52">
                  <c:v>0.1021788483640074</c:v>
                </c:pt>
                <c:pt idx="53">
                  <c:v>0.10686718002632782</c:v>
                </c:pt>
                <c:pt idx="54">
                  <c:v>0.11035664235803816</c:v>
                </c:pt>
                <c:pt idx="55">
                  <c:v>0.11218635449597759</c:v>
                </c:pt>
                <c:pt idx="56">
                  <c:v>0.11152247997331356</c:v>
                </c:pt>
                <c:pt idx="57">
                  <c:v>0.1076709575065475</c:v>
                </c:pt>
                <c:pt idx="58">
                  <c:v>0.10061417183297997</c:v>
                </c:pt>
                <c:pt idx="59">
                  <c:v>9.1227998575535221E-2</c:v>
                </c:pt>
                <c:pt idx="60">
                  <c:v>8.1048789842573632E-2</c:v>
                </c:pt>
                <c:pt idx="61">
                  <c:v>7.1728996013911861E-2</c:v>
                </c:pt>
                <c:pt idx="62">
                  <c:v>6.4456579318649357E-2</c:v>
                </c:pt>
                <c:pt idx="63">
                  <c:v>5.9574837199293983E-2</c:v>
                </c:pt>
                <c:pt idx="64">
                  <c:v>5.6518692780630493E-2</c:v>
                </c:pt>
                <c:pt idx="65">
                  <c:v>5.4073171562038544E-2</c:v>
                </c:pt>
                <c:pt idx="66">
                  <c:v>5.0868682938564599E-2</c:v>
                </c:pt>
                <c:pt idx="67">
                  <c:v>4.5935561225367426E-2</c:v>
                </c:pt>
                <c:pt idx="68">
                  <c:v>3.9083912195652042E-2</c:v>
                </c:pt>
                <c:pt idx="69">
                  <c:v>3.0930736126370231E-2</c:v>
                </c:pt>
                <c:pt idx="70">
                  <c:v>2.2574552057475935E-2</c:v>
                </c:pt>
                <c:pt idx="71">
                  <c:v>1.5110150031103739E-2</c:v>
                </c:pt>
                <c:pt idx="72">
                  <c:v>9.2418231878068236E-3</c:v>
                </c:pt>
                <c:pt idx="73">
                  <c:v>5.1527292315343082E-3</c:v>
                </c:pt>
                <c:pt idx="74">
                  <c:v>2.6145811248158061E-3</c:v>
                </c:pt>
                <c:pt idx="75">
                  <c:v>1.206063494988543E-3</c:v>
                </c:pt>
                <c:pt idx="76">
                  <c:v>5.0536856576352963E-4</c:v>
                </c:pt>
                <c:pt idx="77">
                  <c:v>1.9225756165337744E-4</c:v>
                </c:pt>
                <c:pt idx="78">
                  <c:v>6.6379161737548873E-5</c:v>
                </c:pt>
                <c:pt idx="79">
                  <c:v>2.0793948436896578E-5</c:v>
                </c:pt>
                <c:pt idx="80">
                  <c:v>5.9090304697299992E-6</c:v>
                </c:pt>
                <c:pt idx="81">
                  <c:v>1.5230367839689474E-6</c:v>
                </c:pt>
                <c:pt idx="82">
                  <c:v>3.5602218054052216E-7</c:v>
                </c:pt>
                <c:pt idx="83">
                  <c:v>7.5471987258532013E-8</c:v>
                </c:pt>
                <c:pt idx="84">
                  <c:v>1.4508239110405085E-8</c:v>
                </c:pt>
                <c:pt idx="85">
                  <c:v>2.5289955825441698E-9</c:v>
                </c:pt>
                <c:pt idx="86">
                  <c:v>3.9973718377692452E-10</c:v>
                </c:pt>
                <c:pt idx="87">
                  <c:v>5.7290942997834517E-11</c:v>
                </c:pt>
                <c:pt idx="88">
                  <c:v>7.4452014153308409E-12</c:v>
                </c:pt>
                <c:pt idx="89">
                  <c:v>8.7728710605996902E-13</c:v>
                </c:pt>
                <c:pt idx="90">
                  <c:v>9.373003863862554E-14</c:v>
                </c:pt>
                <c:pt idx="91">
                  <c:v>9.0799904872174961E-15</c:v>
                </c:pt>
                <c:pt idx="92">
                  <c:v>7.9755372391767705E-16</c:v>
                </c:pt>
                <c:pt idx="93">
                  <c:v>6.3518657306872493E-17</c:v>
                </c:pt>
                <c:pt idx="94">
                  <c:v>4.5867878341029698E-18</c:v>
                </c:pt>
                <c:pt idx="95">
                  <c:v>3.0031801136044038E-19</c:v>
                </c:pt>
                <c:pt idx="96">
                  <c:v>1.7828674830818217E-20</c:v>
                </c:pt>
                <c:pt idx="97">
                  <c:v>9.5966886002077558E-22</c:v>
                </c:pt>
                <c:pt idx="98">
                  <c:v>4.6836905092308934E-23</c:v>
                </c:pt>
                <c:pt idx="99">
                  <c:v>2.0726182184836704E-24</c:v>
                </c:pt>
                <c:pt idx="100">
                  <c:v>8.3160056478790302E-26</c:v>
                </c:pt>
                <c:pt idx="101">
                  <c:v>3.0253445403154149E-27</c:v>
                </c:pt>
                <c:pt idx="102">
                  <c:v>9.9793079616204547E-29</c:v>
                </c:pt>
                <c:pt idx="103">
                  <c:v>2.9846567391395929E-30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128-4E4D-A374-25E73A119BF1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NaiwnaGęstość!$BG$5:$BG$108</c:f>
              <c:numCache>
                <c:formatCode>General</c:formatCode>
                <c:ptCount val="104"/>
                <c:pt idx="0">
                  <c:v>1.0913497297409913E-9</c:v>
                </c:pt>
                <c:pt idx="1">
                  <c:v>2.5026384007764247E-9</c:v>
                </c:pt>
                <c:pt idx="2">
                  <c:v>5.4647637231400885E-9</c:v>
                </c:pt>
                <c:pt idx="3">
                  <c:v>1.1367190847300386E-8</c:v>
                </c:pt>
                <c:pt idx="4">
                  <c:v>2.2534681287209775E-8</c:v>
                </c:pt>
                <c:pt idx="5">
                  <c:v>4.2601193661634744E-8</c:v>
                </c:pt>
                <c:pt idx="6">
                  <c:v>7.685599509417248E-8</c:v>
                </c:pt>
                <c:pt idx="7">
                  <c:v>1.3243499883790937E-7</c:v>
                </c:pt>
                <c:pt idx="8">
                  <c:v>2.1820408612956934E-7</c:v>
                </c:pt>
                <c:pt idx="9">
                  <c:v>3.4420673669540188E-7</c:v>
                </c:pt>
                <c:pt idx="10">
                  <c:v>5.2064211593099321E-7</c:v>
                </c:pt>
                <c:pt idx="11">
                  <c:v>7.5648621289200557E-7</c:v>
                </c:pt>
                <c:pt idx="12">
                  <c:v>1.0580126402105398E-6</c:v>
                </c:pt>
                <c:pt idx="13">
                  <c:v>1.4275353720406373E-6</c:v>
                </c:pt>
                <c:pt idx="14">
                  <c:v>1.8626303860452534E-6</c:v>
                </c:pt>
                <c:pt idx="15">
                  <c:v>2.3559143770274652E-6</c:v>
                </c:pt>
                <c:pt idx="16">
                  <c:v>2.8952658987594368E-6</c:v>
                </c:pt>
                <c:pt idx="17">
                  <c:v>3.4643003534621902E-6</c:v>
                </c:pt>
                <c:pt idx="18">
                  <c:v>4.0430278936128694E-6</c:v>
                </c:pt>
                <c:pt idx="19">
                  <c:v>4.6088674356147957E-6</c:v>
                </c:pt>
                <c:pt idx="20">
                  <c:v>5.1383685227160806E-6</c:v>
                </c:pt>
                <c:pt idx="21">
                  <c:v>5.6099177732720325E-6</c:v>
                </c:pt>
                <c:pt idx="22">
                  <c:v>6.0074245158157905E-6</c:v>
                </c:pt>
                <c:pt idx="23">
                  <c:v>6.3251243509243504E-6</c:v>
                </c:pt>
                <c:pt idx="24">
                  <c:v>6.576218206381452E-6</c:v>
                </c:pt>
                <c:pt idx="25">
                  <c:v>6.8185471651786815E-6</c:v>
                </c:pt>
                <c:pt idx="26">
                  <c:v>7.2422069033073841E-6</c:v>
                </c:pt>
                <c:pt idx="27">
                  <c:v>8.4431189438331631E-6</c:v>
                </c:pt>
                <c:pt idx="28">
                  <c:v>1.21666212959685E-5</c:v>
                </c:pt>
                <c:pt idx="29">
                  <c:v>2.3044175519974946E-5</c:v>
                </c:pt>
                <c:pt idx="30">
                  <c:v>5.2022065770060558E-5</c:v>
                </c:pt>
                <c:pt idx="31">
                  <c:v>1.2189304213246949E-4</c:v>
                </c:pt>
                <c:pt idx="32">
                  <c:v>2.7401769740382001E-4</c:v>
                </c:pt>
                <c:pt idx="33">
                  <c:v>5.7281568145629153E-4</c:v>
                </c:pt>
                <c:pt idx="34">
                  <c:v>1.102222495084557E-3</c:v>
                </c:pt>
                <c:pt idx="35">
                  <c:v>1.9491574547901506E-3</c:v>
                </c:pt>
                <c:pt idx="36">
                  <c:v>3.1760717679729911E-3</c:v>
                </c:pt>
                <c:pt idx="37">
                  <c:v>4.7963947034873177E-3</c:v>
                </c:pt>
                <c:pt idx="38">
                  <c:v>6.7748835515979581E-3</c:v>
                </c:pt>
                <c:pt idx="39">
                  <c:v>9.0689469232940328E-3</c:v>
                </c:pt>
                <c:pt idx="40">
                  <c:v>1.1704663602485508E-2</c:v>
                </c:pt>
                <c:pt idx="41">
                  <c:v>1.4854576104361245E-2</c:v>
                </c:pt>
                <c:pt idx="42">
                  <c:v>1.8871980853864396E-2</c:v>
                </c:pt>
                <c:pt idx="43">
                  <c:v>2.4247082818558269E-2</c:v>
                </c:pt>
                <c:pt idx="44">
                  <c:v>3.1476638245528973E-2</c:v>
                </c:pt>
                <c:pt idx="45">
                  <c:v>4.0869280361971932E-2</c:v>
                </c:pt>
                <c:pt idx="46">
                  <c:v>5.2341936551505347E-2</c:v>
                </c:pt>
                <c:pt idx="47">
                  <c:v>6.5297557555385383E-2</c:v>
                </c:pt>
                <c:pt idx="48">
                  <c:v>7.8685970095607571E-2</c:v>
                </c:pt>
                <c:pt idx="49">
                  <c:v>9.1292529974299763E-2</c:v>
                </c:pt>
                <c:pt idx="50">
                  <c:v>0.10216211333879614</c:v>
                </c:pt>
                <c:pt idx="51">
                  <c:v>0.11092728570373918</c:v>
                </c:pt>
                <c:pt idx="52">
                  <c:v>0.11780403635204009</c:v>
                </c:pt>
                <c:pt idx="53">
                  <c:v>0.12320913051798878</c:v>
                </c:pt>
                <c:pt idx="54">
                  <c:v>0.12723203736608904</c:v>
                </c:pt>
                <c:pt idx="55">
                  <c:v>0.12934140404984387</c:v>
                </c:pt>
                <c:pt idx="56">
                  <c:v>0.12857589568528055</c:v>
                </c:pt>
                <c:pt idx="57">
                  <c:v>0.12413532621095748</c:v>
                </c:pt>
                <c:pt idx="58">
                  <c:v>0.1159993903716675</c:v>
                </c:pt>
                <c:pt idx="59">
                  <c:v>0.10517789620688506</c:v>
                </c:pt>
                <c:pt idx="60">
                  <c:v>9.3442120150493857E-2</c:v>
                </c:pt>
                <c:pt idx="61">
                  <c:v>8.2697188020340734E-2</c:v>
                </c:pt>
                <c:pt idx="62">
                  <c:v>7.4312711437993006E-2</c:v>
                </c:pt>
                <c:pt idx="63">
                  <c:v>6.8684478816566877E-2</c:v>
                </c:pt>
                <c:pt idx="64">
                  <c:v>6.516100445791348E-2</c:v>
                </c:pt>
                <c:pt idx="65">
                  <c:v>6.2341529319733087E-2</c:v>
                </c:pt>
                <c:pt idx="66">
                  <c:v>5.8647036352402905E-2</c:v>
                </c:pt>
                <c:pt idx="67">
                  <c:v>5.2959586597441356E-2</c:v>
                </c:pt>
                <c:pt idx="68">
                  <c:v>4.5060248122773844E-2</c:v>
                </c:pt>
                <c:pt idx="69">
                  <c:v>3.5660366359561713E-2</c:v>
                </c:pt>
                <c:pt idx="70">
                  <c:v>2.6026434940198392E-2</c:v>
                </c:pt>
                <c:pt idx="71">
                  <c:v>1.7420648447971764E-2</c:v>
                </c:pt>
                <c:pt idx="72">
                  <c:v>1.0654993636643979E-2</c:v>
                </c:pt>
                <c:pt idx="73">
                  <c:v>5.9406348713344753E-3</c:v>
                </c:pt>
                <c:pt idx="74">
                  <c:v>3.0143776422512317E-3</c:v>
                </c:pt>
                <c:pt idx="75">
                  <c:v>1.3904830866339696E-3</c:v>
                </c:pt>
                <c:pt idx="76">
                  <c:v>5.8264465006683923E-4</c:v>
                </c:pt>
                <c:pt idx="77">
                  <c:v>2.2165573266486716E-4</c:v>
                </c:pt>
                <c:pt idx="78">
                  <c:v>7.6529222571068182E-5</c:v>
                </c:pt>
                <c:pt idx="79">
                  <c:v>2.3973558361950364E-5</c:v>
                </c:pt>
                <c:pt idx="80">
                  <c:v>6.8125823843563851E-6</c:v>
                </c:pt>
                <c:pt idx="81">
                  <c:v>1.7559248709566769E-6</c:v>
                </c:pt>
                <c:pt idx="82">
                  <c:v>4.1046165661323768E-7</c:v>
                </c:pt>
                <c:pt idx="83">
                  <c:v>8.7012435214713775E-8</c:v>
                </c:pt>
                <c:pt idx="84">
                  <c:v>1.6726699026011463E-8</c:v>
                </c:pt>
                <c:pt idx="85">
                  <c:v>2.9157051817635533E-9</c:v>
                </c:pt>
                <c:pt idx="86">
                  <c:v>4.6086113647141037E-10</c:v>
                </c:pt>
                <c:pt idx="87">
                  <c:v>6.6051321164994771E-11</c:v>
                </c:pt>
                <c:pt idx="88">
                  <c:v>8.5836497763170641E-12</c:v>
                </c:pt>
                <c:pt idx="89">
                  <c:v>1.0114333860406973E-12</c:v>
                </c:pt>
                <c:pt idx="90">
                  <c:v>1.0806233194928603E-13</c:v>
                </c:pt>
                <c:pt idx="91">
                  <c:v>1.0468415061261354E-14</c:v>
                </c:pt>
                <c:pt idx="92">
                  <c:v>9.1950795084233187E-16</c:v>
                </c:pt>
                <c:pt idx="93">
                  <c:v>7.3231318552870617E-17</c:v>
                </c:pt>
                <c:pt idx="94">
                  <c:v>5.2881553176774525E-18</c:v>
                </c:pt>
                <c:pt idx="95">
                  <c:v>3.4623976248889349E-19</c:v>
                </c:pt>
                <c:pt idx="96">
                  <c:v>2.055486597952494E-20</c:v>
                </c:pt>
                <c:pt idx="97">
                  <c:v>1.1064124126611767E-21</c:v>
                </c:pt>
                <c:pt idx="98">
                  <c:v>5.3998779390975996E-23</c:v>
                </c:pt>
                <c:pt idx="99">
                  <c:v>2.3895456978331176E-24</c:v>
                </c:pt>
                <c:pt idx="100">
                  <c:v>9.5876349132537762E-26</c:v>
                </c:pt>
                <c:pt idx="101">
                  <c:v>3.4879746794061177E-27</c:v>
                </c:pt>
                <c:pt idx="102">
                  <c:v>1.1505452368498452E-28</c:v>
                </c:pt>
                <c:pt idx="103">
                  <c:v>3.4412104520800735E-30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F128-4E4D-A374-25E73A119BF1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NaiwnaGęstość!$BH$5:$BH$108</c:f>
              <c:numCache>
                <c:formatCode>General</c:formatCode>
                <c:ptCount val="104"/>
                <c:pt idx="0">
                  <c:v>3.4356593265860947E-9</c:v>
                </c:pt>
                <c:pt idx="1">
                  <c:v>7.8785129352995166E-9</c:v>
                </c:pt>
                <c:pt idx="2">
                  <c:v>1.720352875100034E-8</c:v>
                </c:pt>
                <c:pt idx="3">
                  <c:v>3.5784858132397444E-8</c:v>
                </c:pt>
                <c:pt idx="4">
                  <c:v>7.0941042844644996E-8</c:v>
                </c:pt>
                <c:pt idx="5">
                  <c:v>1.3411208555669136E-7</c:v>
                </c:pt>
                <c:pt idx="6">
                  <c:v>2.4194903719086979E-7</c:v>
                </c:pt>
                <c:pt idx="7">
                  <c:v>4.1691634361046382E-7</c:v>
                </c:pt>
                <c:pt idx="8">
                  <c:v>6.8692453315416115E-7</c:v>
                </c:pt>
                <c:pt idx="9">
                  <c:v>1.08359131172551E-6</c:v>
                </c:pt>
                <c:pt idx="10">
                  <c:v>1.6390244966078436E-6</c:v>
                </c:pt>
                <c:pt idx="11">
                  <c:v>2.3814812446721555E-6</c:v>
                </c:pt>
                <c:pt idx="12">
                  <c:v>3.3307114080174197E-6</c:v>
                </c:pt>
                <c:pt idx="13">
                  <c:v>4.4939995689034976E-6</c:v>
                </c:pt>
                <c:pt idx="14">
                  <c:v>5.8637147042352222E-6</c:v>
                </c:pt>
                <c:pt idx="15">
                  <c:v>7.4166135573622855E-6</c:v>
                </c:pt>
                <c:pt idx="16">
                  <c:v>9.1145368068178955E-6</c:v>
                </c:pt>
                <c:pt idx="17">
                  <c:v>1.0905904334174677E-5</c:v>
                </c:pt>
                <c:pt idx="18">
                  <c:v>1.2727786026279389E-5</c:v>
                </c:pt>
                <c:pt idx="19">
                  <c:v>1.4509091463570941E-5</c:v>
                </c:pt>
                <c:pt idx="20">
                  <c:v>1.6175973164842117E-5</c:v>
                </c:pt>
                <c:pt idx="21">
                  <c:v>1.766023941188352E-5</c:v>
                </c:pt>
                <c:pt idx="22">
                  <c:v>1.8910361184589754E-5</c:v>
                </c:pt>
                <c:pt idx="23">
                  <c:v>1.9903635069237933E-5</c:v>
                </c:pt>
                <c:pt idx="24">
                  <c:v>2.0660263252763449E-5</c:v>
                </c:pt>
                <c:pt idx="25">
                  <c:v>2.1272458117970983E-5</c:v>
                </c:pt>
                <c:pt idx="26">
                  <c:v>2.199956168546878E-5</c:v>
                </c:pt>
                <c:pt idx="27">
                  <c:v>2.3573047879273825E-5</c:v>
                </c:pt>
                <c:pt idx="28">
                  <c:v>2.8040610039490043E-5</c:v>
                </c:pt>
                <c:pt idx="29">
                  <c:v>4.0753239320915076E-5</c:v>
                </c:pt>
                <c:pt idx="30">
                  <c:v>7.4299760357919735E-5</c:v>
                </c:pt>
                <c:pt idx="31">
                  <c:v>1.5486048719094551E-4</c:v>
                </c:pt>
                <c:pt idx="32">
                  <c:v>3.2992908583089167E-4</c:v>
                </c:pt>
                <c:pt idx="33">
                  <c:v>6.7347234936603495E-4</c:v>
                </c:pt>
                <c:pt idx="34">
                  <c:v>1.281860285847422E-3</c:v>
                </c:pt>
                <c:pt idx="35">
                  <c:v>2.2548770995686903E-3</c:v>
                </c:pt>
                <c:pt idx="36">
                  <c:v>3.664191915848213E-3</c:v>
                </c:pt>
                <c:pt idx="37">
                  <c:v>5.5251624753449137E-3</c:v>
                </c:pt>
                <c:pt idx="38">
                  <c:v>7.7972472418851605E-3</c:v>
                </c:pt>
                <c:pt idx="39">
                  <c:v>1.043148074055153E-2</c:v>
                </c:pt>
                <c:pt idx="40">
                  <c:v>1.3457797776135311E-2</c:v>
                </c:pt>
                <c:pt idx="41">
                  <c:v>1.7074390811078807E-2</c:v>
                </c:pt>
                <c:pt idx="42">
                  <c:v>2.1687093309274097E-2</c:v>
                </c:pt>
                <c:pt idx="43">
                  <c:v>2.7859012034226957E-2</c:v>
                </c:pt>
                <c:pt idx="44">
                  <c:v>3.6160790517287218E-2</c:v>
                </c:pt>
                <c:pt idx="45">
                  <c:v>4.6947000509478261E-2</c:v>
                </c:pt>
                <c:pt idx="46">
                  <c:v>6.0122305476236121E-2</c:v>
                </c:pt>
                <c:pt idx="47">
                  <c:v>7.5001020740446026E-2</c:v>
                </c:pt>
                <c:pt idx="48">
                  <c:v>9.0377003938129336E-2</c:v>
                </c:pt>
                <c:pt idx="49">
                  <c:v>0.1048551864239351</c:v>
                </c:pt>
                <c:pt idx="50">
                  <c:v>0.11733854736109883</c:v>
                </c:pt>
                <c:pt idx="51">
                  <c:v>0.12740503478868845</c:v>
                </c:pt>
                <c:pt idx="52">
                  <c:v>0.13530267721506059</c:v>
                </c:pt>
                <c:pt idx="53">
                  <c:v>0.14151011242037503</c:v>
                </c:pt>
                <c:pt idx="54">
                  <c:v>0.14613008926327739</c:v>
                </c:pt>
                <c:pt idx="55">
                  <c:v>0.14855234540368251</c:v>
                </c:pt>
                <c:pt idx="56">
                  <c:v>0.147672784676255</c:v>
                </c:pt>
                <c:pt idx="57">
                  <c:v>0.14257239447764766</c:v>
                </c:pt>
                <c:pt idx="58">
                  <c:v>0.13322786463995878</c:v>
                </c:pt>
                <c:pt idx="59">
                  <c:v>0.12079898086630898</c:v>
                </c:pt>
                <c:pt idx="60">
                  <c:v>0.10732008144543806</c:v>
                </c:pt>
                <c:pt idx="61">
                  <c:v>9.4979228145534278E-2</c:v>
                </c:pt>
                <c:pt idx="62">
                  <c:v>8.5349433586322757E-2</c:v>
                </c:pt>
                <c:pt idx="63">
                  <c:v>7.8885258425042251E-2</c:v>
                </c:pt>
                <c:pt idx="64">
                  <c:v>7.4838453315208456E-2</c:v>
                </c:pt>
                <c:pt idx="65">
                  <c:v>7.1600218229619456E-2</c:v>
                </c:pt>
                <c:pt idx="66">
                  <c:v>6.7357022632067054E-2</c:v>
                </c:pt>
                <c:pt idx="67">
                  <c:v>6.0824892674582721E-2</c:v>
                </c:pt>
                <c:pt idx="68">
                  <c:v>5.1752378981388396E-2</c:v>
                </c:pt>
                <c:pt idx="69">
                  <c:v>4.0956470792021221E-2</c:v>
                </c:pt>
                <c:pt idx="70">
                  <c:v>2.9891754145686112E-2</c:v>
                </c:pt>
                <c:pt idx="71">
                  <c:v>2.0007878013446126E-2</c:v>
                </c:pt>
                <c:pt idx="72">
                  <c:v>1.2237421147828234E-2</c:v>
                </c:pt>
                <c:pt idx="73">
                  <c:v>6.8229088674470317E-3</c:v>
                </c:pt>
                <c:pt idx="74">
                  <c:v>3.4620582394475326E-3</c:v>
                </c:pt>
                <c:pt idx="75">
                  <c:v>1.5969908193921504E-3</c:v>
                </c:pt>
                <c:pt idx="76">
                  <c:v>6.691761772035208E-4</c:v>
                </c:pt>
                <c:pt idx="77">
                  <c:v>2.5457495532848389E-4</c:v>
                </c:pt>
                <c:pt idx="78">
                  <c:v>8.7894967464287769E-5</c:v>
                </c:pt>
                <c:pt idx="79">
                  <c:v>2.7533993695447557E-5</c:v>
                </c:pt>
                <c:pt idx="80">
                  <c:v>7.8243537136645E-6</c:v>
                </c:pt>
                <c:pt idx="81">
                  <c:v>2.0167062222983483E-6</c:v>
                </c:pt>
                <c:pt idx="82">
                  <c:v>4.7142140909576221E-7</c:v>
                </c:pt>
                <c:pt idx="83">
                  <c:v>9.9935095425425039E-8</c:v>
                </c:pt>
                <c:pt idx="84">
                  <c:v>1.9210866349398119E-8</c:v>
                </c:pt>
                <c:pt idx="85">
                  <c:v>3.3487314198605138E-9</c:v>
                </c:pt>
                <c:pt idx="86">
                  <c:v>5.2930597315266215E-10</c:v>
                </c:pt>
                <c:pt idx="87">
                  <c:v>7.5860939635292006E-11</c:v>
                </c:pt>
                <c:pt idx="88">
                  <c:v>9.8584513804069023E-12</c:v>
                </c:pt>
                <c:pt idx="89">
                  <c:v>1.1616465186667407E-12</c:v>
                </c:pt>
                <c:pt idx="90">
                  <c:v>1.2411122061275246E-13</c:v>
                </c:pt>
                <c:pt idx="91">
                  <c:v>1.2023132897600266E-14</c:v>
                </c:pt>
                <c:pt idx="92">
                  <c:v>1.0560687874953462E-15</c:v>
                </c:pt>
                <c:pt idx="93">
                  <c:v>8.410727835848033E-17</c:v>
                </c:pt>
                <c:pt idx="94">
                  <c:v>6.0735266733786033E-18</c:v>
                </c:pt>
                <c:pt idx="95">
                  <c:v>3.9766165146684783E-19</c:v>
                </c:pt>
                <c:pt idx="96">
                  <c:v>2.3607580647546322E-20</c:v>
                </c:pt>
                <c:pt idx="97">
                  <c:v>1.2707321165457147E-21</c:v>
                </c:pt>
                <c:pt idx="98">
                  <c:v>6.2018493877502837E-23</c:v>
                </c:pt>
                <c:pt idx="99">
                  <c:v>2.7444374423132005E-24</c:v>
                </c:pt>
                <c:pt idx="100">
                  <c:v>1.101162148724069E-25</c:v>
                </c:pt>
                <c:pt idx="101">
                  <c:v>4.0060627433234638E-27</c:v>
                </c:pt>
                <c:pt idx="102">
                  <c:v>1.3214802496060857E-28</c:v>
                </c:pt>
                <c:pt idx="103">
                  <c:v>3.9527901796948015E-30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128-4E4D-A374-25E73A119BF1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NaiwnaGęstość!$BI$5:$BI$108</c:f>
              <c:numCache>
                <c:formatCode>General</c:formatCode>
                <c:ptCount val="104"/>
                <c:pt idx="0">
                  <c:v>9.9196962865731162E-9</c:v>
                </c:pt>
                <c:pt idx="1">
                  <c:v>2.2747440324843408E-8</c:v>
                </c:pt>
                <c:pt idx="2">
                  <c:v>4.9671333518630656E-8</c:v>
                </c:pt>
                <c:pt idx="3">
                  <c:v>1.0332075755724476E-7</c:v>
                </c:pt>
                <c:pt idx="4">
                  <c:v>2.0482636151556595E-7</c:v>
                </c:pt>
                <c:pt idx="5">
                  <c:v>3.8721858910359865E-7</c:v>
                </c:pt>
                <c:pt idx="6">
                  <c:v>6.9857361793407964E-7</c:v>
                </c:pt>
                <c:pt idx="7">
                  <c:v>1.2037525005815568E-6</c:v>
                </c:pt>
                <c:pt idx="8">
                  <c:v>1.9833406321622235E-6</c:v>
                </c:pt>
                <c:pt idx="9">
                  <c:v>3.1286270521376957E-6</c:v>
                </c:pt>
                <c:pt idx="10">
                  <c:v>4.7323158867322496E-6</c:v>
                </c:pt>
                <c:pt idx="11">
                  <c:v>6.8759933432607938E-6</c:v>
                </c:pt>
                <c:pt idx="12">
                  <c:v>9.6166826932129851E-6</c:v>
                </c:pt>
                <c:pt idx="13">
                  <c:v>1.2975416535200407E-5</c:v>
                </c:pt>
                <c:pt idx="14">
                  <c:v>1.6930162000304233E-5</c:v>
                </c:pt>
                <c:pt idx="15">
                  <c:v>2.1413809393896615E-5</c:v>
                </c:pt>
                <c:pt idx="16">
                  <c:v>2.6316182222823412E-5</c:v>
                </c:pt>
                <c:pt idx="17">
                  <c:v>3.1488354408144719E-5</c:v>
                </c:pt>
                <c:pt idx="18">
                  <c:v>3.6748628937853303E-5</c:v>
                </c:pt>
                <c:pt idx="19">
                  <c:v>4.1891744885672433E-5</c:v>
                </c:pt>
                <c:pt idx="20">
                  <c:v>4.6704460880564268E-5</c:v>
                </c:pt>
                <c:pt idx="21">
                  <c:v>5.098973878106113E-5</c:v>
                </c:pt>
                <c:pt idx="22">
                  <c:v>5.4597932577598349E-5</c:v>
                </c:pt>
                <c:pt idx="23">
                  <c:v>5.7458969777721137E-5</c:v>
                </c:pt>
                <c:pt idx="24">
                  <c:v>5.9609988900185783E-5</c:v>
                </c:pt>
                <c:pt idx="25">
                  <c:v>6.1228049377113825E-5</c:v>
                </c:pt>
                <c:pt idx="26">
                  <c:v>6.2725462813174605E-5</c:v>
                </c:pt>
                <c:pt idx="27">
                  <c:v>6.507848466701315E-5</c:v>
                </c:pt>
                <c:pt idx="28">
                  <c:v>7.0779171261100781E-5</c:v>
                </c:pt>
                <c:pt idx="29">
                  <c:v>8.6119237898423583E-5</c:v>
                </c:pt>
                <c:pt idx="30">
                  <c:v>1.2574374374774147E-4</c:v>
                </c:pt>
                <c:pt idx="31">
                  <c:v>2.2002071407395825E-4</c:v>
                </c:pt>
                <c:pt idx="32">
                  <c:v>4.2400230866488622E-4</c:v>
                </c:pt>
                <c:pt idx="33">
                  <c:v>8.2341280752572981E-4</c:v>
                </c:pt>
                <c:pt idx="34">
                  <c:v>1.5299274226318682E-3</c:v>
                </c:pt>
                <c:pt idx="35">
                  <c:v>2.6591460909327663E-3</c:v>
                </c:pt>
                <c:pt idx="36">
                  <c:v>4.2940281798627992E-3</c:v>
                </c:pt>
                <c:pt idx="37">
                  <c:v>6.4522045675407058E-3</c:v>
                </c:pt>
                <c:pt idx="38">
                  <c:v>9.0864832337086299E-3</c:v>
                </c:pt>
                <c:pt idx="39">
                  <c:v>1.2139946812895376E-2</c:v>
                </c:pt>
                <c:pt idx="40">
                  <c:v>1.5647264178235379E-2</c:v>
                </c:pt>
                <c:pt idx="41">
                  <c:v>1.9838345956062632E-2</c:v>
                </c:pt>
                <c:pt idx="42">
                  <c:v>2.5184018789548162E-2</c:v>
                </c:pt>
                <c:pt idx="43">
                  <c:v>3.2337585131299522E-2</c:v>
                </c:pt>
                <c:pt idx="44">
                  <c:v>4.1961121866746692E-2</c:v>
                </c:pt>
                <c:pt idx="45">
                  <c:v>5.4466101804649912E-2</c:v>
                </c:pt>
                <c:pt idx="46">
                  <c:v>6.9742163674266083E-2</c:v>
                </c:pt>
                <c:pt idx="47">
                  <c:v>8.6994217230480217E-2</c:v>
                </c:pt>
                <c:pt idx="48">
                  <c:v>0.10482349582932286</c:v>
                </c:pt>
                <c:pt idx="49">
                  <c:v>0.12161205682769143</c:v>
                </c:pt>
                <c:pt idx="50">
                  <c:v>0.13608756136013636</c:v>
                </c:pt>
                <c:pt idx="51">
                  <c:v>0.14776042667468578</c:v>
                </c:pt>
                <c:pt idx="52">
                  <c:v>0.15691818615988365</c:v>
                </c:pt>
                <c:pt idx="53">
                  <c:v>0.16411585107896554</c:v>
                </c:pt>
                <c:pt idx="54">
                  <c:v>0.1694725576992468</c:v>
                </c:pt>
                <c:pt idx="55">
                  <c:v>0.17228059857075845</c:v>
                </c:pt>
                <c:pt idx="56">
                  <c:v>0.17125958770837413</c:v>
                </c:pt>
                <c:pt idx="57">
                  <c:v>0.16534378464502772</c:v>
                </c:pt>
                <c:pt idx="58">
                  <c:v>0.15450618581431938</c:v>
                </c:pt>
                <c:pt idx="59">
                  <c:v>0.14009180748890482</c:v>
                </c:pt>
                <c:pt idx="60">
                  <c:v>0.12445986748832669</c:v>
                </c:pt>
                <c:pt idx="61">
                  <c:v>0.11014784391175157</c:v>
                </c:pt>
                <c:pt idx="62">
                  <c:v>9.8979935937295094E-2</c:v>
                </c:pt>
                <c:pt idx="63">
                  <c:v>9.1483273653959696E-2</c:v>
                </c:pt>
                <c:pt idx="64">
                  <c:v>8.6790092170961286E-2</c:v>
                </c:pt>
                <c:pt idx="65">
                  <c:v>8.3034651339360055E-2</c:v>
                </c:pt>
                <c:pt idx="66">
                  <c:v>7.8113789714781029E-2</c:v>
                </c:pt>
                <c:pt idx="67">
                  <c:v>7.053847541521574E-2</c:v>
                </c:pt>
                <c:pt idx="68">
                  <c:v>6.001709584941687E-2</c:v>
                </c:pt>
                <c:pt idx="69">
                  <c:v>4.749710640045321E-2</c:v>
                </c:pt>
                <c:pt idx="70">
                  <c:v>3.4665383563549063E-2</c:v>
                </c:pt>
                <c:pt idx="71">
                  <c:v>2.3203079566756199E-2</c:v>
                </c:pt>
                <c:pt idx="72">
                  <c:v>1.4191702522228258E-2</c:v>
                </c:pt>
                <c:pt idx="73">
                  <c:v>7.9125079593035681E-3</c:v>
                </c:pt>
                <c:pt idx="74">
                  <c:v>4.0149390499549008E-3</c:v>
                </c:pt>
                <c:pt idx="75">
                  <c:v>1.8520256855530293E-3</c:v>
                </c:pt>
                <c:pt idx="76">
                  <c:v>7.7604169727546631E-4</c:v>
                </c:pt>
                <c:pt idx="77">
                  <c:v>2.9522984664922516E-4</c:v>
                </c:pt>
                <c:pt idx="78">
                  <c:v>1.0193154197720155E-4</c:v>
                </c:pt>
                <c:pt idx="79">
                  <c:v>3.1931093596923651E-5</c:v>
                </c:pt>
                <c:pt idx="80">
                  <c:v>9.0738805805923995E-6</c:v>
                </c:pt>
                <c:pt idx="81">
                  <c:v>2.3387684267962389E-6</c:v>
                </c:pt>
                <c:pt idx="82">
                  <c:v>5.4670605723292024E-7</c:v>
                </c:pt>
                <c:pt idx="83">
                  <c:v>1.1589444382173432E-7</c:v>
                </c:pt>
                <c:pt idx="84">
                  <c:v>2.2278786670949166E-8</c:v>
                </c:pt>
                <c:pt idx="85">
                  <c:v>3.8835142372153976E-9</c:v>
                </c:pt>
                <c:pt idx="86">
                  <c:v>6.1383462190509646E-10</c:v>
                </c:pt>
                <c:pt idx="87">
                  <c:v>8.7975714698478131E-11</c:v>
                </c:pt>
                <c:pt idx="88">
                  <c:v>1.1432817898559282E-11</c:v>
                </c:pt>
                <c:pt idx="89">
                  <c:v>1.3471581547919617E-12</c:v>
                </c:pt>
                <c:pt idx="90">
                  <c:v>1.4393142967246438E-13</c:v>
                </c:pt>
                <c:pt idx="91">
                  <c:v>1.3943193216386289E-14</c:v>
                </c:pt>
                <c:pt idx="92">
                  <c:v>1.2247200138804949E-15</c:v>
                </c:pt>
                <c:pt idx="93">
                  <c:v>9.7538979146227788E-17</c:v>
                </c:pt>
                <c:pt idx="94">
                  <c:v>7.0434527277686816E-18</c:v>
                </c:pt>
                <c:pt idx="95">
                  <c:v>4.6116723349499445E-19</c:v>
                </c:pt>
                <c:pt idx="96">
                  <c:v>2.7377662031497583E-20</c:v>
                </c:pt>
                <c:pt idx="97">
                  <c:v>1.4736664553130536E-21</c:v>
                </c:pt>
                <c:pt idx="98">
                  <c:v>7.1922888749263009E-23</c:v>
                </c:pt>
                <c:pt idx="99">
                  <c:v>3.1827383633544375E-24</c:v>
                </c:pt>
                <c:pt idx="100">
                  <c:v>1.2770358172563485E-25</c:v>
                </c:pt>
                <c:pt idx="101">
                  <c:v>4.6460130521934749E-27</c:v>
                </c:pt>
                <c:pt idx="102">
                  <c:v>1.5326846093790689E-28</c:v>
                </c:pt>
                <c:pt idx="103">
                  <c:v>4.5854212074917845E-30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F128-4E4D-A374-25E73A119BF1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NaiwnaGęstość!$BJ$5:$BJ$108</c:f>
              <c:numCache>
                <c:formatCode>General</c:formatCode>
                <c:ptCount val="104"/>
                <c:pt idx="0">
                  <c:v>2.6302808437171613E-8</c:v>
                </c:pt>
                <c:pt idx="1">
                  <c:v>6.0316520588459136E-8</c:v>
                </c:pt>
                <c:pt idx="2">
                  <c:v>1.3170721487993752E-7</c:v>
                </c:pt>
                <c:pt idx="3">
                  <c:v>2.7396263102229498E-7</c:v>
                </c:pt>
                <c:pt idx="4">
                  <c:v>5.431122480150018E-7</c:v>
                </c:pt>
                <c:pt idx="5">
                  <c:v>1.026738730528446E-6</c:v>
                </c:pt>
                <c:pt idx="6">
                  <c:v>1.8523196195686847E-6</c:v>
                </c:pt>
                <c:pt idx="7">
                  <c:v>3.1918387936351893E-6</c:v>
                </c:pt>
                <c:pt idx="8">
                  <c:v>5.2589743885640382E-6</c:v>
                </c:pt>
                <c:pt idx="9">
                  <c:v>8.2957860448930557E-6</c:v>
                </c:pt>
                <c:pt idx="10">
                  <c:v>1.2548085610381432E-5</c:v>
                </c:pt>
                <c:pt idx="11">
                  <c:v>1.8232204948437528E-5</c:v>
                </c:pt>
                <c:pt idx="12">
                  <c:v>2.5499345481274364E-5</c:v>
                </c:pt>
                <c:pt idx="13">
                  <c:v>3.4405276699832568E-5</c:v>
                </c:pt>
                <c:pt idx="14">
                  <c:v>4.4891576822423459E-5</c:v>
                </c:pt>
                <c:pt idx="15">
                  <c:v>5.6780299529364956E-5</c:v>
                </c:pt>
                <c:pt idx="16">
                  <c:v>6.9779303694754617E-5</c:v>
                </c:pt>
                <c:pt idx="17">
                  <c:v>8.3493700757722854E-5</c:v>
                </c:pt>
                <c:pt idx="18">
                  <c:v>9.74417072411776E-5</c:v>
                </c:pt>
                <c:pt idx="19">
                  <c:v>1.1107905537832467E-4</c:v>
                </c:pt>
                <c:pt idx="20">
                  <c:v>1.2384029682876142E-4</c:v>
                </c:pt>
                <c:pt idx="21">
                  <c:v>1.3520282214053451E-4</c:v>
                </c:pt>
                <c:pt idx="22">
                  <c:v>1.4476897556130357E-4</c:v>
                </c:pt>
                <c:pt idx="23">
                  <c:v>1.5234848129550035E-4</c:v>
                </c:pt>
                <c:pt idx="24">
                  <c:v>1.5801884941728312E-4</c:v>
                </c:pt>
                <c:pt idx="25">
                  <c:v>1.6216133119973912E-4</c:v>
                </c:pt>
                <c:pt idx="26">
                  <c:v>1.655362986645391E-4</c:v>
                </c:pt>
                <c:pt idx="27">
                  <c:v>1.6960872937608808E-4</c:v>
                </c:pt>
                <c:pt idx="28">
                  <c:v>1.7760266133726765E-4</c:v>
                </c:pt>
                <c:pt idx="29">
                  <c:v>1.9714034475708678E-4</c:v>
                </c:pt>
                <c:pt idx="30">
                  <c:v>2.4558263907127501E-4</c:v>
                </c:pt>
                <c:pt idx="31">
                  <c:v>3.5871167031273333E-4</c:v>
                </c:pt>
                <c:pt idx="32">
                  <c:v>6.0129982775214007E-4</c:v>
                </c:pt>
                <c:pt idx="33">
                  <c:v>1.0741723757050868E-3</c:v>
                </c:pt>
                <c:pt idx="34">
                  <c:v>1.9086438997949927E-3</c:v>
                </c:pt>
                <c:pt idx="35">
                  <c:v>3.2405657659429774E-3</c:v>
                </c:pt>
                <c:pt idx="36">
                  <c:v>5.1672598179755107E-3</c:v>
                </c:pt>
                <c:pt idx="37">
                  <c:v>7.7090484862358758E-3</c:v>
                </c:pt>
                <c:pt idx="38">
                  <c:v>1.0809918396959588E-2</c:v>
                </c:pt>
                <c:pt idx="39">
                  <c:v>1.440251039127812E-2</c:v>
                </c:pt>
                <c:pt idx="40">
                  <c:v>1.8527540739589704E-2</c:v>
                </c:pt>
                <c:pt idx="41">
                  <c:v>2.3455948594555971E-2</c:v>
                </c:pt>
                <c:pt idx="42">
                  <c:v>2.9742691767278177E-2</c:v>
                </c:pt>
                <c:pt idx="43">
                  <c:v>3.8157848558906443E-2</c:v>
                </c:pt>
                <c:pt idx="44">
                  <c:v>4.9481915111098528E-2</c:v>
                </c:pt>
                <c:pt idx="45">
                  <c:v>6.4200178415217302E-2</c:v>
                </c:pt>
                <c:pt idx="46">
                  <c:v>8.2183155672410288E-2</c:v>
                </c:pt>
                <c:pt idx="47">
                  <c:v>0.10249468074645193</c:v>
                </c:pt>
                <c:pt idx="48">
                  <c:v>0.12348736439611317</c:v>
                </c:pt>
                <c:pt idx="49">
                  <c:v>0.1432554928193967</c:v>
                </c:pt>
                <c:pt idx="50">
                  <c:v>0.16030027889879439</c:v>
                </c:pt>
                <c:pt idx="51">
                  <c:v>0.17404480431048966</c:v>
                </c:pt>
                <c:pt idx="52">
                  <c:v>0.184827448821408</c:v>
                </c:pt>
                <c:pt idx="53">
                  <c:v>0.19330171039952046</c:v>
                </c:pt>
                <c:pt idx="54">
                  <c:v>0.19960784721991232</c:v>
                </c:pt>
                <c:pt idx="55">
                  <c:v>0.20291239909424327</c:v>
                </c:pt>
                <c:pt idx="56">
                  <c:v>0.20170749103237107</c:v>
                </c:pt>
                <c:pt idx="57">
                  <c:v>0.19473805441137831</c:v>
                </c:pt>
                <c:pt idx="58">
                  <c:v>0.18197235811029233</c:v>
                </c:pt>
                <c:pt idx="59">
                  <c:v>0.16499451077422442</c:v>
                </c:pt>
                <c:pt idx="60">
                  <c:v>0.14658304293255087</c:v>
                </c:pt>
                <c:pt idx="61">
                  <c:v>0.12972639744116085</c:v>
                </c:pt>
                <c:pt idx="62">
                  <c:v>0.11657294545303519</c:v>
                </c:pt>
                <c:pt idx="63">
                  <c:v>0.10774344936229642</c:v>
                </c:pt>
                <c:pt idx="64">
                  <c:v>0.1022158596816751</c:v>
                </c:pt>
                <c:pt idx="65">
                  <c:v>9.7792786491121178E-2</c:v>
                </c:pt>
                <c:pt idx="66">
                  <c:v>9.1997231243153399E-2</c:v>
                </c:pt>
                <c:pt idx="67">
                  <c:v>8.307548585600702E-2</c:v>
                </c:pt>
                <c:pt idx="68">
                  <c:v>7.0684090394836599E-2</c:v>
                </c:pt>
                <c:pt idx="69">
                  <c:v>5.5938881984431567E-2</c:v>
                </c:pt>
                <c:pt idx="70">
                  <c:v>4.0826542543898343E-2</c:v>
                </c:pt>
                <c:pt idx="71">
                  <c:v>2.7327015384699106E-2</c:v>
                </c:pt>
                <c:pt idx="72">
                  <c:v>1.6714025456235043E-2</c:v>
                </c:pt>
                <c:pt idx="73">
                  <c:v>9.318815491390138E-3</c:v>
                </c:pt>
                <c:pt idx="74">
                  <c:v>4.7285229967072217E-3</c:v>
                </c:pt>
                <c:pt idx="75">
                  <c:v>2.181190270087458E-3</c:v>
                </c:pt>
                <c:pt idx="76">
                  <c:v>9.139692855434676E-4</c:v>
                </c:pt>
                <c:pt idx="77">
                  <c:v>3.4770169215819817E-4</c:v>
                </c:pt>
                <c:pt idx="78">
                  <c:v>1.2004805738309384E-4</c:v>
                </c:pt>
                <c:pt idx="79">
                  <c:v>3.7606276508418523E-5</c:v>
                </c:pt>
                <c:pt idx="80">
                  <c:v>1.0686601161667966E-5</c:v>
                </c:pt>
                <c:pt idx="81">
                  <c:v>2.7544428384217716E-6</c:v>
                </c:pt>
                <c:pt idx="82">
                  <c:v>6.4387331684686457E-7</c:v>
                </c:pt>
                <c:pt idx="83">
                  <c:v>1.3649261609448106E-7</c:v>
                </c:pt>
                <c:pt idx="84">
                  <c:v>2.6238444042574866E-8</c:v>
                </c:pt>
                <c:pt idx="85">
                  <c:v>4.5737397043193493E-9</c:v>
                </c:pt>
                <c:pt idx="86">
                  <c:v>7.2293279164963133E-10</c:v>
                </c:pt>
                <c:pt idx="87">
                  <c:v>1.0361183125606888E-10</c:v>
                </c:pt>
                <c:pt idx="88">
                  <c:v>1.3464797756429454E-11</c:v>
                </c:pt>
                <c:pt idx="89">
                  <c:v>1.586591550172566E-12</c:v>
                </c:pt>
                <c:pt idx="90">
                  <c:v>1.6951268334635543E-13</c:v>
                </c:pt>
                <c:pt idx="91">
                  <c:v>1.6421348453294179E-14</c:v>
                </c:pt>
                <c:pt idx="92">
                  <c:v>1.4423923380834336E-15</c:v>
                </c:pt>
                <c:pt idx="93">
                  <c:v>1.1487481786543232E-16</c:v>
                </c:pt>
                <c:pt idx="94">
                  <c:v>8.2953040150436395E-18</c:v>
                </c:pt>
                <c:pt idx="95">
                  <c:v>5.4313187527037135E-19</c:v>
                </c:pt>
                <c:pt idx="96">
                  <c:v>3.2243598932550595E-20</c:v>
                </c:pt>
                <c:pt idx="97">
                  <c:v>1.7355894846786749E-21</c:v>
                </c:pt>
                <c:pt idx="98">
                  <c:v>8.4706440325045409E-23</c:v>
                </c:pt>
                <c:pt idx="99">
                  <c:v>3.7484678931936014E-24</c:v>
                </c:pt>
                <c:pt idx="100">
                  <c:v>1.5040584686572089E-25</c:v>
                </c:pt>
                <c:pt idx="101">
                  <c:v>5.4722358819208984E-27</c:v>
                </c:pt>
                <c:pt idx="102">
                  <c:v>1.8055051920460585E-28</c:v>
                </c:pt>
                <c:pt idx="103">
                  <c:v>5.4038016886062499E-30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F128-4E4D-A374-25E73A119BF1}"/>
            </c:ext>
          </c:extLst>
        </c:ser>
        <c:ser>
          <c:idx val="47"/>
          <c:order val="47"/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val>
            <c:numRef>
              <c:f>NaiwnaGęstość!$BK$5:$BK$108</c:f>
              <c:numCache>
                <c:formatCode>General</c:formatCode>
                <c:ptCount val="104"/>
                <c:pt idx="0">
                  <c:v>6.4172474424718254E-8</c:v>
                </c:pt>
                <c:pt idx="1">
                  <c:v>1.4715768409660759E-7</c:v>
                </c:pt>
                <c:pt idx="2">
                  <c:v>3.2133366665474285E-7</c:v>
                </c:pt>
                <c:pt idx="3">
                  <c:v>6.6840238655888738E-7</c:v>
                </c:pt>
                <c:pt idx="4">
                  <c:v>1.3250621859922472E-6</c:v>
                </c:pt>
                <c:pt idx="5">
                  <c:v>2.504993528850316E-6</c:v>
                </c:pt>
                <c:pt idx="6">
                  <c:v>4.5192107031882161E-6</c:v>
                </c:pt>
                <c:pt idx="7">
                  <c:v>7.7873126682134351E-6</c:v>
                </c:pt>
                <c:pt idx="8">
                  <c:v>1.2830622260603893E-5</c:v>
                </c:pt>
                <c:pt idx="9">
                  <c:v>2.0239706306285215E-5</c:v>
                </c:pt>
                <c:pt idx="10">
                  <c:v>3.0614286106931273E-5</c:v>
                </c:pt>
                <c:pt idx="11">
                  <c:v>4.448215895099455E-5</c:v>
                </c:pt>
                <c:pt idx="12">
                  <c:v>6.2212219643876471E-5</c:v>
                </c:pt>
                <c:pt idx="13">
                  <c:v>8.3940532219938164E-5</c:v>
                </c:pt>
                <c:pt idx="14">
                  <c:v>1.0952456169850553E-4</c:v>
                </c:pt>
                <c:pt idx="15">
                  <c:v>1.3853016220926408E-4</c:v>
                </c:pt>
                <c:pt idx="16">
                  <c:v>1.702445802414004E-4</c:v>
                </c:pt>
                <c:pt idx="17">
                  <c:v>2.0370438341591772E-4</c:v>
                </c:pt>
                <c:pt idx="18">
                  <c:v>2.3773413646604324E-4</c:v>
                </c:pt>
                <c:pt idx="19">
                  <c:v>2.7100595478105662E-4</c:v>
                </c:pt>
                <c:pt idx="20">
                  <c:v>3.0214025844693497E-4</c:v>
                </c:pt>
                <c:pt idx="21">
                  <c:v>3.2986185883999861E-4</c:v>
                </c:pt>
                <c:pt idx="22">
                  <c:v>3.5319971381460384E-4</c:v>
                </c:pt>
                <c:pt idx="23">
                  <c:v>3.7168512187650646E-4</c:v>
                </c:pt>
                <c:pt idx="24">
                  <c:v>3.8548621729017748E-4</c:v>
                </c:pt>
                <c:pt idx="25">
                  <c:v>3.9544490027654407E-4</c:v>
                </c:pt>
                <c:pt idx="26">
                  <c:v>4.0308329517511752E-4</c:v>
                </c:pt>
                <c:pt idx="27">
                  <c:v>4.1085163091600168E-4</c:v>
                </c:pt>
                <c:pt idx="28">
                  <c:v>4.2323096575412269E-4</c:v>
                </c:pt>
                <c:pt idx="29">
                  <c:v>4.4975442214707746E-4</c:v>
                </c:pt>
                <c:pt idx="30">
                  <c:v>5.1130047692961983E-4</c:v>
                </c:pt>
                <c:pt idx="31">
                  <c:v>6.5041495719887939E-4</c:v>
                </c:pt>
                <c:pt idx="32">
                  <c:v>9.4390080820563719E-4</c:v>
                </c:pt>
                <c:pt idx="33">
                  <c:v>1.5112316280315619E-3</c:v>
                </c:pt>
                <c:pt idx="34">
                  <c:v>2.5079349839141666E-3</c:v>
                </c:pt>
                <c:pt idx="35">
                  <c:v>4.0947354703403747E-3</c:v>
                </c:pt>
                <c:pt idx="36">
                  <c:v>6.3863882461480453E-3</c:v>
                </c:pt>
                <c:pt idx="37">
                  <c:v>9.4060403204075452E-3</c:v>
                </c:pt>
                <c:pt idx="38">
                  <c:v>1.3086172400112677E-2</c:v>
                </c:pt>
                <c:pt idx="39">
                  <c:v>1.73460300931884E-2</c:v>
                </c:pt>
                <c:pt idx="40">
                  <c:v>2.2233725598760849E-2</c:v>
                </c:pt>
                <c:pt idx="41">
                  <c:v>2.8071500881993856E-2</c:v>
                </c:pt>
                <c:pt idx="42">
                  <c:v>3.551964393583542E-2</c:v>
                </c:pt>
                <c:pt idx="43">
                  <c:v>4.5494479220382238E-2</c:v>
                </c:pt>
                <c:pt idx="44">
                  <c:v>5.8924896265968155E-2</c:v>
                </c:pt>
                <c:pt idx="45">
                  <c:v>7.6388938798573808E-2</c:v>
                </c:pt>
                <c:pt idx="46">
                  <c:v>9.773389566287706E-2</c:v>
                </c:pt>
                <c:pt idx="47">
                  <c:v>0.12184816206056157</c:v>
                </c:pt>
                <c:pt idx="48">
                  <c:v>0.14677464814117155</c:v>
                </c:pt>
                <c:pt idx="49">
                  <c:v>0.17024894498281293</c:v>
                </c:pt>
                <c:pt idx="50">
                  <c:v>0.19048983140403161</c:v>
                </c:pt>
                <c:pt idx="51">
                  <c:v>0.20681122181834555</c:v>
                </c:pt>
                <c:pt idx="52">
                  <c:v>0.21961452184059232</c:v>
                </c:pt>
                <c:pt idx="53">
                  <c:v>0.22967571588854763</c:v>
                </c:pt>
                <c:pt idx="54">
                  <c:v>0.23716130863215165</c:v>
                </c:pt>
                <c:pt idx="55">
                  <c:v>0.24108123956281613</c:v>
                </c:pt>
                <c:pt idx="56">
                  <c:v>0.23964436849805429</c:v>
                </c:pt>
                <c:pt idx="57">
                  <c:v>0.23135990786385291</c:v>
                </c:pt>
                <c:pt idx="58">
                  <c:v>0.21619032378763725</c:v>
                </c:pt>
                <c:pt idx="59">
                  <c:v>0.19601758222582011</c:v>
                </c:pt>
                <c:pt idx="60">
                  <c:v>0.17414250788503086</c:v>
                </c:pt>
                <c:pt idx="61">
                  <c:v>0.15411522663564844</c:v>
                </c:pt>
                <c:pt idx="62">
                  <c:v>0.13848783736158035</c:v>
                </c:pt>
                <c:pt idx="63">
                  <c:v>0.12799766295843915</c:v>
                </c:pt>
                <c:pt idx="64">
                  <c:v>0.12143041382946525</c:v>
                </c:pt>
                <c:pt idx="65">
                  <c:v>0.11617554506155205</c:v>
                </c:pt>
                <c:pt idx="66">
                  <c:v>0.10929036723372322</c:v>
                </c:pt>
                <c:pt idx="67">
                  <c:v>9.8691462907695912E-2</c:v>
                </c:pt>
                <c:pt idx="68">
                  <c:v>8.3970769890149219E-2</c:v>
                </c:pt>
                <c:pt idx="69">
                  <c:v>6.6453845273453813E-2</c:v>
                </c:pt>
                <c:pt idx="70">
                  <c:v>4.8500796003577061E-2</c:v>
                </c:pt>
                <c:pt idx="71">
                  <c:v>3.2463730609822786E-2</c:v>
                </c:pt>
                <c:pt idx="72">
                  <c:v>1.9855794129558409E-2</c:v>
                </c:pt>
                <c:pt idx="73">
                  <c:v>1.1070491470406008E-2</c:v>
                </c:pt>
                <c:pt idx="74">
                  <c:v>5.6173526102768602E-3</c:v>
                </c:pt>
                <c:pt idx="75">
                  <c:v>2.5911927937806137E-3</c:v>
                </c:pt>
                <c:pt idx="76">
                  <c:v>1.0857698391959637E-3</c:v>
                </c:pt>
                <c:pt idx="77">
                  <c:v>4.1305984187550439E-4</c:v>
                </c:pt>
                <c:pt idx="78">
                  <c:v>1.4261371907179057E-4</c:v>
                </c:pt>
                <c:pt idx="79">
                  <c:v>4.4675199748025048E-5</c:v>
                </c:pt>
                <c:pt idx="80">
                  <c:v>1.269538187087187E-5</c:v>
                </c:pt>
                <c:pt idx="81">
                  <c:v>3.2722006869725644E-6</c:v>
                </c:pt>
                <c:pt idx="82">
                  <c:v>7.6490340657404624E-7</c:v>
                </c:pt>
                <c:pt idx="83">
                  <c:v>1.621493924256029E-7</c:v>
                </c:pt>
                <c:pt idx="84">
                  <c:v>3.1170534269278946E-8</c:v>
                </c:pt>
                <c:pt idx="85">
                  <c:v>5.433474270933724E-9</c:v>
                </c:pt>
                <c:pt idx="86">
                  <c:v>8.5882384986693562E-10</c:v>
                </c:pt>
                <c:pt idx="87">
                  <c:v>1.2308794603659951E-10</c:v>
                </c:pt>
                <c:pt idx="88">
                  <c:v>1.5995801812651601E-11</c:v>
                </c:pt>
                <c:pt idx="89">
                  <c:v>1.8848262640346091E-12</c:v>
                </c:pt>
                <c:pt idx="90">
                  <c:v>2.0137631965855596E-13</c:v>
                </c:pt>
                <c:pt idx="91">
                  <c:v>1.950810298388085E-14</c:v>
                </c:pt>
                <c:pt idx="92">
                  <c:v>1.7135219373532184E-15</c:v>
                </c:pt>
                <c:pt idx="93">
                  <c:v>1.3646810788551435E-16</c:v>
                </c:pt>
                <c:pt idx="94">
                  <c:v>9.8545949865880774E-18</c:v>
                </c:pt>
                <c:pt idx="95">
                  <c:v>6.4522626935673227E-19</c:v>
                </c:pt>
                <c:pt idx="96">
                  <c:v>3.8304591529390235E-20</c:v>
                </c:pt>
                <c:pt idx="97">
                  <c:v>2.0618429688583754E-21</c:v>
                </c:pt>
                <c:pt idx="98">
                  <c:v>1.0063008624628512E-22</c:v>
                </c:pt>
                <c:pt idx="99">
                  <c:v>4.4531972590899931E-24</c:v>
                </c:pt>
                <c:pt idx="100">
                  <c:v>1.7868969578500106E-25</c:v>
                </c:pt>
                <c:pt idx="101">
                  <c:v>6.5019362377997981E-27</c:v>
                </c:pt>
                <c:pt idx="102">
                  <c:v>2.1458199995188546E-28</c:v>
                </c:pt>
                <c:pt idx="103">
                  <c:v>6.4272296492416901E-30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F128-4E4D-A374-25E73A119BF1}"/>
            </c:ext>
          </c:extLst>
        </c:ser>
        <c:ser>
          <c:idx val="48"/>
          <c:order val="48"/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NaiwnaGęstość!$BL$5:$BL$108</c:f>
              <c:numCache>
                <c:formatCode>General</c:formatCode>
                <c:ptCount val="104"/>
                <c:pt idx="0">
                  <c:v>1.4445101820787654E-7</c:v>
                </c:pt>
                <c:pt idx="1">
                  <c:v>3.3124914529834785E-7</c:v>
                </c:pt>
                <c:pt idx="2">
                  <c:v>7.2331596605645117E-7</c:v>
                </c:pt>
                <c:pt idx="3">
                  <c:v>1.5045610470307166E-6</c:v>
                </c:pt>
                <c:pt idx="4">
                  <c:v>2.9826897539984509E-6</c:v>
                </c:pt>
                <c:pt idx="5">
                  <c:v>5.6386927431177761E-6</c:v>
                </c:pt>
                <c:pt idx="6">
                  <c:v>1.0172657255678786E-5</c:v>
                </c:pt>
                <c:pt idx="7">
                  <c:v>1.7529092560489422E-5</c:v>
                </c:pt>
                <c:pt idx="8">
                  <c:v>2.8881486437913933E-5</c:v>
                </c:pt>
                <c:pt idx="9">
                  <c:v>4.5559193569838959E-5</c:v>
                </c:pt>
                <c:pt idx="10">
                  <c:v>6.8912175188776606E-5</c:v>
                </c:pt>
                <c:pt idx="11">
                  <c:v>1.0012849294277437E-4</c:v>
                </c:pt>
                <c:pt idx="12">
                  <c:v>1.4003852201573345E-4</c:v>
                </c:pt>
                <c:pt idx="13">
                  <c:v>1.8894853995859667E-4</c:v>
                </c:pt>
                <c:pt idx="14">
                  <c:v>2.4653770324342347E-4</c:v>
                </c:pt>
                <c:pt idx="15">
                  <c:v>3.1182875778098981E-4</c:v>
                </c:pt>
                <c:pt idx="16">
                  <c:v>3.8321730898300383E-4</c:v>
                </c:pt>
                <c:pt idx="17">
                  <c:v>4.5853468885858896E-4</c:v>
                </c:pt>
                <c:pt idx="18">
                  <c:v>5.3513501458334501E-4</c:v>
                </c:pt>
                <c:pt idx="19">
                  <c:v>6.1002923988678621E-4</c:v>
                </c:pt>
                <c:pt idx="20">
                  <c:v>6.8011193319016724E-4</c:v>
                </c:pt>
                <c:pt idx="21">
                  <c:v>7.4251251846173922E-4</c:v>
                </c:pt>
                <c:pt idx="22">
                  <c:v>7.9504432571999054E-4</c:v>
                </c:pt>
                <c:pt idx="23">
                  <c:v>8.3664776884527752E-4</c:v>
                </c:pt>
                <c:pt idx="24">
                  <c:v>8.6767999987437882E-4</c:v>
                </c:pt>
                <c:pt idx="25">
                  <c:v>8.8994641421558617E-4</c:v>
                </c:pt>
                <c:pt idx="26">
                  <c:v>9.0653483192687143E-4</c:v>
                </c:pt>
                <c:pt idx="27">
                  <c:v>9.2181830241933993E-4</c:v>
                </c:pt>
                <c:pt idx="28">
                  <c:v>9.4244335354708218E-4</c:v>
                </c:pt>
                <c:pt idx="29">
                  <c:v>9.8065710414209297E-4</c:v>
                </c:pt>
                <c:pt idx="30">
                  <c:v>1.0616270352220591E-3</c:v>
                </c:pt>
                <c:pt idx="31">
                  <c:v>1.2356361331217873E-3</c:v>
                </c:pt>
                <c:pt idx="32">
                  <c:v>1.5930100725269352E-3</c:v>
                </c:pt>
                <c:pt idx="33">
                  <c:v>2.274093984346073E-3</c:v>
                </c:pt>
                <c:pt idx="34">
                  <c:v>3.4614294070883433E-3</c:v>
                </c:pt>
                <c:pt idx="35">
                  <c:v>5.3432885070662708E-3</c:v>
                </c:pt>
                <c:pt idx="36">
                  <c:v>8.0532870675922644E-3</c:v>
                </c:pt>
                <c:pt idx="37">
                  <c:v>1.161666082471856E-2</c:v>
                </c:pt>
                <c:pt idx="38">
                  <c:v>1.5951697259072889E-2</c:v>
                </c:pt>
                <c:pt idx="39">
                  <c:v>2.0961574354251378E-2</c:v>
                </c:pt>
                <c:pt idx="40">
                  <c:v>2.6702527156417979E-2</c:v>
                </c:pt>
                <c:pt idx="41">
                  <c:v>3.3555583741856236E-2</c:v>
                </c:pt>
                <c:pt idx="42">
                  <c:v>4.2302004351681813E-2</c:v>
                </c:pt>
                <c:pt idx="43">
                  <c:v>5.4026174595386584E-2</c:v>
                </c:pt>
                <c:pt idx="44">
                  <c:v>6.9827701393637295E-2</c:v>
                </c:pt>
                <c:pt idx="45">
                  <c:v>9.0391887276973559E-2</c:v>
                </c:pt>
                <c:pt idx="46">
                  <c:v>0.1155408506249761</c:v>
                </c:pt>
                <c:pt idx="47">
                  <c:v>0.14396400549296354</c:v>
                </c:pt>
                <c:pt idx="48">
                  <c:v>0.17335189394162867</c:v>
                </c:pt>
                <c:pt idx="49">
                  <c:v>0.20103150780316353</c:v>
                </c:pt>
                <c:pt idx="50">
                  <c:v>0.22489952417663842</c:v>
                </c:pt>
                <c:pt idx="51">
                  <c:v>0.24414484865275149</c:v>
                </c:pt>
                <c:pt idx="52">
                  <c:v>0.25923993181160404</c:v>
                </c:pt>
                <c:pt idx="53">
                  <c:v>0.2710997040614197</c:v>
                </c:pt>
                <c:pt idx="54">
                  <c:v>0.27992039551552411</c:v>
                </c:pt>
                <c:pt idx="55">
                  <c:v>0.28453386749230702</c:v>
                </c:pt>
                <c:pt idx="56">
                  <c:v>0.28282692349519523</c:v>
                </c:pt>
                <c:pt idx="57">
                  <c:v>0.27304083887262881</c:v>
                </c:pt>
                <c:pt idx="58">
                  <c:v>0.25513166115155272</c:v>
                </c:pt>
                <c:pt idx="59">
                  <c:v>0.23132030943655957</c:v>
                </c:pt>
                <c:pt idx="60">
                  <c:v>0.20550179687252737</c:v>
                </c:pt>
                <c:pt idx="61">
                  <c:v>0.18186517008420197</c:v>
                </c:pt>
                <c:pt idx="62">
                  <c:v>0.16342170234892406</c:v>
                </c:pt>
                <c:pt idx="63">
                  <c:v>0.15104117792353283</c:v>
                </c:pt>
                <c:pt idx="64">
                  <c:v>0.14329046906909015</c:v>
                </c:pt>
                <c:pt idx="65">
                  <c:v>0.13708889096195212</c:v>
                </c:pt>
                <c:pt idx="66">
                  <c:v>0.12896387337404053</c:v>
                </c:pt>
                <c:pt idx="67">
                  <c:v>0.11645684129806351</c:v>
                </c:pt>
                <c:pt idx="68">
                  <c:v>9.9086192095222889E-2</c:v>
                </c:pt>
                <c:pt idx="69">
                  <c:v>7.8416037667235983E-2</c:v>
                </c:pt>
                <c:pt idx="70">
                  <c:v>5.7231288059599594E-2</c:v>
                </c:pt>
                <c:pt idx="71">
                  <c:v>3.8307429451258757E-2</c:v>
                </c:pt>
                <c:pt idx="72">
                  <c:v>2.3429973964551414E-2</c:v>
                </c:pt>
                <c:pt idx="73">
                  <c:v>1.3063255549069574E-2</c:v>
                </c:pt>
                <c:pt idx="74">
                  <c:v>6.62851422899582E-3</c:v>
                </c:pt>
                <c:pt idx="75">
                  <c:v>3.0576250310315918E-3</c:v>
                </c:pt>
                <c:pt idx="76">
                  <c:v>1.2812157406888853E-3</c:v>
                </c:pt>
                <c:pt idx="77">
                  <c:v>4.8741339798434439E-4</c:v>
                </c:pt>
                <c:pt idx="78">
                  <c:v>1.6828514898652757E-4</c:v>
                </c:pt>
                <c:pt idx="79">
                  <c:v>5.2717036403319463E-5</c:v>
                </c:pt>
                <c:pt idx="80">
                  <c:v>1.4980636029683372E-5</c:v>
                </c:pt>
                <c:pt idx="81">
                  <c:v>3.8612188254644142E-6</c:v>
                </c:pt>
                <c:pt idx="82">
                  <c:v>9.0259116636803431E-7</c:v>
                </c:pt>
                <c:pt idx="83">
                  <c:v>1.9133737440911723E-7</c:v>
                </c:pt>
                <c:pt idx="84">
                  <c:v>3.678144035008657E-8</c:v>
                </c:pt>
                <c:pt idx="85">
                  <c:v>6.4115362640582505E-9</c:v>
                </c:pt>
                <c:pt idx="86">
                  <c:v>1.0134179400139081E-9</c:v>
                </c:pt>
                <c:pt idx="87">
                  <c:v>1.4524460901765017E-10</c:v>
                </c:pt>
                <c:pt idx="88">
                  <c:v>1.8875154725441922E-11</c:v>
                </c:pt>
                <c:pt idx="89">
                  <c:v>2.2241078574399277E-12</c:v>
                </c:pt>
                <c:pt idx="90">
                  <c:v>2.3762544431838699E-13</c:v>
                </c:pt>
                <c:pt idx="91">
                  <c:v>2.3019697970922107E-14</c:v>
                </c:pt>
                <c:pt idx="92">
                  <c:v>2.0219681943620564E-15</c:v>
                </c:pt>
                <c:pt idx="93">
                  <c:v>1.6103339494656967E-16</c:v>
                </c:pt>
                <c:pt idx="94">
                  <c:v>1.1628502850701329E-17</c:v>
                </c:pt>
                <c:pt idx="95">
                  <c:v>7.6137314348566183E-19</c:v>
                </c:pt>
                <c:pt idx="96">
                  <c:v>4.5199888838485507E-20</c:v>
                </c:pt>
                <c:pt idx="97">
                  <c:v>2.4330124426588427E-21</c:v>
                </c:pt>
                <c:pt idx="98">
                  <c:v>1.1874671607847176E-22</c:v>
                </c:pt>
                <c:pt idx="99">
                  <c:v>5.2550589298936125E-24</c:v>
                </c:pt>
                <c:pt idx="100">
                  <c:v>2.1087962471244382E-25</c:v>
                </c:pt>
                <c:pt idx="101">
                  <c:v>7.6745698830935427E-27</c:v>
                </c:pt>
                <c:pt idx="102">
                  <c:v>2.5340244624218579E-28</c:v>
                </c:pt>
                <c:pt idx="103">
                  <c:v>7.6001739912372674E-30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F128-4E4D-A374-25E73A119BF1}"/>
            </c:ext>
          </c:extLst>
        </c:ser>
        <c:ser>
          <c:idx val="49"/>
          <c:order val="49"/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NaiwnaGęstość!$BM$5:$BM$108</c:f>
              <c:numCache>
                <c:formatCode>General</c:formatCode>
                <c:ptCount val="104"/>
                <c:pt idx="0">
                  <c:v>3.0114585675613119E-7</c:v>
                </c:pt>
                <c:pt idx="1">
                  <c:v>6.9057531679737112E-7</c:v>
                </c:pt>
                <c:pt idx="2">
                  <c:v>1.5079409546978282E-6</c:v>
                </c:pt>
                <c:pt idx="3">
                  <c:v>3.1366502719830674E-6</c:v>
                </c:pt>
                <c:pt idx="4">
                  <c:v>6.2181954308759589E-6</c:v>
                </c:pt>
                <c:pt idx="5">
                  <c:v>1.1755327017959304E-5</c:v>
                </c:pt>
                <c:pt idx="6">
                  <c:v>2.1207559647238405E-5</c:v>
                </c:pt>
                <c:pt idx="7">
                  <c:v>3.654396945606489E-5</c:v>
                </c:pt>
                <c:pt idx="8">
                  <c:v>6.0210998064546158E-5</c:v>
                </c:pt>
                <c:pt idx="9">
                  <c:v>9.4980032338459928E-5</c:v>
                </c:pt>
                <c:pt idx="10">
                  <c:v>1.436654188777546E-4</c:v>
                </c:pt>
                <c:pt idx="11">
                  <c:v>2.0874398233426816E-4</c:v>
                </c:pt>
                <c:pt idx="12">
                  <c:v>2.9194685655037372E-4</c:v>
                </c:pt>
                <c:pt idx="13">
                  <c:v>3.9391255703553413E-4</c:v>
                </c:pt>
                <c:pt idx="14">
                  <c:v>5.1397220169870713E-4</c:v>
                </c:pt>
                <c:pt idx="15">
                  <c:v>6.5008844927579447E-4</c:v>
                </c:pt>
                <c:pt idx="16">
                  <c:v>7.9891652041120924E-4</c:v>
                </c:pt>
                <c:pt idx="17">
                  <c:v>9.5593526049286381E-4</c:v>
                </c:pt>
                <c:pt idx="18">
                  <c:v>1.1156286356315789E-3</c:v>
                </c:pt>
                <c:pt idx="19">
                  <c:v>1.2717651952042336E-3</c:v>
                </c:pt>
                <c:pt idx="20">
                  <c:v>1.4178708323624868E-3</c:v>
                </c:pt>
                <c:pt idx="21">
                  <c:v>1.5479609275221827E-3</c:v>
                </c:pt>
                <c:pt idx="22">
                  <c:v>1.65747590191601E-3</c:v>
                </c:pt>
                <c:pt idx="23">
                  <c:v>1.7442021102949338E-3</c:v>
                </c:pt>
                <c:pt idx="24">
                  <c:v>1.8088622828722847E-3</c:v>
                </c:pt>
                <c:pt idx="25">
                  <c:v>1.8551282950611731E-3</c:v>
                </c:pt>
                <c:pt idx="26">
                  <c:v>1.889090622287336E-3</c:v>
                </c:pt>
                <c:pt idx="27">
                  <c:v>1.9186951754469786E-3</c:v>
                </c:pt>
                <c:pt idx="28">
                  <c:v>1.9542723515242502E-3</c:v>
                </c:pt>
                <c:pt idx="29">
                  <c:v>2.0119130298234455E-3</c:v>
                </c:pt>
                <c:pt idx="30">
                  <c:v>2.1217115403619853E-3</c:v>
                </c:pt>
                <c:pt idx="31">
                  <c:v>2.341874900692935E-3</c:v>
                </c:pt>
                <c:pt idx="32">
                  <c:v>2.7760958730759693E-3</c:v>
                </c:pt>
                <c:pt idx="33">
                  <c:v>3.5851667531539688E-3</c:v>
                </c:pt>
                <c:pt idx="34">
                  <c:v>4.977917465480106E-3</c:v>
                </c:pt>
                <c:pt idx="35">
                  <c:v>7.1690083467069142E-3</c:v>
                </c:pt>
                <c:pt idx="36">
                  <c:v>1.0309191414317154E-2</c:v>
                </c:pt>
                <c:pt idx="37">
                  <c:v>1.4423539508224512E-2</c:v>
                </c:pt>
                <c:pt idx="38">
                  <c:v>1.9413725783977761E-2</c:v>
                </c:pt>
                <c:pt idx="39">
                  <c:v>2.5164972246041556E-2</c:v>
                </c:pt>
                <c:pt idx="40">
                  <c:v>3.1741152792727205E-2</c:v>
                </c:pt>
                <c:pt idx="41">
                  <c:v>3.9583702151247006E-2</c:v>
                </c:pt>
                <c:pt idx="42">
                  <c:v>4.9598746985833837E-2</c:v>
                </c:pt>
                <c:pt idx="43">
                  <c:v>6.3044338129155789E-2</c:v>
                </c:pt>
                <c:pt idx="44">
                  <c:v>8.1196871099729978E-2</c:v>
                </c:pt>
                <c:pt idx="45">
                  <c:v>0.10485381959115873</c:v>
                </c:pt>
                <c:pt idx="46">
                  <c:v>0.13381434684102034</c:v>
                </c:pt>
                <c:pt idx="47">
                  <c:v>0.16656752040497586</c:v>
                </c:pt>
                <c:pt idx="48">
                  <c:v>0.20044684424103504</c:v>
                </c:pt>
                <c:pt idx="49">
                  <c:v>0.23236430965808791</c:v>
                </c:pt>
                <c:pt idx="50">
                  <c:v>0.25988869004935411</c:v>
                </c:pt>
                <c:pt idx="51">
                  <c:v>0.28208060136971297</c:v>
                </c:pt>
                <c:pt idx="52">
                  <c:v>0.29948313551857592</c:v>
                </c:pt>
                <c:pt idx="53">
                  <c:v>0.3131511686950274</c:v>
                </c:pt>
                <c:pt idx="54">
                  <c:v>0.32331077277607767</c:v>
                </c:pt>
                <c:pt idx="55">
                  <c:v>0.32861356729800623</c:v>
                </c:pt>
                <c:pt idx="56">
                  <c:v>0.32662050596861802</c:v>
                </c:pt>
                <c:pt idx="57">
                  <c:v>0.31530189651033513</c:v>
                </c:pt>
                <c:pt idx="58">
                  <c:v>0.29460765476036949</c:v>
                </c:pt>
                <c:pt idx="59">
                  <c:v>0.26710226677677851</c:v>
                </c:pt>
                <c:pt idx="60">
                  <c:v>0.23728268292827315</c:v>
                </c:pt>
                <c:pt idx="61">
                  <c:v>0.20998504381158639</c:v>
                </c:pt>
                <c:pt idx="62">
                  <c:v>0.18868552819689188</c:v>
                </c:pt>
                <c:pt idx="63">
                  <c:v>0.17438781775199966</c:v>
                </c:pt>
                <c:pt idx="64">
                  <c:v>0.16543681714475686</c:v>
                </c:pt>
                <c:pt idx="65">
                  <c:v>0.15827534005231425</c:v>
                </c:pt>
                <c:pt idx="66">
                  <c:v>0.1488938486607706</c:v>
                </c:pt>
                <c:pt idx="67">
                  <c:v>0.1344535894650942</c:v>
                </c:pt>
                <c:pt idx="68">
                  <c:v>0.11439836788791341</c:v>
                </c:pt>
                <c:pt idx="69">
                  <c:v>9.0533894149363442E-2</c:v>
                </c:pt>
                <c:pt idx="70">
                  <c:v>6.607537216394993E-2</c:v>
                </c:pt>
                <c:pt idx="71">
                  <c:v>4.422715369066077E-2</c:v>
                </c:pt>
                <c:pt idx="72">
                  <c:v>2.7050650832547238E-2</c:v>
                </c:pt>
                <c:pt idx="73">
                  <c:v>1.5081943011954908E-2</c:v>
                </c:pt>
                <c:pt idx="74">
                  <c:v>7.6528295636839614E-3</c:v>
                </c:pt>
                <c:pt idx="75">
                  <c:v>3.5301247921134707E-3</c:v>
                </c:pt>
                <c:pt idx="76">
                  <c:v>1.4792040565793398E-3</c:v>
                </c:pt>
                <c:pt idx="77">
                  <c:v>5.6273416118524263E-4</c:v>
                </c:pt>
                <c:pt idx="78">
                  <c:v>1.9429051738444064E-4</c:v>
                </c:pt>
                <c:pt idx="79">
                  <c:v>6.0863482489184798E-5</c:v>
                </c:pt>
                <c:pt idx="80">
                  <c:v>1.7295617090113546E-5</c:v>
                </c:pt>
                <c:pt idx="81">
                  <c:v>4.4578989905186231E-6</c:v>
                </c:pt>
                <c:pt idx="82">
                  <c:v>1.0420699874279414E-6</c:v>
                </c:pt>
                <c:pt idx="83">
                  <c:v>2.2090503803182333E-7</c:v>
                </c:pt>
                <c:pt idx="84">
                  <c:v>4.2465334067646067E-8</c:v>
                </c:pt>
                <c:pt idx="85">
                  <c:v>7.4023210936069771E-9</c:v>
                </c:pt>
                <c:pt idx="86">
                  <c:v>1.1700230317132272E-9</c:v>
                </c:pt>
                <c:pt idx="87">
                  <c:v>1.6768949384940269E-10</c:v>
                </c:pt>
                <c:pt idx="88">
                  <c:v>2.1791963708300915E-11</c:v>
                </c:pt>
                <c:pt idx="89">
                  <c:v>2.5678030740634581E-12</c:v>
                </c:pt>
                <c:pt idx="90">
                  <c:v>2.7434613784637711E-13</c:v>
                </c:pt>
                <c:pt idx="91">
                  <c:v>2.6576977959850741E-14</c:v>
                </c:pt>
                <c:pt idx="92">
                  <c:v>2.3344276168515299E-15</c:v>
                </c:pt>
                <c:pt idx="93">
                  <c:v>1.8591835063452404E-16</c:v>
                </c:pt>
                <c:pt idx="94">
                  <c:v>1.3425501810183946E-17</c:v>
                </c:pt>
                <c:pt idx="95">
                  <c:v>8.7903285080852343E-19</c:v>
                </c:pt>
                <c:pt idx="96">
                  <c:v>5.2185114828407648E-20</c:v>
                </c:pt>
                <c:pt idx="97">
                  <c:v>2.8090363138466319E-21</c:v>
                </c:pt>
                <c:pt idx="98">
                  <c:v>1.3710179205473715E-22</c:v>
                </c:pt>
                <c:pt idx="99">
                  <c:v>6.0676322994648246E-24</c:v>
                </c:pt>
                <c:pt idx="100">
                  <c:v>2.4351524271179471E-25</c:v>
                </c:pt>
                <c:pt idx="101">
                  <c:v>8.8649153920873789E-27</c:v>
                </c:pt>
                <c:pt idx="102">
                  <c:v>2.9294089727302922E-28</c:v>
                </c:pt>
                <c:pt idx="103">
                  <c:v>8.8059228688002795E-30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F128-4E4D-A374-25E73A119BF1}"/>
            </c:ext>
          </c:extLst>
        </c:ser>
        <c:ser>
          <c:idx val="50"/>
          <c:order val="50"/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NaiwnaGęstość!$BN$5:$BN$108</c:f>
              <c:numCache>
                <c:formatCode>General</c:formatCode>
                <c:ptCount val="104"/>
                <c:pt idx="0">
                  <c:v>5.8449255289345571E-7</c:v>
                </c:pt>
                <c:pt idx="1">
                  <c:v>1.3403343291120491E-6</c:v>
                </c:pt>
                <c:pt idx="2">
                  <c:v>2.9267553859712329E-6</c:v>
                </c:pt>
                <c:pt idx="3">
                  <c:v>6.0879095092116323E-6</c:v>
                </c:pt>
                <c:pt idx="4">
                  <c:v>1.2068865768013308E-5</c:v>
                </c:pt>
                <c:pt idx="5">
                  <c:v>2.2815857979372845E-5</c:v>
                </c:pt>
                <c:pt idx="6">
                  <c:v>4.1161651076251243E-5</c:v>
                </c:pt>
                <c:pt idx="7">
                  <c:v>7.0928015514863831E-5</c:v>
                </c:pt>
                <c:pt idx="8">
                  <c:v>1.1686323813350286E-4</c:v>
                </c:pt>
                <c:pt idx="9">
                  <c:v>1.8434629044345688E-4</c:v>
                </c:pt>
                <c:pt idx="10">
                  <c:v>2.7883952429857506E-4</c:v>
                </c:pt>
                <c:pt idx="11">
                  <c:v>4.0515019681810295E-4</c:v>
                </c:pt>
                <c:pt idx="12">
                  <c:v>5.6663825739609213E-4</c:v>
                </c:pt>
                <c:pt idx="13">
                  <c:v>7.6454299773061579E-4</c:v>
                </c:pt>
                <c:pt idx="14">
                  <c:v>9.9756618777062335E-4</c:v>
                </c:pt>
                <c:pt idx="15">
                  <c:v>1.2617535616014531E-3</c:v>
                </c:pt>
                <c:pt idx="16">
                  <c:v>1.5506132529659389E-3</c:v>
                </c:pt>
                <c:pt idx="17">
                  <c:v>1.8553701744539652E-3</c:v>
                </c:pt>
                <c:pt idx="18">
                  <c:v>2.1653182818399909E-3</c:v>
                </c:pt>
                <c:pt idx="19">
                  <c:v>2.4683629789811266E-3</c:v>
                </c:pt>
                <c:pt idx="20">
                  <c:v>2.7519386783840406E-3</c:v>
                </c:pt>
                <c:pt idx="21">
                  <c:v>3.0044297032380649E-3</c:v>
                </c:pt>
                <c:pt idx="22">
                  <c:v>3.2169854782915768E-3</c:v>
                </c:pt>
                <c:pt idx="23">
                  <c:v>3.3853048038584984E-3</c:v>
                </c:pt>
                <c:pt idx="24">
                  <c:v>3.5107681795103394E-3</c:v>
                </c:pt>
                <c:pt idx="25">
                  <c:v>3.6004087147217929E-3</c:v>
                </c:pt>
                <c:pt idx="26">
                  <c:v>3.6656941792071805E-3</c:v>
                </c:pt>
                <c:pt idx="27">
                  <c:v>3.7208545920078395E-3</c:v>
                </c:pt>
                <c:pt idx="28">
                  <c:v>3.7823499730298073E-3</c:v>
                </c:pt>
                <c:pt idx="29">
                  <c:v>3.8717977641508018E-3</c:v>
                </c:pt>
                <c:pt idx="30">
                  <c:v>4.0248268538942804E-3</c:v>
                </c:pt>
                <c:pt idx="31">
                  <c:v>4.306941480006609E-3</c:v>
                </c:pt>
                <c:pt idx="32">
                  <c:v>4.8332437766144707E-3</c:v>
                </c:pt>
                <c:pt idx="33">
                  <c:v>5.7816223609678096E-3</c:v>
                </c:pt>
                <c:pt idx="34">
                  <c:v>7.3825433077021902E-3</c:v>
                </c:pt>
                <c:pt idx="35">
                  <c:v>9.8715610127001301E-3</c:v>
                </c:pt>
                <c:pt idx="36">
                  <c:v>1.3411138364185546E-2</c:v>
                </c:pt>
                <c:pt idx="37">
                  <c:v>1.802190029943377E-2</c:v>
                </c:pt>
                <c:pt idx="38">
                  <c:v>2.3586339772555302E-2</c:v>
                </c:pt>
                <c:pt idx="39">
                  <c:v>2.9970342196662503E-2</c:v>
                </c:pt>
                <c:pt idx="40">
                  <c:v>3.7243546191517166E-2</c:v>
                </c:pt>
                <c:pt idx="41">
                  <c:v>4.5903389527881887E-2</c:v>
                </c:pt>
                <c:pt idx="42">
                  <c:v>5.697280345995679E-2</c:v>
                </c:pt>
                <c:pt idx="43">
                  <c:v>7.1872651094452955E-2</c:v>
                </c:pt>
                <c:pt idx="44">
                  <c:v>9.2045768880026912E-2</c:v>
                </c:pt>
                <c:pt idx="45">
                  <c:v>0.11839726334960776</c:v>
                </c:pt>
                <c:pt idx="46">
                  <c:v>0.15071042933143866</c:v>
                </c:pt>
                <c:pt idx="47">
                  <c:v>0.18729625918500678</c:v>
                </c:pt>
                <c:pt idx="48">
                  <c:v>0.22516663160227432</c:v>
                </c:pt>
                <c:pt idx="49">
                  <c:v>0.26085783854240857</c:v>
                </c:pt>
                <c:pt idx="50">
                  <c:v>0.29164037979775265</c:v>
                </c:pt>
                <c:pt idx="51">
                  <c:v>0.31645624144934936</c:v>
                </c:pt>
                <c:pt idx="52">
                  <c:v>0.33590961165511463</c:v>
                </c:pt>
                <c:pt idx="53">
                  <c:v>0.35117984358055115</c:v>
                </c:pt>
                <c:pt idx="54">
                  <c:v>0.36251936709374705</c:v>
                </c:pt>
                <c:pt idx="55">
                  <c:v>0.36841780804377305</c:v>
                </c:pt>
                <c:pt idx="56">
                  <c:v>0.36614348574406169</c:v>
                </c:pt>
                <c:pt idx="57">
                  <c:v>0.35342359840017368</c:v>
                </c:pt>
                <c:pt idx="58">
                  <c:v>0.33020324027234832</c:v>
                </c:pt>
                <c:pt idx="59">
                  <c:v>0.29935661710448996</c:v>
                </c:pt>
                <c:pt idx="60">
                  <c:v>0.26592267531494729</c:v>
                </c:pt>
                <c:pt idx="61">
                  <c:v>0.2353199116162438</c:v>
                </c:pt>
                <c:pt idx="62">
                  <c:v>0.21144262975319866</c:v>
                </c:pt>
                <c:pt idx="63">
                  <c:v>0.19541452529053754</c:v>
                </c:pt>
                <c:pt idx="64">
                  <c:v>0.18538011876822061</c:v>
                </c:pt>
                <c:pt idx="65">
                  <c:v>0.1773527375100124</c:v>
                </c:pt>
                <c:pt idx="66">
                  <c:v>0.16683901421295363</c:v>
                </c:pt>
                <c:pt idx="67">
                  <c:v>0.15065763265133439</c:v>
                </c:pt>
                <c:pt idx="68">
                  <c:v>0.12818505970293348</c:v>
                </c:pt>
                <c:pt idx="69">
                  <c:v>0.1014444180860582</c:v>
                </c:pt>
                <c:pt idx="70">
                  <c:v>7.403826411543038E-2</c:v>
                </c:pt>
                <c:pt idx="71">
                  <c:v>4.9557045618484868E-2</c:v>
                </c:pt>
                <c:pt idx="72">
                  <c:v>3.031056451619402E-2</c:v>
                </c:pt>
                <c:pt idx="73">
                  <c:v>1.6899487578255386E-2</c:v>
                </c:pt>
                <c:pt idx="74">
                  <c:v>8.5750812198270888E-3</c:v>
                </c:pt>
                <c:pt idx="75">
                  <c:v>3.9555441319212015E-3</c:v>
                </c:pt>
                <c:pt idx="76">
                  <c:v>1.6574645533524786E-3</c:v>
                </c:pt>
                <c:pt idx="77">
                  <c:v>6.3054985477463323E-4</c:v>
                </c:pt>
                <c:pt idx="78">
                  <c:v>2.1770467141008068E-4</c:v>
                </c:pt>
                <c:pt idx="79">
                  <c:v>6.8198203951486138E-5</c:v>
                </c:pt>
                <c:pt idx="80">
                  <c:v>1.9379929760122715E-5</c:v>
                </c:pt>
                <c:pt idx="81">
                  <c:v>4.9951249909346806E-6</c:v>
                </c:pt>
                <c:pt idx="82">
                  <c:v>1.1676509169489078E-6</c:v>
                </c:pt>
                <c:pt idx="83">
                  <c:v>2.4752653332125066E-7</c:v>
                </c:pt>
                <c:pt idx="84">
                  <c:v>4.7582875955309572E-8</c:v>
                </c:pt>
                <c:pt idx="85">
                  <c:v>8.2943826827591019E-9</c:v>
                </c:pt>
                <c:pt idx="86">
                  <c:v>1.3110237815787321E-9</c:v>
                </c:pt>
                <c:pt idx="87">
                  <c:v>1.8789794398637708E-10</c:v>
                </c:pt>
                <c:pt idx="88">
                  <c:v>2.44181391920542E-11</c:v>
                </c:pt>
                <c:pt idx="89">
                  <c:v>2.8772523334686656E-12</c:v>
                </c:pt>
                <c:pt idx="90">
                  <c:v>3.0740798967115105E-13</c:v>
                </c:pt>
                <c:pt idx="91">
                  <c:v>2.9779815658503189E-14</c:v>
                </c:pt>
                <c:pt idx="92">
                  <c:v>2.6157546980119115E-15</c:v>
                </c:pt>
                <c:pt idx="93">
                  <c:v>2.0832395627085196E-16</c:v>
                </c:pt>
                <c:pt idx="94">
                  <c:v>1.5043474868747868E-17</c:v>
                </c:pt>
                <c:pt idx="95">
                  <c:v>9.8497249263691608E-19</c:v>
                </c:pt>
                <c:pt idx="96">
                  <c:v>5.8474762916956198E-20</c:v>
                </c:pt>
                <c:pt idx="97">
                  <c:v>3.1476419720496403E-21</c:v>
                </c:pt>
                <c:pt idx="98">
                  <c:v>1.5363319113023063E-22</c:v>
                </c:pt>
                <c:pt idx="99">
                  <c:v>6.7997699030749564E-24</c:v>
                </c:pt>
                <c:pt idx="100">
                  <c:v>2.7294987935033022E-25</c:v>
                </c:pt>
                <c:pt idx="101">
                  <c:v>9.9412926319312566E-27</c:v>
                </c:pt>
                <c:pt idx="102">
                  <c:v>3.2894175656397349E-28</c:v>
                </c:pt>
                <c:pt idx="103">
                  <c:v>9.9246485491994548E-30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F128-4E4D-A374-25E73A119BF1}"/>
            </c:ext>
          </c:extLst>
        </c:ser>
        <c:ser>
          <c:idx val="51"/>
          <c:order val="51"/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NaiwnaGęstość!$BO$5:$BO$108</c:f>
              <c:numCache>
                <c:formatCode>General</c:formatCode>
                <c:ptCount val="104"/>
                <c:pt idx="0">
                  <c:v>1.0633320276587196E-6</c:v>
                </c:pt>
                <c:pt idx="1">
                  <c:v>2.4383893564767133E-6</c:v>
                </c:pt>
                <c:pt idx="2">
                  <c:v>5.3244694455382763E-6</c:v>
                </c:pt>
                <c:pt idx="3">
                  <c:v>1.1075366367948955E-5</c:v>
                </c:pt>
                <c:pt idx="4">
                  <c:v>2.1956159141999886E-5</c:v>
                </c:pt>
                <c:pt idx="5">
                  <c:v>4.1507513496758427E-5</c:v>
                </c:pt>
                <c:pt idx="6">
                  <c:v>7.488290771887609E-5</c:v>
                </c:pt>
                <c:pt idx="7">
                  <c:v>1.2903505815749415E-4</c:v>
                </c:pt>
                <c:pt idx="8">
                  <c:v>2.1260223650088652E-4</c:v>
                </c:pt>
                <c:pt idx="9">
                  <c:v>3.3537008100141866E-4</c:v>
                </c:pt>
                <c:pt idx="10">
                  <c:v>5.0727591873671654E-4</c:v>
                </c:pt>
                <c:pt idx="11">
                  <c:v>7.3706530246836661E-4</c:v>
                </c:pt>
                <c:pt idx="12">
                  <c:v>1.0308507853577756E-3</c:v>
                </c:pt>
                <c:pt idx="13">
                  <c:v>1.3908869360006377E-3</c:v>
                </c:pt>
                <c:pt idx="14">
                  <c:v>1.8148119628125421E-3</c:v>
                </c:pt>
                <c:pt idx="15">
                  <c:v>2.2954321084523487E-3</c:v>
                </c:pt>
                <c:pt idx="16">
                  <c:v>2.8209371124140025E-3</c:v>
                </c:pt>
                <c:pt idx="17">
                  <c:v>3.3753629876945457E-3</c:v>
                </c:pt>
                <c:pt idx="18">
                  <c:v>3.9392328737042166E-3</c:v>
                </c:pt>
                <c:pt idx="19">
                  <c:v>4.4905437981527874E-3</c:v>
                </c:pt>
                <c:pt idx="20">
                  <c:v>5.0064359216010698E-3</c:v>
                </c:pt>
                <c:pt idx="21">
                  <c:v>5.4657773871985412E-3</c:v>
                </c:pt>
                <c:pt idx="22">
                  <c:v>5.8524659683754652E-3</c:v>
                </c:pt>
                <c:pt idx="23">
                  <c:v>6.1586720136738273E-3</c:v>
                </c:pt>
                <c:pt idx="24">
                  <c:v>6.3868847750086855E-3</c:v>
                </c:pt>
                <c:pt idx="25">
                  <c:v>6.5498057012425654E-3</c:v>
                </c:pt>
                <c:pt idx="26">
                  <c:v>6.667944786810604E-3</c:v>
                </c:pt>
                <c:pt idx="27">
                  <c:v>6.7659996359903055E-3</c:v>
                </c:pt>
                <c:pt idx="28">
                  <c:v>6.8703306463542965E-3</c:v>
                </c:pt>
                <c:pt idx="29">
                  <c:v>7.0106675873922424E-3</c:v>
                </c:pt>
                <c:pt idx="30">
                  <c:v>7.229084171418489E-3</c:v>
                </c:pt>
                <c:pt idx="31">
                  <c:v>7.5973564985291394E-3</c:v>
                </c:pt>
                <c:pt idx="32">
                  <c:v>8.2388692638555982E-3</c:v>
                </c:pt>
                <c:pt idx="33">
                  <c:v>9.3432717016174172E-3</c:v>
                </c:pt>
                <c:pt idx="34">
                  <c:v>1.1155272026933151E-2</c:v>
                </c:pt>
                <c:pt idx="35">
                  <c:v>1.3922617624134628E-2</c:v>
                </c:pt>
                <c:pt idx="36">
                  <c:v>1.7810949382430757E-2</c:v>
                </c:pt>
                <c:pt idx="37">
                  <c:v>2.2829796069642257E-2</c:v>
                </c:pt>
                <c:pt idx="38">
                  <c:v>2.8838599261453463E-2</c:v>
                </c:pt>
                <c:pt idx="39">
                  <c:v>3.5681884782746975E-2</c:v>
                </c:pt>
                <c:pt idx="40">
                  <c:v>4.3432096958343387E-2</c:v>
                </c:pt>
                <c:pt idx="41">
                  <c:v>5.2635441539726012E-2</c:v>
                </c:pt>
                <c:pt idx="42">
                  <c:v>6.4418313956113235E-2</c:v>
                </c:pt>
                <c:pt idx="43">
                  <c:v>8.0346393514205292E-2</c:v>
                </c:pt>
                <c:pt idx="44">
                  <c:v>0.1020117248311951</c:v>
                </c:pt>
                <c:pt idx="45">
                  <c:v>0.13041925896165643</c:v>
                </c:pt>
                <c:pt idx="46">
                  <c:v>0.16534757195188482</c:v>
                </c:pt>
                <c:pt idx="47">
                  <c:v>0.20496547312949431</c:v>
                </c:pt>
                <c:pt idx="48">
                  <c:v>0.24602054265233617</c:v>
                </c:pt>
                <c:pt idx="49">
                  <c:v>0.28473711908996036</c:v>
                </c:pt>
                <c:pt idx="50">
                  <c:v>0.31813558816099569</c:v>
                </c:pt>
                <c:pt idx="51">
                  <c:v>0.34505514887015887</c:v>
                </c:pt>
                <c:pt idx="52">
                  <c:v>0.36614580415633236</c:v>
                </c:pt>
                <c:pt idx="53">
                  <c:v>0.38268644951058456</c:v>
                </c:pt>
                <c:pt idx="54">
                  <c:v>0.39495026834231894</c:v>
                </c:pt>
                <c:pt idx="55">
                  <c:v>0.40129440819275086</c:v>
                </c:pt>
                <c:pt idx="56">
                  <c:v>0.39874826341047753</c:v>
                </c:pt>
                <c:pt idx="57">
                  <c:v>0.38484095388516243</c:v>
                </c:pt>
                <c:pt idx="58">
                  <c:v>0.35951482606782242</c:v>
                </c:pt>
                <c:pt idx="59">
                  <c:v>0.32589899763711949</c:v>
                </c:pt>
                <c:pt idx="60">
                  <c:v>0.28947739351343937</c:v>
                </c:pt>
                <c:pt idx="61">
                  <c:v>0.25614610535632365</c:v>
                </c:pt>
                <c:pt idx="62">
                  <c:v>0.2301418778521041</c:v>
                </c:pt>
                <c:pt idx="63">
                  <c:v>0.2126859860791267</c:v>
                </c:pt>
                <c:pt idx="64">
                  <c:v>0.20175753501479932</c:v>
                </c:pt>
                <c:pt idx="65">
                  <c:v>0.19301649085819361</c:v>
                </c:pt>
                <c:pt idx="66">
                  <c:v>0.18157168553198488</c:v>
                </c:pt>
                <c:pt idx="67">
                  <c:v>0.16396013915244295</c:v>
                </c:pt>
                <c:pt idx="68">
                  <c:v>0.13950273165636429</c:v>
                </c:pt>
                <c:pt idx="69">
                  <c:v>0.11040086090163641</c:v>
                </c:pt>
                <c:pt idx="70">
                  <c:v>8.0574939045118574E-2</c:v>
                </c:pt>
                <c:pt idx="71">
                  <c:v>5.3932289760197753E-2</c:v>
                </c:pt>
                <c:pt idx="72">
                  <c:v>3.2986580720496914E-2</c:v>
                </c:pt>
                <c:pt idx="73">
                  <c:v>1.8391481201295159E-2</c:v>
                </c:pt>
                <c:pt idx="74">
                  <c:v>9.3321422512759305E-3</c:v>
                </c:pt>
                <c:pt idx="75">
                  <c:v>4.3047635598438124E-3</c:v>
                </c:pt>
                <c:pt idx="76">
                  <c:v>1.8037954724365213E-3</c:v>
                </c:pt>
                <c:pt idx="77">
                  <c:v>6.8621855479681021E-4</c:v>
                </c:pt>
                <c:pt idx="78">
                  <c:v>2.3692493184341627E-4</c:v>
                </c:pt>
                <c:pt idx="79">
                  <c:v>7.4219145022069957E-5</c:v>
                </c:pt>
                <c:pt idx="80">
                  <c:v>2.1090904482312211E-5</c:v>
                </c:pt>
                <c:pt idx="81">
                  <c:v>5.436124127773316E-6</c:v>
                </c:pt>
                <c:pt idx="82">
                  <c:v>1.2707380392642048E-6</c:v>
                </c:pt>
                <c:pt idx="83">
                  <c:v>2.6937964033113203E-7</c:v>
                </c:pt>
                <c:pt idx="84">
                  <c:v>5.1783774538620221E-8</c:v>
                </c:pt>
                <c:pt idx="85">
                  <c:v>9.0266602028119091E-9</c:v>
                </c:pt>
                <c:pt idx="86">
                  <c:v>1.4267688232997016E-9</c:v>
                </c:pt>
                <c:pt idx="87">
                  <c:v>2.0448671272359756E-10</c:v>
                </c:pt>
                <c:pt idx="88">
                  <c:v>2.6573922766327863E-11</c:v>
                </c:pt>
                <c:pt idx="89">
                  <c:v>3.1312743138367387E-12</c:v>
                </c:pt>
                <c:pt idx="90">
                  <c:v>3.3454798339232278E-13</c:v>
                </c:pt>
                <c:pt idx="91">
                  <c:v>3.2408986014446445E-14</c:v>
                </c:pt>
                <c:pt idx="92">
                  <c:v>2.8466938208831213E-15</c:v>
                </c:pt>
                <c:pt idx="93">
                  <c:v>2.2671670628976097E-16</c:v>
                </c:pt>
                <c:pt idx="94">
                  <c:v>1.6371691610641857E-17</c:v>
                </c:pt>
                <c:pt idx="95">
                  <c:v>1.07194290040179E-18</c:v>
                </c:pt>
                <c:pt idx="96">
                  <c:v>6.3638585243307874E-20</c:v>
                </c:pt>
                <c:pt idx="97">
                  <c:v>3.4256827678626301E-21</c:v>
                </c:pt>
                <c:pt idx="98">
                  <c:v>1.6721260949969319E-22</c:v>
                </c:pt>
                <c:pt idx="99">
                  <c:v>7.4016864244298653E-24</c:v>
                </c:pt>
                <c:pt idx="100">
                  <c:v>2.9720031594383098E-25</c:v>
                </c:pt>
                <c:pt idx="101">
                  <c:v>1.0832902034929006E-26</c:v>
                </c:pt>
                <c:pt idx="102">
                  <c:v>3.5919017340479123E-28</c:v>
                </c:pt>
                <c:pt idx="103">
                  <c:v>1.0900316557353365E-29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F128-4E4D-A374-25E73A119BF1}"/>
            </c:ext>
          </c:extLst>
        </c:ser>
        <c:ser>
          <c:idx val="52"/>
          <c:order val="52"/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NaiwnaGęstość!$BP$5:$BP$108</c:f>
              <c:numCache>
                <c:formatCode>General</c:formatCode>
                <c:ptCount val="104"/>
                <c:pt idx="0">
                  <c:v>1.8281512369096442E-6</c:v>
                </c:pt>
                <c:pt idx="1">
                  <c:v>4.1922413716112991E-6</c:v>
                </c:pt>
                <c:pt idx="2">
                  <c:v>9.1541824656414383E-6</c:v>
                </c:pt>
                <c:pt idx="3">
                  <c:v>1.9041507448407123E-5</c:v>
                </c:pt>
                <c:pt idx="4">
                  <c:v>3.7748491016123992E-5</c:v>
                </c:pt>
                <c:pt idx="5">
                  <c:v>7.1362481488705133E-5</c:v>
                </c:pt>
                <c:pt idx="6">
                  <c:v>1.2874368194389776E-4</c:v>
                </c:pt>
                <c:pt idx="7">
                  <c:v>2.2184566536073754E-4</c:v>
                </c:pt>
                <c:pt idx="8">
                  <c:v>3.6551992371059968E-4</c:v>
                </c:pt>
                <c:pt idx="9">
                  <c:v>5.7659057797327089E-4</c:v>
                </c:pt>
                <c:pt idx="10">
                  <c:v>8.7214254265897994E-4</c:v>
                </c:pt>
                <c:pt idx="11">
                  <c:v>1.2672117545049627E-3</c:v>
                </c:pt>
                <c:pt idx="12">
                  <c:v>1.7723073219853666E-3</c:v>
                </c:pt>
                <c:pt idx="13">
                  <c:v>2.391305449577912E-3</c:v>
                </c:pt>
                <c:pt idx="14">
                  <c:v>3.1201455879018816E-3</c:v>
                </c:pt>
                <c:pt idx="15">
                  <c:v>3.9464597502516675E-3</c:v>
                </c:pt>
                <c:pt idx="16">
                  <c:v>4.8499429502297242E-3</c:v>
                </c:pt>
                <c:pt idx="17">
                  <c:v>5.8031488381749628E-3</c:v>
                </c:pt>
                <c:pt idx="18">
                  <c:v>6.7725914978332604E-3</c:v>
                </c:pt>
                <c:pt idx="19">
                  <c:v>7.7204419505633214E-3</c:v>
                </c:pt>
                <c:pt idx="20">
                  <c:v>8.6073980141795851E-3</c:v>
                </c:pt>
                <c:pt idx="21">
                  <c:v>9.3971282400119489E-3</c:v>
                </c:pt>
                <c:pt idx="22">
                  <c:v>1.006194772167417E-2</c:v>
                </c:pt>
                <c:pt idx="23">
                  <c:v>1.058839058257648E-2</c:v>
                </c:pt>
                <c:pt idx="24">
                  <c:v>1.0980714865496623E-2</c:v>
                </c:pt>
                <c:pt idx="25">
                  <c:v>1.1260666652825858E-2</c:v>
                </c:pt>
                <c:pt idx="26">
                  <c:v>1.1463164401689197E-2</c:v>
                </c:pt>
                <c:pt idx="27">
                  <c:v>1.1629509828002217E-2</c:v>
                </c:pt>
                <c:pt idx="28">
                  <c:v>1.1801529987781214E-2</c:v>
                </c:pt>
                <c:pt idx="29">
                  <c:v>1.2020983948408193E-2</c:v>
                </c:pt>
                <c:pt idx="30">
                  <c:v>1.2338040200562925E-2</c:v>
                </c:pt>
                <c:pt idx="31">
                  <c:v>1.2829910117562659E-2</c:v>
                </c:pt>
                <c:pt idx="32">
                  <c:v>1.3624890836050774E-2</c:v>
                </c:pt>
                <c:pt idx="33">
                  <c:v>1.4918462085188943E-2</c:v>
                </c:pt>
                <c:pt idx="34">
                  <c:v>1.6961201265395791E-2</c:v>
                </c:pt>
                <c:pt idx="35">
                  <c:v>2.0002850771963204E-2</c:v>
                </c:pt>
                <c:pt idx="36">
                  <c:v>2.4201565592139488E-2</c:v>
                </c:pt>
                <c:pt idx="37">
                  <c:v>2.9546444635132587E-2</c:v>
                </c:pt>
                <c:pt idx="38">
                  <c:v>3.5867190249418854E-2</c:v>
                </c:pt>
                <c:pt idx="39">
                  <c:v>4.2982770336399974E-2</c:v>
                </c:pt>
                <c:pt idx="40">
                  <c:v>5.0964865582037902E-2</c:v>
                </c:pt>
                <c:pt idx="41">
                  <c:v>6.0402887472194709E-2</c:v>
                </c:pt>
                <c:pt idx="42">
                  <c:v>7.2517462478943556E-2</c:v>
                </c:pt>
                <c:pt idx="43">
                  <c:v>8.9007026784270388E-2</c:v>
                </c:pt>
                <c:pt idx="44">
                  <c:v>0.11160208097297579</c:v>
                </c:pt>
                <c:pt idx="45">
                  <c:v>0.14140500898702854</c:v>
                </c:pt>
                <c:pt idx="46">
                  <c:v>0.1782035595089197</c:v>
                </c:pt>
                <c:pt idx="47">
                  <c:v>0.22005948596294461</c:v>
                </c:pt>
                <c:pt idx="48">
                  <c:v>0.26350936487494669</c:v>
                </c:pt>
                <c:pt idx="49">
                  <c:v>0.30452348010995528</c:v>
                </c:pt>
                <c:pt idx="50">
                  <c:v>0.33991475498513402</c:v>
                </c:pt>
                <c:pt idx="51">
                  <c:v>0.36843208342676464</c:v>
                </c:pt>
                <c:pt idx="52">
                  <c:v>0.39075521556877046</c:v>
                </c:pt>
                <c:pt idx="53">
                  <c:v>0.40823824394558222</c:v>
                </c:pt>
                <c:pt idx="54">
                  <c:v>0.42116951116241269</c:v>
                </c:pt>
                <c:pt idx="55">
                  <c:v>0.42780139781751741</c:v>
                </c:pt>
                <c:pt idx="56">
                  <c:v>0.4249749621050774</c:v>
                </c:pt>
                <c:pt idx="57">
                  <c:v>0.41006382971463645</c:v>
                </c:pt>
                <c:pt idx="58">
                  <c:v>0.38301004176915732</c:v>
                </c:pt>
                <c:pt idx="59">
                  <c:v>0.3471468429863675</c:v>
                </c:pt>
                <c:pt idx="60">
                  <c:v>0.30831276807943903</c:v>
                </c:pt>
                <c:pt idx="61">
                  <c:v>0.27278370296711796</c:v>
                </c:pt>
                <c:pt idx="62">
                  <c:v>0.24506798185003162</c:v>
                </c:pt>
                <c:pt idx="63">
                  <c:v>0.22646316080656576</c:v>
                </c:pt>
                <c:pt idx="64">
                  <c:v>0.2148151214801855</c:v>
                </c:pt>
                <c:pt idx="65">
                  <c:v>0.20550105940777558</c:v>
                </c:pt>
                <c:pt idx="66">
                  <c:v>0.19331189525363848</c:v>
                </c:pt>
                <c:pt idx="67">
                  <c:v>0.17455953384673262</c:v>
                </c:pt>
                <c:pt idx="68">
                  <c:v>0.14852008698720667</c:v>
                </c:pt>
                <c:pt idx="69">
                  <c:v>0.11753667948644177</c:v>
                </c:pt>
                <c:pt idx="70">
                  <c:v>8.5782777912173383E-2</c:v>
                </c:pt>
                <c:pt idx="71">
                  <c:v>5.7418059459184476E-2</c:v>
                </c:pt>
                <c:pt idx="72">
                  <c:v>3.5118558594359216E-2</c:v>
                </c:pt>
                <c:pt idx="73">
                  <c:v>1.9580146203212124E-2</c:v>
                </c:pt>
                <c:pt idx="74">
                  <c:v>9.935288348278476E-3</c:v>
                </c:pt>
                <c:pt idx="75">
                  <c:v>4.5829842842595317E-3</c:v>
                </c:pt>
                <c:pt idx="76">
                  <c:v>1.9203762185157932E-3</c:v>
                </c:pt>
                <c:pt idx="77">
                  <c:v>7.3056936756662962E-4</c:v>
                </c:pt>
                <c:pt idx="78">
                  <c:v>2.5223755607715925E-4</c:v>
                </c:pt>
                <c:pt idx="79">
                  <c:v>7.9015978507458086E-5</c:v>
                </c:pt>
                <c:pt idx="80">
                  <c:v>2.2454023601901465E-5</c:v>
                </c:pt>
                <c:pt idx="81">
                  <c:v>5.7874644040429667E-6</c:v>
                </c:pt>
                <c:pt idx="82">
                  <c:v>1.3528666788705864E-6</c:v>
                </c:pt>
                <c:pt idx="83">
                  <c:v>2.8678982796077263E-7</c:v>
                </c:pt>
                <c:pt idx="84">
                  <c:v>5.5130595977656478E-8</c:v>
                </c:pt>
                <c:pt idx="85">
                  <c:v>9.6100598831946006E-9</c:v>
                </c:pt>
                <c:pt idx="86">
                  <c:v>1.5189820242437701E-9</c:v>
                </c:pt>
                <c:pt idx="87">
                  <c:v>2.1770286977808016E-10</c:v>
                </c:pt>
                <c:pt idx="88">
                  <c:v>2.8291422683241548E-11</c:v>
                </c:pt>
                <c:pt idx="89">
                  <c:v>3.3336525058387217E-12</c:v>
                </c:pt>
                <c:pt idx="90">
                  <c:v>3.5617036658867535E-13</c:v>
                </c:pt>
                <c:pt idx="91">
                  <c:v>3.4503652781166555E-14</c:v>
                </c:pt>
                <c:pt idx="92">
                  <c:v>3.0306854140604761E-15</c:v>
                </c:pt>
                <c:pt idx="93">
                  <c:v>2.413706651924541E-16</c:v>
                </c:pt>
                <c:pt idx="94">
                  <c:v>1.7429951324324598E-17</c:v>
                </c:pt>
                <c:pt idx="95">
                  <c:v>1.1412415531768468E-18</c:v>
                </c:pt>
                <c:pt idx="96">
                  <c:v>6.7753747478749049E-20</c:v>
                </c:pt>
                <c:pt idx="97">
                  <c:v>3.6473286385658194E-21</c:v>
                </c:pt>
                <c:pt idx="98">
                  <c:v>1.7804536902457575E-22</c:v>
                </c:pt>
                <c:pt idx="99">
                  <c:v>7.8826572190119786E-24</c:v>
                </c:pt>
                <c:pt idx="100">
                  <c:v>3.1665753897390396E-25</c:v>
                </c:pt>
                <c:pt idx="101">
                  <c:v>1.1555741198058429E-26</c:v>
                </c:pt>
                <c:pt idx="102">
                  <c:v>3.8437223786278226E-28</c:v>
                </c:pt>
                <c:pt idx="103">
                  <c:v>1.1766863222527972E-29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F128-4E4D-A374-25E73A119BF1}"/>
            </c:ext>
          </c:extLst>
        </c:ser>
        <c:ser>
          <c:idx val="53"/>
          <c:order val="53"/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val>
            <c:numRef>
              <c:f>NaiwnaGęstość!$BQ$5:$BQ$108</c:f>
              <c:numCache>
                <c:formatCode>General</c:formatCode>
                <c:ptCount val="104"/>
                <c:pt idx="0">
                  <c:v>2.9970478185726861E-6</c:v>
                </c:pt>
                <c:pt idx="1">
                  <c:v>6.8727070299484197E-6</c:v>
                </c:pt>
                <c:pt idx="2">
                  <c:v>1.5007249966827004E-5</c:v>
                </c:pt>
                <c:pt idx="3">
                  <c:v>3.1216404424534328E-5</c:v>
                </c:pt>
                <c:pt idx="4">
                  <c:v>6.1884394666127218E-5</c:v>
                </c:pt>
                <c:pt idx="5">
                  <c:v>1.169907418793209E-4</c:v>
                </c:pt>
                <c:pt idx="6">
                  <c:v>2.1106074997232028E-4</c:v>
                </c:pt>
                <c:pt idx="7">
                  <c:v>3.6369095401162708E-4</c:v>
                </c:pt>
                <c:pt idx="8">
                  <c:v>5.9922870049500785E-4</c:v>
                </c:pt>
                <c:pt idx="9">
                  <c:v>9.452552387544975E-4</c:v>
                </c:pt>
                <c:pt idx="10">
                  <c:v>1.4297793597093525E-3</c:v>
                </c:pt>
                <c:pt idx="11">
                  <c:v>2.0774507862537819E-3</c:v>
                </c:pt>
                <c:pt idx="12">
                  <c:v>2.9054980167700262E-3</c:v>
                </c:pt>
                <c:pt idx="13">
                  <c:v>3.9202756514354342E-3</c:v>
                </c:pt>
                <c:pt idx="14">
                  <c:v>5.1151268773900783E-3</c:v>
                </c:pt>
                <c:pt idx="15">
                  <c:v>6.4697757749897751E-3</c:v>
                </c:pt>
                <c:pt idx="16">
                  <c:v>7.9509346085324447E-3</c:v>
                </c:pt>
                <c:pt idx="17">
                  <c:v>9.5136081824327545E-3</c:v>
                </c:pt>
                <c:pt idx="18">
                  <c:v>1.110290011231204E-2</c:v>
                </c:pt>
                <c:pt idx="19">
                  <c:v>1.2656794049916084E-2</c:v>
                </c:pt>
                <c:pt idx="20">
                  <c:v>1.4110858476279017E-2</c:v>
                </c:pt>
                <c:pt idx="21">
                  <c:v>1.5405531931289469E-2</c:v>
                </c:pt>
                <c:pt idx="22">
                  <c:v>1.6495427283839861E-2</c:v>
                </c:pt>
                <c:pt idx="23">
                  <c:v>1.7358464324108928E-2</c:v>
                </c:pt>
                <c:pt idx="24">
                  <c:v>1.8001602901490565E-2</c:v>
                </c:pt>
                <c:pt idx="25">
                  <c:v>1.846040601527224E-2</c:v>
                </c:pt>
                <c:pt idx="26">
                  <c:v>1.87917893489166E-2</c:v>
                </c:pt>
                <c:pt idx="27">
                  <c:v>1.9062351304889497E-2</c:v>
                </c:pt>
                <c:pt idx="28">
                  <c:v>1.9337316532445505E-2</c:v>
                </c:pt>
                <c:pt idx="29">
                  <c:v>1.9676184672125802E-2</c:v>
                </c:pt>
                <c:pt idx="30">
                  <c:v>2.0139969187998256E-2</c:v>
                </c:pt>
                <c:pt idx="31">
                  <c:v>2.0811007489284342E-2</c:v>
                </c:pt>
                <c:pt idx="32">
                  <c:v>2.1819331454249614E-2</c:v>
                </c:pt>
                <c:pt idx="33">
                  <c:v>2.3360339707298651E-2</c:v>
                </c:pt>
                <c:pt idx="34">
                  <c:v>2.5681863208023088E-2</c:v>
                </c:pt>
                <c:pt idx="35">
                  <c:v>2.9024559569785897E-2</c:v>
                </c:pt>
                <c:pt idx="36">
                  <c:v>3.352642296673914E-2</c:v>
                </c:pt>
                <c:pt idx="37">
                  <c:v>3.9143449891762043E-2</c:v>
                </c:pt>
                <c:pt idx="38">
                  <c:v>4.5664805394319323E-2</c:v>
                </c:pt>
                <c:pt idx="39">
                  <c:v>5.2876337223282686E-2</c:v>
                </c:pt>
                <c:pt idx="40">
                  <c:v>6.0844918137931421E-2</c:v>
                </c:pt>
                <c:pt idx="41">
                  <c:v>7.0201913386810616E-2</c:v>
                </c:pt>
                <c:pt idx="42">
                  <c:v>8.2262663082193627E-2</c:v>
                </c:pt>
                <c:pt idx="43">
                  <c:v>9.8860092056410179E-2</c:v>
                </c:pt>
                <c:pt idx="44">
                  <c:v>0.12186698619728623</c:v>
                </c:pt>
                <c:pt idx="45">
                  <c:v>0.15249157232749463</c:v>
                </c:pt>
                <c:pt idx="46">
                  <c:v>0.1905472169810197</c:v>
                </c:pt>
                <c:pt idx="47">
                  <c:v>0.23401538543885381</c:v>
                </c:pt>
                <c:pt idx="48">
                  <c:v>0.27925673645228821</c:v>
                </c:pt>
                <c:pt idx="49">
                  <c:v>0.32202279193376887</c:v>
                </c:pt>
                <c:pt idx="50">
                  <c:v>0.35894270109736559</c:v>
                </c:pt>
                <c:pt idx="51">
                  <c:v>0.38867861890130695</c:v>
                </c:pt>
                <c:pt idx="52">
                  <c:v>0.41192561215579043</c:v>
                </c:pt>
                <c:pt idx="53">
                  <c:v>0.43009453255087327</c:v>
                </c:pt>
                <c:pt idx="54">
                  <c:v>0.44348440379144388</c:v>
                </c:pt>
                <c:pt idx="55">
                  <c:v>0.45026164564649485</c:v>
                </c:pt>
                <c:pt idx="56">
                  <c:v>0.44711364432521322</c:v>
                </c:pt>
                <c:pt idx="57">
                  <c:v>0.43128805654441232</c:v>
                </c:pt>
                <c:pt idx="58">
                  <c:v>0.40272929140283831</c:v>
                </c:pt>
                <c:pt idx="59">
                  <c:v>0.36494163543254377</c:v>
                </c:pt>
                <c:pt idx="60">
                  <c:v>0.32405837909929663</c:v>
                </c:pt>
                <c:pt idx="61">
                  <c:v>0.28666997347769468</c:v>
                </c:pt>
                <c:pt idx="62">
                  <c:v>0.25750868325008547</c:v>
                </c:pt>
                <c:pt idx="63">
                  <c:v>0.23793340894211409</c:v>
                </c:pt>
                <c:pt idx="64">
                  <c:v>0.22567734585865076</c:v>
                </c:pt>
                <c:pt idx="65">
                  <c:v>0.21588101661725145</c:v>
                </c:pt>
                <c:pt idx="66">
                  <c:v>0.20306984090516231</c:v>
                </c:pt>
                <c:pt idx="67">
                  <c:v>0.18336769599793543</c:v>
                </c:pt>
                <c:pt idx="68">
                  <c:v>0.15601282786614601</c:v>
                </c:pt>
                <c:pt idx="69">
                  <c:v>0.12346568908461393</c:v>
                </c:pt>
                <c:pt idx="70">
                  <c:v>9.0109740847539352E-2</c:v>
                </c:pt>
                <c:pt idx="71">
                  <c:v>6.0314183806782044E-2</c:v>
                </c:pt>
                <c:pt idx="72">
                  <c:v>3.6889878950710712E-2</c:v>
                </c:pt>
                <c:pt idx="73">
                  <c:v>2.0567724359641475E-2</c:v>
                </c:pt>
                <c:pt idx="74">
                  <c:v>1.0436398324243239E-2</c:v>
                </c:pt>
                <c:pt idx="75">
                  <c:v>4.8141370446047526E-3</c:v>
                </c:pt>
                <c:pt idx="76">
                  <c:v>2.0172342972370355E-3</c:v>
                </c:pt>
                <c:pt idx="77">
                  <c:v>7.6741705385877015E-4</c:v>
                </c:pt>
                <c:pt idx="78">
                  <c:v>2.6495963309906855E-4</c:v>
                </c:pt>
                <c:pt idx="79">
                  <c:v>8.300129563725254E-5</c:v>
                </c:pt>
                <c:pt idx="80">
                  <c:v>2.3586533400671828E-5</c:v>
                </c:pt>
                <c:pt idx="81">
                  <c:v>6.0793657307395552E-6</c:v>
                </c:pt>
                <c:pt idx="82">
                  <c:v>1.421100985456896E-6</c:v>
                </c:pt>
                <c:pt idx="83">
                  <c:v>3.0125460296263997E-7</c:v>
                </c:pt>
                <c:pt idx="84">
                  <c:v>5.7911211338920176E-8</c:v>
                </c:pt>
                <c:pt idx="85">
                  <c:v>1.0094761865529785E-8</c:v>
                </c:pt>
                <c:pt idx="86">
                  <c:v>1.5955949539827086E-9</c:v>
                </c:pt>
                <c:pt idx="87">
                  <c:v>2.2868318295399272E-10</c:v>
                </c:pt>
                <c:pt idx="88">
                  <c:v>2.9718367391147871E-11</c:v>
                </c:pt>
                <c:pt idx="89">
                  <c:v>3.5017942517492655E-12</c:v>
                </c:pt>
                <c:pt idx="90">
                  <c:v>3.7413497479924349E-13</c:v>
                </c:pt>
                <c:pt idx="91">
                  <c:v>3.6243988967166082E-14</c:v>
                </c:pt>
                <c:pt idx="92">
                  <c:v>3.1835557819485093E-15</c:v>
                </c:pt>
                <c:pt idx="93">
                  <c:v>2.5354635062799468E-16</c:v>
                </c:pt>
                <c:pt idx="94">
                  <c:v>1.8309289354364841E-17</c:v>
                </c:pt>
                <c:pt idx="95">
                  <c:v>1.1988304253861622E-18</c:v>
                </c:pt>
                <c:pt idx="96">
                  <c:v>7.1174370233400457E-20</c:v>
                </c:pt>
                <c:pt idx="97">
                  <c:v>3.8316622281642191E-21</c:v>
                </c:pt>
                <c:pt idx="98">
                  <c:v>1.8706516161916145E-22</c:v>
                </c:pt>
                <c:pt idx="99">
                  <c:v>8.2842471519943283E-24</c:v>
                </c:pt>
                <c:pt idx="100">
                  <c:v>3.3301383770997765E-25</c:v>
                </c:pt>
                <c:pt idx="101">
                  <c:v>1.2173689923424654E-26</c:v>
                </c:pt>
                <c:pt idx="102">
                  <c:v>4.068017924776803E-28</c:v>
                </c:pt>
                <c:pt idx="103">
                  <c:v>1.2611001580613789E-29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F128-4E4D-A374-25E73A119BF1}"/>
            </c:ext>
          </c:extLst>
        </c:ser>
        <c:ser>
          <c:idx val="54"/>
          <c:order val="54"/>
          <c:spPr>
            <a:solidFill>
              <a:schemeClr val="accent1"/>
            </a:solidFill>
            <a:ln/>
            <a:effectLst/>
            <a:sp3d/>
          </c:spPr>
          <c:val>
            <c:numRef>
              <c:f>NaiwnaGęstość!$BR$5:$BR$108</c:f>
              <c:numCache>
                <c:formatCode>General</c:formatCode>
                <c:ptCount val="104"/>
                <c:pt idx="0">
                  <c:v>4.7240791039525219E-6</c:v>
                </c:pt>
                <c:pt idx="1">
                  <c:v>1.083306427964473E-5</c:v>
                </c:pt>
                <c:pt idx="2">
                  <c:v>2.3655090031177036E-5</c:v>
                </c:pt>
                <c:pt idx="3">
                  <c:v>4.9204674990038762E-5</c:v>
                </c:pt>
                <c:pt idx="4">
                  <c:v>9.754491533012299E-5</c:v>
                </c:pt>
                <c:pt idx="5">
                  <c:v>1.8440597298551221E-4</c:v>
                </c:pt>
                <c:pt idx="6">
                  <c:v>3.3268327332982943E-4</c:v>
                </c:pt>
                <c:pt idx="7">
                  <c:v>5.7326574020467749E-4</c:v>
                </c:pt>
                <c:pt idx="8">
                  <c:v>9.4453073619800724E-4</c:v>
                </c:pt>
                <c:pt idx="9">
                  <c:v>1.4899530443356103E-3</c:v>
                </c:pt>
                <c:pt idx="10">
                  <c:v>2.2536813575708241E-3</c:v>
                </c:pt>
                <c:pt idx="11">
                  <c:v>3.2745696575188672E-3</c:v>
                </c:pt>
                <c:pt idx="12">
                  <c:v>4.5797742640407892E-3</c:v>
                </c:pt>
                <c:pt idx="13">
                  <c:v>6.1793115785185584E-3</c:v>
                </c:pt>
                <c:pt idx="14">
                  <c:v>8.0626888385959203E-3</c:v>
                </c:pt>
                <c:pt idx="15">
                  <c:v>1.0197946244461804E-2</c:v>
                </c:pt>
                <c:pt idx="16">
                  <c:v>1.2532614197303907E-2</c:v>
                </c:pt>
                <c:pt idx="17">
                  <c:v>1.4995769283068425E-2</c:v>
                </c:pt>
                <c:pt idx="18">
                  <c:v>1.7500881396403163E-2</c:v>
                </c:pt>
                <c:pt idx="19">
                  <c:v>1.995019762784779E-2</c:v>
                </c:pt>
                <c:pt idx="20">
                  <c:v>2.2242158150493713E-2</c:v>
                </c:pt>
                <c:pt idx="21">
                  <c:v>2.4282879421010494E-2</c:v>
                </c:pt>
                <c:pt idx="22">
                  <c:v>2.6000819428687445E-2</c:v>
                </c:pt>
                <c:pt idx="23">
                  <c:v>2.7361170146893876E-2</c:v>
                </c:pt>
                <c:pt idx="24">
                  <c:v>2.8374882196377918E-2</c:v>
                </c:pt>
                <c:pt idx="25">
                  <c:v>2.9097928211945828E-2</c:v>
                </c:pt>
                <c:pt idx="26">
                  <c:v>2.9619706791447386E-2</c:v>
                </c:pt>
                <c:pt idx="27">
                  <c:v>3.004413204073236E-2</c:v>
                </c:pt>
                <c:pt idx="28">
                  <c:v>3.0470818013871807E-2</c:v>
                </c:pt>
                <c:pt idx="29">
                  <c:v>3.0984993144131778E-2</c:v>
                </c:pt>
                <c:pt idx="30">
                  <c:v>3.1662550339275917E-2</c:v>
                </c:pt>
                <c:pt idx="31">
                  <c:v>3.2591017134562437E-2</c:v>
                </c:pt>
                <c:pt idx="32">
                  <c:v>3.3898662479968242E-2</c:v>
                </c:pt>
                <c:pt idx="33">
                  <c:v>3.5774027113627843E-2</c:v>
                </c:pt>
                <c:pt idx="34">
                  <c:v>3.8452104562355982E-2</c:v>
                </c:pt>
                <c:pt idx="35">
                  <c:v>4.2151037465895977E-2</c:v>
                </c:pt>
                <c:pt idx="36">
                  <c:v>4.6972498504057866E-2</c:v>
                </c:pt>
                <c:pt idx="37">
                  <c:v>5.2822167847043626E-2</c:v>
                </c:pt>
                <c:pt idx="38">
                  <c:v>5.9432999443031279E-2</c:v>
                </c:pt>
                <c:pt idx="39">
                  <c:v>6.6546358056270127E-2</c:v>
                </c:pt>
                <c:pt idx="40">
                  <c:v>7.4219284579764538E-2</c:v>
                </c:pt>
                <c:pt idx="41">
                  <c:v>8.3127087280212814E-2</c:v>
                </c:pt>
                <c:pt idx="42">
                  <c:v>9.4688100391934593E-2</c:v>
                </c:pt>
                <c:pt idx="43">
                  <c:v>0.11088269376895558</c:v>
                </c:pt>
                <c:pt idx="44">
                  <c:v>0.13374193330848094</c:v>
                </c:pt>
                <c:pt idx="45">
                  <c:v>0.16459815596548791</c:v>
                </c:pt>
                <c:pt idx="46">
                  <c:v>0.20331126993270071</c:v>
                </c:pt>
                <c:pt idx="47">
                  <c:v>0.24780655689054609</c:v>
                </c:pt>
                <c:pt idx="48">
                  <c:v>0.29429458599346003</c:v>
                </c:pt>
                <c:pt idx="49">
                  <c:v>0.33833068661571575</c:v>
                </c:pt>
                <c:pt idx="50">
                  <c:v>0.37637236816861919</c:v>
                </c:pt>
                <c:pt idx="51">
                  <c:v>0.40699205354032619</c:v>
                </c:pt>
                <c:pt idx="52">
                  <c:v>0.43088484960400958</c:v>
                </c:pt>
                <c:pt idx="53">
                  <c:v>0.44950188255710238</c:v>
                </c:pt>
                <c:pt idx="54">
                  <c:v>0.46314860022012233</c:v>
                </c:pt>
                <c:pt idx="55">
                  <c:v>0.4699199852876878</c:v>
                </c:pt>
                <c:pt idx="56">
                  <c:v>0.46637691228987993</c:v>
                </c:pt>
                <c:pt idx="57">
                  <c:v>0.44966460430698957</c:v>
                </c:pt>
                <c:pt idx="58">
                  <c:v>0.4197330931774641</c:v>
                </c:pt>
                <c:pt idx="59">
                  <c:v>0.38023377242707884</c:v>
                </c:pt>
                <c:pt idx="60">
                  <c:v>0.33755019086278348</c:v>
                </c:pt>
                <c:pt idx="61">
                  <c:v>0.29853832787137052</c:v>
                </c:pt>
                <c:pt idx="62">
                  <c:v>0.26811806862556065</c:v>
                </c:pt>
                <c:pt idx="63">
                  <c:v>0.2476975574165447</c:v>
                </c:pt>
                <c:pt idx="64">
                  <c:v>0.23491162866464524</c:v>
                </c:pt>
                <c:pt idx="65">
                  <c:v>0.22469761434743724</c:v>
                </c:pt>
                <c:pt idx="66">
                  <c:v>0.21135379267273452</c:v>
                </c:pt>
                <c:pt idx="67">
                  <c:v>0.19084314610624306</c:v>
                </c:pt>
                <c:pt idx="68">
                  <c:v>0.16237087002800576</c:v>
                </c:pt>
                <c:pt idx="69">
                  <c:v>0.12849637490532159</c:v>
                </c:pt>
                <c:pt idx="70">
                  <c:v>9.3780936739702614E-2</c:v>
                </c:pt>
                <c:pt idx="71">
                  <c:v>6.2771324460904845E-2</c:v>
                </c:pt>
                <c:pt idx="72">
                  <c:v>3.8392686178539616E-2</c:v>
                </c:pt>
                <c:pt idx="73">
                  <c:v>2.1405588693498061E-2</c:v>
                </c:pt>
                <c:pt idx="74">
                  <c:v>1.0861539220790082E-2</c:v>
                </c:pt>
                <c:pt idx="75">
                  <c:v>5.0102459992963366E-3</c:v>
                </c:pt>
                <c:pt idx="76">
                  <c:v>2.0994080719301919E-3</c:v>
                </c:pt>
                <c:pt idx="77">
                  <c:v>7.9867835090827448E-4</c:v>
                </c:pt>
                <c:pt idx="78">
                  <c:v>2.757529366865413E-4</c:v>
                </c:pt>
                <c:pt idx="79">
                  <c:v>8.6382403383289744E-5</c:v>
                </c:pt>
                <c:pt idx="80">
                  <c:v>2.45473443784729E-5</c:v>
                </c:pt>
                <c:pt idx="81">
                  <c:v>6.3270121259501342E-6</c:v>
                </c:pt>
                <c:pt idx="82">
                  <c:v>1.4789903472393048E-6</c:v>
                </c:pt>
                <c:pt idx="83">
                  <c:v>3.135263893796614E-7</c:v>
                </c:pt>
                <c:pt idx="84">
                  <c:v>6.0270261944989969E-8</c:v>
                </c:pt>
                <c:pt idx="85">
                  <c:v>1.0505979296355616E-8</c:v>
                </c:pt>
                <c:pt idx="86">
                  <c:v>1.6605928622790723E-9</c:v>
                </c:pt>
                <c:pt idx="87">
                  <c:v>2.3799882844037708E-10</c:v>
                </c:pt>
                <c:pt idx="88">
                  <c:v>3.0928984501247087E-11</c:v>
                </c:pt>
                <c:pt idx="89">
                  <c:v>3.644446139473739E-12</c:v>
                </c:pt>
                <c:pt idx="90">
                  <c:v>3.893763283631069E-13</c:v>
                </c:pt>
                <c:pt idx="91">
                  <c:v>3.7720529812663037E-14</c:v>
                </c:pt>
                <c:pt idx="92">
                  <c:v>3.3132579386347627E-15</c:v>
                </c:pt>
                <c:pt idx="93">
                  <c:v>2.6387726160289008E-16</c:v>
                </c:pt>
                <c:pt idx="94">
                  <c:v>1.9055466418841836E-17</c:v>
                </c:pt>
                <c:pt idx="95">
                  <c:v>1.2477076029528993E-18</c:v>
                </c:pt>
                <c:pt idx="96">
                  <c:v>7.4078675416278845E-20</c:v>
                </c:pt>
                <c:pt idx="97">
                  <c:v>3.988304520384928E-21</c:v>
                </c:pt>
                <c:pt idx="98">
                  <c:v>1.9474461838662304E-22</c:v>
                </c:pt>
                <c:pt idx="99">
                  <c:v>8.6276936205735727E-24</c:v>
                </c:pt>
                <c:pt idx="100">
                  <c:v>3.4715338223782736E-25</c:v>
                </c:pt>
                <c:pt idx="101">
                  <c:v>1.2721933717422651E-26</c:v>
                </c:pt>
                <c:pt idx="102">
                  <c:v>4.2790913285189599E-28</c:v>
                </c:pt>
                <c:pt idx="103">
                  <c:v>1.3498351408131279E-29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F128-4E4D-A374-25E73A119BF1}"/>
            </c:ext>
          </c:extLst>
        </c:ser>
        <c:ser>
          <c:idx val="55"/>
          <c:order val="55"/>
          <c:spPr>
            <a:solidFill>
              <a:schemeClr val="accent2"/>
            </a:solidFill>
            <a:ln/>
            <a:effectLst/>
            <a:sp3d/>
          </c:spPr>
          <c:val>
            <c:numRef>
              <c:f>NaiwnaGęstość!$BS$5:$BS$108</c:f>
              <c:numCache>
                <c:formatCode>General</c:formatCode>
                <c:ptCount val="104"/>
                <c:pt idx="0">
                  <c:v>7.2018284615389917E-6</c:v>
                </c:pt>
                <c:pt idx="1">
                  <c:v>1.651493739585164E-5</c:v>
                </c:pt>
                <c:pt idx="2">
                  <c:v>3.6062033869048057E-5</c:v>
                </c:pt>
                <c:pt idx="3">
                  <c:v>7.5012213171356414E-5</c:v>
                </c:pt>
                <c:pt idx="4">
                  <c:v>1.4870660123263491E-4</c:v>
                </c:pt>
                <c:pt idx="5">
                  <c:v>2.8112572958689379E-4</c:v>
                </c:pt>
                <c:pt idx="6">
                  <c:v>5.0717352817824472E-4</c:v>
                </c:pt>
                <c:pt idx="7">
                  <c:v>8.73939964378877E-4</c:v>
                </c:pt>
                <c:pt idx="8">
                  <c:v>1.4399310826649424E-3</c:v>
                </c:pt>
                <c:pt idx="9">
                  <c:v>2.2714239124562953E-3</c:v>
                </c:pt>
                <c:pt idx="10">
                  <c:v>3.4357228545588122E-3</c:v>
                </c:pt>
                <c:pt idx="11">
                  <c:v>4.9920605561156114E-3</c:v>
                </c:pt>
                <c:pt idx="12">
                  <c:v>6.9818366535388627E-3</c:v>
                </c:pt>
                <c:pt idx="13">
                  <c:v>9.4203210868459737E-3</c:v>
                </c:pt>
                <c:pt idx="14">
                  <c:v>1.2291517706752655E-2</c:v>
                </c:pt>
                <c:pt idx="15">
                  <c:v>1.5546704002301417E-2</c:v>
                </c:pt>
                <c:pt idx="16">
                  <c:v>1.9105890404774686E-2</c:v>
                </c:pt>
                <c:pt idx="17">
                  <c:v>2.2860954621788145E-2</c:v>
                </c:pt>
                <c:pt idx="18">
                  <c:v>2.667998205928885E-2</c:v>
                </c:pt>
                <c:pt idx="19">
                  <c:v>3.0413949027366886E-2</c:v>
                </c:pt>
                <c:pt idx="20">
                  <c:v>3.3908028196660694E-2</c:v>
                </c:pt>
                <c:pt idx="21">
                  <c:v>3.7019094569031283E-2</c:v>
                </c:pt>
                <c:pt idx="22">
                  <c:v>3.9638082022916438E-2</c:v>
                </c:pt>
                <c:pt idx="23">
                  <c:v>4.1711921865025328E-2</c:v>
                </c:pt>
                <c:pt idx="24">
                  <c:v>4.3257289131149131E-2</c:v>
                </c:pt>
                <c:pt idx="25">
                  <c:v>4.4359433296012815E-2</c:v>
                </c:pt>
                <c:pt idx="26">
                  <c:v>4.5154338420837423E-2</c:v>
                </c:pt>
                <c:pt idx="27">
                  <c:v>4.579939639863026E-2</c:v>
                </c:pt>
                <c:pt idx="28">
                  <c:v>4.6443382938536747E-2</c:v>
                </c:pt>
                <c:pt idx="29">
                  <c:v>4.72079669628514E-2</c:v>
                </c:pt>
                <c:pt idx="30">
                  <c:v>4.8189269548024501E-2</c:v>
                </c:pt>
                <c:pt idx="31">
                  <c:v>4.9479932379087446E-2</c:v>
                </c:pt>
                <c:pt idx="32">
                  <c:v>5.1201462593808027E-2</c:v>
                </c:pt>
                <c:pt idx="33">
                  <c:v>5.3525969475011169E-2</c:v>
                </c:pt>
                <c:pt idx="34">
                  <c:v>5.6661438864093958E-2</c:v>
                </c:pt>
                <c:pt idx="35">
                  <c:v>6.0784815512221528E-2</c:v>
                </c:pt>
                <c:pt idx="36">
                  <c:v>6.5939269114347249E-2</c:v>
                </c:pt>
                <c:pt idx="37">
                  <c:v>7.1956914189180446E-2</c:v>
                </c:pt>
                <c:pt idx="38">
                  <c:v>7.8493662115153934E-2</c:v>
                </c:pt>
                <c:pt idx="39">
                  <c:v>8.5231414015468271E-2</c:v>
                </c:pt>
                <c:pt idx="40">
                  <c:v>9.2210435842909139E-2</c:v>
                </c:pt>
                <c:pt idx="41">
                  <c:v>0.10015142683078876</c:v>
                </c:pt>
                <c:pt idx="42">
                  <c:v>0.11058433922236804</c:v>
                </c:pt>
                <c:pt idx="43">
                  <c:v>0.12565092697134606</c:v>
                </c:pt>
                <c:pt idx="44">
                  <c:v>0.14755851519601632</c:v>
                </c:pt>
                <c:pt idx="45">
                  <c:v>0.17778592549638633</c:v>
                </c:pt>
                <c:pt idx="46">
                  <c:v>0.21626834264603192</c:v>
                </c:pt>
                <c:pt idx="47">
                  <c:v>0.26091153512679199</c:v>
                </c:pt>
                <c:pt idx="48">
                  <c:v>0.30781819549146028</c:v>
                </c:pt>
                <c:pt idx="49">
                  <c:v>0.35238646062272233</c:v>
                </c:pt>
                <c:pt idx="50">
                  <c:v>0.39092531768609734</c:v>
                </c:pt>
                <c:pt idx="51">
                  <c:v>0.42191604606615285</c:v>
                </c:pt>
                <c:pt idx="52">
                  <c:v>0.44603170783693696</c:v>
                </c:pt>
                <c:pt idx="53">
                  <c:v>0.46473856534085034</c:v>
                </c:pt>
                <c:pt idx="54">
                  <c:v>0.47834212798963094</c:v>
                </c:pt>
                <c:pt idx="55">
                  <c:v>0.48488925758902235</c:v>
                </c:pt>
                <c:pt idx="56">
                  <c:v>0.48085768965209519</c:v>
                </c:pt>
                <c:pt idx="57">
                  <c:v>0.46332756382334278</c:v>
                </c:pt>
                <c:pt idx="58">
                  <c:v>0.43225905702224937</c:v>
                </c:pt>
                <c:pt idx="59">
                  <c:v>0.39141129067422359</c:v>
                </c:pt>
                <c:pt idx="60">
                  <c:v>0.34734561665473268</c:v>
                </c:pt>
                <c:pt idx="61">
                  <c:v>0.30710402916854013</c:v>
                </c:pt>
                <c:pt idx="62">
                  <c:v>0.27573544923447613</c:v>
                </c:pt>
                <c:pt idx="63">
                  <c:v>0.25467817251437253</c:v>
                </c:pt>
                <c:pt idx="64">
                  <c:v>0.24149257680606331</c:v>
                </c:pt>
                <c:pt idx="65">
                  <c:v>0.23096780627216562</c:v>
                </c:pt>
                <c:pt idx="66">
                  <c:v>0.21723782901973149</c:v>
                </c:pt>
                <c:pt idx="67">
                  <c:v>0.19614918260762074</c:v>
                </c:pt>
                <c:pt idx="68">
                  <c:v>0.16688204642777363</c:v>
                </c:pt>
                <c:pt idx="69">
                  <c:v>0.13206501865496159</c:v>
                </c:pt>
                <c:pt idx="70">
                  <c:v>9.6384894526346354E-2</c:v>
                </c:pt>
                <c:pt idx="71">
                  <c:v>6.4514048422451162E-2</c:v>
                </c:pt>
                <c:pt idx="72">
                  <c:v>3.9458511125682966E-2</c:v>
                </c:pt>
                <c:pt idx="73">
                  <c:v>2.1999808140024269E-2</c:v>
                </c:pt>
                <c:pt idx="74">
                  <c:v>1.116304822872698E-2</c:v>
                </c:pt>
                <c:pt idx="75">
                  <c:v>5.1493248975184687E-3</c:v>
                </c:pt>
                <c:pt idx="76">
                  <c:v>2.1576847465008104E-3</c:v>
                </c:pt>
                <c:pt idx="77">
                  <c:v>8.2084841945489334E-4</c:v>
                </c:pt>
                <c:pt idx="78">
                  <c:v>2.8340737768713597E-4</c:v>
                </c:pt>
                <c:pt idx="79">
                  <c:v>8.8780228490137821E-5</c:v>
                </c:pt>
                <c:pt idx="80">
                  <c:v>2.5228734951319906E-5</c:v>
                </c:pt>
                <c:pt idx="81">
                  <c:v>6.5026386328749924E-6</c:v>
                </c:pt>
                <c:pt idx="82">
                  <c:v>1.5200444820493793E-6</c:v>
                </c:pt>
                <c:pt idx="83">
                  <c:v>3.2222933428167743E-7</c:v>
                </c:pt>
                <c:pt idx="84">
                  <c:v>6.1943263198939242E-8</c:v>
                </c:pt>
                <c:pt idx="85">
                  <c:v>1.0797608785317267E-8</c:v>
                </c:pt>
                <c:pt idx="86">
                  <c:v>1.7066885949057892E-9</c:v>
                </c:pt>
                <c:pt idx="87">
                  <c:v>2.4460540531878657E-10</c:v>
                </c:pt>
                <c:pt idx="88">
                  <c:v>3.1787550726510394E-11</c:v>
                </c:pt>
                <c:pt idx="89">
                  <c:v>3.7456157458586661E-12</c:v>
                </c:pt>
                <c:pt idx="90">
                  <c:v>4.0018581940327315E-13</c:v>
                </c:pt>
                <c:pt idx="91">
                  <c:v>3.8767761692403835E-14</c:v>
                </c:pt>
                <c:pt idx="92">
                  <c:v>3.4052546674114616E-15</c:v>
                </c:pt>
                <c:pt idx="93">
                  <c:v>2.7120576001380324E-16</c:v>
                </c:pt>
                <c:pt idx="94">
                  <c:v>1.9584905925122316E-17</c:v>
                </c:pt>
                <c:pt idx="95">
                  <c:v>1.2824033463680422E-18</c:v>
                </c:pt>
                <c:pt idx="96">
                  <c:v>7.6142243559782546E-20</c:v>
                </c:pt>
                <c:pt idx="97">
                  <c:v>4.0998276369983249E-21</c:v>
                </c:pt>
                <c:pt idx="98">
                  <c:v>2.0023701272315527E-22</c:v>
                </c:pt>
                <c:pt idx="99">
                  <c:v>8.8759307420849586E-24</c:v>
                </c:pt>
                <c:pt idx="100">
                  <c:v>3.5762904796459303E-25</c:v>
                </c:pt>
                <c:pt idx="101">
                  <c:v>1.3151601418326828E-26</c:v>
                </c:pt>
                <c:pt idx="102">
                  <c:v>4.4641934422010894E-28</c:v>
                </c:pt>
                <c:pt idx="103">
                  <c:v>1.4419337464105945E-29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F128-4E4D-A374-25E73A119BF1}"/>
            </c:ext>
          </c:extLst>
        </c:ser>
        <c:ser>
          <c:idx val="56"/>
          <c:order val="56"/>
          <c:spPr>
            <a:solidFill>
              <a:schemeClr val="accent3"/>
            </a:solidFill>
            <a:ln/>
            <a:effectLst/>
            <a:sp3d/>
          </c:spPr>
          <c:val>
            <c:numRef>
              <c:f>NaiwnaGęstość!$BT$5:$BT$108</c:f>
              <c:numCache>
                <c:formatCode>General</c:formatCode>
                <c:ptCount val="104"/>
                <c:pt idx="0">
                  <c:v>1.0641754928149604E-5</c:v>
                </c:pt>
                <c:pt idx="1">
                  <c:v>2.4403235561491008E-5</c:v>
                </c:pt>
                <c:pt idx="2">
                  <c:v>5.3286929658837214E-5</c:v>
                </c:pt>
                <c:pt idx="3">
                  <c:v>1.1084151663022344E-4</c:v>
                </c:pt>
                <c:pt idx="4">
                  <c:v>2.1973575390847326E-4</c:v>
                </c:pt>
                <c:pt idx="5">
                  <c:v>4.1540438435014825E-4</c:v>
                </c:pt>
                <c:pt idx="6">
                  <c:v>7.4942306967479505E-4</c:v>
                </c:pt>
                <c:pt idx="7">
                  <c:v>1.2913741242940393E-3</c:v>
                </c:pt>
                <c:pt idx="8">
                  <c:v>2.1277087863143746E-3</c:v>
                </c:pt>
                <c:pt idx="9">
                  <c:v>3.3563610607205744E-3</c:v>
                </c:pt>
                <c:pt idx="10">
                  <c:v>5.0767830439888513E-3</c:v>
                </c:pt>
                <c:pt idx="11">
                  <c:v>7.3764996359427576E-3</c:v>
                </c:pt>
                <c:pt idx="12">
                  <c:v>1.0316684854703611E-2</c:v>
                </c:pt>
                <c:pt idx="13">
                  <c:v>1.3919902270106574E-2</c:v>
                </c:pt>
                <c:pt idx="14">
                  <c:v>1.8162515231905554E-2</c:v>
                </c:pt>
                <c:pt idx="15">
                  <c:v>2.2972529103757074E-2</c:v>
                </c:pt>
                <c:pt idx="16">
                  <c:v>2.8231747598193614E-2</c:v>
                </c:pt>
                <c:pt idx="17">
                  <c:v>3.3780404213656703E-2</c:v>
                </c:pt>
                <c:pt idx="18">
                  <c:v>3.9423575842565582E-2</c:v>
                </c:pt>
                <c:pt idx="19">
                  <c:v>4.4941058183229791E-2</c:v>
                </c:pt>
                <c:pt idx="20">
                  <c:v>5.0104071190144837E-2</c:v>
                </c:pt>
                <c:pt idx="21">
                  <c:v>5.4701126612413595E-2</c:v>
                </c:pt>
                <c:pt idx="22">
                  <c:v>5.8571062538896566E-2</c:v>
                </c:pt>
                <c:pt idx="23">
                  <c:v>6.1635458231385901E-2</c:v>
                </c:pt>
                <c:pt idx="24">
                  <c:v>6.3918934832886104E-2</c:v>
                </c:pt>
                <c:pt idx="25">
                  <c:v>6.5547382373431232E-2</c:v>
                </c:pt>
                <c:pt idx="26">
                  <c:v>6.6721440876492843E-2</c:v>
                </c:pt>
                <c:pt idx="27">
                  <c:v>6.7672679736476143E-2</c:v>
                </c:pt>
                <c:pt idx="28">
                  <c:v>6.8617924873822775E-2</c:v>
                </c:pt>
                <c:pt idx="29">
                  <c:v>6.9728894989133067E-2</c:v>
                </c:pt>
                <c:pt idx="30">
                  <c:v>7.1128511161385646E-2</c:v>
                </c:pt>
                <c:pt idx="31">
                  <c:v>7.2913841118243811E-2</c:v>
                </c:pt>
                <c:pt idx="32">
                  <c:v>7.5192151092531134E-2</c:v>
                </c:pt>
                <c:pt idx="33">
                  <c:v>7.8105178754609345E-2</c:v>
                </c:pt>
                <c:pt idx="34">
                  <c:v>8.1813564673599057E-2</c:v>
                </c:pt>
                <c:pt idx="35">
                  <c:v>8.6426856853026895E-2</c:v>
                </c:pt>
                <c:pt idx="36">
                  <c:v>9.1899673121035849E-2</c:v>
                </c:pt>
                <c:pt idx="37">
                  <c:v>9.7960415318278427E-2</c:v>
                </c:pt>
                <c:pt idx="38">
                  <c:v>0.10416216567882862</c:v>
                </c:pt>
                <c:pt idx="39">
                  <c:v>0.11010926463244543</c:v>
                </c:pt>
                <c:pt idx="40">
                  <c:v>0.1158156282683705</c:v>
                </c:pt>
                <c:pt idx="41">
                  <c:v>0.12204473079920578</c:v>
                </c:pt>
                <c:pt idx="42">
                  <c:v>0.13044003932639797</c:v>
                </c:pt>
                <c:pt idx="43">
                  <c:v>0.14330985299944954</c:v>
                </c:pt>
                <c:pt idx="44">
                  <c:v>0.16304792575560401</c:v>
                </c:pt>
                <c:pt idx="45">
                  <c:v>0.19130024260125922</c:v>
                </c:pt>
                <c:pt idx="46">
                  <c:v>0.22811624784569787</c:v>
                </c:pt>
                <c:pt idx="47">
                  <c:v>0.27144467164272218</c:v>
                </c:pt>
                <c:pt idx="48">
                  <c:v>0.31736165259708893</c:v>
                </c:pt>
                <c:pt idx="49">
                  <c:v>0.36118960232226277</c:v>
                </c:pt>
                <c:pt idx="50">
                  <c:v>0.39914337008516165</c:v>
                </c:pt>
                <c:pt idx="51">
                  <c:v>0.42962080563633592</c:v>
                </c:pt>
                <c:pt idx="52">
                  <c:v>0.45323902192089016</c:v>
                </c:pt>
                <c:pt idx="53">
                  <c:v>0.47143639580652263</c:v>
                </c:pt>
                <c:pt idx="54">
                  <c:v>0.48450802456121583</c:v>
                </c:pt>
                <c:pt idx="55">
                  <c:v>0.49049630501856972</c:v>
                </c:pt>
                <c:pt idx="56">
                  <c:v>0.48587634023435078</c:v>
                </c:pt>
                <c:pt idx="57">
                  <c:v>0.46773179735959519</c:v>
                </c:pt>
                <c:pt idx="58">
                  <c:v>0.43603932099830855</c:v>
                </c:pt>
                <c:pt idx="59">
                  <c:v>0.3945891162303245</c:v>
                </c:pt>
                <c:pt idx="60">
                  <c:v>0.34998156434219629</c:v>
                </c:pt>
                <c:pt idx="61">
                  <c:v>0.30929338506287557</c:v>
                </c:pt>
                <c:pt idx="62">
                  <c:v>0.27759194985145935</c:v>
                </c:pt>
                <c:pt idx="63">
                  <c:v>0.25631097698147109</c:v>
                </c:pt>
                <c:pt idx="64">
                  <c:v>0.2429839108139854</c:v>
                </c:pt>
                <c:pt idx="65">
                  <c:v>0.23235850949502795</c:v>
                </c:pt>
                <c:pt idx="66">
                  <c:v>0.21852588676373033</c:v>
                </c:pt>
                <c:pt idx="67">
                  <c:v>0.19730208130620855</c:v>
                </c:pt>
                <c:pt idx="68">
                  <c:v>0.16785822871600389</c:v>
                </c:pt>
                <c:pt idx="69">
                  <c:v>0.1328355218529583</c:v>
                </c:pt>
                <c:pt idx="70">
                  <c:v>9.694642311601627E-2</c:v>
                </c:pt>
                <c:pt idx="71">
                  <c:v>6.4889598165617193E-2</c:v>
                </c:pt>
                <c:pt idx="72">
                  <c:v>3.9688100995591953E-2</c:v>
                </c:pt>
                <c:pt idx="73">
                  <c:v>2.2127779249440139E-2</c:v>
                </c:pt>
                <c:pt idx="74">
                  <c:v>1.1227971955171202E-2</c:v>
                </c:pt>
                <c:pt idx="75">
                  <c:v>5.1792699931046682E-3</c:v>
                </c:pt>
                <c:pt idx="76">
                  <c:v>2.170231591423581E-3</c:v>
                </c:pt>
                <c:pt idx="77">
                  <c:v>8.2562141287411642E-4</c:v>
                </c:pt>
                <c:pt idx="78">
                  <c:v>2.8505526300089405E-4</c:v>
                </c:pt>
                <c:pt idx="79">
                  <c:v>8.9296436334862942E-5</c:v>
                </c:pt>
                <c:pt idx="80">
                  <c:v>2.5375424671501083E-5</c:v>
                </c:pt>
                <c:pt idx="81">
                  <c:v>6.5404473919536572E-6</c:v>
                </c:pt>
                <c:pt idx="82">
                  <c:v>1.528882608867052E-6</c:v>
                </c:pt>
                <c:pt idx="83">
                  <c:v>3.241029168158716E-7</c:v>
                </c:pt>
                <c:pt idx="84">
                  <c:v>6.2303434354082309E-8</c:v>
                </c:pt>
                <c:pt idx="85">
                  <c:v>1.086039350066828E-8</c:v>
                </c:pt>
                <c:pt idx="86">
                  <c:v>1.7166128635273827E-9</c:v>
                </c:pt>
                <c:pt idx="87">
                  <c:v>2.4602785848632473E-10</c:v>
                </c:pt>
                <c:pt idx="88">
                  <c:v>3.1972423294051072E-11</c:v>
                </c:pt>
                <c:pt idx="89">
                  <c:v>3.7674032991551705E-12</c:v>
                </c:pt>
                <c:pt idx="90">
                  <c:v>4.0251424527270652E-13</c:v>
                </c:pt>
                <c:pt idx="91">
                  <c:v>3.8993429104796808E-14</c:v>
                </c:pt>
                <c:pt idx="92">
                  <c:v>3.4250926489894058E-15</c:v>
                </c:pt>
                <c:pt idx="93">
                  <c:v>2.7278806544170052E-16</c:v>
                </c:pt>
                <c:pt idx="94">
                  <c:v>1.9699495109342759E-17</c:v>
                </c:pt>
                <c:pt idx="95">
                  <c:v>1.2899489439116926E-18</c:v>
                </c:pt>
                <c:pt idx="96">
                  <c:v>7.6595500439993258E-20</c:v>
                </c:pt>
                <c:pt idx="97">
                  <c:v>4.1248456412108114E-21</c:v>
                </c:pt>
                <c:pt idx="98">
                  <c:v>2.0152671541497746E-22</c:v>
                </c:pt>
                <c:pt idx="99">
                  <c:v>8.9402061128023875E-24</c:v>
                </c:pt>
                <c:pt idx="100">
                  <c:v>3.6092381173311498E-25</c:v>
                </c:pt>
                <c:pt idx="101">
                  <c:v>1.3338889545227352E-26</c:v>
                </c:pt>
                <c:pt idx="102">
                  <c:v>4.5861887392831285E-28</c:v>
                </c:pt>
                <c:pt idx="103">
                  <c:v>1.5294248518591484E-29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F128-4E4D-A374-25E73A119BF1}"/>
            </c:ext>
          </c:extLst>
        </c:ser>
        <c:ser>
          <c:idx val="57"/>
          <c:order val="57"/>
          <c:spPr>
            <a:solidFill>
              <a:schemeClr val="accent4"/>
            </a:solidFill>
            <a:ln/>
            <a:effectLst/>
            <a:sp3d/>
          </c:spPr>
          <c:val>
            <c:numRef>
              <c:f>NaiwnaGęstość!$BU$5:$BU$108</c:f>
              <c:numCache>
                <c:formatCode>General</c:formatCode>
                <c:ptCount val="104"/>
                <c:pt idx="0">
                  <c:v>1.521647930345708E-5</c:v>
                </c:pt>
                <c:pt idx="1">
                  <c:v>3.4893805708358205E-5</c:v>
                </c:pt>
                <c:pt idx="2">
                  <c:v>7.6194149158014779E-5</c:v>
                </c:pt>
                <c:pt idx="3">
                  <c:v>1.5849055490895986E-4</c:v>
                </c:pt>
                <c:pt idx="4">
                  <c:v>3.141967254605073E-4</c:v>
                </c:pt>
                <c:pt idx="5">
                  <c:v>5.9398024665171091E-4</c:v>
                </c:pt>
                <c:pt idx="6">
                  <c:v>1.0715883523191279E-3</c:v>
                </c:pt>
                <c:pt idx="7">
                  <c:v>1.8465157079836122E-3</c:v>
                </c:pt>
                <c:pt idx="8">
                  <c:v>3.0423775899118609E-3</c:v>
                </c:pt>
                <c:pt idx="9">
                  <c:v>4.7992083035372354E-3</c:v>
                </c:pt>
                <c:pt idx="10">
                  <c:v>7.2592128496263546E-3</c:v>
                </c:pt>
                <c:pt idx="11">
                  <c:v>1.0547541716580275E-2</c:v>
                </c:pt>
                <c:pt idx="12">
                  <c:v>1.4751666678268735E-2</c:v>
                </c:pt>
                <c:pt idx="13">
                  <c:v>1.9903851031086644E-2</c:v>
                </c:pt>
                <c:pt idx="14">
                  <c:v>2.5970297097705271E-2</c:v>
                </c:pt>
                <c:pt idx="15">
                  <c:v>3.2848060871118134E-2</c:v>
                </c:pt>
                <c:pt idx="16">
                  <c:v>4.036813532436561E-2</c:v>
                </c:pt>
                <c:pt idx="17">
                  <c:v>4.8302072830040753E-2</c:v>
                </c:pt>
                <c:pt idx="18">
                  <c:v>5.6371155878102389E-2</c:v>
                </c:pt>
                <c:pt idx="19">
                  <c:v>6.4260517771127998E-2</c:v>
                </c:pt>
                <c:pt idx="20">
                  <c:v>7.1643029472290315E-2</c:v>
                </c:pt>
                <c:pt idx="21">
                  <c:v>7.8216287103776136E-2</c:v>
                </c:pt>
                <c:pt idx="22">
                  <c:v>8.3749847021582433E-2</c:v>
                </c:pt>
                <c:pt idx="23">
                  <c:v>8.8131572767311317E-2</c:v>
                </c:pt>
                <c:pt idx="24">
                  <c:v>9.1396651598093515E-2</c:v>
                </c:pt>
                <c:pt idx="25">
                  <c:v>9.3725015397330316E-2</c:v>
                </c:pt>
                <c:pt idx="26">
                  <c:v>9.5403268307621428E-2</c:v>
                </c:pt>
                <c:pt idx="27">
                  <c:v>9.6761556066316437E-2</c:v>
                </c:pt>
                <c:pt idx="28">
                  <c:v>9.810698831724983E-2</c:v>
                </c:pt>
                <c:pt idx="29">
                  <c:v>9.9677267213791707E-2</c:v>
                </c:pt>
                <c:pt idx="30">
                  <c:v>0.10162958694378084</c:v>
                </c:pt>
                <c:pt idx="31">
                  <c:v>0.10406405094980414</c:v>
                </c:pt>
                <c:pt idx="32">
                  <c:v>0.10706381323239245</c:v>
                </c:pt>
                <c:pt idx="33">
                  <c:v>0.11072216260292771</c:v>
                </c:pt>
                <c:pt idx="34">
                  <c:v>0.11512627621412028</c:v>
                </c:pt>
                <c:pt idx="35">
                  <c:v>0.12028519842198025</c:v>
                </c:pt>
                <c:pt idx="36">
                  <c:v>0.1260279687254883</c:v>
                </c:pt>
                <c:pt idx="37">
                  <c:v>0.13194337882691834</c:v>
                </c:pt>
                <c:pt idx="38">
                  <c:v>0.13745216309761299</c:v>
                </c:pt>
                <c:pt idx="39">
                  <c:v>0.14206083844573944</c:v>
                </c:pt>
                <c:pt idx="40">
                  <c:v>0.14574501590637923</c:v>
                </c:pt>
                <c:pt idx="41">
                  <c:v>0.14930347811167549</c:v>
                </c:pt>
                <c:pt idx="42">
                  <c:v>0.15448647338568855</c:v>
                </c:pt>
                <c:pt idx="43">
                  <c:v>0.16376248604618493</c:v>
                </c:pt>
                <c:pt idx="44">
                  <c:v>0.17971107967637573</c:v>
                </c:pt>
                <c:pt idx="45">
                  <c:v>0.20416195518389094</c:v>
                </c:pt>
                <c:pt idx="46">
                  <c:v>0.23732690365230075</c:v>
                </c:pt>
                <c:pt idx="47">
                  <c:v>0.27728646215285546</c:v>
                </c:pt>
                <c:pt idx="48">
                  <c:v>0.32021279598071917</c:v>
                </c:pt>
                <c:pt idx="49">
                  <c:v>0.36147951884744234</c:v>
                </c:pt>
                <c:pt idx="50">
                  <c:v>0.39729573729118384</c:v>
                </c:pt>
                <c:pt idx="51">
                  <c:v>0.42599429927618188</c:v>
                </c:pt>
                <c:pt idx="52">
                  <c:v>0.44809089629071908</c:v>
                </c:pt>
                <c:pt idx="53">
                  <c:v>0.46493469607574256</c:v>
                </c:pt>
                <c:pt idx="54">
                  <c:v>0.47679575887626613</c:v>
                </c:pt>
                <c:pt idx="55">
                  <c:v>0.48177699790849521</c:v>
                </c:pt>
                <c:pt idx="56">
                  <c:v>0.47647024610907429</c:v>
                </c:pt>
                <c:pt idx="57">
                  <c:v>0.4580639384978617</c:v>
                </c:pt>
                <c:pt idx="58">
                  <c:v>0.42655916005274591</c:v>
                </c:pt>
                <c:pt idx="59">
                  <c:v>0.3856611616971195</c:v>
                </c:pt>
                <c:pt idx="60">
                  <c:v>0.34180070361353748</c:v>
                </c:pt>
                <c:pt idx="61">
                  <c:v>0.30186242047488443</c:v>
                </c:pt>
                <c:pt idx="62">
                  <c:v>0.27076692889246684</c:v>
                </c:pt>
                <c:pt idx="63">
                  <c:v>0.24989235963198778</c:v>
                </c:pt>
                <c:pt idx="64">
                  <c:v>0.23681781656018286</c:v>
                </c:pt>
                <c:pt idx="65">
                  <c:v>0.22641120546477006</c:v>
                </c:pt>
                <c:pt idx="66">
                  <c:v>0.21290412904132627</c:v>
                </c:pt>
                <c:pt idx="67">
                  <c:v>0.19221188141505197</c:v>
                </c:pt>
                <c:pt idx="68">
                  <c:v>0.16352095162969615</c:v>
                </c:pt>
                <c:pt idx="69">
                  <c:v>0.12940031705367519</c:v>
                </c:pt>
                <c:pt idx="70">
                  <c:v>9.4438179585511678E-2</c:v>
                </c:pt>
                <c:pt idx="71">
                  <c:v>6.3210312085915418E-2</c:v>
                </c:pt>
                <c:pt idx="72">
                  <c:v>3.866085582081142E-2</c:v>
                </c:pt>
                <c:pt idx="73">
                  <c:v>2.1554996971454309E-2</c:v>
                </c:pt>
                <c:pt idx="74">
                  <c:v>1.0937318059497865E-2</c:v>
                </c:pt>
                <c:pt idx="75">
                  <c:v>5.0451919077453113E-3</c:v>
                </c:pt>
                <c:pt idx="76">
                  <c:v>2.1140486422563409E-3</c:v>
                </c:pt>
                <c:pt idx="77">
                  <c:v>8.0424743524943622E-4</c:v>
                </c:pt>
                <c:pt idx="78">
                  <c:v>2.776755868614993E-4</c:v>
                </c:pt>
                <c:pt idx="79">
                  <c:v>8.698466564216974E-5</c:v>
                </c:pt>
                <c:pt idx="80">
                  <c:v>2.4718485340805085E-5</c:v>
                </c:pt>
                <c:pt idx="81">
                  <c:v>6.3711228738672916E-6</c:v>
                </c:pt>
                <c:pt idx="82">
                  <c:v>1.4893016626206924E-6</c:v>
                </c:pt>
                <c:pt idx="83">
                  <c:v>3.1571230261198056E-7</c:v>
                </c:pt>
                <c:pt idx="84">
                  <c:v>6.0690485710844299E-8</c:v>
                </c:pt>
                <c:pt idx="85">
                  <c:v>1.057923549729913E-8</c:v>
                </c:pt>
                <c:pt idx="86">
                  <c:v>1.6721731191930173E-9</c:v>
                </c:pt>
                <c:pt idx="87">
                  <c:v>2.3965880868322793E-10</c:v>
                </c:pt>
                <c:pt idx="88">
                  <c:v>3.1144763133150673E-11</c:v>
                </c:pt>
                <c:pt idx="89">
                  <c:v>3.6698827038639711E-12</c:v>
                </c:pt>
                <c:pt idx="90">
                  <c:v>3.9209590223908242E-13</c:v>
                </c:pt>
                <c:pt idx="91">
                  <c:v>3.7984302080688424E-14</c:v>
                </c:pt>
                <c:pt idx="92">
                  <c:v>3.3364760597145137E-15</c:v>
                </c:pt>
                <c:pt idx="93">
                  <c:v>2.6573363022564776E-16</c:v>
                </c:pt>
                <c:pt idx="94">
                  <c:v>1.9190519194776433E-17</c:v>
                </c:pt>
                <c:pt idx="95">
                  <c:v>1.2566810369517997E-18</c:v>
                </c:pt>
                <c:pt idx="96">
                  <c:v>7.4627573538992303E-20</c:v>
                </c:pt>
                <c:pt idx="97">
                  <c:v>4.0197426171433338E-21</c:v>
                </c:pt>
                <c:pt idx="98">
                  <c:v>1.9648848695036541E-22</c:v>
                </c:pt>
                <c:pt idx="99">
                  <c:v>8.7268355427146377E-24</c:v>
                </c:pt>
                <c:pt idx="100">
                  <c:v>3.5331468948264707E-25</c:v>
                </c:pt>
                <c:pt idx="101">
                  <c:v>1.3151740556612273E-26</c:v>
                </c:pt>
                <c:pt idx="102">
                  <c:v>4.6045391698187953E-28</c:v>
                </c:pt>
                <c:pt idx="103">
                  <c:v>1.6027438424197332E-29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128-4E4D-A374-25E73A119BF1}"/>
            </c:ext>
          </c:extLst>
        </c:ser>
        <c:ser>
          <c:idx val="58"/>
          <c:order val="58"/>
          <c:spPr>
            <a:solidFill>
              <a:schemeClr val="accent5"/>
            </a:solidFill>
            <a:ln/>
            <a:effectLst/>
            <a:sp3d/>
          </c:spPr>
          <c:val>
            <c:numRef>
              <c:f>NaiwnaGęstość!$BV$5:$BV$108</c:f>
              <c:numCache>
                <c:formatCode>General</c:formatCode>
                <c:ptCount val="104"/>
                <c:pt idx="0">
                  <c:v>2.0965494299087572E-5</c:v>
                </c:pt>
                <c:pt idx="1">
                  <c:v>4.8077210901594475E-5</c:v>
                </c:pt>
                <c:pt idx="2">
                  <c:v>1.049814459664962E-4</c:v>
                </c:pt>
                <c:pt idx="3">
                  <c:v>2.1837067294851173E-4</c:v>
                </c:pt>
                <c:pt idx="4">
                  <c:v>4.329049792048586E-4</c:v>
                </c:pt>
                <c:pt idx="5">
                  <c:v>8.1839492740727593E-4</c:v>
                </c:pt>
                <c:pt idx="6">
                  <c:v>1.4764505667491108E-3</c:v>
                </c:pt>
                <c:pt idx="7">
                  <c:v>2.5441571454778451E-3</c:v>
                </c:pt>
                <c:pt idx="8">
                  <c:v>4.1918336525110251E-3</c:v>
                </c:pt>
                <c:pt idx="9">
                  <c:v>6.612421462373624E-3</c:v>
                </c:pt>
                <c:pt idx="10">
                  <c:v>1.0001852766304975E-2</c:v>
                </c:pt>
                <c:pt idx="11">
                  <c:v>1.4532561791617056E-2</c:v>
                </c:pt>
                <c:pt idx="12">
                  <c:v>2.0325068465411569E-2</c:v>
                </c:pt>
                <c:pt idx="13">
                  <c:v>2.7423825643250403E-2</c:v>
                </c:pt>
                <c:pt idx="14">
                  <c:v>3.5782266376417814E-2</c:v>
                </c:pt>
                <c:pt idx="15">
                  <c:v>4.5258552862030246E-2</c:v>
                </c:pt>
                <c:pt idx="16">
                  <c:v>5.5619824673597149E-2</c:v>
                </c:pt>
                <c:pt idx="17">
                  <c:v>6.6551323230299123E-2</c:v>
                </c:pt>
                <c:pt idx="18">
                  <c:v>7.7669027349812098E-2</c:v>
                </c:pt>
                <c:pt idx="19">
                  <c:v>8.8539108952827905E-2</c:v>
                </c:pt>
                <c:pt idx="20">
                  <c:v>9.8710844707963902E-2</c:v>
                </c:pt>
                <c:pt idx="21">
                  <c:v>0.10776757787792253</c:v>
                </c:pt>
                <c:pt idx="22">
                  <c:v>0.115391799038808</c:v>
                </c:pt>
                <c:pt idx="23">
                  <c:v>0.12142900123413408</c:v>
                </c:pt>
                <c:pt idx="24">
                  <c:v>0.12592764886360314</c:v>
                </c:pt>
                <c:pt idx="25">
                  <c:v>0.12913558267976349</c:v>
                </c:pt>
                <c:pt idx="26">
                  <c:v>0.13144741813733513</c:v>
                </c:pt>
                <c:pt idx="27">
                  <c:v>0.13331711676798663</c:v>
                </c:pt>
                <c:pt idx="28">
                  <c:v>0.1351650535914862</c:v>
                </c:pt>
                <c:pt idx="29">
                  <c:v>0.13731133380371413</c:v>
                </c:pt>
                <c:pt idx="30">
                  <c:v>0.13995499531579639</c:v>
                </c:pt>
                <c:pt idx="31">
                  <c:v>0.1431973998257936</c:v>
                </c:pt>
                <c:pt idx="32">
                  <c:v>0.14708675943044322</c:v>
                </c:pt>
                <c:pt idx="33">
                  <c:v>0.15164825011164138</c:v>
                </c:pt>
                <c:pt idx="34">
                  <c:v>0.15686731075918517</c:v>
                </c:pt>
                <c:pt idx="35">
                  <c:v>0.16261693081708026</c:v>
                </c:pt>
                <c:pt idx="36">
                  <c:v>0.16856132778944491</c:v>
                </c:pt>
                <c:pt idx="37">
                  <c:v>0.17411233640570906</c:v>
                </c:pt>
                <c:pt idx="38">
                  <c:v>0.17852832048441578</c:v>
                </c:pt>
                <c:pt idx="39">
                  <c:v>0.18119763807356654</c:v>
                </c:pt>
                <c:pt idx="40">
                  <c:v>0.18204483617304071</c:v>
                </c:pt>
                <c:pt idx="41">
                  <c:v>0.18189371514122987</c:v>
                </c:pt>
                <c:pt idx="42">
                  <c:v>0.18258908606326724</c:v>
                </c:pt>
                <c:pt idx="43">
                  <c:v>0.18674575196165411</c:v>
                </c:pt>
                <c:pt idx="44">
                  <c:v>0.19712106296970353</c:v>
                </c:pt>
                <c:pt idx="45">
                  <c:v>0.21574097803728393</c:v>
                </c:pt>
                <c:pt idx="46">
                  <c:v>0.24303063101199682</c:v>
                </c:pt>
                <c:pt idx="47">
                  <c:v>0.27730317718362824</c:v>
                </c:pt>
                <c:pt idx="48">
                  <c:v>0.31496926369854483</c:v>
                </c:pt>
                <c:pt idx="49">
                  <c:v>0.3516031038169487</c:v>
                </c:pt>
                <c:pt idx="50">
                  <c:v>0.38351372830184377</c:v>
                </c:pt>
                <c:pt idx="51">
                  <c:v>0.40899351325626887</c:v>
                </c:pt>
                <c:pt idx="52">
                  <c:v>0.42840646337927535</c:v>
                </c:pt>
                <c:pt idx="53">
                  <c:v>0.442942884991262</c:v>
                </c:pt>
                <c:pt idx="54">
                  <c:v>0.45283133764367106</c:v>
                </c:pt>
                <c:pt idx="55">
                  <c:v>0.4563103911807101</c:v>
                </c:pt>
                <c:pt idx="56">
                  <c:v>0.45022641299252125</c:v>
                </c:pt>
                <c:pt idx="57">
                  <c:v>0.43198926277710964</c:v>
                </c:pt>
                <c:pt idx="58">
                  <c:v>0.40163301791071054</c:v>
                </c:pt>
                <c:pt idx="59">
                  <c:v>0.36264289049462872</c:v>
                </c:pt>
                <c:pt idx="60">
                  <c:v>0.32103778155838675</c:v>
                </c:pt>
                <c:pt idx="61">
                  <c:v>0.28324722119196677</c:v>
                </c:pt>
                <c:pt idx="62">
                  <c:v>0.25385376011689448</c:v>
                </c:pt>
                <c:pt idx="63">
                  <c:v>0.23412127364352939</c:v>
                </c:pt>
                <c:pt idx="64">
                  <c:v>0.22175932729261841</c:v>
                </c:pt>
                <c:pt idx="65">
                  <c:v>0.21194394896124205</c:v>
                </c:pt>
                <c:pt idx="66">
                  <c:v>0.19926042287461077</c:v>
                </c:pt>
                <c:pt idx="67">
                  <c:v>0.17987418426407711</c:v>
                </c:pt>
                <c:pt idx="68">
                  <c:v>0.15301557586150327</c:v>
                </c:pt>
                <c:pt idx="69">
                  <c:v>0.12108302522423692</c:v>
                </c:pt>
                <c:pt idx="70">
                  <c:v>8.8366504688687078E-2</c:v>
                </c:pt>
                <c:pt idx="71">
                  <c:v>5.9145758613930191E-2</c:v>
                </c:pt>
                <c:pt idx="72">
                  <c:v>3.61746724577134E-2</c:v>
                </c:pt>
                <c:pt idx="73">
                  <c:v>2.0168779368541487E-2</c:v>
                </c:pt>
                <c:pt idx="74">
                  <c:v>1.0233909713256391E-2</c:v>
                </c:pt>
                <c:pt idx="75">
                  <c:v>4.7207158697090057E-3</c:v>
                </c:pt>
                <c:pt idx="76">
                  <c:v>1.9780842484754817E-3</c:v>
                </c:pt>
                <c:pt idx="77">
                  <c:v>7.5252210045312329E-4</c:v>
                </c:pt>
                <c:pt idx="78">
                  <c:v>2.5981673547306646E-4</c:v>
                </c:pt>
                <c:pt idx="79">
                  <c:v>8.1390183503399764E-5</c:v>
                </c:pt>
                <c:pt idx="80">
                  <c:v>2.3128695183066518E-5</c:v>
                </c:pt>
                <c:pt idx="81">
                  <c:v>5.9613585103416032E-6</c:v>
                </c:pt>
                <c:pt idx="82">
                  <c:v>1.3935159635540871E-6</c:v>
                </c:pt>
                <c:pt idx="83">
                  <c:v>2.954070308638637E-7</c:v>
                </c:pt>
                <c:pt idx="84">
                  <c:v>5.6787143592899426E-8</c:v>
                </c:pt>
                <c:pt idx="85">
                  <c:v>9.8988294111630555E-9</c:v>
                </c:pt>
                <c:pt idx="86">
                  <c:v>1.5646277102323192E-9</c:v>
                </c:pt>
                <c:pt idx="87">
                  <c:v>2.2424539011094854E-10</c:v>
                </c:pt>
                <c:pt idx="88">
                  <c:v>2.9141755226234092E-11</c:v>
                </c:pt>
                <c:pt idx="89">
                  <c:v>3.4338690911754216E-12</c:v>
                </c:pt>
                <c:pt idx="90">
                  <c:v>3.668810711518466E-13</c:v>
                </c:pt>
                <c:pt idx="91">
                  <c:v>3.5541817609482859E-14</c:v>
                </c:pt>
                <c:pt idx="92">
                  <c:v>3.12196402416915E-15</c:v>
                </c:pt>
                <c:pt idx="93">
                  <c:v>2.4865345794515039E-16</c:v>
                </c:pt>
                <c:pt idx="94">
                  <c:v>1.7957680210445606E-17</c:v>
                </c:pt>
                <c:pt idx="95">
                  <c:v>1.1760331506922694E-18</c:v>
                </c:pt>
                <c:pt idx="96">
                  <c:v>6.9848698522936005E-20</c:v>
                </c:pt>
                <c:pt idx="97">
                  <c:v>3.7635457396700957E-21</c:v>
                </c:pt>
                <c:pt idx="98">
                  <c:v>1.8409953154987393E-22</c:v>
                </c:pt>
                <c:pt idx="99">
                  <c:v>8.1906411766642486E-24</c:v>
                </c:pt>
                <c:pt idx="100">
                  <c:v>3.3299722119769669E-25</c:v>
                </c:pt>
                <c:pt idx="101">
                  <c:v>1.2525282821607187E-26</c:v>
                </c:pt>
                <c:pt idx="102">
                  <c:v>4.4985378339785617E-28</c:v>
                </c:pt>
                <c:pt idx="103">
                  <c:v>1.6562832719321445E-29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F128-4E4D-A374-25E73A119BF1}"/>
            </c:ext>
          </c:extLst>
        </c:ser>
        <c:ser>
          <c:idx val="59"/>
          <c:order val="59"/>
          <c:spPr>
            <a:solidFill>
              <a:schemeClr val="accent6"/>
            </a:solidFill>
            <a:ln/>
            <a:effectLst/>
            <a:sp3d/>
          </c:spPr>
          <c:val>
            <c:numRef>
              <c:f>NaiwnaGęstość!$BW$5:$BW$108</c:f>
              <c:numCache>
                <c:formatCode>General</c:formatCode>
                <c:ptCount val="104"/>
                <c:pt idx="0">
                  <c:v>2.7696254726265617E-5</c:v>
                </c:pt>
                <c:pt idx="1">
                  <c:v>6.3511914418202137E-5</c:v>
                </c:pt>
                <c:pt idx="2">
                  <c:v>1.3868468005289567E-4</c:v>
                </c:pt>
                <c:pt idx="3">
                  <c:v>2.8847637439157516E-4</c:v>
                </c:pt>
                <c:pt idx="4">
                  <c:v>5.7188475526896048E-4</c:v>
                </c:pt>
                <c:pt idx="5">
                  <c:v>1.0811323621948675E-3</c:v>
                </c:pt>
                <c:pt idx="6">
                  <c:v>1.9504501255285095E-3</c:v>
                </c:pt>
                <c:pt idx="7">
                  <c:v>3.3609331294359138E-3</c:v>
                </c:pt>
                <c:pt idx="8">
                  <c:v>5.5375795559053607E-3</c:v>
                </c:pt>
                <c:pt idx="9">
                  <c:v>8.7352726611981662E-3</c:v>
                </c:pt>
                <c:pt idx="10">
                  <c:v>1.3212846689822273E-2</c:v>
                </c:pt>
                <c:pt idx="11">
                  <c:v>1.9198094138106626E-2</c:v>
                </c:pt>
                <c:pt idx="12">
                  <c:v>2.6850226639842507E-2</c:v>
                </c:pt>
                <c:pt idx="13">
                  <c:v>3.6227968191392151E-2</c:v>
                </c:pt>
                <c:pt idx="14">
                  <c:v>4.7269801994961148E-2</c:v>
                </c:pt>
                <c:pt idx="15">
                  <c:v>5.9788354652028926E-2</c:v>
                </c:pt>
                <c:pt idx="16">
                  <c:v>7.3476008245468433E-2</c:v>
                </c:pt>
                <c:pt idx="17">
                  <c:v>8.7916954127603003E-2</c:v>
                </c:pt>
                <c:pt idx="18">
                  <c:v>0.10260388498954968</c:v>
                </c:pt>
                <c:pt idx="19">
                  <c:v>0.11696369662157298</c:v>
                </c:pt>
                <c:pt idx="20">
                  <c:v>0.13040096549701063</c:v>
                </c:pt>
                <c:pt idx="21">
                  <c:v>0.14236527132731094</c:v>
                </c:pt>
                <c:pt idx="22">
                  <c:v>0.15243717085836511</c:v>
                </c:pt>
                <c:pt idx="23">
                  <c:v>0.16041255093504864</c:v>
                </c:pt>
                <c:pt idx="24">
                  <c:v>0.16635541950197674</c:v>
                </c:pt>
                <c:pt idx="25">
                  <c:v>0.17059311901315324</c:v>
                </c:pt>
                <c:pt idx="26">
                  <c:v>0.17364670672382165</c:v>
                </c:pt>
                <c:pt idx="27">
                  <c:v>0.17611505527326249</c:v>
                </c:pt>
                <c:pt idx="28">
                  <c:v>0.17855100132122337</c:v>
                </c:pt>
                <c:pt idx="29">
                  <c:v>0.18137073449836691</c:v>
                </c:pt>
                <c:pt idx="30">
                  <c:v>0.18482135689543736</c:v>
                </c:pt>
                <c:pt idx="31">
                  <c:v>0.1890037756893353</c:v>
                </c:pt>
                <c:pt idx="32">
                  <c:v>0.19392179555100614</c:v>
                </c:pt>
                <c:pt idx="33">
                  <c:v>0.19951539887065051</c:v>
                </c:pt>
                <c:pt idx="34">
                  <c:v>0.20564381231212389</c:v>
                </c:pt>
                <c:pt idx="35">
                  <c:v>0.2120133833698257</c:v>
                </c:pt>
                <c:pt idx="36">
                  <c:v>0.21809007692548701</c:v>
                </c:pt>
                <c:pt idx="37">
                  <c:v>0.22307741361672515</c:v>
                </c:pt>
                <c:pt idx="38">
                  <c:v>0.22604663707921122</c:v>
                </c:pt>
                <c:pt idx="39">
                  <c:v>0.22625136900932413</c:v>
                </c:pt>
                <c:pt idx="40">
                  <c:v>0.22355416589176014</c:v>
                </c:pt>
                <c:pt idx="41">
                  <c:v>0.21879352587916884</c:v>
                </c:pt>
                <c:pt idx="42">
                  <c:v>0.21389509302217913</c:v>
                </c:pt>
                <c:pt idx="43">
                  <c:v>0.21160351946582298</c:v>
                </c:pt>
                <c:pt idx="44">
                  <c:v>0.21484229243898789</c:v>
                </c:pt>
                <c:pt idx="45">
                  <c:v>0.22584104435860408</c:v>
                </c:pt>
                <c:pt idx="46">
                  <c:v>0.24528171304544732</c:v>
                </c:pt>
                <c:pt idx="47">
                  <c:v>0.27180029403047024</c:v>
                </c:pt>
                <c:pt idx="48">
                  <c:v>0.30217546209904989</c:v>
                </c:pt>
                <c:pt idx="49">
                  <c:v>0.33231901607633263</c:v>
                </c:pt>
                <c:pt idx="50">
                  <c:v>0.3587377546847097</c:v>
                </c:pt>
                <c:pt idx="51">
                  <c:v>0.37970774550997688</c:v>
                </c:pt>
                <c:pt idx="52">
                  <c:v>0.39539713383711428</c:v>
                </c:pt>
                <c:pt idx="53">
                  <c:v>0.40677498627622732</c:v>
                </c:pt>
                <c:pt idx="54">
                  <c:v>0.41401370731162057</c:v>
                </c:pt>
                <c:pt idx="55">
                  <c:v>0.41555562979892879</c:v>
                </c:pt>
                <c:pt idx="56">
                  <c:v>0.4086264295041937</c:v>
                </c:pt>
                <c:pt idx="57">
                  <c:v>0.39096288117361722</c:v>
                </c:pt>
                <c:pt idx="58">
                  <c:v>0.36263940643336445</c:v>
                </c:pt>
                <c:pt idx="59">
                  <c:v>0.32679819637815738</c:v>
                </c:pt>
                <c:pt idx="60">
                  <c:v>0.28882615076269247</c:v>
                </c:pt>
                <c:pt idx="61">
                  <c:v>0.25445884722907847</c:v>
                </c:pt>
                <c:pt idx="62">
                  <c:v>0.22776720142929388</c:v>
                </c:pt>
                <c:pt idx="63">
                  <c:v>0.20984784698424822</c:v>
                </c:pt>
                <c:pt idx="64">
                  <c:v>0.19861819030939407</c:v>
                </c:pt>
                <c:pt idx="65">
                  <c:v>0.18973347093409035</c:v>
                </c:pt>
                <c:pt idx="66">
                  <c:v>0.17832660087039678</c:v>
                </c:pt>
                <c:pt idx="67">
                  <c:v>0.16095042464467807</c:v>
                </c:pt>
                <c:pt idx="68">
                  <c:v>0.13690514404236875</c:v>
                </c:pt>
                <c:pt idx="69">
                  <c:v>0.10832934861134226</c:v>
                </c:pt>
                <c:pt idx="70">
                  <c:v>7.9056736404153324E-2</c:v>
                </c:pt>
                <c:pt idx="71">
                  <c:v>5.2913718047912263E-2</c:v>
                </c:pt>
                <c:pt idx="72">
                  <c:v>3.2362757927701227E-2</c:v>
                </c:pt>
                <c:pt idx="73">
                  <c:v>1.8043397292101374E-2</c:v>
                </c:pt>
                <c:pt idx="74">
                  <c:v>9.1554338039296947E-3</c:v>
                </c:pt>
                <c:pt idx="75">
                  <c:v>4.2232264003098348E-3</c:v>
                </c:pt>
                <c:pt idx="76">
                  <c:v>1.7696229748181108E-3</c:v>
                </c:pt>
                <c:pt idx="77">
                  <c:v>6.7321668993161924E-4</c:v>
                </c:pt>
                <c:pt idx="78">
                  <c:v>2.3243552861101156E-4</c:v>
                </c:pt>
                <c:pt idx="79">
                  <c:v>7.2812723962167389E-5</c:v>
                </c:pt>
                <c:pt idx="80">
                  <c:v>2.0691229904471463E-5</c:v>
                </c:pt>
                <c:pt idx="81">
                  <c:v>5.3331081185319026E-6</c:v>
                </c:pt>
                <c:pt idx="82">
                  <c:v>1.24665739289027E-6</c:v>
                </c:pt>
                <c:pt idx="83">
                  <c:v>2.6427499149156866E-7</c:v>
                </c:pt>
                <c:pt idx="84">
                  <c:v>5.0802536479596572E-8</c:v>
                </c:pt>
                <c:pt idx="85">
                  <c:v>8.8556292619727149E-9</c:v>
                </c:pt>
                <c:pt idx="86">
                  <c:v>1.3997385955496156E-9</c:v>
                </c:pt>
                <c:pt idx="87">
                  <c:v>2.0061341036856796E-10</c:v>
                </c:pt>
                <c:pt idx="88">
                  <c:v>2.6070715730105542E-11</c:v>
                </c:pt>
                <c:pt idx="89">
                  <c:v>3.0720075995459685E-12</c:v>
                </c:pt>
                <c:pt idx="90">
                  <c:v>3.2822073338747187E-13</c:v>
                </c:pt>
                <c:pt idx="91">
                  <c:v>3.1796844658665176E-14</c:v>
                </c:pt>
                <c:pt idx="92">
                  <c:v>2.7930506970474228E-15</c:v>
                </c:pt>
                <c:pt idx="93">
                  <c:v>2.224628316298353E-16</c:v>
                </c:pt>
                <c:pt idx="94">
                  <c:v>1.6067053889992226E-17</c:v>
                </c:pt>
                <c:pt idx="95">
                  <c:v>1.0523291637248134E-18</c:v>
                </c:pt>
                <c:pt idx="96">
                  <c:v>6.2515269757104991E-20</c:v>
                </c:pt>
                <c:pt idx="97">
                  <c:v>3.3700212887051223E-21</c:v>
                </c:pt>
                <c:pt idx="98">
                  <c:v>1.6502787128176935E-22</c:v>
                </c:pt>
                <c:pt idx="99">
                  <c:v>7.3607809791543141E-24</c:v>
                </c:pt>
                <c:pt idx="100">
                  <c:v>3.0110124875820266E-25</c:v>
                </c:pt>
                <c:pt idx="101">
                  <c:v>1.1496845598828942E-26</c:v>
                </c:pt>
                <c:pt idx="102">
                  <c:v>4.2771273925087881E-28</c:v>
                </c:pt>
                <c:pt idx="103">
                  <c:v>1.6898627871727618E-29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F128-4E4D-A374-25E73A119BF1}"/>
            </c:ext>
          </c:extLst>
        </c:ser>
        <c:ser>
          <c:idx val="60"/>
          <c:order val="60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NaiwnaGęstość!$BX$5:$BX$108</c:f>
              <c:numCache>
                <c:formatCode>General</c:formatCode>
                <c:ptCount val="104"/>
                <c:pt idx="0">
                  <c:v>3.4937750340301605E-5</c:v>
                </c:pt>
                <c:pt idx="1">
                  <c:v>8.0117814899839304E-5</c:v>
                </c:pt>
                <c:pt idx="2">
                  <c:v>1.7494534100733944E-4</c:v>
                </c:pt>
                <c:pt idx="3">
                  <c:v>3.6390174943076774E-4</c:v>
                </c:pt>
                <c:pt idx="4">
                  <c:v>7.2141042175147014E-4</c:v>
                </c:pt>
                <c:pt idx="5">
                  <c:v>1.3638065120539055E-3</c:v>
                </c:pt>
                <c:pt idx="6">
                  <c:v>2.4604171289737821E-3</c:v>
                </c:pt>
                <c:pt idx="7">
                  <c:v>4.2396866921982253E-3</c:v>
                </c:pt>
                <c:pt idx="8">
                  <c:v>6.9854416752710901E-3</c:v>
                </c:pt>
                <c:pt idx="9">
                  <c:v>1.1019207412978379E-2</c:v>
                </c:pt>
                <c:pt idx="10">
                  <c:v>1.6667493258426348E-2</c:v>
                </c:pt>
                <c:pt idx="11">
                  <c:v>2.4217650604241643E-2</c:v>
                </c:pt>
                <c:pt idx="12">
                  <c:v>3.3870518746843513E-2</c:v>
                </c:pt>
                <c:pt idx="13">
                  <c:v>4.570017572834148E-2</c:v>
                </c:pt>
                <c:pt idx="14">
                  <c:v>5.9629020496018523E-2</c:v>
                </c:pt>
                <c:pt idx="15">
                  <c:v>7.5420688780314243E-2</c:v>
                </c:pt>
                <c:pt idx="16">
                  <c:v>9.2687132518589982E-2</c:v>
                </c:pt>
                <c:pt idx="17">
                  <c:v>0.11090382524088564</c:v>
                </c:pt>
                <c:pt idx="18">
                  <c:v>0.12943081846731108</c:v>
                </c:pt>
                <c:pt idx="19">
                  <c:v>0.1475451634795957</c:v>
                </c:pt>
                <c:pt idx="20">
                  <c:v>0.16449575659496024</c:v>
                </c:pt>
                <c:pt idx="21">
                  <c:v>0.17958826388984817</c:v>
                </c:pt>
                <c:pt idx="22">
                  <c:v>0.19229357343833761</c:v>
                </c:pt>
                <c:pt idx="23">
                  <c:v>0.20235420159769518</c:v>
                </c:pt>
                <c:pt idx="24">
                  <c:v>0.20985087868941163</c:v>
                </c:pt>
                <c:pt idx="25">
                  <c:v>0.21519647889209373</c:v>
                </c:pt>
                <c:pt idx="26">
                  <c:v>0.21904808585308738</c:v>
                </c:pt>
                <c:pt idx="27">
                  <c:v>0.22216044584219868</c:v>
                </c:pt>
                <c:pt idx="28">
                  <c:v>0.22522880773951695</c:v>
                </c:pt>
                <c:pt idx="29">
                  <c:v>0.22877246690735051</c:v>
                </c:pt>
                <c:pt idx="30">
                  <c:v>0.23308959772901799</c:v>
                </c:pt>
                <c:pt idx="31">
                  <c:v>0.2382792868001784</c:v>
                </c:pt>
                <c:pt idx="32">
                  <c:v>0.24429514496524493</c:v>
                </c:pt>
                <c:pt idx="33">
                  <c:v>0.25098173222636438</c:v>
                </c:pt>
                <c:pt idx="34">
                  <c:v>0.25805758118366445</c:v>
                </c:pt>
                <c:pt idx="35">
                  <c:v>0.26504467300686663</c:v>
                </c:pt>
                <c:pt idx="36">
                  <c:v>0.27119202608093751</c:v>
                </c:pt>
                <c:pt idx="37">
                  <c:v>0.27547825340165549</c:v>
                </c:pt>
                <c:pt idx="38">
                  <c:v>0.27677533672906329</c:v>
                </c:pt>
                <c:pt idx="39">
                  <c:v>0.27419442445039094</c:v>
                </c:pt>
                <c:pt idx="40">
                  <c:v>0.26752985452234546</c:v>
                </c:pt>
                <c:pt idx="41">
                  <c:v>0.25762585827178042</c:v>
                </c:pt>
                <c:pt idx="42">
                  <c:v>0.24647440735430359</c:v>
                </c:pt>
                <c:pt idx="43">
                  <c:v>0.23693121924370508</c:v>
                </c:pt>
                <c:pt idx="44">
                  <c:v>0.23206950564347961</c:v>
                </c:pt>
                <c:pt idx="45">
                  <c:v>0.23431999872205084</c:v>
                </c:pt>
                <c:pt idx="46">
                  <c:v>0.24464578233840811</c:v>
                </c:pt>
                <c:pt idx="47">
                  <c:v>0.26206507266619816</c:v>
                </c:pt>
                <c:pt idx="48">
                  <c:v>0.28381385359494277</c:v>
                </c:pt>
                <c:pt idx="49">
                  <c:v>0.30623808921541168</c:v>
                </c:pt>
                <c:pt idx="50">
                  <c:v>0.32611315378317102</c:v>
                </c:pt>
                <c:pt idx="51">
                  <c:v>0.34171903445650254</c:v>
                </c:pt>
                <c:pt idx="52">
                  <c:v>0.35300053506501106</c:v>
                </c:pt>
                <c:pt idx="53">
                  <c:v>0.36066434489715349</c:v>
                </c:pt>
                <c:pt idx="54">
                  <c:v>0.36481722490606211</c:v>
                </c:pt>
                <c:pt idx="55">
                  <c:v>0.36415177653771147</c:v>
                </c:pt>
                <c:pt idx="56">
                  <c:v>0.35635793150368916</c:v>
                </c:pt>
                <c:pt idx="57">
                  <c:v>0.33957093661391313</c:v>
                </c:pt>
                <c:pt idx="58">
                  <c:v>0.31390980572420701</c:v>
                </c:pt>
                <c:pt idx="59">
                  <c:v>0.28208868337847809</c:v>
                </c:pt>
                <c:pt idx="60">
                  <c:v>0.24871102628568165</c:v>
                </c:pt>
                <c:pt idx="61">
                  <c:v>0.21865449681780466</c:v>
                </c:pt>
                <c:pt idx="62">
                  <c:v>0.19535953390854779</c:v>
                </c:pt>
                <c:pt idx="63">
                  <c:v>0.17971971527882599</c:v>
                </c:pt>
                <c:pt idx="64">
                  <c:v>0.16991412152369409</c:v>
                </c:pt>
                <c:pt idx="65">
                  <c:v>0.16219540448279315</c:v>
                </c:pt>
                <c:pt idx="66">
                  <c:v>0.15237791069216397</c:v>
                </c:pt>
                <c:pt idx="67">
                  <c:v>0.13749660522901314</c:v>
                </c:pt>
                <c:pt idx="68">
                  <c:v>0.11693964068891079</c:v>
                </c:pt>
                <c:pt idx="69">
                  <c:v>9.2524492210333084E-2</c:v>
                </c:pt>
                <c:pt idx="70">
                  <c:v>6.7519967471748835E-2</c:v>
                </c:pt>
                <c:pt idx="71">
                  <c:v>4.5191001590295952E-2</c:v>
                </c:pt>
                <c:pt idx="72">
                  <c:v>2.7639085105126492E-2</c:v>
                </c:pt>
                <c:pt idx="73">
                  <c:v>1.5409663971227137E-2</c:v>
                </c:pt>
                <c:pt idx="74">
                  <c:v>7.8190103307652133E-3</c:v>
                </c:pt>
                <c:pt idx="75">
                  <c:v>3.6067494712781418E-3</c:v>
                </c:pt>
                <c:pt idx="76">
                  <c:v>1.511303071596141E-3</c:v>
                </c:pt>
                <c:pt idx="77">
                  <c:v>5.749435105708566E-4</c:v>
                </c:pt>
                <c:pt idx="78">
                  <c:v>1.9850547183774194E-4</c:v>
                </c:pt>
                <c:pt idx="79">
                  <c:v>6.2183769152894056E-5</c:v>
                </c:pt>
                <c:pt idx="80">
                  <c:v>1.7670789610316268E-5</c:v>
                </c:pt>
                <c:pt idx="81">
                  <c:v>4.5545974588474517E-6</c:v>
                </c:pt>
                <c:pt idx="82">
                  <c:v>1.0646742713783833E-6</c:v>
                </c:pt>
                <c:pt idx="83">
                  <c:v>2.2569701499433244E-7</c:v>
                </c:pt>
                <c:pt idx="84">
                  <c:v>4.3386572204504623E-8</c:v>
                </c:pt>
                <c:pt idx="85">
                  <c:v>7.5629231397742931E-9</c:v>
                </c:pt>
                <c:pt idx="86">
                  <c:v>1.1954122195559954E-9</c:v>
                </c:pt>
                <c:pt idx="87">
                  <c:v>1.7132923580950316E-10</c:v>
                </c:pt>
                <c:pt idx="88">
                  <c:v>2.2265152288877317E-11</c:v>
                </c:pt>
                <c:pt idx="89">
                  <c:v>2.6235958012389843E-12</c:v>
                </c:pt>
                <c:pt idx="90">
                  <c:v>2.8031338640517737E-13</c:v>
                </c:pt>
                <c:pt idx="91">
                  <c:v>2.7156093661213878E-14</c:v>
                </c:pt>
                <c:pt idx="92">
                  <c:v>2.3854578469805957E-15</c:v>
                </c:pt>
                <c:pt idx="93">
                  <c:v>1.9000637439752372E-16</c:v>
                </c:pt>
                <c:pt idx="94">
                  <c:v>1.3724010246608492E-17</c:v>
                </c:pt>
                <c:pt idx="95">
                  <c:v>8.990097147872108E-19</c:v>
                </c:pt>
                <c:pt idx="96">
                  <c:v>5.3424477597433539E-20</c:v>
                </c:pt>
                <c:pt idx="97">
                  <c:v>2.8819948891698594E-21</c:v>
                </c:pt>
                <c:pt idx="98">
                  <c:v>1.4135421672637445E-22</c:v>
                </c:pt>
                <c:pt idx="99">
                  <c:v>6.3283437843191184E-24</c:v>
                </c:pt>
                <c:pt idx="100">
                  <c:v>2.6118352887968565E-25</c:v>
                </c:pt>
                <c:pt idx="101">
                  <c:v>1.0186590431676021E-26</c:v>
                </c:pt>
                <c:pt idx="102">
                  <c:v>3.9716985073937916E-28</c:v>
                </c:pt>
                <c:pt idx="103">
                  <c:v>1.7058868980600804E-29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F128-4E4D-A374-25E73A119BF1}"/>
            </c:ext>
          </c:extLst>
        </c:ser>
        <c:ser>
          <c:idx val="61"/>
          <c:order val="61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NaiwnaGęstość!$BY$5:$BY$108</c:f>
              <c:numCache>
                <c:formatCode>General</c:formatCode>
                <c:ptCount val="104"/>
                <c:pt idx="0">
                  <c:v>4.1999848201664167E-5</c:v>
                </c:pt>
                <c:pt idx="1">
                  <c:v>9.6312327819251056E-5</c:v>
                </c:pt>
                <c:pt idx="2">
                  <c:v>2.1030769566811214E-4</c:v>
                </c:pt>
                <c:pt idx="3">
                  <c:v>4.3745856809738532E-4</c:v>
                </c:pt>
                <c:pt idx="4">
                  <c:v>8.6723180254996094E-4</c:v>
                </c:pt>
                <c:pt idx="5">
                  <c:v>1.6394778119595045E-3</c:v>
                </c:pt>
                <c:pt idx="6">
                  <c:v>2.9577504253463947E-3</c:v>
                </c:pt>
                <c:pt idx="7">
                  <c:v>5.0966703854866454E-3</c:v>
                </c:pt>
                <c:pt idx="8">
                  <c:v>8.3974350702407507E-3</c:v>
                </c:pt>
                <c:pt idx="9">
                  <c:v>1.3246560930223569E-2</c:v>
                </c:pt>
                <c:pt idx="10">
                  <c:v>2.0036555872593266E-2</c:v>
                </c:pt>
                <c:pt idx="11">
                  <c:v>2.9112854699342071E-2</c:v>
                </c:pt>
                <c:pt idx="12">
                  <c:v>4.0716893103391716E-2</c:v>
                </c:pt>
                <c:pt idx="13">
                  <c:v>5.4937722797957056E-2</c:v>
                </c:pt>
                <c:pt idx="14">
                  <c:v>7.1682056939934014E-2</c:v>
                </c:pt>
                <c:pt idx="15">
                  <c:v>9.0665754067861898E-2</c:v>
                </c:pt>
                <c:pt idx="16">
                  <c:v>0.11142232851603202</c:v>
                </c:pt>
                <c:pt idx="17">
                  <c:v>0.13332122932159363</c:v>
                </c:pt>
                <c:pt idx="18">
                  <c:v>0.15559315282996683</c:v>
                </c:pt>
                <c:pt idx="19">
                  <c:v>0.17736901799881155</c:v>
                </c:pt>
                <c:pt idx="20">
                  <c:v>0.19774589774309562</c:v>
                </c:pt>
                <c:pt idx="21">
                  <c:v>0.21588910975633777</c:v>
                </c:pt>
                <c:pt idx="22">
                  <c:v>0.23116259030583566</c:v>
                </c:pt>
                <c:pt idx="23">
                  <c:v>0.24325680733332336</c:v>
                </c:pt>
                <c:pt idx="24">
                  <c:v>0.25226879876805791</c:v>
                </c:pt>
                <c:pt idx="25">
                  <c:v>0.2586948494989415</c:v>
                </c:pt>
                <c:pt idx="26">
                  <c:v>0.26332469182909829</c:v>
                </c:pt>
                <c:pt idx="27">
                  <c:v>0.26706505752791571</c:v>
                </c:pt>
                <c:pt idx="28">
                  <c:v>0.2707499995794056</c:v>
                </c:pt>
                <c:pt idx="29">
                  <c:v>0.27499915041765366</c:v>
                </c:pt>
                <c:pt idx="30">
                  <c:v>0.28015998349052013</c:v>
                </c:pt>
                <c:pt idx="31">
                  <c:v>0.28632875141366221</c:v>
                </c:pt>
                <c:pt idx="32">
                  <c:v>0.29340819356106007</c:v>
                </c:pt>
                <c:pt idx="33">
                  <c:v>0.30114681920408864</c:v>
                </c:pt>
                <c:pt idx="34">
                  <c:v>0.30912205345081023</c:v>
                </c:pt>
                <c:pt idx="35">
                  <c:v>0.3166720407629301</c:v>
                </c:pt>
                <c:pt idx="36">
                  <c:v>0.32283132583619484</c:v>
                </c:pt>
                <c:pt idx="37">
                  <c:v>0.3263585605662162</c:v>
                </c:pt>
                <c:pt idx="38">
                  <c:v>0.32593303653296424</c:v>
                </c:pt>
                <c:pt idx="39">
                  <c:v>0.32052893532199028</c:v>
                </c:pt>
                <c:pt idx="40">
                  <c:v>0.3098728548108195</c:v>
                </c:pt>
                <c:pt idx="41">
                  <c:v>0.29480660468787256</c:v>
                </c:pt>
                <c:pt idx="42">
                  <c:v>0.27737043452818949</c:v>
                </c:pt>
                <c:pt idx="43">
                  <c:v>0.26050561145765605</c:v>
                </c:pt>
                <c:pt idx="44">
                  <c:v>0.24740829428352168</c:v>
                </c:pt>
                <c:pt idx="45">
                  <c:v>0.24069100154040485</c:v>
                </c:pt>
                <c:pt idx="46">
                  <c:v>0.24159485796688446</c:v>
                </c:pt>
                <c:pt idx="47">
                  <c:v>0.24953856086628945</c:v>
                </c:pt>
                <c:pt idx="48">
                  <c:v>0.26225284697557438</c:v>
                </c:pt>
                <c:pt idx="49">
                  <c:v>0.276563500567231</c:v>
                </c:pt>
                <c:pt idx="50">
                  <c:v>0.28955217539193606</c:v>
                </c:pt>
                <c:pt idx="51">
                  <c:v>0.29951974465095049</c:v>
                </c:pt>
                <c:pt idx="52">
                  <c:v>0.30618317164612108</c:v>
                </c:pt>
                <c:pt idx="53">
                  <c:v>0.30997391208307529</c:v>
                </c:pt>
                <c:pt idx="54">
                  <c:v>0.31093055422887134</c:v>
                </c:pt>
                <c:pt idx="55">
                  <c:v>0.30801444568644415</c:v>
                </c:pt>
                <c:pt idx="56">
                  <c:v>0.29941292017892834</c:v>
                </c:pt>
                <c:pt idx="57">
                  <c:v>0.28368698818571159</c:v>
                </c:pt>
                <c:pt idx="58">
                  <c:v>0.26100009436514149</c:v>
                </c:pt>
                <c:pt idx="59">
                  <c:v>0.2336020427830007</c:v>
                </c:pt>
                <c:pt idx="60">
                  <c:v>0.20524999277156827</c:v>
                </c:pt>
                <c:pt idx="61">
                  <c:v>0.17989646559960668</c:v>
                </c:pt>
                <c:pt idx="62">
                  <c:v>0.16030343388980961</c:v>
                </c:pt>
                <c:pt idx="63">
                  <c:v>0.14714806817040768</c:v>
                </c:pt>
                <c:pt idx="64">
                  <c:v>0.13889489723806905</c:v>
                </c:pt>
                <c:pt idx="65">
                  <c:v>0.13244424020438078</c:v>
                </c:pt>
                <c:pt idx="66">
                  <c:v>0.12434833039549362</c:v>
                </c:pt>
                <c:pt idx="67">
                  <c:v>0.11216422970553125</c:v>
                </c:pt>
                <c:pt idx="68">
                  <c:v>9.5376030431372175E-2</c:v>
                </c:pt>
                <c:pt idx="69">
                  <c:v>7.5455011543554801E-2</c:v>
                </c:pt>
                <c:pt idx="70">
                  <c:v>5.5060265172195436E-2</c:v>
                </c:pt>
                <c:pt idx="71">
                  <c:v>3.6850540822215297E-2</c:v>
                </c:pt>
                <c:pt idx="72">
                  <c:v>2.2537586857987717E-2</c:v>
                </c:pt>
                <c:pt idx="73">
                  <c:v>1.2565277950993874E-2</c:v>
                </c:pt>
                <c:pt idx="74">
                  <c:v>6.3756987207711814E-3</c:v>
                </c:pt>
                <c:pt idx="75">
                  <c:v>2.9409669581944207E-3</c:v>
                </c:pt>
                <c:pt idx="76">
                  <c:v>1.2323230295886536E-3</c:v>
                </c:pt>
                <c:pt idx="77">
                  <c:v>4.688105973419738E-4</c:v>
                </c:pt>
                <c:pt idx="78">
                  <c:v>1.6186175284191895E-4</c:v>
                </c:pt>
                <c:pt idx="79">
                  <c:v>5.0704732485738786E-5</c:v>
                </c:pt>
                <c:pt idx="80">
                  <c:v>1.440878105019204E-5</c:v>
                </c:pt>
                <c:pt idx="81">
                  <c:v>3.7138232317784313E-6</c:v>
                </c:pt>
                <c:pt idx="82">
                  <c:v>8.6813653561979166E-7</c:v>
                </c:pt>
                <c:pt idx="83">
                  <c:v>1.8403365216157323E-7</c:v>
                </c:pt>
                <c:pt idx="84">
                  <c:v>3.5377493215374387E-8</c:v>
                </c:pt>
                <c:pt idx="85">
                  <c:v>6.1668284703600696E-9</c:v>
                </c:pt>
                <c:pt idx="86">
                  <c:v>9.7474405888644489E-10</c:v>
                </c:pt>
                <c:pt idx="87">
                  <c:v>1.3970292695075541E-10</c:v>
                </c:pt>
                <c:pt idx="88">
                  <c:v>1.8155217568949783E-11</c:v>
                </c:pt>
                <c:pt idx="89">
                  <c:v>2.1393189725294381E-12</c:v>
                </c:pt>
                <c:pt idx="90">
                  <c:v>2.2857415892205847E-13</c:v>
                </c:pt>
                <c:pt idx="91">
                  <c:v>2.2144128201154705E-14</c:v>
                </c:pt>
                <c:pt idx="92">
                  <c:v>1.9452580098573561E-15</c:v>
                </c:pt>
                <c:pt idx="93">
                  <c:v>1.5495291257562275E-16</c:v>
                </c:pt>
                <c:pt idx="94">
                  <c:v>1.1193415465611299E-17</c:v>
                </c:pt>
                <c:pt idx="95">
                  <c:v>7.3340819558269092E-19</c:v>
                </c:pt>
                <c:pt idx="96">
                  <c:v>4.360427158015254E-20</c:v>
                </c:pt>
                <c:pt idx="97">
                  <c:v>2.3546737804810684E-21</c:v>
                </c:pt>
                <c:pt idx="98">
                  <c:v>1.1575919083258939E-22</c:v>
                </c:pt>
                <c:pt idx="99">
                  <c:v>5.2105067565894178E-24</c:v>
                </c:pt>
                <c:pt idx="100">
                  <c:v>2.1780196607963543E-25</c:v>
                </c:pt>
                <c:pt idx="101">
                  <c:v>8.746805327020889E-27</c:v>
                </c:pt>
                <c:pt idx="102">
                  <c:v>3.6204030825915708E-28</c:v>
                </c:pt>
                <c:pt idx="103">
                  <c:v>1.7055332706670631E-29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F128-4E4D-A374-25E73A119BF1}"/>
            </c:ext>
          </c:extLst>
        </c:ser>
        <c:ser>
          <c:idx val="62"/>
          <c:order val="62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NaiwnaGęstość!$BZ$5:$BZ$108</c:f>
              <c:numCache>
                <c:formatCode>General</c:formatCode>
                <c:ptCount val="104"/>
                <c:pt idx="0">
                  <c:v>4.8148298179798805E-5</c:v>
                </c:pt>
                <c:pt idx="1">
                  <c:v>1.1041170091772113E-4</c:v>
                </c:pt>
                <c:pt idx="2">
                  <c:v>2.4109510091356525E-4</c:v>
                </c:pt>
                <c:pt idx="3">
                  <c:v>5.0149908820923189E-4</c:v>
                </c:pt>
                <c:pt idx="4">
                  <c:v>9.9418776991021186E-4</c:v>
                </c:pt>
                <c:pt idx="5">
                  <c:v>1.8794845679052372E-3</c:v>
                </c:pt>
                <c:pt idx="6">
                  <c:v>3.3907420030951968E-3</c:v>
                </c:pt>
                <c:pt idx="7">
                  <c:v>5.8427831516504802E-3</c:v>
                </c:pt>
                <c:pt idx="8">
                  <c:v>9.6267540245879007E-3</c:v>
                </c:pt>
                <c:pt idx="9">
                  <c:v>1.5185754064225541E-2</c:v>
                </c:pt>
                <c:pt idx="10">
                  <c:v>2.296975127190088E-2</c:v>
                </c:pt>
                <c:pt idx="11">
                  <c:v>3.3374749408583287E-2</c:v>
                </c:pt>
                <c:pt idx="12">
                  <c:v>4.6677528468291429E-2</c:v>
                </c:pt>
                <c:pt idx="13">
                  <c:v>6.2980176640027891E-2</c:v>
                </c:pt>
                <c:pt idx="14">
                  <c:v>8.217575061493923E-2</c:v>
                </c:pt>
                <c:pt idx="15">
                  <c:v>0.10393851283926164</c:v>
                </c:pt>
                <c:pt idx="16">
                  <c:v>0.12773368778663183</c:v>
                </c:pt>
                <c:pt idx="17">
                  <c:v>0.15283841675451584</c:v>
                </c:pt>
                <c:pt idx="18">
                  <c:v>0.17837077603736853</c:v>
                </c:pt>
                <c:pt idx="19">
                  <c:v>0.20333445790993432</c:v>
                </c:pt>
                <c:pt idx="20">
                  <c:v>0.22669435379991792</c:v>
                </c:pt>
                <c:pt idx="21">
                  <c:v>0.24749359036693158</c:v>
                </c:pt>
                <c:pt idx="22">
                  <c:v>0.26500298877210299</c:v>
                </c:pt>
                <c:pt idx="23">
                  <c:v>0.27886770210744999</c:v>
                </c:pt>
                <c:pt idx="24">
                  <c:v>0.28919896559191494</c:v>
                </c:pt>
                <c:pt idx="25">
                  <c:v>0.29656568139308292</c:v>
                </c:pt>
                <c:pt idx="26">
                  <c:v>0.30187306057486046</c:v>
                </c:pt>
                <c:pt idx="27">
                  <c:v>0.30616012821448396</c:v>
                </c:pt>
                <c:pt idx="28">
                  <c:v>0.31038169558342321</c:v>
                </c:pt>
                <c:pt idx="29">
                  <c:v>0.31524451492750521</c:v>
                </c:pt>
                <c:pt idx="30">
                  <c:v>0.32113842077841037</c:v>
                </c:pt>
                <c:pt idx="31">
                  <c:v>0.32815603154494416</c:v>
                </c:pt>
                <c:pt idx="32">
                  <c:v>0.33615367874172941</c:v>
                </c:pt>
                <c:pt idx="33">
                  <c:v>0.3447929486798591</c:v>
                </c:pt>
                <c:pt idx="34">
                  <c:v>0.35352411644806164</c:v>
                </c:pt>
                <c:pt idx="35">
                  <c:v>0.36152082220761422</c:v>
                </c:pt>
                <c:pt idx="36">
                  <c:v>0.367627685355921</c:v>
                </c:pt>
                <c:pt idx="37">
                  <c:v>0.37041116457758827</c:v>
                </c:pt>
                <c:pt idx="38">
                  <c:v>0.36838459294543313</c:v>
                </c:pt>
                <c:pt idx="39">
                  <c:v>0.36040508443841579</c:v>
                </c:pt>
                <c:pt idx="40">
                  <c:v>0.34613892501540028</c:v>
                </c:pt>
                <c:pt idx="41">
                  <c:v>0.32641698290590326</c:v>
                </c:pt>
                <c:pt idx="42">
                  <c:v>0.30330345353987531</c:v>
                </c:pt>
                <c:pt idx="43">
                  <c:v>0.27978899109282407</c:v>
                </c:pt>
                <c:pt idx="44">
                  <c:v>0.25915136554771701</c:v>
                </c:pt>
                <c:pt idx="45">
                  <c:v>0.2441455648264666</c:v>
                </c:pt>
                <c:pt idx="46">
                  <c:v>0.23625903844035995</c:v>
                </c:pt>
                <c:pt idx="47">
                  <c:v>0.23528972155563829</c:v>
                </c:pt>
                <c:pt idx="48">
                  <c:v>0.23945286209358124</c:v>
                </c:pt>
                <c:pt idx="49">
                  <c:v>0.24605417449930278</c:v>
                </c:pt>
                <c:pt idx="50">
                  <c:v>0.25249086637431156</c:v>
                </c:pt>
                <c:pt idx="51">
                  <c:v>0.2571008053751262</c:v>
                </c:pt>
                <c:pt idx="52">
                  <c:v>0.2593915316862051</c:v>
                </c:pt>
                <c:pt idx="53">
                  <c:v>0.25953353739601903</c:v>
                </c:pt>
                <c:pt idx="54">
                  <c:v>0.25750147701970344</c:v>
                </c:pt>
                <c:pt idx="55">
                  <c:v>0.25251787976940249</c:v>
                </c:pt>
                <c:pt idx="56">
                  <c:v>0.24325234903635548</c:v>
                </c:pt>
                <c:pt idx="57">
                  <c:v>0.22867754434662607</c:v>
                </c:pt>
                <c:pt idx="58">
                  <c:v>0.20899663284888956</c:v>
                </c:pt>
                <c:pt idx="59">
                  <c:v>0.18600345192932929</c:v>
                </c:pt>
                <c:pt idx="60">
                  <c:v>0.16262766698110853</c:v>
                </c:pt>
                <c:pt idx="61">
                  <c:v>0.14191880901674966</c:v>
                </c:pt>
                <c:pt idx="62">
                  <c:v>0.12597803895597515</c:v>
                </c:pt>
                <c:pt idx="63">
                  <c:v>0.1152738538750009</c:v>
                </c:pt>
                <c:pt idx="64">
                  <c:v>0.10855265560575657</c:v>
                </c:pt>
                <c:pt idx="65">
                  <c:v>0.10335035481068486</c:v>
                </c:pt>
                <c:pt idx="66">
                  <c:v>9.6942450283859088E-2</c:v>
                </c:pt>
                <c:pt idx="67">
                  <c:v>8.7397790884946078E-2</c:v>
                </c:pt>
                <c:pt idx="68">
                  <c:v>7.4295205266936531E-2</c:v>
                </c:pt>
                <c:pt idx="69">
                  <c:v>5.8768145647745504E-2</c:v>
                </c:pt>
                <c:pt idx="70">
                  <c:v>4.2880028234248475E-2</c:v>
                </c:pt>
                <c:pt idx="71">
                  <c:v>2.869721997662314E-2</c:v>
                </c:pt>
                <c:pt idx="72">
                  <c:v>1.7550577626008673E-2</c:v>
                </c:pt>
                <c:pt idx="73">
                  <c:v>9.784734098995369E-3</c:v>
                </c:pt>
                <c:pt idx="74">
                  <c:v>4.964784606853706E-3</c:v>
                </c:pt>
                <c:pt idx="75">
                  <c:v>2.2901297185440065E-3</c:v>
                </c:pt>
                <c:pt idx="76">
                  <c:v>9.5960562790900212E-4</c:v>
                </c:pt>
                <c:pt idx="77">
                  <c:v>3.6506023799857002E-4</c:v>
                </c:pt>
                <c:pt idx="78">
                  <c:v>1.2604065059790683E-4</c:v>
                </c:pt>
                <c:pt idx="79">
                  <c:v>3.9483391287522729E-5</c:v>
                </c:pt>
                <c:pt idx="80">
                  <c:v>1.1220002362339641E-5</c:v>
                </c:pt>
                <c:pt idx="81">
                  <c:v>2.8919238410607278E-6</c:v>
                </c:pt>
                <c:pt idx="82">
                  <c:v>6.7601093951871466E-7</c:v>
                </c:pt>
                <c:pt idx="83">
                  <c:v>1.4330560006868863E-7</c:v>
                </c:pt>
                <c:pt idx="84">
                  <c:v>2.7548210637853049E-8</c:v>
                </c:pt>
                <c:pt idx="85">
                  <c:v>4.8020744650948024E-9</c:v>
                </c:pt>
                <c:pt idx="86">
                  <c:v>7.5902954504651366E-10</c:v>
                </c:pt>
                <c:pt idx="87">
                  <c:v>1.0878655791738891E-10</c:v>
                </c:pt>
                <c:pt idx="88">
                  <c:v>1.4137537568880781E-11</c:v>
                </c:pt>
                <c:pt idx="89">
                  <c:v>1.6659118112761814E-12</c:v>
                </c:pt>
                <c:pt idx="90">
                  <c:v>1.7799608873905316E-13</c:v>
                </c:pt>
                <c:pt idx="91">
                  <c:v>1.7244620955501179E-14</c:v>
                </c:pt>
                <c:pt idx="92">
                  <c:v>1.5149318039479016E-15</c:v>
                </c:pt>
                <c:pt idx="93">
                  <c:v>1.2068517509524512E-16</c:v>
                </c:pt>
                <c:pt idx="94">
                  <c:v>8.7194719536750712E-18</c:v>
                </c:pt>
                <c:pt idx="95">
                  <c:v>5.7150449514921593E-19</c:v>
                </c:pt>
                <c:pt idx="96">
                  <c:v>3.4002181186007907E-20</c:v>
                </c:pt>
                <c:pt idx="97">
                  <c:v>1.838928453438192E-21</c:v>
                </c:pt>
                <c:pt idx="98">
                  <c:v>9.0710879377579931E-23</c:v>
                </c:pt>
                <c:pt idx="99">
                  <c:v>4.1149495193583546E-24</c:v>
                </c:pt>
                <c:pt idx="100">
                  <c:v>1.7512421294198067E-25</c:v>
                </c:pt>
                <c:pt idx="101">
                  <c:v>7.3147163056954869E-27</c:v>
                </c:pt>
                <c:pt idx="102">
                  <c:v>3.2556524596245394E-28</c:v>
                </c:pt>
                <c:pt idx="103">
                  <c:v>1.6876085464685294E-29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F128-4E4D-A374-25E73A119BF1}"/>
            </c:ext>
          </c:extLst>
        </c:ser>
        <c:ser>
          <c:idx val="63"/>
          <c:order val="63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NaiwnaGęstość!$CA$5:$CA$108</c:f>
              <c:numCache>
                <c:formatCode>General</c:formatCode>
                <c:ptCount val="104"/>
                <c:pt idx="0">
                  <c:v>5.283833623594818E-5</c:v>
                </c:pt>
                <c:pt idx="1">
                  <c:v>1.2116670366391495E-4</c:v>
                </c:pt>
                <c:pt idx="2">
                  <c:v>2.6457973570197013E-4</c:v>
                </c:pt>
                <c:pt idx="3">
                  <c:v>5.5034920125045131E-4</c:v>
                </c:pt>
                <c:pt idx="4">
                  <c:v>1.0910297903368755E-3</c:v>
                </c:pt>
                <c:pt idx="5">
                  <c:v>2.062561737455529E-3</c:v>
                </c:pt>
                <c:pt idx="6">
                  <c:v>3.7210280076745406E-3</c:v>
                </c:pt>
                <c:pt idx="7">
                  <c:v>6.4119180197768546E-3</c:v>
                </c:pt>
                <c:pt idx="8">
                  <c:v>1.0564478605504647E-2</c:v>
                </c:pt>
                <c:pt idx="9">
                  <c:v>1.6664970717046403E-2</c:v>
                </c:pt>
                <c:pt idx="10">
                  <c:v>2.5207192919437651E-2</c:v>
                </c:pt>
                <c:pt idx="11">
                  <c:v>3.6625722978950885E-2</c:v>
                </c:pt>
                <c:pt idx="12">
                  <c:v>5.122430152485468E-2</c:v>
                </c:pt>
                <c:pt idx="13">
                  <c:v>6.9114960970757783E-2</c:v>
                </c:pt>
                <c:pt idx="14">
                  <c:v>9.0180340854816216E-2</c:v>
                </c:pt>
                <c:pt idx="15">
                  <c:v>0.11406297412126444</c:v>
                </c:pt>
                <c:pt idx="16">
                  <c:v>0.14017599373344644</c:v>
                </c:pt>
                <c:pt idx="17">
                  <c:v>0.16772612863879843</c:v>
                </c:pt>
                <c:pt idx="18">
                  <c:v>0.19574554854932333</c:v>
                </c:pt>
                <c:pt idx="19">
                  <c:v>0.22314089721738534</c:v>
                </c:pt>
                <c:pt idx="20">
                  <c:v>0.24877623802254631</c:v>
                </c:pt>
                <c:pt idx="21">
                  <c:v>0.27160149029051711</c:v>
                </c:pt>
                <c:pt idx="22">
                  <c:v>0.29081644694404624</c:v>
                </c:pt>
                <c:pt idx="23">
                  <c:v>0.3060316947528649</c:v>
                </c:pt>
                <c:pt idx="24">
                  <c:v>0.31736929791762286</c:v>
                </c:pt>
                <c:pt idx="25">
                  <c:v>0.32545354807521382</c:v>
                </c:pt>
                <c:pt idx="26">
                  <c:v>0.33127773219333018</c:v>
                </c:pt>
                <c:pt idx="27">
                  <c:v>0.33598175054369595</c:v>
                </c:pt>
                <c:pt idx="28">
                  <c:v>0.34061241393984243</c:v>
                </c:pt>
                <c:pt idx="29">
                  <c:v>0.34594262199755271</c:v>
                </c:pt>
                <c:pt idx="30">
                  <c:v>0.35239379328366488</c:v>
                </c:pt>
                <c:pt idx="31">
                  <c:v>0.36005425499204757</c:v>
                </c:pt>
                <c:pt idx="32">
                  <c:v>0.36874218173716838</c:v>
                </c:pt>
                <c:pt idx="33">
                  <c:v>0.37804856078253013</c:v>
                </c:pt>
                <c:pt idx="34">
                  <c:v>0.38732108187682995</c:v>
                </c:pt>
                <c:pt idx="35">
                  <c:v>0.39560210669807083</c:v>
                </c:pt>
                <c:pt idx="36">
                  <c:v>0.40158721537199932</c:v>
                </c:pt>
                <c:pt idx="37">
                  <c:v>0.40369536433603626</c:v>
                </c:pt>
                <c:pt idx="38">
                  <c:v>0.40031564025253163</c:v>
                </c:pt>
                <c:pt idx="39">
                  <c:v>0.39021869499551143</c:v>
                </c:pt>
                <c:pt idx="40">
                  <c:v>0.37302306988182393</c:v>
                </c:pt>
                <c:pt idx="41">
                  <c:v>0.34953978795258617</c:v>
                </c:pt>
                <c:pt idx="42">
                  <c:v>0.32182776575427541</c:v>
                </c:pt>
                <c:pt idx="43">
                  <c:v>0.2928826612999309</c:v>
                </c:pt>
                <c:pt idx="44">
                  <c:v>0.26601139275369728</c:v>
                </c:pt>
                <c:pt idx="45">
                  <c:v>0.24405705684608658</c:v>
                </c:pt>
                <c:pt idx="46">
                  <c:v>0.22870053884202768</c:v>
                </c:pt>
                <c:pt idx="47">
                  <c:v>0.22006885077737226</c:v>
                </c:pt>
                <c:pt idx="48">
                  <c:v>0.21681681915584206</c:v>
                </c:pt>
                <c:pt idx="49">
                  <c:v>0.21669720354522082</c:v>
                </c:pt>
                <c:pt idx="50">
                  <c:v>0.21741157299708597</c:v>
                </c:pt>
                <c:pt idx="51">
                  <c:v>0.21735050226107755</c:v>
                </c:pt>
                <c:pt idx="52">
                  <c:v>0.21584738669906675</c:v>
                </c:pt>
                <c:pt idx="53">
                  <c:v>0.21284587736969737</c:v>
                </c:pt>
                <c:pt idx="54">
                  <c:v>0.20826589678373938</c:v>
                </c:pt>
                <c:pt idx="55">
                  <c:v>0.20156461804028275</c:v>
                </c:pt>
                <c:pt idx="56">
                  <c:v>0.19184359271698653</c:v>
                </c:pt>
                <c:pt idx="57">
                  <c:v>0.17844281868338424</c:v>
                </c:pt>
                <c:pt idx="58">
                  <c:v>0.16159711709858077</c:v>
                </c:pt>
                <c:pt idx="59">
                  <c:v>0.14268521095271741</c:v>
                </c:pt>
                <c:pt idx="60">
                  <c:v>0.12388749857395535</c:v>
                </c:pt>
                <c:pt idx="61">
                  <c:v>0.1074377341703867</c:v>
                </c:pt>
                <c:pt idx="62">
                  <c:v>9.4841727315863461E-2</c:v>
                </c:pt>
                <c:pt idx="63">
                  <c:v>8.6382419594865867E-2</c:v>
                </c:pt>
                <c:pt idx="64">
                  <c:v>8.106464651901997E-2</c:v>
                </c:pt>
                <c:pt idx="65">
                  <c:v>7.700250765147762E-2</c:v>
                </c:pt>
                <c:pt idx="66">
                  <c:v>7.212844921027721E-2</c:v>
                </c:pt>
                <c:pt idx="67">
                  <c:v>6.4976221100008183E-2</c:v>
                </c:pt>
                <c:pt idx="68">
                  <c:v>5.521150848012283E-2</c:v>
                </c:pt>
                <c:pt idx="69">
                  <c:v>4.3662658439008323E-2</c:v>
                </c:pt>
                <c:pt idx="70">
                  <c:v>3.185429437462637E-2</c:v>
                </c:pt>
                <c:pt idx="71">
                  <c:v>2.1316789154489497E-2</c:v>
                </c:pt>
                <c:pt idx="72">
                  <c:v>1.3036336877745323E-2</c:v>
                </c:pt>
                <c:pt idx="73">
                  <c:v>7.2677948440179573E-3</c:v>
                </c:pt>
                <c:pt idx="74">
                  <c:v>3.687632526998177E-3</c:v>
                </c:pt>
                <c:pt idx="75">
                  <c:v>1.7009960552466644E-3</c:v>
                </c:pt>
                <c:pt idx="76">
                  <c:v>7.1274381324730766E-4</c:v>
                </c:pt>
                <c:pt idx="77">
                  <c:v>2.7114621782893701E-4</c:v>
                </c:pt>
                <c:pt idx="78">
                  <c:v>9.3615678588494794E-5</c:v>
                </c:pt>
                <c:pt idx="79">
                  <c:v>2.9325926293327612E-5</c:v>
                </c:pt>
                <c:pt idx="80">
                  <c:v>8.3335466985039936E-6</c:v>
                </c:pt>
                <c:pt idx="81">
                  <c:v>2.1479474528019335E-6</c:v>
                </c:pt>
                <c:pt idx="82">
                  <c:v>5.0210046634549227E-7</c:v>
                </c:pt>
                <c:pt idx="83">
                  <c:v>1.0643890572341113E-7</c:v>
                </c:pt>
                <c:pt idx="84">
                  <c:v>2.0461207586567745E-8</c:v>
                </c:pt>
                <c:pt idx="85">
                  <c:v>3.5667097869987192E-9</c:v>
                </c:pt>
                <c:pt idx="86">
                  <c:v>5.6376634478297775E-10</c:v>
                </c:pt>
                <c:pt idx="87">
                  <c:v>8.0801263404023866E-11</c:v>
                </c:pt>
                <c:pt idx="88">
                  <c:v>1.0500755210476771E-11</c:v>
                </c:pt>
                <c:pt idx="89">
                  <c:v>1.2373852888465254E-12</c:v>
                </c:pt>
                <c:pt idx="90">
                  <c:v>1.322128353163648E-13</c:v>
                </c:pt>
                <c:pt idx="91">
                  <c:v>1.2809562095134468E-14</c:v>
                </c:pt>
                <c:pt idx="92">
                  <c:v>1.1253942201406929E-15</c:v>
                </c:pt>
                <c:pt idx="93">
                  <c:v>8.966491353131632E-17</c:v>
                </c:pt>
                <c:pt idx="94">
                  <c:v>6.4798948951118336E-18</c:v>
                </c:pt>
                <c:pt idx="95">
                  <c:v>4.2492764371451279E-19</c:v>
                </c:pt>
                <c:pt idx="96">
                  <c:v>2.5307735105496475E-20</c:v>
                </c:pt>
                <c:pt idx="97">
                  <c:v>1.3717760977247975E-21</c:v>
                </c:pt>
                <c:pt idx="98">
                  <c:v>6.8005037889512491E-23</c:v>
                </c:pt>
                <c:pt idx="99">
                  <c:v>3.1199966805576245E-24</c:v>
                </c:pt>
                <c:pt idx="100">
                  <c:v>1.3617953727978726E-25</c:v>
                </c:pt>
                <c:pt idx="101">
                  <c:v>5.9898493810647498E-27</c:v>
                </c:pt>
                <c:pt idx="102">
                  <c:v>2.9007394751022284E-28</c:v>
                </c:pt>
                <c:pt idx="103">
                  <c:v>1.6510017706150135E-29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F128-4E4D-A374-25E73A119BF1}"/>
            </c:ext>
          </c:extLst>
        </c:ser>
        <c:ser>
          <c:idx val="64"/>
          <c:order val="64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NaiwnaGęstość!$CB$5:$CB$108</c:f>
              <c:numCache>
                <c:formatCode>General</c:formatCode>
                <c:ptCount val="104"/>
                <c:pt idx="0">
                  <c:v>5.5898727522775509E-5</c:v>
                </c:pt>
                <c:pt idx="1">
                  <c:v>1.2818466733504111E-4</c:v>
                </c:pt>
                <c:pt idx="2">
                  <c:v>2.7990416821622674E-4</c:v>
                </c:pt>
                <c:pt idx="3">
                  <c:v>5.8222537336719124E-4</c:v>
                </c:pt>
                <c:pt idx="4">
                  <c:v>1.154222129495813E-3</c:v>
                </c:pt>
                <c:pt idx="5">
                  <c:v>2.1820251123366979E-3</c:v>
                </c:pt>
                <c:pt idx="6">
                  <c:v>3.9365495873449462E-3</c:v>
                </c:pt>
                <c:pt idx="7">
                  <c:v>6.7832956867789019E-3</c:v>
                </c:pt>
                <c:pt idx="8">
                  <c:v>1.1176372177054382E-2</c:v>
                </c:pt>
                <c:pt idx="9">
                  <c:v>1.7630204197334964E-2</c:v>
                </c:pt>
                <c:pt idx="10">
                  <c:v>2.6667191077432983E-2</c:v>
                </c:pt>
                <c:pt idx="11">
                  <c:v>3.87470812855032E-2</c:v>
                </c:pt>
                <c:pt idx="12">
                  <c:v>5.4191208078468424E-2</c:v>
                </c:pt>
                <c:pt idx="13">
                  <c:v>7.3118092776418467E-2</c:v>
                </c:pt>
                <c:pt idx="14">
                  <c:v>9.5403577410993631E-2</c:v>
                </c:pt>
                <c:pt idx="15">
                  <c:v>0.12066949046938576</c:v>
                </c:pt>
                <c:pt idx="16">
                  <c:v>0.1482949736333522</c:v>
                </c:pt>
                <c:pt idx="17">
                  <c:v>0.17744080966824166</c:v>
                </c:pt>
                <c:pt idx="18">
                  <c:v>0.20708311164998056</c:v>
                </c:pt>
                <c:pt idx="19">
                  <c:v>0.23606519624288366</c:v>
                </c:pt>
                <c:pt idx="20">
                  <c:v>0.26318533348306888</c:v>
                </c:pt>
                <c:pt idx="21">
                  <c:v>0.28733262209338295</c:v>
                </c:pt>
                <c:pt idx="22">
                  <c:v>0.30766050689236057</c:v>
                </c:pt>
                <c:pt idx="23">
                  <c:v>0.32375701889215253</c:v>
                </c:pt>
                <c:pt idx="24">
                  <c:v>0.33575128764132456</c:v>
                </c:pt>
                <c:pt idx="25">
                  <c:v>0.34430374433356303</c:v>
                </c:pt>
                <c:pt idx="26">
                  <c:v>0.35046513400001078</c:v>
                </c:pt>
                <c:pt idx="27">
                  <c:v>0.35544113335977645</c:v>
                </c:pt>
                <c:pt idx="28">
                  <c:v>0.36033844217563854</c:v>
                </c:pt>
                <c:pt idx="29">
                  <c:v>0.36597273890400994</c:v>
                </c:pt>
                <c:pt idx="30">
                  <c:v>0.37278514092041476</c:v>
                </c:pt>
                <c:pt idx="31">
                  <c:v>0.38085927756582777</c:v>
                </c:pt>
                <c:pt idx="32">
                  <c:v>0.38998498068905019</c:v>
                </c:pt>
                <c:pt idx="33">
                  <c:v>0.39970180488561224</c:v>
                </c:pt>
                <c:pt idx="34">
                  <c:v>0.40928350979341693</c:v>
                </c:pt>
                <c:pt idx="35">
                  <c:v>0.41767955486325153</c:v>
                </c:pt>
                <c:pt idx="36">
                  <c:v>0.42348306530496177</c:v>
                </c:pt>
                <c:pt idx="37">
                  <c:v>0.42501562697235745</c:v>
                </c:pt>
                <c:pt idx="38">
                  <c:v>0.42058818374117379</c:v>
                </c:pt>
                <c:pt idx="39">
                  <c:v>0.4089185126480071</c:v>
                </c:pt>
                <c:pt idx="40">
                  <c:v>0.38959182806272119</c:v>
                </c:pt>
                <c:pt idx="41">
                  <c:v>0.36339183793869723</c:v>
                </c:pt>
                <c:pt idx="42">
                  <c:v>0.3323446002068306</c:v>
                </c:pt>
                <c:pt idx="43">
                  <c:v>0.29940822585550991</c:v>
                </c:pt>
                <c:pt idx="44">
                  <c:v>0.26786729597414527</c:v>
                </c:pt>
                <c:pt idx="45">
                  <c:v>0.2405967072309983</c:v>
                </c:pt>
                <c:pt idx="46">
                  <c:v>0.2194104875569497</c:v>
                </c:pt>
                <c:pt idx="47">
                  <c:v>0.20470009560079888</c:v>
                </c:pt>
                <c:pt idx="48">
                  <c:v>0.19549463740276038</c:v>
                </c:pt>
                <c:pt idx="49">
                  <c:v>0.18993971746876961</c:v>
                </c:pt>
                <c:pt idx="50">
                  <c:v>0.18601503511949147</c:v>
                </c:pt>
                <c:pt idx="51">
                  <c:v>0.18217615004802359</c:v>
                </c:pt>
                <c:pt idx="52">
                  <c:v>0.17762483719026295</c:v>
                </c:pt>
                <c:pt idx="53">
                  <c:v>0.1721220245842934</c:v>
                </c:pt>
                <c:pt idx="54">
                  <c:v>0.16554447059384877</c:v>
                </c:pt>
                <c:pt idx="55">
                  <c:v>0.1575467031422354</c:v>
                </c:pt>
                <c:pt idx="56">
                  <c:v>0.1475921778442737</c:v>
                </c:pt>
                <c:pt idx="57">
                  <c:v>0.13532721895242858</c:v>
                </c:pt>
                <c:pt idx="58">
                  <c:v>0.12100899396042995</c:v>
                </c:pt>
                <c:pt idx="59">
                  <c:v>0.10566127104486202</c:v>
                </c:pt>
                <c:pt idx="60">
                  <c:v>9.0828046093888892E-2</c:v>
                </c:pt>
                <c:pt idx="61">
                  <c:v>7.8052126274158848E-2</c:v>
                </c:pt>
                <c:pt idx="62">
                  <c:v>6.833679716887936E-2</c:v>
                </c:pt>
                <c:pt idx="63">
                  <c:v>6.1810964637066458E-2</c:v>
                </c:pt>
                <c:pt idx="64">
                  <c:v>5.7702344757488193E-2</c:v>
                </c:pt>
                <c:pt idx="65">
                  <c:v>5.4618954933505215E-2</c:v>
                </c:pt>
                <c:pt idx="66">
                  <c:v>5.1053394026655791E-2</c:v>
                </c:pt>
                <c:pt idx="67">
                  <c:v>4.5935857507048559E-2</c:v>
                </c:pt>
                <c:pt idx="68">
                  <c:v>3.9006936001931801E-2</c:v>
                </c:pt>
                <c:pt idx="69">
                  <c:v>3.0836656945658261E-2</c:v>
                </c:pt>
                <c:pt idx="70">
                  <c:v>2.2492612135763552E-2</c:v>
                </c:pt>
                <c:pt idx="71">
                  <c:v>1.5050327066473598E-2</c:v>
                </c:pt>
                <c:pt idx="72">
                  <c:v>9.2034839929662528E-3</c:v>
                </c:pt>
                <c:pt idx="73">
                  <c:v>5.1307765758075597E-3</c:v>
                </c:pt>
                <c:pt idx="74">
                  <c:v>2.603263911266702E-3</c:v>
                </c:pt>
                <c:pt idx="75">
                  <c:v>1.2007917454914356E-3</c:v>
                </c:pt>
                <c:pt idx="76">
                  <c:v>5.0314585948158289E-4</c:v>
                </c:pt>
                <c:pt idx="77">
                  <c:v>1.9140860127845959E-4</c:v>
                </c:pt>
                <c:pt idx="78">
                  <c:v>6.6085296899401631E-5</c:v>
                </c:pt>
                <c:pt idx="79">
                  <c:v>2.0701745834351121E-5</c:v>
                </c:pt>
                <c:pt idx="80">
                  <c:v>5.8828062138133662E-6</c:v>
                </c:pt>
                <c:pt idx="81">
                  <c:v>1.5162755440220603E-6</c:v>
                </c:pt>
                <c:pt idx="82">
                  <c:v>3.5444206358935611E-7</c:v>
                </c:pt>
                <c:pt idx="83">
                  <c:v>7.5137294724109489E-8</c:v>
                </c:pt>
                <c:pt idx="84">
                  <c:v>1.4443996783581114E-8</c:v>
                </c:pt>
                <c:pt idx="85">
                  <c:v>2.5178245492306146E-9</c:v>
                </c:pt>
                <c:pt idx="86">
                  <c:v>3.9797819429061118E-10</c:v>
                </c:pt>
                <c:pt idx="87">
                  <c:v>5.7040334475946693E-11</c:v>
                </c:pt>
                <c:pt idx="88">
                  <c:v>7.412938228906429E-12</c:v>
                </c:pt>
                <c:pt idx="89">
                  <c:v>8.7354307936909195E-13</c:v>
                </c:pt>
                <c:pt idx="90">
                  <c:v>9.3340207446709177E-14</c:v>
                </c:pt>
                <c:pt idx="91">
                  <c:v>9.0439130133851876E-15</c:v>
                </c:pt>
                <c:pt idx="92">
                  <c:v>7.9464752561529401E-16</c:v>
                </c:pt>
                <c:pt idx="93">
                  <c:v>6.332574374991876E-17</c:v>
                </c:pt>
                <c:pt idx="94">
                  <c:v>4.5781917327774036E-18</c:v>
                </c:pt>
                <c:pt idx="95">
                  <c:v>3.0045261119517685E-19</c:v>
                </c:pt>
                <c:pt idx="96">
                  <c:v>1.7922872017768128E-20</c:v>
                </c:pt>
                <c:pt idx="97">
                  <c:v>9.7482108912943972E-22</c:v>
                </c:pt>
                <c:pt idx="98">
                  <c:v>4.8692654377876019E-23</c:v>
                </c:pt>
                <c:pt idx="99">
                  <c:v>2.2717977654482265E-24</c:v>
                </c:pt>
                <c:pt idx="100">
                  <c:v>1.0278397065120246E-25</c:v>
                </c:pt>
                <c:pt idx="101">
                  <c:v>4.8349148912329803E-27</c:v>
                </c:pt>
                <c:pt idx="102">
                  <c:v>2.5733519140092719E-28</c:v>
                </c:pt>
                <c:pt idx="103">
                  <c:v>1.5984640546035462E-29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F128-4E4D-A374-25E73A119BF1}"/>
            </c:ext>
          </c:extLst>
        </c:ser>
        <c:ser>
          <c:idx val="65"/>
          <c:order val="65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NaiwnaGęstość!$CC$5:$CC$108</c:f>
              <c:numCache>
                <c:formatCode>General</c:formatCode>
                <c:ptCount val="104"/>
                <c:pt idx="0">
                  <c:v>5.7563234853332444E-5</c:v>
                </c:pt>
                <c:pt idx="1">
                  <c:v>1.3200164721812065E-4</c:v>
                </c:pt>
                <c:pt idx="2">
                  <c:v>2.8823892931896419E-4</c:v>
                </c:pt>
                <c:pt idx="3">
                  <c:v>5.9956241206115938E-4</c:v>
                </c:pt>
                <c:pt idx="4">
                  <c:v>1.1885916273498391E-3</c:v>
                </c:pt>
                <c:pt idx="5">
                  <c:v>2.2469997004158975E-3</c:v>
                </c:pt>
                <c:pt idx="6">
                  <c:v>4.0537689935034645E-3</c:v>
                </c:pt>
                <c:pt idx="7">
                  <c:v>6.9852832077180573E-3</c:v>
                </c:pt>
                <c:pt idx="8">
                  <c:v>1.1509173194933723E-2</c:v>
                </c:pt>
                <c:pt idx="9">
                  <c:v>1.8155182232187778E-2</c:v>
                </c:pt>
                <c:pt idx="10">
                  <c:v>2.7461265236199198E-2</c:v>
                </c:pt>
                <c:pt idx="11">
                  <c:v>3.9900860695081489E-2</c:v>
                </c:pt>
                <c:pt idx="12">
                  <c:v>5.5804870268928747E-2</c:v>
                </c:pt>
                <c:pt idx="13">
                  <c:v>7.5295344510334997E-2</c:v>
                </c:pt>
                <c:pt idx="14">
                  <c:v>9.8244428374859527E-2</c:v>
                </c:pt>
                <c:pt idx="15">
                  <c:v>0.12426268946267269</c:v>
                </c:pt>
                <c:pt idx="16">
                  <c:v>0.15271078203608968</c:v>
                </c:pt>
                <c:pt idx="17">
                  <c:v>0.18272449932489496</c:v>
                </c:pt>
                <c:pt idx="18">
                  <c:v>0.21324946592397129</c:v>
                </c:pt>
                <c:pt idx="19">
                  <c:v>0.24309455571144495</c:v>
                </c:pt>
                <c:pt idx="20">
                  <c:v>0.27102225457182999</c:v>
                </c:pt>
                <c:pt idx="21">
                  <c:v>0.29588858167993509</c:v>
                </c:pt>
                <c:pt idx="22">
                  <c:v>0.31682177367823372</c:v>
                </c:pt>
                <c:pt idx="23">
                  <c:v>0.3333975935836454</c:v>
                </c:pt>
                <c:pt idx="24">
                  <c:v>0.34574901271332992</c:v>
                </c:pt>
                <c:pt idx="25">
                  <c:v>0.35455611396267295</c:v>
                </c:pt>
                <c:pt idx="26">
                  <c:v>0.36090087745391558</c:v>
                </c:pt>
                <c:pt idx="27">
                  <c:v>0.36602470218530336</c:v>
                </c:pt>
                <c:pt idx="28">
                  <c:v>0.37106670209478931</c:v>
                </c:pt>
                <c:pt idx="29">
                  <c:v>0.37686539768604604</c:v>
                </c:pt>
                <c:pt idx="30">
                  <c:v>0.38387161356345806</c:v>
                </c:pt>
                <c:pt idx="31">
                  <c:v>0.39216432628100673</c:v>
                </c:pt>
                <c:pt idx="32">
                  <c:v>0.40151414523271078</c:v>
                </c:pt>
                <c:pt idx="33">
                  <c:v>0.41142672146316994</c:v>
                </c:pt>
                <c:pt idx="34">
                  <c:v>0.42112787828168563</c:v>
                </c:pt>
                <c:pt idx="35">
                  <c:v>0.42950854490916274</c:v>
                </c:pt>
                <c:pt idx="36">
                  <c:v>0.43510037213622105</c:v>
                </c:pt>
                <c:pt idx="37">
                  <c:v>0.43617074817205914</c:v>
                </c:pt>
                <c:pt idx="38">
                  <c:v>0.43099135672901207</c:v>
                </c:pt>
                <c:pt idx="39">
                  <c:v>0.41825513469238113</c:v>
                </c:pt>
                <c:pt idx="40">
                  <c:v>0.39752676930930025</c:v>
                </c:pt>
                <c:pt idx="41">
                  <c:v>0.36955923287283526</c:v>
                </c:pt>
                <c:pt idx="42">
                  <c:v>0.3363281983143917</c:v>
                </c:pt>
                <c:pt idx="43">
                  <c:v>0.30072624232442169</c:v>
                </c:pt>
                <c:pt idx="44">
                  <c:v>0.26598008179936916</c:v>
                </c:pt>
                <c:pt idx="45">
                  <c:v>0.23495350766920634</c:v>
                </c:pt>
                <c:pt idx="46">
                  <c:v>0.20954061167326829</c:v>
                </c:pt>
                <c:pt idx="47">
                  <c:v>0.19033163444184076</c:v>
                </c:pt>
                <c:pt idx="48">
                  <c:v>0.17665590361390338</c:v>
                </c:pt>
                <c:pt idx="49">
                  <c:v>0.16698447902735333</c:v>
                </c:pt>
                <c:pt idx="50">
                  <c:v>0.15953623705851402</c:v>
                </c:pt>
                <c:pt idx="51">
                  <c:v>0.1528358976220886</c:v>
                </c:pt>
                <c:pt idx="52">
                  <c:v>0.14599376800013963</c:v>
                </c:pt>
                <c:pt idx="53">
                  <c:v>0.1386330362007587</c:v>
                </c:pt>
                <c:pt idx="54">
                  <c:v>0.13059874923711307</c:v>
                </c:pt>
                <c:pt idx="55">
                  <c:v>0.12170167865980949</c:v>
                </c:pt>
                <c:pt idx="56">
                  <c:v>0.1116905949378966</c:v>
                </c:pt>
                <c:pt idx="57">
                  <c:v>0.10045207746381261</c:v>
                </c:pt>
                <c:pt idx="58">
                  <c:v>8.8257316964115221E-2</c:v>
                </c:pt>
                <c:pt idx="59">
                  <c:v>7.5844085779667877E-2</c:v>
                </c:pt>
                <c:pt idx="60">
                  <c:v>6.4247223915613147E-2</c:v>
                </c:pt>
                <c:pt idx="61">
                  <c:v>5.4458397104186478E-2</c:v>
                </c:pt>
                <c:pt idx="62">
                  <c:v>4.7081517905464151E-2</c:v>
                </c:pt>
                <c:pt idx="63">
                  <c:v>4.2125286157662589E-2</c:v>
                </c:pt>
                <c:pt idx="64">
                  <c:v>3.8998600902237099E-2</c:v>
                </c:pt>
                <c:pt idx="65">
                  <c:v>3.670703788932192E-2</c:v>
                </c:pt>
                <c:pt idx="66">
                  <c:v>3.4193185171146855E-2</c:v>
                </c:pt>
                <c:pt idx="67">
                  <c:v>3.0705752582438042E-2</c:v>
                </c:pt>
                <c:pt idx="68">
                  <c:v>2.6046220810102834E-2</c:v>
                </c:pt>
                <c:pt idx="69">
                  <c:v>2.0578649634147017E-2</c:v>
                </c:pt>
                <c:pt idx="70">
                  <c:v>1.5005491607484992E-2</c:v>
                </c:pt>
                <c:pt idx="71">
                  <c:v>1.0038716649713656E-2</c:v>
                </c:pt>
                <c:pt idx="72">
                  <c:v>6.1381799054425496E-3</c:v>
                </c:pt>
                <c:pt idx="73">
                  <c:v>3.4217154512119537E-3</c:v>
                </c:pt>
                <c:pt idx="74">
                  <c:v>1.7360523656332219E-3</c:v>
                </c:pt>
                <c:pt idx="75">
                  <c:v>8.0075972038391404E-4</c:v>
                </c:pt>
                <c:pt idx="76">
                  <c:v>3.3552275802154467E-4</c:v>
                </c:pt>
                <c:pt idx="77">
                  <c:v>1.2763957854126584E-4</c:v>
                </c:pt>
                <c:pt idx="78">
                  <c:v>4.4068276920568574E-5</c:v>
                </c:pt>
                <c:pt idx="79">
                  <c:v>1.3804685737789335E-5</c:v>
                </c:pt>
                <c:pt idx="80">
                  <c:v>3.9228632710161703E-6</c:v>
                </c:pt>
                <c:pt idx="81">
                  <c:v>1.011105437855504E-6</c:v>
                </c:pt>
                <c:pt idx="82">
                  <c:v>2.3635447207032371E-7</c:v>
                </c:pt>
                <c:pt idx="83">
                  <c:v>5.0104297307223147E-8</c:v>
                </c:pt>
                <c:pt idx="84">
                  <c:v>9.6318206652413567E-9</c:v>
                </c:pt>
                <c:pt idx="85">
                  <c:v>1.678993575707149E-9</c:v>
                </c:pt>
                <c:pt idx="86">
                  <c:v>2.6539139696055796E-10</c:v>
                </c:pt>
                <c:pt idx="87">
                  <c:v>3.8037836861422184E-11</c:v>
                </c:pt>
                <c:pt idx="88">
                  <c:v>4.943492007470243E-12</c:v>
                </c:pt>
                <c:pt idx="89">
                  <c:v>5.8256363748499803E-13</c:v>
                </c:pt>
                <c:pt idx="90">
                  <c:v>6.2252040188841548E-14</c:v>
                </c:pt>
                <c:pt idx="91">
                  <c:v>6.0323325386866668E-15</c:v>
                </c:pt>
                <c:pt idx="92">
                  <c:v>5.3012894618170929E-16</c:v>
                </c:pt>
                <c:pt idx="93">
                  <c:v>4.2260141379192756E-17</c:v>
                </c:pt>
                <c:pt idx="94">
                  <c:v>3.0571684248917071E-18</c:v>
                </c:pt>
                <c:pt idx="95">
                  <c:v>2.0088501631223353E-19</c:v>
                </c:pt>
                <c:pt idx="96">
                  <c:v>1.2014510748748251E-20</c:v>
                </c:pt>
                <c:pt idx="97">
                  <c:v>6.5709037303363744E-22</c:v>
                </c:pt>
                <c:pt idx="98">
                  <c:v>3.3218959389734808E-23</c:v>
                </c:pt>
                <c:pt idx="99">
                  <c:v>1.590544561901397E-24</c:v>
                </c:pt>
                <c:pt idx="100">
                  <c:v>7.5796316336262923E-26</c:v>
                </c:pt>
                <c:pt idx="101">
                  <c:v>3.8857378034431408E-27</c:v>
                </c:pt>
                <c:pt idx="102">
                  <c:v>2.2893989397367972E-28</c:v>
                </c:pt>
                <c:pt idx="103">
                  <c:v>1.5382195762784955E-29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F128-4E4D-A374-25E73A119BF1}"/>
            </c:ext>
          </c:extLst>
        </c:ser>
        <c:ser>
          <c:idx val="66"/>
          <c:order val="66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NaiwnaGęstość!$CD$5:$CD$108</c:f>
              <c:numCache>
                <c:formatCode>General</c:formatCode>
                <c:ptCount val="104"/>
                <c:pt idx="0">
                  <c:v>5.8318545391225786E-5</c:v>
                </c:pt>
                <c:pt idx="1">
                  <c:v>1.3373369433842514E-4</c:v>
                </c:pt>
                <c:pt idx="2">
                  <c:v>2.9202102914883683E-4</c:v>
                </c:pt>
                <c:pt idx="3">
                  <c:v>6.0742951350374488E-4</c:v>
                </c:pt>
                <c:pt idx="4">
                  <c:v>1.2041876198905044E-3</c:v>
                </c:pt>
                <c:pt idx="5">
                  <c:v>2.2764834943112826E-3</c:v>
                </c:pt>
                <c:pt idx="6">
                  <c:v>4.1069601396713246E-3</c:v>
                </c:pt>
                <c:pt idx="7">
                  <c:v>7.0769399401863055E-3</c:v>
                </c:pt>
                <c:pt idx="8">
                  <c:v>1.16601897216929E-2</c:v>
                </c:pt>
                <c:pt idx="9">
                  <c:v>1.8393403737499019E-2</c:v>
                </c:pt>
                <c:pt idx="10">
                  <c:v>2.7821595628847111E-2</c:v>
                </c:pt>
                <c:pt idx="11">
                  <c:v>4.0424416062162537E-2</c:v>
                </c:pt>
                <c:pt idx="12">
                  <c:v>5.6537108592353211E-2</c:v>
                </c:pt>
                <c:pt idx="13">
                  <c:v>7.6283325246787187E-2</c:v>
                </c:pt>
                <c:pt idx="14">
                  <c:v>9.9533533343159328E-2</c:v>
                </c:pt>
                <c:pt idx="15">
                  <c:v>0.12589319058126447</c:v>
                </c:pt>
                <c:pt idx="16">
                  <c:v>0.15471456210883297</c:v>
                </c:pt>
                <c:pt idx="17">
                  <c:v>0.18512210154830377</c:v>
                </c:pt>
                <c:pt idx="18">
                  <c:v>0.21604759860742911</c:v>
                </c:pt>
                <c:pt idx="19">
                  <c:v>0.24628429791529574</c:v>
                </c:pt>
                <c:pt idx="20">
                  <c:v>0.27457844742945181</c:v>
                </c:pt>
                <c:pt idx="21">
                  <c:v>0.29977105567170093</c:v>
                </c:pt>
                <c:pt idx="22">
                  <c:v>0.32097892042638632</c:v>
                </c:pt>
                <c:pt idx="23">
                  <c:v>0.3377722376155608</c:v>
                </c:pt>
                <c:pt idx="24">
                  <c:v>0.35028572093931787</c:v>
                </c:pt>
                <c:pt idx="25">
                  <c:v>0.35920836688788815</c:v>
                </c:pt>
                <c:pt idx="26">
                  <c:v>0.36563631477116182</c:v>
                </c:pt>
                <c:pt idx="27">
                  <c:v>0.37082712452326544</c:v>
                </c:pt>
                <c:pt idx="28">
                  <c:v>0.37593447149511677</c:v>
                </c:pt>
                <c:pt idx="29">
                  <c:v>0.38180684689394928</c:v>
                </c:pt>
                <c:pt idx="30">
                  <c:v>0.38889854551617503</c:v>
                </c:pt>
                <c:pt idx="31">
                  <c:v>0.39728448494524776</c:v>
                </c:pt>
                <c:pt idx="32">
                  <c:v>0.40672301702645236</c:v>
                </c:pt>
                <c:pt idx="33">
                  <c:v>0.41669890238198803</c:v>
                </c:pt>
                <c:pt idx="34">
                  <c:v>0.42640903798043472</c:v>
                </c:pt>
                <c:pt idx="35">
                  <c:v>0.43471036393416507</c:v>
                </c:pt>
                <c:pt idx="36">
                  <c:v>0.4401012962994908</c:v>
                </c:pt>
                <c:pt idx="37">
                  <c:v>0.44082347936847738</c:v>
                </c:pt>
                <c:pt idx="38">
                  <c:v>0.43513379051359963</c:v>
                </c:pt>
                <c:pt idx="39">
                  <c:v>0.42171753238353632</c:v>
                </c:pt>
                <c:pt idx="40">
                  <c:v>0.40012784824489789</c:v>
                </c:pt>
                <c:pt idx="41">
                  <c:v>0.37108901971851826</c:v>
                </c:pt>
                <c:pt idx="42">
                  <c:v>0.33652366812402745</c:v>
                </c:pt>
                <c:pt idx="43">
                  <c:v>0.29925274596961238</c:v>
                </c:pt>
                <c:pt idx="44">
                  <c:v>0.26243426715884455</c:v>
                </c:pt>
                <c:pt idx="45">
                  <c:v>0.22890061311619958</c:v>
                </c:pt>
                <c:pt idx="46">
                  <c:v>0.20058930861984481</c:v>
                </c:pt>
                <c:pt idx="47">
                  <c:v>0.17823181900622823</c:v>
                </c:pt>
                <c:pt idx="48">
                  <c:v>0.1613834475552022</c:v>
                </c:pt>
                <c:pt idx="49">
                  <c:v>0.14876673384590092</c:v>
                </c:pt>
                <c:pt idx="50">
                  <c:v>0.13879070508533883</c:v>
                </c:pt>
                <c:pt idx="51">
                  <c:v>0.1300428615087916</c:v>
                </c:pt>
                <c:pt idx="52">
                  <c:v>0.12157354565173316</c:v>
                </c:pt>
                <c:pt idx="53">
                  <c:v>0.11290782682869549</c:v>
                </c:pt>
                <c:pt idx="54">
                  <c:v>0.10386871630603148</c:v>
                </c:pt>
                <c:pt idx="55">
                  <c:v>9.4383292097573679E-2</c:v>
                </c:pt>
                <c:pt idx="56">
                  <c:v>8.4411944897569063E-2</c:v>
                </c:pt>
                <c:pt idx="57">
                  <c:v>7.4018656430742555E-2</c:v>
                </c:pt>
                <c:pt idx="58">
                  <c:v>6.3482716456328844E-2</c:v>
                </c:pt>
                <c:pt idx="59">
                  <c:v>5.3325826530876974E-2</c:v>
                </c:pt>
                <c:pt idx="60">
                  <c:v>4.4200419820835085E-2</c:v>
                </c:pt>
                <c:pt idx="61">
                  <c:v>3.6685264917969224E-2</c:v>
                </c:pt>
                <c:pt idx="62">
                  <c:v>3.1086008259220678E-2</c:v>
                </c:pt>
                <c:pt idx="63">
                  <c:v>2.7322980696526691E-2</c:v>
                </c:pt>
                <c:pt idx="64">
                  <c:v>2.494297001786323E-2</c:v>
                </c:pt>
                <c:pt idx="65">
                  <c:v>2.3251655753134384E-2</c:v>
                </c:pt>
                <c:pt idx="66">
                  <c:v>2.1530754664472736E-2</c:v>
                </c:pt>
                <c:pt idx="67">
                  <c:v>1.9269043885625906E-2</c:v>
                </c:pt>
                <c:pt idx="68">
                  <c:v>1.6314343230487638E-2</c:v>
                </c:pt>
                <c:pt idx="69">
                  <c:v>1.2876461320135396E-2</c:v>
                </c:pt>
                <c:pt idx="70">
                  <c:v>9.3839312303523031E-3</c:v>
                </c:pt>
                <c:pt idx="71">
                  <c:v>6.2758894284043873E-3</c:v>
                </c:pt>
                <c:pt idx="72">
                  <c:v>3.836697718748905E-3</c:v>
                </c:pt>
                <c:pt idx="73">
                  <c:v>2.1385285366487834E-3</c:v>
                </c:pt>
                <c:pt idx="74">
                  <c:v>1.0849394243306013E-3</c:v>
                </c:pt>
                <c:pt idx="75">
                  <c:v>5.0041128029771785E-4</c:v>
                </c:pt>
                <c:pt idx="76">
                  <c:v>2.0966961292974136E-4</c:v>
                </c:pt>
                <c:pt idx="77">
                  <c:v>7.9761171587545561E-5</c:v>
                </c:pt>
                <c:pt idx="78">
                  <c:v>2.7537689287229108E-5</c:v>
                </c:pt>
                <c:pt idx="79">
                  <c:v>8.6263088307931836E-6</c:v>
                </c:pt>
                <c:pt idx="80">
                  <c:v>2.4513200728901318E-6</c:v>
                </c:pt>
                <c:pt idx="81">
                  <c:v>6.3181909100298361E-7</c:v>
                </c:pt>
                <c:pt idx="82">
                  <c:v>1.4769322245070343E-7</c:v>
                </c:pt>
                <c:pt idx="83">
                  <c:v>3.1309290248852515E-8</c:v>
                </c:pt>
                <c:pt idx="84">
                  <c:v>6.0187932666484883E-9</c:v>
                </c:pt>
                <c:pt idx="85">
                  <c:v>1.0491910957195725E-9</c:v>
                </c:pt>
                <c:pt idx="86">
                  <c:v>1.6584387632352769E-10</c:v>
                </c:pt>
                <c:pt idx="87">
                  <c:v>2.3770554508577048E-11</c:v>
                </c:pt>
                <c:pt idx="88">
                  <c:v>3.0894021723900369E-12</c:v>
                </c:pt>
                <c:pt idx="89">
                  <c:v>3.6409227356741453E-13</c:v>
                </c:pt>
                <c:pt idx="90">
                  <c:v>3.8910526890802536E-14</c:v>
                </c:pt>
                <c:pt idx="91">
                  <c:v>3.771172882699084E-15</c:v>
                </c:pt>
                <c:pt idx="92">
                  <c:v>3.3152036060991993E-16</c:v>
                </c:pt>
                <c:pt idx="93">
                  <c:v>2.6443106221173771E-17</c:v>
                </c:pt>
                <c:pt idx="94">
                  <c:v>1.915066111230619E-18</c:v>
                </c:pt>
                <c:pt idx="95">
                  <c:v>1.2611577066573626E-19</c:v>
                </c:pt>
                <c:pt idx="96">
                  <c:v>7.576925727210457E-21</c:v>
                </c:pt>
                <c:pt idx="97">
                  <c:v>4.183635366255381E-22</c:v>
                </c:pt>
                <c:pt idx="98">
                  <c:v>2.1582914320125381E-23</c:v>
                </c:pt>
                <c:pt idx="99">
                  <c:v>1.077210302544941E-24</c:v>
                </c:pt>
                <c:pt idx="100">
                  <c:v>5.5356900858754152E-26</c:v>
                </c:pt>
                <c:pt idx="101">
                  <c:v>3.1569626529605097E-27</c:v>
                </c:pt>
                <c:pt idx="102">
                  <c:v>2.0622307898812159E-28</c:v>
                </c:pt>
                <c:pt idx="103">
                  <c:v>1.4814773721196923E-29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F128-4E4D-A374-25E73A119BF1}"/>
            </c:ext>
          </c:extLst>
        </c:ser>
        <c:ser>
          <c:idx val="67"/>
          <c:order val="67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NaiwnaGęstość!$CE$5:$CE$108</c:f>
              <c:numCache>
                <c:formatCode>General</c:formatCode>
                <c:ptCount val="104"/>
                <c:pt idx="0">
                  <c:v>5.8640820123302211E-5</c:v>
                </c:pt>
                <c:pt idx="1">
                  <c:v>1.3447272152477521E-4</c:v>
                </c:pt>
                <c:pt idx="2">
                  <c:v>2.9363476965450769E-4</c:v>
                </c:pt>
                <c:pt idx="3">
                  <c:v>6.1078623617929345E-4</c:v>
                </c:pt>
                <c:pt idx="4">
                  <c:v>1.2108420938655763E-3</c:v>
                </c:pt>
                <c:pt idx="5">
                  <c:v>2.2890635938882511E-3</c:v>
                </c:pt>
                <c:pt idx="6">
                  <c:v>4.1296556556479668E-3</c:v>
                </c:pt>
                <c:pt idx="7">
                  <c:v>7.1160478930312274E-3</c:v>
                </c:pt>
                <c:pt idx="8">
                  <c:v>1.1724625219754623E-2</c:v>
                </c:pt>
                <c:pt idx="9">
                  <c:v>1.8495047720930195E-2</c:v>
                </c:pt>
                <c:pt idx="10">
                  <c:v>2.7975340843462398E-2</c:v>
                </c:pt>
                <c:pt idx="11">
                  <c:v>4.0647805856410382E-2</c:v>
                </c:pt>
                <c:pt idx="12">
                  <c:v>5.6849538907645637E-2</c:v>
                </c:pt>
                <c:pt idx="13">
                  <c:v>7.6704875339315831E-2</c:v>
                </c:pt>
                <c:pt idx="14">
                  <c:v>0.1000835666571866</c:v>
                </c:pt>
                <c:pt idx="15">
                  <c:v>0.12658889027666403</c:v>
                </c:pt>
                <c:pt idx="16">
                  <c:v>0.15556953189104256</c:v>
                </c:pt>
                <c:pt idx="17">
                  <c:v>0.18614510675663648</c:v>
                </c:pt>
                <c:pt idx="18">
                  <c:v>0.21724150153294311</c:v>
                </c:pt>
                <c:pt idx="19">
                  <c:v>0.24764529218514567</c:v>
                </c:pt>
                <c:pt idx="20">
                  <c:v>0.27609579829653819</c:v>
                </c:pt>
                <c:pt idx="21">
                  <c:v>0.30142762366227471</c:v>
                </c:pt>
                <c:pt idx="22">
                  <c:v>0.32275268532668516</c:v>
                </c:pt>
                <c:pt idx="23">
                  <c:v>0.33963880371835004</c:v>
                </c:pt>
                <c:pt idx="24">
                  <c:v>0.35222143534638894</c:v>
                </c:pt>
                <c:pt idx="25">
                  <c:v>0.36119337729593837</c:v>
                </c:pt>
                <c:pt idx="26">
                  <c:v>0.36765680032175668</c:v>
                </c:pt>
                <c:pt idx="27">
                  <c:v>0.37287612621138211</c:v>
                </c:pt>
                <c:pt idx="28">
                  <c:v>0.37801114196043367</c:v>
                </c:pt>
                <c:pt idx="29">
                  <c:v>0.38391432155700339</c:v>
                </c:pt>
                <c:pt idx="30">
                  <c:v>0.39104079705796246</c:v>
                </c:pt>
                <c:pt idx="31">
                  <c:v>0.3994624135107816</c:v>
                </c:pt>
                <c:pt idx="32">
                  <c:v>0.40892985949913407</c:v>
                </c:pt>
                <c:pt idx="33">
                  <c:v>0.41891519221303353</c:v>
                </c:pt>
                <c:pt idx="34">
                  <c:v>0.42859802813340425</c:v>
                </c:pt>
                <c:pt idx="35">
                  <c:v>0.4368156908191233</c:v>
                </c:pt>
                <c:pt idx="36">
                  <c:v>0.44204874054678744</c:v>
                </c:pt>
                <c:pt idx="37">
                  <c:v>0.44252704534515636</c:v>
                </c:pt>
                <c:pt idx="38">
                  <c:v>0.43650323621172288</c:v>
                </c:pt>
                <c:pt idx="39">
                  <c:v>0.42266186234676079</c:v>
                </c:pt>
                <c:pt idx="40">
                  <c:v>0.40054960691891894</c:v>
                </c:pt>
                <c:pt idx="41">
                  <c:v>0.37086836114657296</c:v>
                </c:pt>
                <c:pt idx="42">
                  <c:v>0.33549733044916974</c:v>
                </c:pt>
                <c:pt idx="43">
                  <c:v>0.29719807450522123</c:v>
                </c:pt>
                <c:pt idx="44">
                  <c:v>0.25907007580080726</c:v>
                </c:pt>
                <c:pt idx="45">
                  <c:v>0.22391416231567562</c:v>
                </c:pt>
                <c:pt idx="46">
                  <c:v>0.19369127950227832</c:v>
                </c:pt>
                <c:pt idx="47">
                  <c:v>0.16922827140744173</c:v>
                </c:pt>
                <c:pt idx="48">
                  <c:v>0.15023863434291965</c:v>
                </c:pt>
                <c:pt idx="49">
                  <c:v>0.13562365676392404</c:v>
                </c:pt>
                <c:pt idx="50">
                  <c:v>0.12392968085873084</c:v>
                </c:pt>
                <c:pt idx="51">
                  <c:v>0.11379260600114191</c:v>
                </c:pt>
                <c:pt idx="52">
                  <c:v>0.1042244828286156</c:v>
                </c:pt>
                <c:pt idx="53">
                  <c:v>9.4683999523155871E-2</c:v>
                </c:pt>
                <c:pt idx="54">
                  <c:v>8.4979502112659311E-2</c:v>
                </c:pt>
                <c:pt idx="55">
                  <c:v>7.5118949883335312E-2</c:v>
                </c:pt>
                <c:pt idx="56">
                  <c:v>6.5209576099390293E-2</c:v>
                </c:pt>
                <c:pt idx="57">
                  <c:v>5.5438125837632975E-2</c:v>
                </c:pt>
                <c:pt idx="58">
                  <c:v>4.6088539268175903E-2</c:v>
                </c:pt>
                <c:pt idx="59">
                  <c:v>3.7530925603028148E-2</c:v>
                </c:pt>
                <c:pt idx="60">
                  <c:v>3.0150361766935356E-2</c:v>
                </c:pt>
                <c:pt idx="61">
                  <c:v>2.4237377020943564E-2</c:v>
                </c:pt>
                <c:pt idx="62">
                  <c:v>1.9889789430646371E-2</c:v>
                </c:pt>
                <c:pt idx="63">
                  <c:v>1.6966943064958124E-2</c:v>
                </c:pt>
                <c:pt idx="64">
                  <c:v>1.5112781863253483E-2</c:v>
                </c:pt>
                <c:pt idx="65">
                  <c:v>1.3843429579324822E-2</c:v>
                </c:pt>
                <c:pt idx="66">
                  <c:v>1.2678183981445313E-2</c:v>
                </c:pt>
                <c:pt idx="67">
                  <c:v>1.1274013965158597E-2</c:v>
                </c:pt>
                <c:pt idx="68">
                  <c:v>9.5113893673093898E-3</c:v>
                </c:pt>
                <c:pt idx="69">
                  <c:v>7.4924597579656754E-3</c:v>
                </c:pt>
                <c:pt idx="70">
                  <c:v>5.4543838993114224E-3</c:v>
                </c:pt>
                <c:pt idx="71">
                  <c:v>3.6456402240229824E-3</c:v>
                </c:pt>
                <c:pt idx="72">
                  <c:v>2.2279479388987336E-3</c:v>
                </c:pt>
                <c:pt idx="73">
                  <c:v>1.241575350112176E-3</c:v>
                </c:pt>
                <c:pt idx="74">
                  <c:v>6.2980932592422451E-4</c:v>
                </c:pt>
                <c:pt idx="75">
                  <c:v>2.9046691657566267E-4</c:v>
                </c:pt>
                <c:pt idx="76">
                  <c:v>1.2169797806201586E-4</c:v>
                </c:pt>
                <c:pt idx="77">
                  <c:v>4.6294068573319597E-5</c:v>
                </c:pt>
                <c:pt idx="78">
                  <c:v>1.5982777960117764E-5</c:v>
                </c:pt>
                <c:pt idx="79">
                  <c:v>5.0066143348820164E-6</c:v>
                </c:pt>
                <c:pt idx="80">
                  <c:v>1.4227088936452605E-6</c:v>
                </c:pt>
                <c:pt idx="81">
                  <c:v>3.6669730176139884E-7</c:v>
                </c:pt>
                <c:pt idx="82">
                  <c:v>8.5718859656847984E-8</c:v>
                </c:pt>
                <c:pt idx="83">
                  <c:v>1.8171547664950477E-8</c:v>
                </c:pt>
                <c:pt idx="84">
                  <c:v>3.4932804825187685E-9</c:v>
                </c:pt>
                <c:pt idx="85">
                  <c:v>6.0895790549307224E-10</c:v>
                </c:pt>
                <c:pt idx="86">
                  <c:v>9.6259936023853046E-11</c:v>
                </c:pt>
                <c:pt idx="87">
                  <c:v>1.3797686637554627E-11</c:v>
                </c:pt>
                <c:pt idx="88">
                  <c:v>1.7933873832610429E-12</c:v>
                </c:pt>
                <c:pt idx="89">
                  <c:v>2.1137987180465737E-13</c:v>
                </c:pt>
                <c:pt idx="90">
                  <c:v>2.2594673502573254E-14</c:v>
                </c:pt>
                <c:pt idx="91">
                  <c:v>2.1906029402458954E-15</c:v>
                </c:pt>
                <c:pt idx="92">
                  <c:v>1.9269029357162139E-16</c:v>
                </c:pt>
                <c:pt idx="93">
                  <c:v>1.5386644522934884E-17</c:v>
                </c:pt>
                <c:pt idx="94">
                  <c:v>1.1166913929957388E-18</c:v>
                </c:pt>
                <c:pt idx="95">
                  <c:v>7.3846542150481148E-20</c:v>
                </c:pt>
                <c:pt idx="96">
                  <c:v>4.4744085410694188E-21</c:v>
                </c:pt>
                <c:pt idx="97">
                  <c:v>2.5142164778337051E-22</c:v>
                </c:pt>
                <c:pt idx="98">
                  <c:v>1.3441705734597708E-23</c:v>
                </c:pt>
                <c:pt idx="99">
                  <c:v>7.1762202384848831E-25</c:v>
                </c:pt>
                <c:pt idx="100">
                  <c:v>4.0996147056524943E-26</c:v>
                </c:pt>
                <c:pt idx="101">
                  <c:v>2.6408395365905195E-27</c:v>
                </c:pt>
                <c:pt idx="102">
                  <c:v>1.8976265178222214E-28</c:v>
                </c:pt>
                <c:pt idx="103">
                  <c:v>1.4370260155526869E-29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F128-4E4D-A374-25E73A119BF1}"/>
            </c:ext>
          </c:extLst>
        </c:ser>
        <c:ser>
          <c:idx val="68"/>
          <c:order val="68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NaiwnaGęstość!$CF$5:$CF$108</c:f>
              <c:numCache>
                <c:formatCode>General</c:formatCode>
                <c:ptCount val="104"/>
                <c:pt idx="0">
                  <c:v>5.8761366911687633E-5</c:v>
                </c:pt>
                <c:pt idx="1">
                  <c:v>1.3474915447150368E-4</c:v>
                </c:pt>
                <c:pt idx="2">
                  <c:v>2.9423838891436311E-4</c:v>
                </c:pt>
                <c:pt idx="3">
                  <c:v>6.1204181751336442E-4</c:v>
                </c:pt>
                <c:pt idx="4">
                  <c:v>1.2133311983042669E-3</c:v>
                </c:pt>
                <c:pt idx="5">
                  <c:v>2.2937691772015986E-3</c:v>
                </c:pt>
                <c:pt idx="6">
                  <c:v>4.1381449081069081E-3</c:v>
                </c:pt>
                <c:pt idx="7">
                  <c:v>7.1306762136737088E-3</c:v>
                </c:pt>
                <c:pt idx="8">
                  <c:v>1.1748727302779592E-2</c:v>
                </c:pt>
                <c:pt idx="9">
                  <c:v>1.8533067629231365E-2</c:v>
                </c:pt>
                <c:pt idx="10">
                  <c:v>2.8032849205139057E-2</c:v>
                </c:pt>
                <c:pt idx="11">
                  <c:v>4.0731364756858929E-2</c:v>
                </c:pt>
                <c:pt idx="12">
                  <c:v>5.6966403394228517E-2</c:v>
                </c:pt>
                <c:pt idx="13">
                  <c:v>7.6862556053129458E-2</c:v>
                </c:pt>
                <c:pt idx="14">
                  <c:v>0.10028930649004217</c:v>
                </c:pt>
                <c:pt idx="15">
                  <c:v>0.12684911658550552</c:v>
                </c:pt>
                <c:pt idx="16">
                  <c:v>0.15588933313871675</c:v>
                </c:pt>
                <c:pt idx="17">
                  <c:v>0.18652776161626847</c:v>
                </c:pt>
                <c:pt idx="18">
                  <c:v>0.21768808064382617</c:v>
                </c:pt>
                <c:pt idx="19">
                  <c:v>0.24815437177432767</c:v>
                </c:pt>
                <c:pt idx="20">
                  <c:v>0.27666336303381384</c:v>
                </c:pt>
                <c:pt idx="21">
                  <c:v>0.3020472625278508</c:v>
                </c:pt>
                <c:pt idx="22">
                  <c:v>0.32341616164328374</c:v>
                </c:pt>
                <c:pt idx="23">
                  <c:v>0.34033699216303159</c:v>
                </c:pt>
                <c:pt idx="24">
                  <c:v>0.35294548800844583</c:v>
                </c:pt>
                <c:pt idx="25">
                  <c:v>0.36193586604425865</c:v>
                </c:pt>
                <c:pt idx="26">
                  <c:v>0.36841254617363539</c:v>
                </c:pt>
                <c:pt idx="27">
                  <c:v>0.37364249352845558</c:v>
                </c:pt>
                <c:pt idx="28">
                  <c:v>0.37878771090425284</c:v>
                </c:pt>
                <c:pt idx="29">
                  <c:v>0.38470197391788991</c:v>
                </c:pt>
                <c:pt idx="30">
                  <c:v>0.39184028198330612</c:v>
                </c:pt>
                <c:pt idx="31">
                  <c:v>0.40027240189961044</c:v>
                </c:pt>
                <c:pt idx="32">
                  <c:v>0.40974446978233847</c:v>
                </c:pt>
                <c:pt idx="33">
                  <c:v>0.4197211649913411</c:v>
                </c:pt>
                <c:pt idx="34">
                  <c:v>0.42937221845234869</c:v>
                </c:pt>
                <c:pt idx="35">
                  <c:v>0.43752407248562236</c:v>
                </c:pt>
                <c:pt idx="36">
                  <c:v>0.44264806178385385</c:v>
                </c:pt>
                <c:pt idx="37">
                  <c:v>0.44296910075398205</c:v>
                </c:pt>
                <c:pt idx="38">
                  <c:v>0.43673966718827351</c:v>
                </c:pt>
                <c:pt idx="39">
                  <c:v>0.42264576346640603</c:v>
                </c:pt>
                <c:pt idx="40">
                  <c:v>0.40023059305637659</c:v>
                </c:pt>
                <c:pt idx="41">
                  <c:v>0.37018063983453031</c:v>
                </c:pt>
                <c:pt idx="42">
                  <c:v>0.33434447074671086</c:v>
                </c:pt>
                <c:pt idx="43">
                  <c:v>0.29544145117428022</c:v>
                </c:pt>
                <c:pt idx="44">
                  <c:v>0.25652892474653971</c:v>
                </c:pt>
                <c:pt idx="45">
                  <c:v>0.22038333926782527</c:v>
                </c:pt>
                <c:pt idx="46">
                  <c:v>0.18897778817559796</c:v>
                </c:pt>
                <c:pt idx="47">
                  <c:v>0.16319912796789884</c:v>
                </c:pt>
                <c:pt idx="48">
                  <c:v>0.14286283136179473</c:v>
                </c:pt>
                <c:pt idx="49">
                  <c:v>0.12698655526573163</c:v>
                </c:pt>
                <c:pt idx="50">
                  <c:v>0.1142069337892607</c:v>
                </c:pt>
                <c:pt idx="51">
                  <c:v>0.10319294541018691</c:v>
                </c:pt>
                <c:pt idx="52">
                  <c:v>9.2933513322095637E-2</c:v>
                </c:pt>
                <c:pt idx="53">
                  <c:v>8.2845508299427606E-2</c:v>
                </c:pt>
                <c:pt idx="54">
                  <c:v>7.272814397570912E-2</c:v>
                </c:pt>
                <c:pt idx="55">
                  <c:v>6.2641290949827774E-2</c:v>
                </c:pt>
                <c:pt idx="56">
                  <c:v>5.2786292542272302E-2</c:v>
                </c:pt>
                <c:pt idx="57">
                  <c:v>4.3428428772388415E-2</c:v>
                </c:pt>
                <c:pt idx="58">
                  <c:v>3.4854207143182298E-2</c:v>
                </c:pt>
                <c:pt idx="59">
                  <c:v>2.7335874777979011E-2</c:v>
                </c:pt>
                <c:pt idx="60">
                  <c:v>2.1086307981217897E-2</c:v>
                </c:pt>
                <c:pt idx="61">
                  <c:v>1.6210568371052236E-2</c:v>
                </c:pt>
                <c:pt idx="62">
                  <c:v>1.2672911224778337E-2</c:v>
                </c:pt>
                <c:pt idx="63">
                  <c:v>1.0293736267952124E-2</c:v>
                </c:pt>
                <c:pt idx="64">
                  <c:v>8.7798826482518837E-3</c:v>
                </c:pt>
                <c:pt idx="65">
                  <c:v>7.7832846277856452E-3</c:v>
                </c:pt>
                <c:pt idx="66">
                  <c:v>6.9764667029666326E-3</c:v>
                </c:pt>
                <c:pt idx="67">
                  <c:v>6.1248762507867633E-3</c:v>
                </c:pt>
                <c:pt idx="68">
                  <c:v>5.1301193107755397E-3</c:v>
                </c:pt>
                <c:pt idx="69">
                  <c:v>4.0250815911158028E-3</c:v>
                </c:pt>
                <c:pt idx="70">
                  <c:v>2.9237168473266011E-3</c:v>
                </c:pt>
                <c:pt idx="71">
                  <c:v>1.9517416651691499E-3</c:v>
                </c:pt>
                <c:pt idx="72">
                  <c:v>1.1919047508787365E-3</c:v>
                </c:pt>
                <c:pt idx="73">
                  <c:v>6.6393375152387819E-4</c:v>
                </c:pt>
                <c:pt idx="74">
                  <c:v>3.3670391867327481E-4</c:v>
                </c:pt>
                <c:pt idx="75">
                  <c:v>1.5526207711830884E-4</c:v>
                </c:pt>
                <c:pt idx="76">
                  <c:v>6.504398614323068E-5</c:v>
                </c:pt>
                <c:pt idx="77">
                  <c:v>2.4741160929619212E-5</c:v>
                </c:pt>
                <c:pt idx="78">
                  <c:v>8.5413840210948834E-6</c:v>
                </c:pt>
                <c:pt idx="79">
                  <c:v>2.6755215824802014E-6</c:v>
                </c:pt>
                <c:pt idx="80">
                  <c:v>7.6028063119729418E-7</c:v>
                </c:pt>
                <c:pt idx="81">
                  <c:v>1.9595818623049206E-7</c:v>
                </c:pt>
                <c:pt idx="82">
                  <c:v>4.5807209712471114E-8</c:v>
                </c:pt>
                <c:pt idx="83">
                  <c:v>9.7108070360602685E-9</c:v>
                </c:pt>
                <c:pt idx="84">
                  <c:v>1.8668434851700016E-9</c:v>
                </c:pt>
                <c:pt idx="85">
                  <c:v>3.2544650932158747E-10</c:v>
                </c:pt>
                <c:pt idx="86">
                  <c:v>5.1447674910009932E-11</c:v>
                </c:pt>
                <c:pt idx="87">
                  <c:v>7.3751282310405729E-12</c:v>
                </c:pt>
                <c:pt idx="88">
                  <c:v>9.5874929197524858E-13</c:v>
                </c:pt>
                <c:pt idx="89">
                  <c:v>1.1303245722949366E-13</c:v>
                </c:pt>
                <c:pt idx="90">
                  <c:v>1.2087180992373862E-14</c:v>
                </c:pt>
                <c:pt idx="91">
                  <c:v>1.1727052381858338E-15</c:v>
                </c:pt>
                <c:pt idx="92">
                  <c:v>1.0328238525703279E-16</c:v>
                </c:pt>
                <c:pt idx="93">
                  <c:v>8.2661160752185939E-18</c:v>
                </c:pt>
                <c:pt idx="94">
                  <c:v>6.0251770444693686E-19</c:v>
                </c:pt>
                <c:pt idx="95">
                  <c:v>4.0182739822109884E-20</c:v>
                </c:pt>
                <c:pt idx="96">
                  <c:v>2.4761096885682401E-21</c:v>
                </c:pt>
                <c:pt idx="97">
                  <c:v>1.4388042797468471E-22</c:v>
                </c:pt>
                <c:pt idx="98">
                  <c:v>8.1955345722794463E-24</c:v>
                </c:pt>
                <c:pt idx="99">
                  <c:v>4.8572192707507899E-25</c:v>
                </c:pt>
                <c:pt idx="100">
                  <c:v>3.1716667827391587E-26</c:v>
                </c:pt>
                <c:pt idx="101">
                  <c:v>2.3056176440355687E-27</c:v>
                </c:pt>
                <c:pt idx="102">
                  <c:v>1.7891620991666107E-28</c:v>
                </c:pt>
                <c:pt idx="103">
                  <c:v>1.4063738783579466E-29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F128-4E4D-A374-25E73A119BF1}"/>
            </c:ext>
          </c:extLst>
        </c:ser>
        <c:ser>
          <c:idx val="69"/>
          <c:order val="69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NaiwnaGęstość!$CG$5:$CG$108</c:f>
              <c:numCache>
                <c:formatCode>General</c:formatCode>
                <c:ptCount val="104"/>
                <c:pt idx="0">
                  <c:v>5.8585340579985996E-5</c:v>
                </c:pt>
                <c:pt idx="1">
                  <c:v>1.3434549811345531E-4</c:v>
                </c:pt>
                <c:pt idx="2">
                  <c:v>2.9335696448589066E-4</c:v>
                </c:pt>
                <c:pt idx="3">
                  <c:v>6.1020837691034375E-4</c:v>
                </c:pt>
                <c:pt idx="4">
                  <c:v>1.209696527240579E-3</c:v>
                </c:pt>
                <c:pt idx="5">
                  <c:v>2.2868979317685252E-3</c:v>
                </c:pt>
                <c:pt idx="6">
                  <c:v>4.1257486262212496E-3</c:v>
                </c:pt>
                <c:pt idx="7">
                  <c:v>7.1093154652361939E-3</c:v>
                </c:pt>
                <c:pt idx="8">
                  <c:v>1.1713532659122318E-2</c:v>
                </c:pt>
                <c:pt idx="9">
                  <c:v>1.8477549725523391E-2</c:v>
                </c:pt>
                <c:pt idx="10">
                  <c:v>2.794887362948334E-2</c:v>
                </c:pt>
                <c:pt idx="11">
                  <c:v>4.0609349339244045E-2</c:v>
                </c:pt>
                <c:pt idx="12">
                  <c:v>5.6795754079096143E-2</c:v>
                </c:pt>
                <c:pt idx="13">
                  <c:v>7.663230555865784E-2</c:v>
                </c:pt>
                <c:pt idx="14">
                  <c:v>9.9988878510603327E-2</c:v>
                </c:pt>
                <c:pt idx="15">
                  <c:v>0.12646912568594565</c:v>
                </c:pt>
                <c:pt idx="16">
                  <c:v>0.15542234898048443</c:v>
                </c:pt>
                <c:pt idx="17">
                  <c:v>0.18596899657448032</c:v>
                </c:pt>
                <c:pt idx="18">
                  <c:v>0.21703597133620087</c:v>
                </c:pt>
                <c:pt idx="19">
                  <c:v>0.24741099723995075</c:v>
                </c:pt>
                <c:pt idx="20">
                  <c:v>0.27583458658541848</c:v>
                </c:pt>
                <c:pt idx="21">
                  <c:v>0.30114244572680227</c:v>
                </c:pt>
                <c:pt idx="22">
                  <c:v>0.32244733184819191</c:v>
                </c:pt>
                <c:pt idx="23">
                  <c:v>0.33931747390802858</c:v>
                </c:pt>
                <c:pt idx="24">
                  <c:v>0.35188819861493831</c:v>
                </c:pt>
                <c:pt idx="25">
                  <c:v>0.36085164067635678</c:v>
                </c:pt>
                <c:pt idx="26">
                  <c:v>0.3673089019519204</c:v>
                </c:pt>
                <c:pt idx="27">
                  <c:v>0.37252311973684893</c:v>
                </c:pt>
                <c:pt idx="28">
                  <c:v>0.37765271804459111</c:v>
                </c:pt>
                <c:pt idx="29">
                  <c:v>0.38354865284665468</c:v>
                </c:pt>
                <c:pt idx="30">
                  <c:v>0.39066393952882544</c:v>
                </c:pt>
                <c:pt idx="31">
                  <c:v>0.39906684184778635</c:v>
                </c:pt>
                <c:pt idx="32">
                  <c:v>0.40850190776694983</c:v>
                </c:pt>
                <c:pt idx="33">
                  <c:v>0.41843176209087923</c:v>
                </c:pt>
                <c:pt idx="34">
                  <c:v>0.42802385636384072</c:v>
                </c:pt>
                <c:pt idx="35">
                  <c:v>0.43610321210812131</c:v>
                </c:pt>
                <c:pt idx="36">
                  <c:v>0.44114219585390591</c:v>
                </c:pt>
                <c:pt idx="37">
                  <c:v>0.44137027512227311</c:v>
                </c:pt>
                <c:pt idx="38">
                  <c:v>0.43504716176611985</c:v>
                </c:pt>
                <c:pt idx="39">
                  <c:v>0.42086521125255533</c:v>
                </c:pt>
                <c:pt idx="40">
                  <c:v>0.39836751425830758</c:v>
                </c:pt>
                <c:pt idx="41">
                  <c:v>0.36822870236322863</c:v>
                </c:pt>
                <c:pt idx="42">
                  <c:v>0.33227174748571964</c:v>
                </c:pt>
                <c:pt idx="43">
                  <c:v>0.29318003896011591</c:v>
                </c:pt>
                <c:pt idx="44">
                  <c:v>0.25397356030588475</c:v>
                </c:pt>
                <c:pt idx="45">
                  <c:v>0.21740292158315666</c:v>
                </c:pt>
                <c:pt idx="46">
                  <c:v>0.18544002436346704</c:v>
                </c:pt>
                <c:pt idx="47">
                  <c:v>0.1590029685296534</c:v>
                </c:pt>
                <c:pt idx="48">
                  <c:v>0.13796740587907846</c:v>
                </c:pt>
                <c:pt idx="49">
                  <c:v>0.12142289979976638</c:v>
                </c:pt>
                <c:pt idx="50">
                  <c:v>0.10806439688814524</c:v>
                </c:pt>
                <c:pt idx="51">
                  <c:v>9.6585723556888173E-2</c:v>
                </c:pt>
                <c:pt idx="52">
                  <c:v>8.5966567337517785E-2</c:v>
                </c:pt>
                <c:pt idx="53">
                  <c:v>7.5601882216354513E-2</c:v>
                </c:pt>
                <c:pt idx="54">
                  <c:v>6.5286403233374951E-2</c:v>
                </c:pt>
                <c:pt idx="55">
                  <c:v>5.5109990734010898E-2</c:v>
                </c:pt>
                <c:pt idx="56">
                  <c:v>4.5327967560460619E-2</c:v>
                </c:pt>
                <c:pt idx="57">
                  <c:v>3.6250252119926045E-2</c:v>
                </c:pt>
                <c:pt idx="58">
                  <c:v>2.8163646839073731E-2</c:v>
                </c:pt>
                <c:pt idx="59">
                  <c:v>2.1282248927161344E-2</c:v>
                </c:pt>
                <c:pt idx="60">
                  <c:v>1.5717728082502651E-2</c:v>
                </c:pt>
                <c:pt idx="61">
                  <c:v>1.1466662504281981E-2</c:v>
                </c:pt>
                <c:pt idx="62">
                  <c:v>8.4156510084463856E-3</c:v>
                </c:pt>
                <c:pt idx="63">
                  <c:v>6.3631591585083993E-3</c:v>
                </c:pt>
                <c:pt idx="64">
                  <c:v>5.0538938981910747E-3</c:v>
                </c:pt>
                <c:pt idx="65">
                  <c:v>4.22036377519524E-3</c:v>
                </c:pt>
                <c:pt idx="66">
                  <c:v>3.6257270059614466E-3</c:v>
                </c:pt>
                <c:pt idx="67">
                  <c:v>3.0996074361842874E-3</c:v>
                </c:pt>
                <c:pt idx="68">
                  <c:v>2.5563362199569231E-3</c:v>
                </c:pt>
                <c:pt idx="69">
                  <c:v>1.9883119761599315E-3</c:v>
                </c:pt>
                <c:pt idx="70">
                  <c:v>1.4372385280986689E-3</c:v>
                </c:pt>
                <c:pt idx="71">
                  <c:v>9.5679139527857595E-4</c:v>
                </c:pt>
                <c:pt idx="72">
                  <c:v>5.8336868654428964E-4</c:v>
                </c:pt>
                <c:pt idx="73">
                  <c:v>3.246495304721844E-4</c:v>
                </c:pt>
                <c:pt idx="74">
                  <c:v>1.6454598228086376E-4</c:v>
                </c:pt>
                <c:pt idx="75">
                  <c:v>7.5848599323680185E-5</c:v>
                </c:pt>
                <c:pt idx="76">
                  <c:v>3.1767941028964864E-5</c:v>
                </c:pt>
                <c:pt idx="77">
                  <c:v>1.2081952665476161E-5</c:v>
                </c:pt>
                <c:pt idx="78">
                  <c:v>4.1706473345654151E-6</c:v>
                </c:pt>
                <c:pt idx="79">
                  <c:v>1.3063442638277528E-6</c:v>
                </c:pt>
                <c:pt idx="80">
                  <c:v>3.7120065370373448E-7</c:v>
                </c:pt>
                <c:pt idx="81">
                  <c:v>9.5673869996116214E-8</c:v>
                </c:pt>
                <c:pt idx="82">
                  <c:v>2.2364937584486107E-8</c:v>
                </c:pt>
                <c:pt idx="83">
                  <c:v>4.7413549507129932E-9</c:v>
                </c:pt>
                <c:pt idx="84">
                  <c:v>9.1154835228278855E-10</c:v>
                </c:pt>
                <c:pt idx="85">
                  <c:v>1.5892468670207346E-10</c:v>
                </c:pt>
                <c:pt idx="86">
                  <c:v>2.5126941730215464E-11</c:v>
                </c:pt>
                <c:pt idx="87">
                  <c:v>3.6027958986338175E-12</c:v>
                </c:pt>
                <c:pt idx="88">
                  <c:v>4.685177218272896E-13</c:v>
                </c:pt>
                <c:pt idx="89">
                  <c:v>5.5267037276327301E-14</c:v>
                </c:pt>
                <c:pt idx="90">
                  <c:v>5.9154464067241756E-15</c:v>
                </c:pt>
                <c:pt idx="91">
                  <c:v>5.7482018436660633E-16</c:v>
                </c:pt>
                <c:pt idx="92">
                  <c:v>5.0765484179942588E-17</c:v>
                </c:pt>
                <c:pt idx="93">
                  <c:v>4.0834513483406671E-18</c:v>
                </c:pt>
                <c:pt idx="94">
                  <c:v>3.0046373490322974E-19</c:v>
                </c:pt>
                <c:pt idx="95">
                  <c:v>2.0403686779615681E-20</c:v>
                </c:pt>
                <c:pt idx="96">
                  <c:v>1.301635268774804E-21</c:v>
                </c:pt>
                <c:pt idx="97">
                  <c:v>8.0629934119502144E-23</c:v>
                </c:pt>
                <c:pt idx="98">
                  <c:v>5.1050619945976191E-24</c:v>
                </c:pt>
                <c:pt idx="99">
                  <c:v>3.4859431529444669E-25</c:v>
                </c:pt>
                <c:pt idx="100">
                  <c:v>2.6178044584856392E-26</c:v>
                </c:pt>
                <c:pt idx="101">
                  <c:v>2.1006738935555553E-27</c:v>
                </c:pt>
                <c:pt idx="102">
                  <c:v>1.7184789490559384E-28</c:v>
                </c:pt>
                <c:pt idx="103">
                  <c:v>1.3826239816983861E-29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F128-4E4D-A374-25E73A119BF1}"/>
            </c:ext>
          </c:extLst>
        </c:ser>
        <c:ser>
          <c:idx val="70"/>
          <c:order val="70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NaiwnaGęstość!$CH$5:$CH$108</c:f>
              <c:numCache>
                <c:formatCode>General</c:formatCode>
                <c:ptCount val="104"/>
                <c:pt idx="0">
                  <c:v>5.7793185200445034E-5</c:v>
                </c:pt>
                <c:pt idx="1">
                  <c:v>1.3252895991475036E-4</c:v>
                </c:pt>
                <c:pt idx="2">
                  <c:v>2.893903698524425E-4</c:v>
                </c:pt>
                <c:pt idx="3">
                  <c:v>6.0195750999337964E-4</c:v>
                </c:pt>
                <c:pt idx="4">
                  <c:v>1.1933397457969802E-3</c:v>
                </c:pt>
                <c:pt idx="5">
                  <c:v>2.2559758874281292E-3</c:v>
                </c:pt>
                <c:pt idx="6">
                  <c:v>4.0699627600550752E-3</c:v>
                </c:pt>
                <c:pt idx="7">
                  <c:v>7.0131876210538817E-3</c:v>
                </c:pt>
                <c:pt idx="8">
                  <c:v>1.1555149387513886E-2</c:v>
                </c:pt>
                <c:pt idx="9">
                  <c:v>1.8227707524882345E-2</c:v>
                </c:pt>
                <c:pt idx="10">
                  <c:v>2.7570965941680823E-2</c:v>
                </c:pt>
                <c:pt idx="11">
                  <c:v>4.0060254391254109E-2</c:v>
                </c:pt>
                <c:pt idx="12">
                  <c:v>5.6027796400887966E-2</c:v>
                </c:pt>
                <c:pt idx="13">
                  <c:v>7.5596130083804405E-2</c:v>
                </c:pt>
                <c:pt idx="14">
                  <c:v>9.863688964747977E-2</c:v>
                </c:pt>
                <c:pt idx="15">
                  <c:v>0.12475908700961184</c:v>
                </c:pt>
                <c:pt idx="16">
                  <c:v>0.15332082241040851</c:v>
                </c:pt>
                <c:pt idx="17">
                  <c:v>0.18345443679543053</c:v>
                </c:pt>
                <c:pt idx="18">
                  <c:v>0.21410134280035312</c:v>
                </c:pt>
                <c:pt idx="19">
                  <c:v>0.24406565605928651</c:v>
                </c:pt>
                <c:pt idx="20">
                  <c:v>0.27210491889900479</c:v>
                </c:pt>
                <c:pt idx="21">
                  <c:v>0.29707058054273777</c:v>
                </c:pt>
                <c:pt idx="22">
                  <c:v>0.31808739491991267</c:v>
                </c:pt>
                <c:pt idx="23">
                  <c:v>0.3347294290672071</c:v>
                </c:pt>
                <c:pt idx="24">
                  <c:v>0.34713017957160669</c:v>
                </c:pt>
                <c:pt idx="25">
                  <c:v>0.35597242118519257</c:v>
                </c:pt>
                <c:pt idx="26">
                  <c:v>0.36234236231788725</c:v>
                </c:pt>
                <c:pt idx="27">
                  <c:v>0.36748604394810064</c:v>
                </c:pt>
                <c:pt idx="28">
                  <c:v>0.37254617556341324</c:v>
                </c:pt>
                <c:pt idx="29">
                  <c:v>0.37836207041182968</c:v>
                </c:pt>
                <c:pt idx="30">
                  <c:v>0.38538029473944957</c:v>
                </c:pt>
                <c:pt idx="31">
                  <c:v>0.39366751469443434</c:v>
                </c:pt>
                <c:pt idx="32">
                  <c:v>0.40297050796613215</c:v>
                </c:pt>
                <c:pt idx="33">
                  <c:v>0.41275725841592514</c:v>
                </c:pt>
                <c:pt idx="34">
                  <c:v>0.42220399000093656</c:v>
                </c:pt>
                <c:pt idx="35">
                  <c:v>0.43014903828253537</c:v>
                </c:pt>
                <c:pt idx="36">
                  <c:v>0.43508357623486427</c:v>
                </c:pt>
                <c:pt idx="37">
                  <c:v>0.43526061298459034</c:v>
                </c:pt>
                <c:pt idx="38">
                  <c:v>0.42896443366593867</c:v>
                </c:pt>
                <c:pt idx="39">
                  <c:v>0.41490633482972861</c:v>
                </c:pt>
                <c:pt idx="40">
                  <c:v>0.392634813065108</c:v>
                </c:pt>
                <c:pt idx="41">
                  <c:v>0.36281027141207889</c:v>
                </c:pt>
                <c:pt idx="42">
                  <c:v>0.32722057672574817</c:v>
                </c:pt>
                <c:pt idx="43">
                  <c:v>0.28849832745915704</c:v>
                </c:pt>
                <c:pt idx="44">
                  <c:v>0.24960797130771009</c:v>
                </c:pt>
                <c:pt idx="45">
                  <c:v>0.2132537927720973</c:v>
                </c:pt>
                <c:pt idx="46">
                  <c:v>0.18138349045877125</c:v>
                </c:pt>
                <c:pt idx="47">
                  <c:v>0.15492042237081557</c:v>
                </c:pt>
                <c:pt idx="48">
                  <c:v>0.13377300487081184</c:v>
                </c:pt>
                <c:pt idx="49">
                  <c:v>0.11707906253697228</c:v>
                </c:pt>
                <c:pt idx="50">
                  <c:v>0.10357945736328786</c:v>
                </c:pt>
                <c:pt idx="51">
                  <c:v>9.1996551739239693E-2</c:v>
                </c:pt>
                <c:pt idx="52">
                  <c:v>8.1317435778020961E-2</c:v>
                </c:pt>
                <c:pt idx="53">
                  <c:v>7.0932908682589821E-2</c:v>
                </c:pt>
                <c:pt idx="54">
                  <c:v>6.0637832718679174E-2</c:v>
                </c:pt>
                <c:pt idx="55">
                  <c:v>5.0536580349409319E-2</c:v>
                </c:pt>
                <c:pt idx="56">
                  <c:v>4.0909476050901908E-2</c:v>
                </c:pt>
                <c:pt idx="57">
                  <c:v>3.2085931965996121E-2</c:v>
                </c:pt>
                <c:pt idx="58">
                  <c:v>2.4349473711002691E-2</c:v>
                </c:pt>
                <c:pt idx="59">
                  <c:v>1.7881415187626377E-2</c:v>
                </c:pt>
                <c:pt idx="60">
                  <c:v>1.2739489574078314E-2</c:v>
                </c:pt>
                <c:pt idx="61">
                  <c:v>8.8639329781076241E-3</c:v>
                </c:pt>
                <c:pt idx="62">
                  <c:v>6.1023394117190495E-3</c:v>
                </c:pt>
                <c:pt idx="63">
                  <c:v>4.2441847160000394E-3</c:v>
                </c:pt>
                <c:pt idx="64">
                  <c:v>3.0569104367268686E-3</c:v>
                </c:pt>
                <c:pt idx="65">
                  <c:v>2.3181018229370461E-3</c:v>
                </c:pt>
                <c:pt idx="66">
                  <c:v>1.8408555050695814E-3</c:v>
                </c:pt>
                <c:pt idx="67">
                  <c:v>1.4901879750280583E-3</c:v>
                </c:pt>
                <c:pt idx="68">
                  <c:v>1.1880686999994135E-3</c:v>
                </c:pt>
                <c:pt idx="69">
                  <c:v>9.0594450841033683E-4</c:v>
                </c:pt>
                <c:pt idx="70">
                  <c:v>6.4746937970144847E-4</c:v>
                </c:pt>
                <c:pt idx="71">
                  <c:v>4.2823436636741838E-4</c:v>
                </c:pt>
                <c:pt idx="72">
                  <c:v>2.6011207141516448E-4</c:v>
                </c:pt>
                <c:pt idx="73">
                  <c:v>1.4442770315177132E-4</c:v>
                </c:pt>
                <c:pt idx="74">
                  <c:v>7.3100931655857701E-5</c:v>
                </c:pt>
                <c:pt idx="75">
                  <c:v>3.3667220665214428E-5</c:v>
                </c:pt>
                <c:pt idx="76">
                  <c:v>1.4093159880975025E-5</c:v>
                </c:pt>
                <c:pt idx="77">
                  <c:v>5.3579765747878619E-6</c:v>
                </c:pt>
                <c:pt idx="78">
                  <c:v>1.8491269457020101E-6</c:v>
                </c:pt>
                <c:pt idx="79">
                  <c:v>5.7910643440245493E-7</c:v>
                </c:pt>
                <c:pt idx="80">
                  <c:v>1.645413107534168E-7</c:v>
                </c:pt>
                <c:pt idx="81">
                  <c:v>4.2408006075599775E-8</c:v>
                </c:pt>
                <c:pt idx="82">
                  <c:v>9.9136052388140144E-9</c:v>
                </c:pt>
                <c:pt idx="83">
                  <c:v>2.1018335488251809E-9</c:v>
                </c:pt>
                <c:pt idx="84">
                  <c:v>4.0414272375768432E-10</c:v>
                </c:pt>
                <c:pt idx="85">
                  <c:v>7.0476171156291077E-11</c:v>
                </c:pt>
                <c:pt idx="86">
                  <c:v>1.1146529238524523E-11</c:v>
                </c:pt>
                <c:pt idx="87">
                  <c:v>1.5990807015911492E-12</c:v>
                </c:pt>
                <c:pt idx="88">
                  <c:v>2.0812210567717162E-13</c:v>
                </c:pt>
                <c:pt idx="89">
                  <c:v>2.4583139846147811E-14</c:v>
                </c:pt>
                <c:pt idx="90">
                  <c:v>2.6370105614499292E-15</c:v>
                </c:pt>
                <c:pt idx="91">
                  <c:v>2.5720154824612835E-16</c:v>
                </c:pt>
                <c:pt idx="92">
                  <c:v>2.2863281945102107E-17</c:v>
                </c:pt>
                <c:pt idx="93">
                  <c:v>1.8607220527200177E-18</c:v>
                </c:pt>
                <c:pt idx="94">
                  <c:v>1.398811614662722E-19</c:v>
                </c:pt>
                <c:pt idx="95">
                  <c:v>9.8797267536598758E-21</c:v>
                </c:pt>
                <c:pt idx="96">
                  <c:v>6.7564836119435741E-22</c:v>
                </c:pt>
                <c:pt idx="97">
                  <c:v>4.6791897672078352E-23</c:v>
                </c:pt>
                <c:pt idx="98">
                  <c:v>3.4377688311315931E-24</c:v>
                </c:pt>
                <c:pt idx="99">
                  <c:v>2.7315469763162933E-25</c:v>
                </c:pt>
                <c:pt idx="100">
                  <c:v>2.2986324924153496E-26</c:v>
                </c:pt>
                <c:pt idx="101">
                  <c:v>1.9690331299432216E-27</c:v>
                </c:pt>
                <c:pt idx="102">
                  <c:v>1.661189562827761E-28</c:v>
                </c:pt>
                <c:pt idx="103">
                  <c:v>1.3537443678841508E-29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F128-4E4D-A374-25E73A119BF1}"/>
            </c:ext>
          </c:extLst>
        </c:ser>
        <c:ser>
          <c:idx val="71"/>
          <c:order val="71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NaiwnaGęstość!$CI$5:$CI$108</c:f>
              <c:numCache>
                <c:formatCode>General</c:formatCode>
                <c:ptCount val="104"/>
                <c:pt idx="0">
                  <c:v>5.6046922786337616E-5</c:v>
                </c:pt>
                <c:pt idx="1">
                  <c:v>1.2852450263008602E-4</c:v>
                </c:pt>
                <c:pt idx="2">
                  <c:v>2.806462329074853E-4</c:v>
                </c:pt>
                <c:pt idx="3">
                  <c:v>5.8376893341734691E-4</c:v>
                </c:pt>
                <c:pt idx="4">
                  <c:v>1.1572821321160901E-3</c:v>
                </c:pt>
                <c:pt idx="5">
                  <c:v>2.1878099629218943E-3</c:v>
                </c:pt>
                <c:pt idx="6">
                  <c:v>3.9469859251557524E-3</c:v>
                </c:pt>
                <c:pt idx="7">
                  <c:v>6.8012791425152127E-3</c:v>
                </c:pt>
                <c:pt idx="8">
                  <c:v>1.12060022866087E-2</c:v>
                </c:pt>
                <c:pt idx="9">
                  <c:v>1.7676944308844894E-2</c:v>
                </c:pt>
                <c:pt idx="10">
                  <c:v>2.6737889491964352E-2</c:v>
                </c:pt>
                <c:pt idx="11">
                  <c:v>3.8849805160944335E-2</c:v>
                </c:pt>
                <c:pt idx="12">
                  <c:v>5.4334876471647239E-2</c:v>
                </c:pt>
                <c:pt idx="13">
                  <c:v>7.3311938960586881E-2</c:v>
                </c:pt>
                <c:pt idx="14">
                  <c:v>9.5656505499444794E-2</c:v>
                </c:pt>
                <c:pt idx="15">
                  <c:v>0.12098940199038978</c:v>
                </c:pt>
                <c:pt idx="16">
                  <c:v>0.14868812413384291</c:v>
                </c:pt>
                <c:pt idx="17">
                  <c:v>0.17791122981408791</c:v>
                </c:pt>
                <c:pt idx="18">
                  <c:v>0.20763211764092127</c:v>
                </c:pt>
                <c:pt idx="19">
                  <c:v>0.23669103774962699</c:v>
                </c:pt>
                <c:pt idx="20">
                  <c:v>0.26388307421379592</c:v>
                </c:pt>
                <c:pt idx="21">
                  <c:v>0.28809438053857678</c:v>
                </c:pt>
                <c:pt idx="22">
                  <c:v>0.30847615683322749</c:v>
                </c:pt>
                <c:pt idx="23">
                  <c:v>0.32461533997213932</c:v>
                </c:pt>
                <c:pt idx="24">
                  <c:v>0.33664139270066545</c:v>
                </c:pt>
                <c:pt idx="25">
                  <c:v>0.3452164586257182</c:v>
                </c:pt>
                <c:pt idx="26">
                  <c:v>0.35139392326240698</c:v>
                </c:pt>
                <c:pt idx="27">
                  <c:v>0.35638216970212672</c:v>
                </c:pt>
                <c:pt idx="28">
                  <c:v>0.36128935595399786</c:v>
                </c:pt>
                <c:pt idx="29">
                  <c:v>0.36692937137141579</c:v>
                </c:pt>
                <c:pt idx="30">
                  <c:v>0.37373513853392498</c:v>
                </c:pt>
                <c:pt idx="31">
                  <c:v>0.38177099593997288</c:v>
                </c:pt>
                <c:pt idx="32">
                  <c:v>0.39079080397717941</c:v>
                </c:pt>
                <c:pt idx="33">
                  <c:v>0.40027773612543444</c:v>
                </c:pt>
                <c:pt idx="34">
                  <c:v>0.4094317533602575</c:v>
                </c:pt>
                <c:pt idx="35">
                  <c:v>0.41712509669862841</c:v>
                </c:pt>
                <c:pt idx="36">
                  <c:v>0.42189367057661065</c:v>
                </c:pt>
                <c:pt idx="37">
                  <c:v>0.42204308565144183</c:v>
                </c:pt>
                <c:pt idx="38">
                  <c:v>0.41590995259819563</c:v>
                </c:pt>
                <c:pt idx="39">
                  <c:v>0.40224509217664572</c:v>
                </c:pt>
                <c:pt idx="40">
                  <c:v>0.38061028488670617</c:v>
                </c:pt>
                <c:pt idx="41">
                  <c:v>0.35164360767678982</c:v>
                </c:pt>
                <c:pt idx="42">
                  <c:v>0.31707404989363991</c:v>
                </c:pt>
                <c:pt idx="43">
                  <c:v>0.2794479266319409</c:v>
                </c:pt>
                <c:pt idx="44">
                  <c:v>0.24163328520099703</c:v>
                </c:pt>
                <c:pt idx="45">
                  <c:v>0.20624845654229185</c:v>
                </c:pt>
                <c:pt idx="46">
                  <c:v>0.17518343055080532</c:v>
                </c:pt>
                <c:pt idx="47">
                  <c:v>0.1493418723907585</c:v>
                </c:pt>
                <c:pt idx="48">
                  <c:v>0.12864940100429176</c:v>
                </c:pt>
                <c:pt idx="49">
                  <c:v>0.11228658809435373</c:v>
                </c:pt>
                <c:pt idx="50">
                  <c:v>9.9045469903205702E-2</c:v>
                </c:pt>
                <c:pt idx="51">
                  <c:v>8.7692063856835437E-2</c:v>
                </c:pt>
                <c:pt idx="52">
                  <c:v>7.7241096683989374E-2</c:v>
                </c:pt>
                <c:pt idx="53">
                  <c:v>6.709604614863228E-2</c:v>
                </c:pt>
                <c:pt idx="54">
                  <c:v>5.7056743032708815E-2</c:v>
                </c:pt>
                <c:pt idx="55">
                  <c:v>4.7231709940188563E-2</c:v>
                </c:pt>
                <c:pt idx="56">
                  <c:v>3.7906015410220865E-2</c:v>
                </c:pt>
                <c:pt idx="57">
                  <c:v>2.9410117343482207E-2</c:v>
                </c:pt>
                <c:pt idx="58">
                  <c:v>2.2019253610048379E-2</c:v>
                </c:pt>
                <c:pt idx="59">
                  <c:v>1.5895379138622826E-2</c:v>
                </c:pt>
                <c:pt idx="60">
                  <c:v>1.1070135286878311E-2</c:v>
                </c:pt>
                <c:pt idx="61">
                  <c:v>7.4593767196898834E-3</c:v>
                </c:pt>
                <c:pt idx="62">
                  <c:v>4.8964762322164269E-3</c:v>
                </c:pt>
                <c:pt idx="63">
                  <c:v>3.1718303708732475E-3</c:v>
                </c:pt>
                <c:pt idx="64">
                  <c:v>2.0688626502778501E-3</c:v>
                </c:pt>
                <c:pt idx="65">
                  <c:v>1.3911330579068756E-3</c:v>
                </c:pt>
                <c:pt idx="66">
                  <c:v>9.7909024631492327E-4</c:v>
                </c:pt>
                <c:pt idx="67">
                  <c:v>7.1719611869296433E-4</c:v>
                </c:pt>
                <c:pt idx="68">
                  <c:v>5.3278723701544878E-4</c:v>
                </c:pt>
                <c:pt idx="69">
                  <c:v>3.8839525526201599E-4</c:v>
                </c:pt>
                <c:pt idx="70">
                  <c:v>2.701549391707262E-4</c:v>
                </c:pt>
                <c:pt idx="71">
                  <c:v>1.7583653675688689E-4</c:v>
                </c:pt>
                <c:pt idx="72">
                  <c:v>1.0579261070080702E-4</c:v>
                </c:pt>
                <c:pt idx="73">
                  <c:v>5.8405731271157229E-5</c:v>
                </c:pt>
                <c:pt idx="74">
                  <c:v>2.9457505004565322E-5</c:v>
                </c:pt>
                <c:pt idx="75">
                  <c:v>1.3536824743273479E-5</c:v>
                </c:pt>
                <c:pt idx="76">
                  <c:v>5.6584859292655425E-6</c:v>
                </c:pt>
                <c:pt idx="77">
                  <c:v>2.1492757011385345E-6</c:v>
                </c:pt>
                <c:pt idx="78">
                  <c:v>7.4130908123843481E-7</c:v>
                </c:pt>
                <c:pt idx="79">
                  <c:v>2.3207578110337661E-7</c:v>
                </c:pt>
                <c:pt idx="80">
                  <c:v>6.5926091862534554E-8</c:v>
                </c:pt>
                <c:pt idx="81">
                  <c:v>1.6990260153840995E-8</c:v>
                </c:pt>
                <c:pt idx="82">
                  <c:v>3.9719895205900962E-9</c:v>
                </c:pt>
                <c:pt idx="83">
                  <c:v>8.4228122856419262E-10</c:v>
                </c:pt>
                <c:pt idx="84">
                  <c:v>1.6201163578168996E-10</c:v>
                </c:pt>
                <c:pt idx="85">
                  <c:v>2.826837219325905E-11</c:v>
                </c:pt>
                <c:pt idx="86">
                  <c:v>4.4748854016720732E-12</c:v>
                </c:pt>
                <c:pt idx="87">
                  <c:v>6.428439024320409E-13</c:v>
                </c:pt>
                <c:pt idx="88">
                  <c:v>8.3845560376542326E-14</c:v>
                </c:pt>
                <c:pt idx="89">
                  <c:v>9.9375167154326646E-15</c:v>
                </c:pt>
                <c:pt idx="90">
                  <c:v>1.0719426314276023E-15</c:v>
                </c:pt>
                <c:pt idx="91">
                  <c:v>1.055346783599971E-16</c:v>
                </c:pt>
                <c:pt idx="92">
                  <c:v>9.533202056625482E-18</c:v>
                </c:pt>
                <c:pt idx="93">
                  <c:v>7.9788574631276324E-19</c:v>
                </c:pt>
                <c:pt idx="94">
                  <c:v>6.2965335853991769E-20</c:v>
                </c:pt>
                <c:pt idx="95">
                  <c:v>4.8219078312764576E-21</c:v>
                </c:pt>
                <c:pt idx="96">
                  <c:v>3.7269287643342942E-22</c:v>
                </c:pt>
                <c:pt idx="97">
                  <c:v>3.0169676187719021E-23</c:v>
                </c:pt>
                <c:pt idx="98">
                  <c:v>2.5916455281066484E-24</c:v>
                </c:pt>
                <c:pt idx="99">
                  <c:v>2.3205529077759346E-25</c:v>
                </c:pt>
                <c:pt idx="100">
                  <c:v>2.0973897724863719E-26</c:v>
                </c:pt>
                <c:pt idx="101">
                  <c:v>1.8615933385146795E-27</c:v>
                </c:pt>
                <c:pt idx="102">
                  <c:v>1.5951809452521904E-28</c:v>
                </c:pt>
                <c:pt idx="103">
                  <c:v>1.3081101899605375E-29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F128-4E4D-A374-25E73A119BF1}"/>
            </c:ext>
          </c:extLst>
        </c:ser>
        <c:ser>
          <c:idx val="72"/>
          <c:order val="72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NaiwnaGęstość!$CJ$5:$CJ$108</c:f>
              <c:numCache>
                <c:formatCode>General</c:formatCode>
                <c:ptCount val="104"/>
                <c:pt idx="0">
                  <c:v>5.31753461788614E-5</c:v>
                </c:pt>
                <c:pt idx="1">
                  <c:v>1.219395210308815E-4</c:v>
                </c:pt>
                <c:pt idx="2">
                  <c:v>2.6626726047994094E-4</c:v>
                </c:pt>
                <c:pt idx="3">
                  <c:v>5.5385940172435579E-4</c:v>
                </c:pt>
                <c:pt idx="4">
                  <c:v>1.0979885235891142E-3</c:v>
                </c:pt>
                <c:pt idx="5">
                  <c:v>2.0757170308071385E-3</c:v>
                </c:pt>
                <c:pt idx="6">
                  <c:v>3.7447612196902461E-3</c:v>
                </c:pt>
                <c:pt idx="7">
                  <c:v>6.452814086529598E-3</c:v>
                </c:pt>
                <c:pt idx="8">
                  <c:v>1.0631860256506118E-2</c:v>
                </c:pt>
                <c:pt idx="9">
                  <c:v>1.6771262118897571E-2</c:v>
                </c:pt>
                <c:pt idx="10">
                  <c:v>2.5367967751726988E-2</c:v>
                </c:pt>
                <c:pt idx="11">
                  <c:v>3.6859326716115762E-2</c:v>
                </c:pt>
                <c:pt idx="12">
                  <c:v>5.1551016939503112E-2</c:v>
                </c:pt>
                <c:pt idx="13">
                  <c:v>6.9555785393146718E-2</c:v>
                </c:pt>
                <c:pt idx="14">
                  <c:v>9.0755523074552688E-2</c:v>
                </c:pt>
                <c:pt idx="15">
                  <c:v>0.11479048295548372</c:v>
                </c:pt>
                <c:pt idx="16">
                  <c:v>0.14107005488319094</c:v>
                </c:pt>
                <c:pt idx="17">
                  <c:v>0.1687959082166994</c:v>
                </c:pt>
                <c:pt idx="18">
                  <c:v>0.19699403971733087</c:v>
                </c:pt>
                <c:pt idx="19">
                  <c:v>0.22456411956371794</c:v>
                </c:pt>
                <c:pt idx="20">
                  <c:v>0.25036296596600166</c:v>
                </c:pt>
                <c:pt idx="21">
                  <c:v>0.27333380060285167</c:v>
                </c:pt>
                <c:pt idx="22">
                  <c:v>0.29267131203303048</c:v>
                </c:pt>
                <c:pt idx="23">
                  <c:v>0.30798360049948537</c:v>
                </c:pt>
                <c:pt idx="24">
                  <c:v>0.31939349563422353</c:v>
                </c:pt>
                <c:pt idx="25">
                  <c:v>0.32752921571322174</c:v>
                </c:pt>
                <c:pt idx="26">
                  <c:v>0.33339017484606365</c:v>
                </c:pt>
                <c:pt idx="27">
                  <c:v>0.33812284109489804</c:v>
                </c:pt>
                <c:pt idx="28">
                  <c:v>0.34277858595335647</c:v>
                </c:pt>
                <c:pt idx="29">
                  <c:v>0.34812957275153905</c:v>
                </c:pt>
                <c:pt idx="30">
                  <c:v>0.35458648104791063</c:v>
                </c:pt>
                <c:pt idx="31">
                  <c:v>0.36221022346910542</c:v>
                </c:pt>
                <c:pt idx="32">
                  <c:v>0.37076703643130376</c:v>
                </c:pt>
                <c:pt idx="33">
                  <c:v>0.37976620712275611</c:v>
                </c:pt>
                <c:pt idx="34">
                  <c:v>0.38844820978582789</c:v>
                </c:pt>
                <c:pt idx="35">
                  <c:v>0.39574257252283745</c:v>
                </c:pt>
                <c:pt idx="36">
                  <c:v>0.40025985809683912</c:v>
                </c:pt>
                <c:pt idx="37">
                  <c:v>0.40039241310476625</c:v>
                </c:pt>
                <c:pt idx="38">
                  <c:v>0.39456227236890185</c:v>
                </c:pt>
                <c:pt idx="39">
                  <c:v>0.38158450044239167</c:v>
                </c:pt>
                <c:pt idx="40">
                  <c:v>0.36104318190167173</c:v>
                </c:pt>
                <c:pt idx="41">
                  <c:v>0.33354272156718129</c:v>
                </c:pt>
                <c:pt idx="42">
                  <c:v>0.30072151680690312</c:v>
                </c:pt>
                <c:pt idx="43">
                  <c:v>0.26499263720664612</c:v>
                </c:pt>
                <c:pt idx="44">
                  <c:v>0.22907436336388759</c:v>
                </c:pt>
                <c:pt idx="45">
                  <c:v>0.19544912244822538</c:v>
                </c:pt>
                <c:pt idx="46">
                  <c:v>0.16591054243016778</c:v>
                </c:pt>
                <c:pt idx="47">
                  <c:v>0.14131938081886056</c:v>
                </c:pt>
                <c:pt idx="48">
                  <c:v>0.12161103332742448</c:v>
                </c:pt>
                <c:pt idx="49">
                  <c:v>0.10601495533936144</c:v>
                </c:pt>
                <c:pt idx="50">
                  <c:v>9.3390499146327688E-2</c:v>
                </c:pt>
                <c:pt idx="51">
                  <c:v>8.2568992741089836E-2</c:v>
                </c:pt>
                <c:pt idx="52">
                  <c:v>7.2614416442520938E-2</c:v>
                </c:pt>
                <c:pt idx="53">
                  <c:v>6.2958443328840999E-2</c:v>
                </c:pt>
                <c:pt idx="54">
                  <c:v>5.3410651615911721E-2</c:v>
                </c:pt>
                <c:pt idx="55">
                  <c:v>4.4077022261620198E-2</c:v>
                </c:pt>
                <c:pt idx="56">
                  <c:v>3.5233479460227542E-2</c:v>
                </c:pt>
                <c:pt idx="57">
                  <c:v>2.7198095780439947E-2</c:v>
                </c:pt>
                <c:pt idx="58">
                  <c:v>2.023212259960153E-2</c:v>
                </c:pt>
                <c:pt idx="59">
                  <c:v>1.4483480526087314E-2</c:v>
                </c:pt>
                <c:pt idx="60">
                  <c:v>9.9721274601530813E-3</c:v>
                </c:pt>
                <c:pt idx="61">
                  <c:v>6.6074065787828911E-3</c:v>
                </c:pt>
                <c:pt idx="62">
                  <c:v>4.2234473187992474E-3</c:v>
                </c:pt>
                <c:pt idx="63">
                  <c:v>2.6191368790523207E-3</c:v>
                </c:pt>
                <c:pt idx="64">
                  <c:v>1.5926960701053896E-3</c:v>
                </c:pt>
                <c:pt idx="65">
                  <c:v>9.6570697058688884E-4</c:v>
                </c:pt>
                <c:pt idx="66">
                  <c:v>5.9576298157609873E-4</c:v>
                </c:pt>
                <c:pt idx="67">
                  <c:v>3.7959642764905013E-4</c:v>
                </c:pt>
                <c:pt idx="68">
                  <c:v>2.4951050389637362E-4</c:v>
                </c:pt>
                <c:pt idx="69">
                  <c:v>1.6591553134863939E-4</c:v>
                </c:pt>
                <c:pt idx="70">
                  <c:v>1.0846193572437848E-4</c:v>
                </c:pt>
                <c:pt idx="71">
                  <c:v>6.7863901912531202E-5</c:v>
                </c:pt>
                <c:pt idx="72">
                  <c:v>3.9843175527001358E-5</c:v>
                </c:pt>
                <c:pt idx="73">
                  <c:v>2.1665608531587666E-5</c:v>
                </c:pt>
                <c:pt idx="74">
                  <c:v>1.0824098898568649E-5</c:v>
                </c:pt>
                <c:pt idx="75">
                  <c:v>4.9441749289780246E-6</c:v>
                </c:pt>
                <c:pt idx="76">
                  <c:v>2.0586713120063206E-6</c:v>
                </c:pt>
                <c:pt idx="77">
                  <c:v>7.7997021089016766E-7</c:v>
                </c:pt>
                <c:pt idx="78">
                  <c:v>2.6857901660049063E-7</c:v>
                </c:pt>
                <c:pt idx="79">
                  <c:v>8.399579723643478E-8</c:v>
                </c:pt>
                <c:pt idx="80">
                  <c:v>2.3847282628861955E-8</c:v>
                </c:pt>
                <c:pt idx="81">
                  <c:v>6.1446628903064779E-9</c:v>
                </c:pt>
                <c:pt idx="82">
                  <c:v>1.4367239420769754E-9</c:v>
                </c:pt>
                <c:pt idx="83">
                  <c:v>3.0482456324838033E-10</c:v>
                </c:pt>
                <c:pt idx="84">
                  <c:v>5.8689525520196888E-11</c:v>
                </c:pt>
                <c:pt idx="85">
                  <c:v>1.025643227875551E-11</c:v>
                </c:pt>
                <c:pt idx="86">
                  <c:v>1.6275433436190143E-12</c:v>
                </c:pt>
                <c:pt idx="87">
                  <c:v>2.3468182145372824E-13</c:v>
                </c:pt>
                <c:pt idx="88">
                  <c:v>3.0787523794229714E-14</c:v>
                </c:pt>
                <c:pt idx="89">
                  <c:v>3.682592321662556E-15</c:v>
                </c:pt>
                <c:pt idx="90">
                  <c:v>4.0313848902803226E-16</c:v>
                </c:pt>
                <c:pt idx="91">
                  <c:v>4.0658378344784722E-17</c:v>
                </c:pt>
                <c:pt idx="92">
                  <c:v>3.8212049476296985E-18</c:v>
                </c:pt>
                <c:pt idx="93">
                  <c:v>3.4099178069244951E-19</c:v>
                </c:pt>
                <c:pt idx="94">
                  <c:v>2.969822247763115E-20</c:v>
                </c:pt>
                <c:pt idx="95">
                  <c:v>2.6079298412318471E-21</c:v>
                </c:pt>
                <c:pt idx="96">
                  <c:v>2.3682934804998005E-22</c:v>
                </c:pt>
                <c:pt idx="97">
                  <c:v>2.233859573067627E-23</c:v>
                </c:pt>
                <c:pt idx="98">
                  <c:v>2.1521047393447519E-24</c:v>
                </c:pt>
                <c:pt idx="99">
                  <c:v>2.0659132430479615E-25</c:v>
                </c:pt>
                <c:pt idx="100">
                  <c:v>1.9354641087732796E-26</c:v>
                </c:pt>
                <c:pt idx="101">
                  <c:v>1.7463998252184459E-27</c:v>
                </c:pt>
                <c:pt idx="102">
                  <c:v>1.5069156251973874E-28</c:v>
                </c:pt>
                <c:pt idx="103">
                  <c:v>1.2391341259613843E-29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F128-4E4D-A374-25E73A119BF1}"/>
            </c:ext>
          </c:extLst>
        </c:ser>
        <c:ser>
          <c:idx val="73"/>
          <c:order val="73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NaiwnaGęstość!$CK$5:$CK$108</c:f>
              <c:numCache>
                <c:formatCode>General</c:formatCode>
                <c:ptCount val="104"/>
                <c:pt idx="0">
                  <c:v>4.924904131192069E-5</c:v>
                </c:pt>
                <c:pt idx="1">
                  <c:v>1.1293587988324203E-4</c:v>
                </c:pt>
                <c:pt idx="2">
                  <c:v>2.4660690063549567E-4</c:v>
                </c:pt>
                <c:pt idx="3">
                  <c:v>5.1296411808526821E-4</c:v>
                </c:pt>
                <c:pt idx="4">
                  <c:v>1.0169164104050774E-3</c:v>
                </c:pt>
                <c:pt idx="5">
                  <c:v>1.9224524361012259E-3</c:v>
                </c:pt>
                <c:pt idx="6">
                  <c:v>3.4682595086727914E-3</c:v>
                </c:pt>
                <c:pt idx="7">
                  <c:v>5.9763580373637841E-3</c:v>
                </c:pt>
                <c:pt idx="8">
                  <c:v>9.8468362243288188E-3</c:v>
                </c:pt>
                <c:pt idx="9">
                  <c:v>1.5532923437271034E-2</c:v>
                </c:pt>
                <c:pt idx="10">
                  <c:v>2.3494874628591001E-2</c:v>
                </c:pt>
                <c:pt idx="11">
                  <c:v>3.413774680592848E-2</c:v>
                </c:pt>
                <c:pt idx="12">
                  <c:v>4.7744647573810563E-2</c:v>
                </c:pt>
                <c:pt idx="13">
                  <c:v>6.4419999012097093E-2</c:v>
                </c:pt>
                <c:pt idx="14">
                  <c:v>8.4054412925672867E-2</c:v>
                </c:pt>
                <c:pt idx="15">
                  <c:v>0.10631470490618619</c:v>
                </c:pt>
                <c:pt idx="16">
                  <c:v>0.13065387364754061</c:v>
                </c:pt>
                <c:pt idx="17">
                  <c:v>0.15633253480072404</c:v>
                </c:pt>
                <c:pt idx="18">
                  <c:v>0.1824486025461485</c:v>
                </c:pt>
                <c:pt idx="19">
                  <c:v>0.20798299204989171</c:v>
                </c:pt>
                <c:pt idx="20">
                  <c:v>0.23187693056776251</c:v>
                </c:pt>
                <c:pt idx="21">
                  <c:v>0.25315166905620839</c:v>
                </c:pt>
                <c:pt idx="22">
                  <c:v>0.27106135780597335</c:v>
                </c:pt>
                <c:pt idx="23">
                  <c:v>0.28524303373424637</c:v>
                </c:pt>
                <c:pt idx="24">
                  <c:v>0.29581045708648152</c:v>
                </c:pt>
                <c:pt idx="25">
                  <c:v>0.30334546032925408</c:v>
                </c:pt>
                <c:pt idx="26">
                  <c:v>0.30877366353745916</c:v>
                </c:pt>
                <c:pt idx="27">
                  <c:v>0.31315688188226604</c:v>
                </c:pt>
                <c:pt idx="28">
                  <c:v>0.31746885319822854</c:v>
                </c:pt>
                <c:pt idx="29">
                  <c:v>0.32242471698540609</c:v>
                </c:pt>
                <c:pt idx="30">
                  <c:v>0.32840480660674692</c:v>
                </c:pt>
                <c:pt idx="31">
                  <c:v>0.33546548942492549</c:v>
                </c:pt>
                <c:pt idx="32">
                  <c:v>0.34339017573991354</c:v>
                </c:pt>
                <c:pt idx="33">
                  <c:v>0.3517242507360579</c:v>
                </c:pt>
                <c:pt idx="34">
                  <c:v>0.35976409415386601</c:v>
                </c:pt>
                <c:pt idx="35">
                  <c:v>0.36651809265225821</c:v>
                </c:pt>
                <c:pt idx="36">
                  <c:v>0.37069927013007919</c:v>
                </c:pt>
                <c:pt idx="37">
                  <c:v>0.37081864924026242</c:v>
                </c:pt>
                <c:pt idx="38">
                  <c:v>0.36541485055831879</c:v>
                </c:pt>
                <c:pt idx="39">
                  <c:v>0.35339051966235868</c:v>
                </c:pt>
                <c:pt idx="40">
                  <c:v>0.33436039649690991</c:v>
                </c:pt>
                <c:pt idx="41">
                  <c:v>0.30888389768176611</c:v>
                </c:pt>
                <c:pt idx="42">
                  <c:v>0.27847770758684104</c:v>
                </c:pt>
                <c:pt idx="43">
                  <c:v>0.24537569710123938</c:v>
                </c:pt>
                <c:pt idx="44">
                  <c:v>0.21209439859140508</c:v>
                </c:pt>
                <c:pt idx="45">
                  <c:v>0.18093229908737624</c:v>
                </c:pt>
                <c:pt idx="46">
                  <c:v>0.15355076435795664</c:v>
                </c:pt>
                <c:pt idx="47">
                  <c:v>0.13074824480801367</c:v>
                </c:pt>
                <c:pt idx="48">
                  <c:v>0.11246710247121046</c:v>
                </c:pt>
                <c:pt idx="49">
                  <c:v>9.7996227439760344E-2</c:v>
                </c:pt>
                <c:pt idx="50">
                  <c:v>8.628119126467082E-2</c:v>
                </c:pt>
                <c:pt idx="51">
                  <c:v>7.6240381439223695E-2</c:v>
                </c:pt>
                <c:pt idx="52">
                  <c:v>6.7006439391027933E-2</c:v>
                </c:pt>
                <c:pt idx="53">
                  <c:v>5.8052130148335261E-2</c:v>
                </c:pt>
                <c:pt idx="54">
                  <c:v>4.9200904981305457E-2</c:v>
                </c:pt>
                <c:pt idx="55">
                  <c:v>4.0552030716920789E-2</c:v>
                </c:pt>
                <c:pt idx="56">
                  <c:v>3.2363068523052332E-2</c:v>
                </c:pt>
                <c:pt idx="57">
                  <c:v>2.4930278839621629E-2</c:v>
                </c:pt>
                <c:pt idx="58">
                  <c:v>1.8495665515504477E-2</c:v>
                </c:pt>
                <c:pt idx="59">
                  <c:v>1.3194115432325801E-2</c:v>
                </c:pt>
                <c:pt idx="60">
                  <c:v>9.0404087371400588E-3</c:v>
                </c:pt>
                <c:pt idx="61">
                  <c:v>5.9465983935772576E-3</c:v>
                </c:pt>
                <c:pt idx="62">
                  <c:v>3.7561970508324699E-3</c:v>
                </c:pt>
                <c:pt idx="63">
                  <c:v>2.2821137734959761E-3</c:v>
                </c:pt>
                <c:pt idx="64">
                  <c:v>1.3388305195621425E-3</c:v>
                </c:pt>
                <c:pt idx="65">
                  <c:v>7.6403248484909511E-4</c:v>
                </c:pt>
                <c:pt idx="66">
                  <c:v>4.2912999951472369E-4</c:v>
                </c:pt>
                <c:pt idx="67">
                  <c:v>2.4081820609129714E-4</c:v>
                </c:pt>
                <c:pt idx="68">
                  <c:v>1.3685665593844755E-4</c:v>
                </c:pt>
                <c:pt idx="69">
                  <c:v>7.9091271344936719E-5</c:v>
                </c:pt>
                <c:pt idx="70">
                  <c:v>4.6026514176257435E-5</c:v>
                </c:pt>
                <c:pt idx="71">
                  <c:v>2.6422682062101048E-5</c:v>
                </c:pt>
                <c:pt idx="72">
                  <c:v>1.4619372971372684E-5</c:v>
                </c:pt>
                <c:pt idx="73">
                  <c:v>7.6427293211992929E-6</c:v>
                </c:pt>
                <c:pt idx="74">
                  <c:v>3.7211626083010799E-6</c:v>
                </c:pt>
                <c:pt idx="75">
                  <c:v>1.6713102275666724E-6</c:v>
                </c:pt>
                <c:pt idx="76">
                  <c:v>6.8822888857437527E-7</c:v>
                </c:pt>
                <c:pt idx="77">
                  <c:v>2.5884934705727396E-7</c:v>
                </c:pt>
                <c:pt idx="78">
                  <c:v>8.8708747808765718E-8</c:v>
                </c:pt>
                <c:pt idx="79">
                  <c:v>2.7659890282691931E-8</c:v>
                </c:pt>
                <c:pt idx="80">
                  <c:v>7.8398837244496329E-9</c:v>
                </c:pt>
                <c:pt idx="81">
                  <c:v>2.0189397329325826E-9</c:v>
                </c:pt>
                <c:pt idx="82">
                  <c:v>4.7227622239671825E-10</c:v>
                </c:pt>
                <c:pt idx="83">
                  <c:v>1.0035536102505723E-10</c:v>
                </c:pt>
                <c:pt idx="84">
                  <c:v>1.9376912134550584E-11</c:v>
                </c:pt>
                <c:pt idx="85">
                  <c:v>3.4017562782426495E-12</c:v>
                </c:pt>
                <c:pt idx="86">
                  <c:v>5.4360985158391977E-13</c:v>
                </c:pt>
                <c:pt idx="87">
                  <c:v>7.9225984153118291E-14</c:v>
                </c:pt>
                <c:pt idx="88">
                  <c:v>1.0563992400344796E-14</c:v>
                </c:pt>
                <c:pt idx="89">
                  <c:v>1.2955542240534986E-15</c:v>
                </c:pt>
                <c:pt idx="90">
                  <c:v>1.4739018517927434E-16</c:v>
                </c:pt>
                <c:pt idx="91">
                  <c:v>1.5764560070532258E-17</c:v>
                </c:pt>
                <c:pt idx="92">
                  <c:v>1.6161681760908096E-18</c:v>
                </c:pt>
                <c:pt idx="93">
                  <c:v>1.6267141170863433E-19</c:v>
                </c:pt>
                <c:pt idx="94">
                  <c:v>1.6446716447954023E-20</c:v>
                </c:pt>
                <c:pt idx="95">
                  <c:v>1.6913058420303057E-21</c:v>
                </c:pt>
                <c:pt idx="96">
                  <c:v>1.7635791422539482E-22</c:v>
                </c:pt>
                <c:pt idx="97">
                  <c:v>1.8375434446557109E-23</c:v>
                </c:pt>
                <c:pt idx="98">
                  <c:v>1.8802768254232839E-24</c:v>
                </c:pt>
                <c:pt idx="99">
                  <c:v>1.8634020277761022E-25</c:v>
                </c:pt>
                <c:pt idx="100">
                  <c:v>1.7725056166275842E-26</c:v>
                </c:pt>
                <c:pt idx="101">
                  <c:v>1.6101569676656993E-27</c:v>
                </c:pt>
                <c:pt idx="102">
                  <c:v>1.3932436106541005E-28</c:v>
                </c:pt>
                <c:pt idx="103">
                  <c:v>1.1469206746762205E-29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F128-4E4D-A374-25E73A119BF1}"/>
            </c:ext>
          </c:extLst>
        </c:ser>
        <c:ser>
          <c:idx val="74"/>
          <c:order val="74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NaiwnaGęstość!$CL$5:$CL$108</c:f>
              <c:numCache>
                <c:formatCode>General</c:formatCode>
                <c:ptCount val="104"/>
                <c:pt idx="0">
                  <c:v>4.453953398238047E-5</c:v>
                </c:pt>
                <c:pt idx="1">
                  <c:v>1.0213623099851414E-4</c:v>
                </c:pt>
                <c:pt idx="2">
                  <c:v>2.2302477649418882E-4</c:v>
                </c:pt>
                <c:pt idx="3">
                  <c:v>4.6391121858590351E-4</c:v>
                </c:pt>
                <c:pt idx="4">
                  <c:v>9.1967237964313785E-4</c:v>
                </c:pt>
                <c:pt idx="5">
                  <c:v>1.7386152770960674E-3</c:v>
                </c:pt>
                <c:pt idx="6">
                  <c:v>3.1366024217177099E-3</c:v>
                </c:pt>
                <c:pt idx="7">
                  <c:v>5.4048605781003749E-3</c:v>
                </c:pt>
                <c:pt idx="8">
                  <c:v>8.9052189636485788E-3</c:v>
                </c:pt>
                <c:pt idx="9">
                  <c:v>1.4047566264251129E-2</c:v>
                </c:pt>
                <c:pt idx="10">
                  <c:v>2.1248144919292167E-2</c:v>
                </c:pt>
                <c:pt idx="11">
                  <c:v>3.0873277802801028E-2</c:v>
                </c:pt>
                <c:pt idx="12">
                  <c:v>4.3178999965138229E-2</c:v>
                </c:pt>
                <c:pt idx="13">
                  <c:v>5.8259747981118944E-2</c:v>
                </c:pt>
                <c:pt idx="14">
                  <c:v>7.6016594052276024E-2</c:v>
                </c:pt>
                <c:pt idx="15">
                  <c:v>9.6148214987682973E-2</c:v>
                </c:pt>
                <c:pt idx="16">
                  <c:v>0.11815991723367276</c:v>
                </c:pt>
                <c:pt idx="17">
                  <c:v>0.14138302108681131</c:v>
                </c:pt>
                <c:pt idx="18">
                  <c:v>0.16500170392504807</c:v>
                </c:pt>
                <c:pt idx="19">
                  <c:v>0.18809433230370357</c:v>
                </c:pt>
                <c:pt idx="20">
                  <c:v>0.20970338007884246</c:v>
                </c:pt>
                <c:pt idx="21">
                  <c:v>0.22894369243065851</c:v>
                </c:pt>
                <c:pt idx="22">
                  <c:v>0.2451407425541417</c:v>
                </c:pt>
                <c:pt idx="23">
                  <c:v>0.25796627620905538</c:v>
                </c:pt>
                <c:pt idx="24">
                  <c:v>0.26752317515354745</c:v>
                </c:pt>
                <c:pt idx="25">
                  <c:v>0.27433763329327715</c:v>
                </c:pt>
                <c:pt idx="26">
                  <c:v>0.27924675689367751</c:v>
                </c:pt>
                <c:pt idx="27">
                  <c:v>0.28321082319656277</c:v>
                </c:pt>
                <c:pt idx="28">
                  <c:v>0.28711045383344685</c:v>
                </c:pt>
                <c:pt idx="29">
                  <c:v>0.29159239893820493</c:v>
                </c:pt>
                <c:pt idx="30">
                  <c:v>0.29700061446618936</c:v>
                </c:pt>
                <c:pt idx="31">
                  <c:v>0.30338606193193129</c:v>
                </c:pt>
                <c:pt idx="32">
                  <c:v>0.31055283493485514</c:v>
                </c:pt>
                <c:pt idx="33">
                  <c:v>0.31808974760912295</c:v>
                </c:pt>
                <c:pt idx="34">
                  <c:v>0.32536040673590527</c:v>
                </c:pt>
                <c:pt idx="35">
                  <c:v>0.3314679636972796</c:v>
                </c:pt>
                <c:pt idx="36">
                  <c:v>0.33524846837320871</c:v>
                </c:pt>
                <c:pt idx="37">
                  <c:v>0.3353553196848969</c:v>
                </c:pt>
                <c:pt idx="38">
                  <c:v>0.33046690879024082</c:v>
                </c:pt>
                <c:pt idx="39">
                  <c:v>0.31959084650690622</c:v>
                </c:pt>
                <c:pt idx="40">
                  <c:v>0.3023786958988216</c:v>
                </c:pt>
                <c:pt idx="41">
                  <c:v>0.27933626019649765</c:v>
                </c:pt>
                <c:pt idx="42">
                  <c:v>0.25183494630027015</c:v>
                </c:pt>
                <c:pt idx="43">
                  <c:v>0.22189467173427954</c:v>
                </c:pt>
                <c:pt idx="44">
                  <c:v>0.19179098111559739</c:v>
                </c:pt>
                <c:pt idx="45">
                  <c:v>0.16360235371346821</c:v>
                </c:pt>
                <c:pt idx="46">
                  <c:v>0.13883134194646976</c:v>
                </c:pt>
                <c:pt idx="47">
                  <c:v>0.11820045306110083</c:v>
                </c:pt>
                <c:pt idx="48">
                  <c:v>0.10165828152160208</c:v>
                </c:pt>
                <c:pt idx="49">
                  <c:v>8.8562551868704834E-2</c:v>
                </c:pt>
                <c:pt idx="50">
                  <c:v>7.7960322298759668E-2</c:v>
                </c:pt>
                <c:pt idx="51">
                  <c:v>6.8873663138562691E-2</c:v>
                </c:pt>
                <c:pt idx="52">
                  <c:v>6.0518009928363939E-2</c:v>
                </c:pt>
                <c:pt idx="53">
                  <c:v>5.2416259236808989E-2</c:v>
                </c:pt>
                <c:pt idx="54">
                  <c:v>4.44086836449092E-2</c:v>
                </c:pt>
                <c:pt idx="55">
                  <c:v>3.6585422115499422E-2</c:v>
                </c:pt>
                <c:pt idx="56">
                  <c:v>2.9180065932229781E-2</c:v>
                </c:pt>
                <c:pt idx="57">
                  <c:v>2.246109438570874E-2</c:v>
                </c:pt>
                <c:pt idx="58">
                  <c:v>1.6647383312767286E-2</c:v>
                </c:pt>
                <c:pt idx="59">
                  <c:v>1.1860227834019185E-2</c:v>
                </c:pt>
                <c:pt idx="60">
                  <c:v>8.1117791185648051E-3</c:v>
                </c:pt>
                <c:pt idx="61">
                  <c:v>5.3211927194936302E-3</c:v>
                </c:pt>
                <c:pt idx="62">
                  <c:v>3.3460056534041394E-3</c:v>
                </c:pt>
                <c:pt idx="63">
                  <c:v>2.0167461851741102E-3</c:v>
                </c:pt>
                <c:pt idx="64">
                  <c:v>1.1660837949774632E-3</c:v>
                </c:pt>
                <c:pt idx="65">
                  <c:v>6.4818657715168704E-4</c:v>
                </c:pt>
                <c:pt idx="66">
                  <c:v>3.4784508490236796E-4</c:v>
                </c:pt>
                <c:pt idx="67">
                  <c:v>1.8144409312305729E-4</c:v>
                </c:pt>
                <c:pt idx="68">
                  <c:v>9.284523117730806E-5</c:v>
                </c:pt>
                <c:pt idx="69">
                  <c:v>4.7054768902200557E-5</c:v>
                </c:pt>
                <c:pt idx="70">
                  <c:v>2.3763528487697888E-5</c:v>
                </c:pt>
                <c:pt idx="71">
                  <c:v>1.1940390026652855E-5</c:v>
                </c:pt>
                <c:pt idx="72">
                  <c:v>5.9089781288964056E-6</c:v>
                </c:pt>
                <c:pt idx="73">
                  <c:v>2.8348947569400357E-6</c:v>
                </c:pt>
                <c:pt idx="74">
                  <c:v>1.2965892797146296E-6</c:v>
                </c:pt>
                <c:pt idx="75">
                  <c:v>5.5721664697664388E-7</c:v>
                </c:pt>
                <c:pt idx="76">
                  <c:v>2.2255386148996856E-7</c:v>
                </c:pt>
                <c:pt idx="77">
                  <c:v>8.1976791311376752E-8</c:v>
                </c:pt>
                <c:pt idx="78">
                  <c:v>2.7704743462467647E-8</c:v>
                </c:pt>
                <c:pt idx="79">
                  <c:v>8.5621031583295795E-9</c:v>
                </c:pt>
                <c:pt idx="80">
                  <c:v>2.4147886304484419E-9</c:v>
                </c:pt>
                <c:pt idx="81">
                  <c:v>6.2080518898976538E-10</c:v>
                </c:pt>
                <c:pt idx="82">
                  <c:v>1.4541913576395126E-10</c:v>
                </c:pt>
                <c:pt idx="83">
                  <c:v>3.1043127317140128E-11</c:v>
                </c:pt>
                <c:pt idx="84">
                  <c:v>6.04463079978807E-12</c:v>
                </c:pt>
                <c:pt idx="85">
                  <c:v>1.0754443691643371E-12</c:v>
                </c:pt>
                <c:pt idx="86">
                  <c:v>1.7534281652737723E-13</c:v>
                </c:pt>
                <c:pt idx="87">
                  <c:v>2.6319643070031199E-14</c:v>
                </c:pt>
                <c:pt idx="88">
                  <c:v>3.6629378879062321E-15</c:v>
                </c:pt>
                <c:pt idx="89">
                  <c:v>4.77530195119143E-16</c:v>
                </c:pt>
                <c:pt idx="90">
                  <c:v>5.9133884687480379E-17</c:v>
                </c:pt>
                <c:pt idx="91">
                  <c:v>7.072701845939109E-18</c:v>
                </c:pt>
                <c:pt idx="92">
                  <c:v>8.3057235193892702E-19</c:v>
                </c:pt>
                <c:pt idx="93">
                  <c:v>9.6857939922438237E-20</c:v>
                </c:pt>
                <c:pt idx="94">
                  <c:v>1.1244777716697793E-20</c:v>
                </c:pt>
                <c:pt idx="95">
                  <c:v>1.2919521236808483E-21</c:v>
                </c:pt>
                <c:pt idx="96">
                  <c:v>1.4538688481736383E-22</c:v>
                </c:pt>
                <c:pt idx="97">
                  <c:v>1.5858940639346764E-23</c:v>
                </c:pt>
                <c:pt idx="98">
                  <c:v>1.663414065588459E-24</c:v>
                </c:pt>
                <c:pt idx="99">
                  <c:v>1.6688125012255313E-25</c:v>
                </c:pt>
                <c:pt idx="100">
                  <c:v>1.5964274738654846E-26</c:v>
                </c:pt>
                <c:pt idx="101">
                  <c:v>1.4537897607613533E-27</c:v>
                </c:pt>
                <c:pt idx="102">
                  <c:v>1.2592231890983671E-28</c:v>
                </c:pt>
                <c:pt idx="103">
                  <c:v>1.0370086584878706E-29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F128-4E4D-A374-25E73A119BF1}"/>
            </c:ext>
          </c:extLst>
        </c:ser>
        <c:ser>
          <c:idx val="75"/>
          <c:order val="75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NaiwnaGęstość!$CM$5:$CM$108</c:f>
              <c:numCache>
                <c:formatCode>General</c:formatCode>
                <c:ptCount val="104"/>
                <c:pt idx="0">
                  <c:v>3.9421171424017763E-5</c:v>
                </c:pt>
                <c:pt idx="1">
                  <c:v>9.0399012086392528E-5</c:v>
                </c:pt>
                <c:pt idx="2">
                  <c:v>1.973953735002858E-4</c:v>
                </c:pt>
                <c:pt idx="3">
                  <c:v>4.1059979838663002E-4</c:v>
                </c:pt>
                <c:pt idx="4">
                  <c:v>8.139861217719192E-4</c:v>
                </c:pt>
                <c:pt idx="5">
                  <c:v>1.538818320504509E-3</c:v>
                </c:pt>
                <c:pt idx="6">
                  <c:v>2.7761525705329022E-3</c:v>
                </c:pt>
                <c:pt idx="7">
                  <c:v>4.7837486457873142E-3</c:v>
                </c:pt>
                <c:pt idx="8">
                  <c:v>7.8818553304414694E-3</c:v>
                </c:pt>
                <c:pt idx="9">
                  <c:v>1.2433258013259877E-2</c:v>
                </c:pt>
                <c:pt idx="10">
                  <c:v>1.8806365680367199E-2</c:v>
                </c:pt>
                <c:pt idx="11">
                  <c:v>2.7325404373718921E-2</c:v>
                </c:pt>
                <c:pt idx="12">
                  <c:v>3.8216986289455489E-2</c:v>
                </c:pt>
                <c:pt idx="13">
                  <c:v>5.1564695607105103E-2</c:v>
                </c:pt>
                <c:pt idx="14">
                  <c:v>6.728097304274E-2</c:v>
                </c:pt>
                <c:pt idx="15">
                  <c:v>8.5099122650052234E-2</c:v>
                </c:pt>
                <c:pt idx="16">
                  <c:v>0.10458129971811196</c:v>
                </c:pt>
                <c:pt idx="17">
                  <c:v>0.12513566740311066</c:v>
                </c:pt>
                <c:pt idx="18">
                  <c:v>0.14604015520812366</c:v>
                </c:pt>
                <c:pt idx="19">
                  <c:v>0.16647904130662258</c:v>
                </c:pt>
                <c:pt idx="20">
                  <c:v>0.18560483586456264</c:v>
                </c:pt>
                <c:pt idx="21">
                  <c:v>0.20263410365554796</c:v>
                </c:pt>
                <c:pt idx="22">
                  <c:v>0.2169698326671757</c:v>
                </c:pt>
                <c:pt idx="23">
                  <c:v>0.22832149074658287</c:v>
                </c:pt>
                <c:pt idx="24">
                  <c:v>0.23678013675690032</c:v>
                </c:pt>
                <c:pt idx="25">
                  <c:v>0.24281149581692657</c:v>
                </c:pt>
                <c:pt idx="26">
                  <c:v>0.24715647617428199</c:v>
                </c:pt>
                <c:pt idx="27">
                  <c:v>0.25066500249721024</c:v>
                </c:pt>
                <c:pt idx="28">
                  <c:v>0.25411649741930092</c:v>
                </c:pt>
                <c:pt idx="29">
                  <c:v>0.25808338737447806</c:v>
                </c:pt>
                <c:pt idx="30">
                  <c:v>0.26287009963485974</c:v>
                </c:pt>
                <c:pt idx="31">
                  <c:v>0.26852173477818453</c:v>
                </c:pt>
                <c:pt idx="32">
                  <c:v>0.2748648911284291</c:v>
                </c:pt>
                <c:pt idx="33">
                  <c:v>0.28153562224469358</c:v>
                </c:pt>
                <c:pt idx="34">
                  <c:v>0.28797065063102673</c:v>
                </c:pt>
                <c:pt idx="35">
                  <c:v>0.29337617362052726</c:v>
                </c:pt>
                <c:pt idx="36">
                  <c:v>0.29672198653810866</c:v>
                </c:pt>
                <c:pt idx="37">
                  <c:v>0.2968162333482513</c:v>
                </c:pt>
                <c:pt idx="38">
                  <c:v>0.29248918798780776</c:v>
                </c:pt>
                <c:pt idx="39">
                  <c:v>0.28286251249976041</c:v>
                </c:pt>
                <c:pt idx="40">
                  <c:v>0.26762780613699583</c:v>
                </c:pt>
                <c:pt idx="41">
                  <c:v>0.2472327119409726</c:v>
                </c:pt>
                <c:pt idx="42">
                  <c:v>0.22289096749489931</c:v>
                </c:pt>
                <c:pt idx="43">
                  <c:v>0.19639026842750767</c:v>
                </c:pt>
                <c:pt idx="44">
                  <c:v>0.16974456017304834</c:v>
                </c:pt>
                <c:pt idx="45">
                  <c:v>0.14479340681692829</c:v>
                </c:pt>
                <c:pt idx="46">
                  <c:v>0.12286670821756092</c:v>
                </c:pt>
                <c:pt idx="47">
                  <c:v>0.10460406296621901</c:v>
                </c:pt>
                <c:pt idx="48">
                  <c:v>8.9960183837127464E-2</c:v>
                </c:pt>
                <c:pt idx="49">
                  <c:v>7.8366847882328283E-2</c:v>
                </c:pt>
                <c:pt idx="50">
                  <c:v>6.8980814618269548E-2</c:v>
                </c:pt>
                <c:pt idx="51">
                  <c:v>6.0936609193660826E-2</c:v>
                </c:pt>
                <c:pt idx="52">
                  <c:v>5.3539783785656631E-2</c:v>
                </c:pt>
                <c:pt idx="53">
                  <c:v>4.6367978687572822E-2</c:v>
                </c:pt>
                <c:pt idx="54">
                  <c:v>3.9279803952102149E-2</c:v>
                </c:pt>
                <c:pt idx="55">
                  <c:v>3.2355146738395582E-2</c:v>
                </c:pt>
                <c:pt idx="56">
                  <c:v>2.5800947736220357E-2</c:v>
                </c:pt>
                <c:pt idx="57">
                  <c:v>1.9854994040805912E-2</c:v>
                </c:pt>
                <c:pt idx="58">
                  <c:v>1.4711012950243307E-2</c:v>
                </c:pt>
                <c:pt idx="59">
                  <c:v>1.0476157861074848E-2</c:v>
                </c:pt>
                <c:pt idx="60">
                  <c:v>7.1608278054398023E-3</c:v>
                </c:pt>
                <c:pt idx="61">
                  <c:v>4.6930861198135401E-3</c:v>
                </c:pt>
                <c:pt idx="62">
                  <c:v>2.9465661961607464E-3</c:v>
                </c:pt>
                <c:pt idx="63">
                  <c:v>1.7711920377447836E-3</c:v>
                </c:pt>
                <c:pt idx="64">
                  <c:v>1.0189931435427306E-3</c:v>
                </c:pt>
                <c:pt idx="65">
                  <c:v>5.6117755447962893E-4</c:v>
                </c:pt>
                <c:pt idx="66">
                  <c:v>2.9609252329342809E-4</c:v>
                </c:pt>
                <c:pt idx="67">
                  <c:v>1.4995619553745214E-4</c:v>
                </c:pt>
                <c:pt idx="68">
                  <c:v>7.3125441810095753E-5</c:v>
                </c:pt>
                <c:pt idx="69">
                  <c:v>3.4485044012252928E-5</c:v>
                </c:pt>
                <c:pt idx="70">
                  <c:v>1.5805327014960594E-5</c:v>
                </c:pt>
                <c:pt idx="71">
                  <c:v>7.0693278200232544E-6</c:v>
                </c:pt>
                <c:pt idx="72">
                  <c:v>3.0898986515065064E-6</c:v>
                </c:pt>
                <c:pt idx="73">
                  <c:v>1.3159508282900822E-6</c:v>
                </c:pt>
                <c:pt idx="74">
                  <c:v>5.4215658907585799E-7</c:v>
                </c:pt>
                <c:pt idx="75">
                  <c:v>2.13906868129411E-7</c:v>
                </c:pt>
                <c:pt idx="76">
                  <c:v>7.9955476285116369E-8</c:v>
                </c:pt>
                <c:pt idx="77">
                  <c:v>2.8037097330453509E-8</c:v>
                </c:pt>
                <c:pt idx="78">
                  <c:v>9.1502368406114896E-9</c:v>
                </c:pt>
                <c:pt idx="79">
                  <c:v>2.7631246801618594E-9</c:v>
                </c:pt>
                <c:pt idx="80">
                  <c:v>7.689931132905937E-10</c:v>
                </c:pt>
                <c:pt idx="81">
                  <c:v>1.9678968150445529E-10</c:v>
                </c:pt>
                <c:pt idx="82">
                  <c:v>4.6267499402784907E-11</c:v>
                </c:pt>
                <c:pt idx="83">
                  <c:v>9.9994488283105742E-12</c:v>
                </c:pt>
                <c:pt idx="84">
                  <c:v>1.990471696014693E-12</c:v>
                </c:pt>
                <c:pt idx="85">
                  <c:v>3.6624323239242681E-13</c:v>
                </c:pt>
                <c:pt idx="86">
                  <c:v>6.2629789755058027E-14</c:v>
                </c:pt>
                <c:pt idx="87">
                  <c:v>1.0028775529774628E-14</c:v>
                </c:pt>
                <c:pt idx="88">
                  <c:v>1.5179928385725908E-15</c:v>
                </c:pt>
                <c:pt idx="89">
                  <c:v>2.1950919780708796E-16</c:v>
                </c:pt>
                <c:pt idx="90">
                  <c:v>3.063425981713731E-17</c:v>
                </c:pt>
                <c:pt idx="91">
                  <c:v>4.1573643595447983E-18</c:v>
                </c:pt>
                <c:pt idx="92">
                  <c:v>5.5044376184609839E-19</c:v>
                </c:pt>
                <c:pt idx="93">
                  <c:v>7.1018913603378315E-20</c:v>
                </c:pt>
                <c:pt idx="94">
                  <c:v>8.8904421783201585E-21</c:v>
                </c:pt>
                <c:pt idx="95">
                  <c:v>1.0739428772730256E-21</c:v>
                </c:pt>
                <c:pt idx="96">
                  <c:v>1.2455101189018167E-22</c:v>
                </c:pt>
                <c:pt idx="97">
                  <c:v>1.3814253346133863E-23</c:v>
                </c:pt>
                <c:pt idx="98">
                  <c:v>1.4614134817426432E-24</c:v>
                </c:pt>
                <c:pt idx="99">
                  <c:v>1.4722377404008571E-25</c:v>
                </c:pt>
                <c:pt idx="100">
                  <c:v>1.4110447034703913E-26</c:v>
                </c:pt>
                <c:pt idx="101">
                  <c:v>1.2860236346232904E-27</c:v>
                </c:pt>
                <c:pt idx="102">
                  <c:v>1.1142855935867897E-28</c:v>
                </c:pt>
                <c:pt idx="103">
                  <c:v>9.1776932242145821E-30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F128-4E4D-A374-25E73A119BF1}"/>
            </c:ext>
          </c:extLst>
        </c:ser>
        <c:ser>
          <c:idx val="76"/>
          <c:order val="76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NaiwnaGęstość!$CN$5:$CN$108</c:f>
              <c:numCache>
                <c:formatCode>General</c:formatCode>
                <c:ptCount val="104"/>
                <c:pt idx="0">
                  <c:v>3.428115899050323E-5</c:v>
                </c:pt>
                <c:pt idx="1">
                  <c:v>7.8612146569291384E-5</c:v>
                </c:pt>
                <c:pt idx="2">
                  <c:v>1.7165756212993293E-4</c:v>
                </c:pt>
                <c:pt idx="3">
                  <c:v>3.5706287919655237E-4</c:v>
                </c:pt>
                <c:pt idx="4">
                  <c:v>7.0785282751707485E-4</c:v>
                </c:pt>
                <c:pt idx="5">
                  <c:v>1.3381762539551078E-3</c:v>
                </c:pt>
                <c:pt idx="6">
                  <c:v>2.4141780727081463E-3</c:v>
                </c:pt>
                <c:pt idx="7">
                  <c:v>4.1600095068946965E-3</c:v>
                </c:pt>
                <c:pt idx="8">
                  <c:v>6.854163028711717E-3</c:v>
                </c:pt>
                <c:pt idx="9">
                  <c:v>1.0812121490200751E-2</c:v>
                </c:pt>
                <c:pt idx="10">
                  <c:v>1.6354258096181754E-2</c:v>
                </c:pt>
                <c:pt idx="11">
                  <c:v>2.3762523993503856E-2</c:v>
                </c:pt>
                <c:pt idx="12">
                  <c:v>3.3233984070004066E-2</c:v>
                </c:pt>
                <c:pt idx="13">
                  <c:v>4.484132420598453E-2</c:v>
                </c:pt>
                <c:pt idx="14">
                  <c:v>5.8508401719099871E-2</c:v>
                </c:pt>
                <c:pt idx="15">
                  <c:v>7.4003294375503542E-2</c:v>
                </c:pt>
                <c:pt idx="16">
                  <c:v>9.0945246768739232E-2</c:v>
                </c:pt>
                <c:pt idx="17">
                  <c:v>0.10881958994793253</c:v>
                </c:pt>
                <c:pt idx="18">
                  <c:v>0.12699840209814864</c:v>
                </c:pt>
                <c:pt idx="19">
                  <c:v>0.14477232100063298</c:v>
                </c:pt>
                <c:pt idx="20">
                  <c:v>0.16140435856765833</c:v>
                </c:pt>
                <c:pt idx="21">
                  <c:v>0.1762132294242644</c:v>
                </c:pt>
                <c:pt idx="22">
                  <c:v>0.18867976422621238</c:v>
                </c:pt>
                <c:pt idx="23">
                  <c:v>0.19855131246695776</c:v>
                </c:pt>
                <c:pt idx="24">
                  <c:v>0.20590706010748663</c:v>
                </c:pt>
                <c:pt idx="25">
                  <c:v>0.21115200771408793</c:v>
                </c:pt>
                <c:pt idx="26">
                  <c:v>0.21493045864371513</c:v>
                </c:pt>
                <c:pt idx="27">
                  <c:v>0.21798151831729903</c:v>
                </c:pt>
                <c:pt idx="28">
                  <c:v>0.22098298261697197</c:v>
                </c:pt>
                <c:pt idx="29">
                  <c:v>0.22443264070888047</c:v>
                </c:pt>
                <c:pt idx="30">
                  <c:v>0.22859522590083922</c:v>
                </c:pt>
                <c:pt idx="31">
                  <c:v>0.23350995704181451</c:v>
                </c:pt>
                <c:pt idx="32">
                  <c:v>0.23902603962954808</c:v>
                </c:pt>
                <c:pt idx="33">
                  <c:v>0.24482697776795284</c:v>
                </c:pt>
                <c:pt idx="34">
                  <c:v>0.25042293368164342</c:v>
                </c:pt>
                <c:pt idx="35">
                  <c:v>0.25512360177726667</c:v>
                </c:pt>
                <c:pt idx="36">
                  <c:v>0.25803309950939535</c:v>
                </c:pt>
                <c:pt idx="37">
                  <c:v>0.25811497279519202</c:v>
                </c:pt>
                <c:pt idx="38">
                  <c:v>0.25435201461312046</c:v>
                </c:pt>
                <c:pt idx="39">
                  <c:v>0.24598041318179192</c:v>
                </c:pt>
                <c:pt idx="40">
                  <c:v>0.23273197786701932</c:v>
                </c:pt>
                <c:pt idx="41">
                  <c:v>0.21499597578384555</c:v>
                </c:pt>
                <c:pt idx="42">
                  <c:v>0.19382787026324164</c:v>
                </c:pt>
                <c:pt idx="43">
                  <c:v>0.17078223877605797</c:v>
                </c:pt>
                <c:pt idx="44">
                  <c:v>0.14761040819826043</c:v>
                </c:pt>
                <c:pt idx="45">
                  <c:v>0.12591207099957347</c:v>
                </c:pt>
                <c:pt idx="46">
                  <c:v>0.10684372960293764</c:v>
                </c:pt>
                <c:pt idx="47">
                  <c:v>9.0961618495716351E-2</c:v>
                </c:pt>
                <c:pt idx="48">
                  <c:v>7.8226410384349424E-2</c:v>
                </c:pt>
                <c:pt idx="49">
                  <c:v>6.8144034950893134E-2</c:v>
                </c:pt>
                <c:pt idx="50">
                  <c:v>5.9981249474809969E-2</c:v>
                </c:pt>
                <c:pt idx="51">
                  <c:v>5.2985445129295983E-2</c:v>
                </c:pt>
                <c:pt idx="52">
                  <c:v>4.6552709807361745E-2</c:v>
                </c:pt>
                <c:pt idx="53">
                  <c:v>4.0315732209739989E-2</c:v>
                </c:pt>
                <c:pt idx="54">
                  <c:v>3.4151553123891606E-2</c:v>
                </c:pt>
                <c:pt idx="55">
                  <c:v>2.8129671313188869E-2</c:v>
                </c:pt>
                <c:pt idx="56">
                  <c:v>2.2430095474254286E-2</c:v>
                </c:pt>
                <c:pt idx="57">
                  <c:v>1.7259650286447145E-2</c:v>
                </c:pt>
                <c:pt idx="58">
                  <c:v>1.2786804571136257E-2</c:v>
                </c:pt>
                <c:pt idx="59">
                  <c:v>9.1046873582140732E-3</c:v>
                </c:pt>
                <c:pt idx="60">
                  <c:v>6.2222489097250033E-3</c:v>
                </c:pt>
                <c:pt idx="61">
                  <c:v>4.0768322870552995E-3</c:v>
                </c:pt>
                <c:pt idx="62">
                  <c:v>2.558475647644397E-3</c:v>
                </c:pt>
                <c:pt idx="63">
                  <c:v>1.5366502176227029E-3</c:v>
                </c:pt>
                <c:pt idx="64">
                  <c:v>8.8271309933877769E-4</c:v>
                </c:pt>
                <c:pt idx="65">
                  <c:v>4.847385879576959E-4</c:v>
                </c:pt>
                <c:pt idx="66">
                  <c:v>2.5441093353320793E-4</c:v>
                </c:pt>
                <c:pt idx="67">
                  <c:v>1.2762709899008978E-4</c:v>
                </c:pt>
                <c:pt idx="68">
                  <c:v>6.1228257696649803E-5</c:v>
                </c:pt>
                <c:pt idx="69">
                  <c:v>2.8118917930955443E-5</c:v>
                </c:pt>
                <c:pt idx="70">
                  <c:v>1.2379915142227222E-5</c:v>
                </c:pt>
                <c:pt idx="71">
                  <c:v>5.2341905650854311E-6</c:v>
                </c:pt>
                <c:pt idx="72">
                  <c:v>2.128360040154346E-6</c:v>
                </c:pt>
                <c:pt idx="73">
                  <c:v>8.3289231914328979E-7</c:v>
                </c:pt>
                <c:pt idx="74">
                  <c:v>3.134184796808589E-7</c:v>
                </c:pt>
                <c:pt idx="75">
                  <c:v>1.1311126907815986E-7</c:v>
                </c:pt>
                <c:pt idx="76">
                  <c:v>3.8981469131858113E-8</c:v>
                </c:pt>
                <c:pt idx="77">
                  <c:v>1.2759712646881005E-8</c:v>
                </c:pt>
                <c:pt idx="78">
                  <c:v>3.9446336908789513E-9</c:v>
                </c:pt>
                <c:pt idx="79">
                  <c:v>1.1458828843781776E-9</c:v>
                </c:pt>
                <c:pt idx="80">
                  <c:v>3.1153345347056336E-10</c:v>
                </c:pt>
                <c:pt idx="81">
                  <c:v>7.906533763580507E-11</c:v>
                </c:pt>
                <c:pt idx="82">
                  <c:v>1.8713756367978904E-11</c:v>
                </c:pt>
                <c:pt idx="83">
                  <c:v>4.133470421128321E-12</c:v>
                </c:pt>
                <c:pt idx="84">
                  <c:v>8.5393648580146669E-13</c:v>
                </c:pt>
                <c:pt idx="85">
                  <c:v>1.6561548619258667E-13</c:v>
                </c:pt>
                <c:pt idx="86">
                  <c:v>3.0300102421608416E-14</c:v>
                </c:pt>
                <c:pt idx="87">
                  <c:v>5.2579927550449552E-15</c:v>
                </c:pt>
                <c:pt idx="88">
                  <c:v>8.7001382372186608E-16</c:v>
                </c:pt>
                <c:pt idx="89">
                  <c:v>1.3785721381062972E-16</c:v>
                </c:pt>
                <c:pt idx="90">
                  <c:v>2.0974093712634279E-17</c:v>
                </c:pt>
                <c:pt idx="91">
                  <c:v>3.0664245520899802E-18</c:v>
                </c:pt>
                <c:pt idx="92">
                  <c:v>4.3046195289074317E-19</c:v>
                </c:pt>
                <c:pt idx="93">
                  <c:v>5.7919346417150398E-20</c:v>
                </c:pt>
                <c:pt idx="94">
                  <c:v>7.45397806040665E-21</c:v>
                </c:pt>
                <c:pt idx="95">
                  <c:v>9.1576075836923379E-22</c:v>
                </c:pt>
                <c:pt idx="96">
                  <c:v>1.0723344683342244E-22</c:v>
                </c:pt>
                <c:pt idx="97">
                  <c:v>1.1955042165339788E-23</c:v>
                </c:pt>
                <c:pt idx="98">
                  <c:v>1.2680327814143325E-24</c:v>
                </c:pt>
                <c:pt idx="99">
                  <c:v>1.2790240540940244E-25</c:v>
                </c:pt>
                <c:pt idx="100">
                  <c:v>1.2265599784224422E-26</c:v>
                </c:pt>
                <c:pt idx="101">
                  <c:v>1.1181598580808058E-27</c:v>
                </c:pt>
                <c:pt idx="102">
                  <c:v>9.6893679742861332E-29</c:v>
                </c:pt>
                <c:pt idx="103">
                  <c:v>7.980859956466576E-30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F128-4E4D-A374-25E73A119BF1}"/>
            </c:ext>
          </c:extLst>
        </c:ser>
        <c:ser>
          <c:idx val="77"/>
          <c:order val="77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NaiwnaGęstość!$CO$5:$CO$108</c:f>
              <c:numCache>
                <c:formatCode>General</c:formatCode>
                <c:ptCount val="104"/>
                <c:pt idx="0">
                  <c:v>2.9465354218613293E-5</c:v>
                </c:pt>
                <c:pt idx="1">
                  <c:v>6.7568740753234198E-5</c:v>
                </c:pt>
                <c:pt idx="2">
                  <c:v>1.4754317010878416E-4</c:v>
                </c:pt>
                <c:pt idx="3">
                  <c:v>3.069028155307972E-4</c:v>
                </c:pt>
                <c:pt idx="4">
                  <c:v>6.0841391923813193E-4</c:v>
                </c:pt>
                <c:pt idx="5">
                  <c:v>1.150189739519815E-3</c:v>
                </c:pt>
                <c:pt idx="6">
                  <c:v>2.0750352133328057E-3</c:v>
                </c:pt>
                <c:pt idx="7">
                  <c:v>3.575612881332508E-3</c:v>
                </c:pt>
                <c:pt idx="8">
                  <c:v>5.8912926943065821E-3</c:v>
                </c:pt>
                <c:pt idx="9">
                  <c:v>9.2932385877531713E-3</c:v>
                </c:pt>
                <c:pt idx="10">
                  <c:v>1.4056817854965582E-2</c:v>
                </c:pt>
                <c:pt idx="11">
                  <c:v>2.042437324802391E-2</c:v>
                </c:pt>
                <c:pt idx="12">
                  <c:v>2.8565286050850826E-2</c:v>
                </c:pt>
                <c:pt idx="13">
                  <c:v>3.8542031257666573E-2</c:v>
                </c:pt>
                <c:pt idx="14">
                  <c:v>5.0289162682503982E-2</c:v>
                </c:pt>
                <c:pt idx="15">
                  <c:v>6.3607338442746034E-2</c:v>
                </c:pt>
                <c:pt idx="16">
                  <c:v>7.8169291513231903E-2</c:v>
                </c:pt>
                <c:pt idx="17">
                  <c:v>9.3532653450495676E-2</c:v>
                </c:pt>
                <c:pt idx="18">
                  <c:v>0.10915771266824664</c:v>
                </c:pt>
                <c:pt idx="19">
                  <c:v>0.1244347578947423</c:v>
                </c:pt>
                <c:pt idx="20">
                  <c:v>0.13873033286131334</c:v>
                </c:pt>
                <c:pt idx="21">
                  <c:v>0.15145885891518546</c:v>
                </c:pt>
                <c:pt idx="22">
                  <c:v>0.16217409943314937</c:v>
                </c:pt>
                <c:pt idx="23">
                  <c:v>0.17065889616008703</c:v>
                </c:pt>
                <c:pt idx="24">
                  <c:v>0.17698131104179701</c:v>
                </c:pt>
                <c:pt idx="25">
                  <c:v>0.1814894503114704</c:v>
                </c:pt>
                <c:pt idx="26">
                  <c:v>0.18473710582226754</c:v>
                </c:pt>
                <c:pt idx="27">
                  <c:v>0.18735955372686625</c:v>
                </c:pt>
                <c:pt idx="28">
                  <c:v>0.18993937336683217</c:v>
                </c:pt>
                <c:pt idx="29">
                  <c:v>0.19290442461052915</c:v>
                </c:pt>
                <c:pt idx="30">
                  <c:v>0.19648225099311273</c:v>
                </c:pt>
                <c:pt idx="31">
                  <c:v>0.20070656163535411</c:v>
                </c:pt>
                <c:pt idx="32">
                  <c:v>0.20544774508642485</c:v>
                </c:pt>
                <c:pt idx="33">
                  <c:v>0.21043376589146601</c:v>
                </c:pt>
                <c:pt idx="34">
                  <c:v>0.2152435974820415</c:v>
                </c:pt>
                <c:pt idx="35">
                  <c:v>0.21928390708150927</c:v>
                </c:pt>
                <c:pt idx="36">
                  <c:v>0.22178466463569865</c:v>
                </c:pt>
                <c:pt idx="37">
                  <c:v>0.22185501659060758</c:v>
                </c:pt>
                <c:pt idx="38">
                  <c:v>0.21862065322816185</c:v>
                </c:pt>
                <c:pt idx="39">
                  <c:v>0.21142506328897856</c:v>
                </c:pt>
                <c:pt idx="40">
                  <c:v>0.20003773114301085</c:v>
                </c:pt>
                <c:pt idx="41">
                  <c:v>0.18479323769383788</c:v>
                </c:pt>
                <c:pt idx="42">
                  <c:v>0.16659877084968733</c:v>
                </c:pt>
                <c:pt idx="43">
                  <c:v>0.14679051561253895</c:v>
                </c:pt>
                <c:pt idx="44">
                  <c:v>0.12687376702448747</c:v>
                </c:pt>
                <c:pt idx="45">
                  <c:v>0.10822348956666805</c:v>
                </c:pt>
                <c:pt idx="46">
                  <c:v>9.1833721637078286E-2</c:v>
                </c:pt>
                <c:pt idx="47">
                  <c:v>7.8182565400758727E-2</c:v>
                </c:pt>
                <c:pt idx="48">
                  <c:v>6.7236231081890446E-2</c:v>
                </c:pt>
                <c:pt idx="49">
                  <c:v>5.8570070025047015E-2</c:v>
                </c:pt>
                <c:pt idx="50">
                  <c:v>5.1553856852903542E-2</c:v>
                </c:pt>
                <c:pt idx="51">
                  <c:v>4.5540713443476273E-2</c:v>
                </c:pt>
                <c:pt idx="52">
                  <c:v>4.0011562403591626E-2</c:v>
                </c:pt>
                <c:pt idx="53">
                  <c:v>3.4650687098682124E-2</c:v>
                </c:pt>
                <c:pt idx="54">
                  <c:v>2.9352400488333541E-2</c:v>
                </c:pt>
                <c:pt idx="55">
                  <c:v>2.4176444668386005E-2</c:v>
                </c:pt>
                <c:pt idx="56">
                  <c:v>1.9277552527334905E-2</c:v>
                </c:pt>
                <c:pt idx="57">
                  <c:v>1.4833503867553173E-2</c:v>
                </c:pt>
                <c:pt idx="58">
                  <c:v>1.0989101319742751E-2</c:v>
                </c:pt>
                <c:pt idx="59">
                  <c:v>7.8243788409750291E-3</c:v>
                </c:pt>
                <c:pt idx="60">
                  <c:v>5.3470077175315593E-3</c:v>
                </c:pt>
                <c:pt idx="61">
                  <c:v>3.5031097528344171E-3</c:v>
                </c:pt>
                <c:pt idx="62">
                  <c:v>2.1981537664243424E-3</c:v>
                </c:pt>
                <c:pt idx="63">
                  <c:v>1.3199427823522238E-3</c:v>
                </c:pt>
                <c:pt idx="64">
                  <c:v>7.5791357208333657E-4</c:v>
                </c:pt>
                <c:pt idx="65">
                  <c:v>4.1588083135697847E-4</c:v>
                </c:pt>
                <c:pt idx="66">
                  <c:v>2.1795467135141613E-4</c:v>
                </c:pt>
                <c:pt idx="67">
                  <c:v>1.090508883218261E-4</c:v>
                </c:pt>
                <c:pt idx="68">
                  <c:v>5.2076267416656663E-5</c:v>
                </c:pt>
                <c:pt idx="69">
                  <c:v>2.3732988620530054E-5</c:v>
                </c:pt>
                <c:pt idx="70">
                  <c:v>1.0322728420569824E-5</c:v>
                </c:pt>
                <c:pt idx="71">
                  <c:v>4.286001201033106E-6</c:v>
                </c:pt>
                <c:pt idx="72">
                  <c:v>1.6991575242027467E-6</c:v>
                </c:pt>
                <c:pt idx="73">
                  <c:v>6.4328930922575029E-7</c:v>
                </c:pt>
                <c:pt idx="74">
                  <c:v>2.3255182005812873E-7</c:v>
                </c:pt>
                <c:pt idx="75">
                  <c:v>8.0228789828534858E-8</c:v>
                </c:pt>
                <c:pt idx="76">
                  <c:v>2.6385052513310212E-8</c:v>
                </c:pt>
                <c:pt idx="77">
                  <c:v>8.2584490042031258E-9</c:v>
                </c:pt>
                <c:pt idx="78">
                  <c:v>2.4552538203626685E-9</c:v>
                </c:pt>
                <c:pt idx="79">
                  <c:v>6.9193648066141271E-10</c:v>
                </c:pt>
                <c:pt idx="80">
                  <c:v>1.8451495576287431E-10</c:v>
                </c:pt>
                <c:pt idx="81">
                  <c:v>4.6499671248345804E-11</c:v>
                </c:pt>
                <c:pt idx="82">
                  <c:v>1.106873399077181E-11</c:v>
                </c:pt>
                <c:pt idx="83">
                  <c:v>2.489450845086662E-12</c:v>
                </c:pt>
                <c:pt idx="84">
                  <c:v>5.2956415722671602E-13</c:v>
                </c:pt>
                <c:pt idx="85">
                  <c:v>1.0671798198367874E-13</c:v>
                </c:pt>
                <c:pt idx="86">
                  <c:v>2.0411518429982908E-14</c:v>
                </c:pt>
                <c:pt idx="87">
                  <c:v>3.7121597637574131E-15</c:v>
                </c:pt>
                <c:pt idx="88">
                  <c:v>6.4289655813738825E-16</c:v>
                </c:pt>
                <c:pt idx="89">
                  <c:v>1.0613067844693688E-16</c:v>
                </c:pt>
                <c:pt idx="90">
                  <c:v>1.6707065437402621E-17</c:v>
                </c:pt>
                <c:pt idx="91">
                  <c:v>2.5077231914789427E-18</c:v>
                </c:pt>
                <c:pt idx="92">
                  <c:v>3.5875380145755551E-19</c:v>
                </c:pt>
                <c:pt idx="93">
                  <c:v>4.888792114582738E-20</c:v>
                </c:pt>
                <c:pt idx="94">
                  <c:v>6.3422210754302245E-21</c:v>
                </c:pt>
                <c:pt idx="95">
                  <c:v>7.8288373433930676E-22</c:v>
                </c:pt>
                <c:pt idx="96">
                  <c:v>9.1918136740880309E-23</c:v>
                </c:pt>
                <c:pt idx="97">
                  <c:v>1.0262081073568406E-23</c:v>
                </c:pt>
                <c:pt idx="98">
                  <c:v>1.0892400952150495E-24</c:v>
                </c:pt>
                <c:pt idx="99">
                  <c:v>1.0990552009817873E-25</c:v>
                </c:pt>
                <c:pt idx="100">
                  <c:v>1.0541361109164573E-26</c:v>
                </c:pt>
                <c:pt idx="101">
                  <c:v>9.6103854208972836E-28</c:v>
                </c:pt>
                <c:pt idx="102">
                  <c:v>8.3280684775407974E-29</c:v>
                </c:pt>
                <c:pt idx="103">
                  <c:v>6.8596695957818627E-30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F128-4E4D-A374-25E73A119BF1}"/>
            </c:ext>
          </c:extLst>
        </c:ser>
        <c:ser>
          <c:idx val="78"/>
          <c:order val="78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NaiwnaGęstość!$CP$5:$CP$108</c:f>
              <c:numCache>
                <c:formatCode>General</c:formatCode>
                <c:ptCount val="104"/>
                <c:pt idx="0">
                  <c:v>2.5247670689330852E-5</c:v>
                </c:pt>
                <c:pt idx="1">
                  <c:v>5.7896922018089085E-5</c:v>
                </c:pt>
                <c:pt idx="2">
                  <c:v>1.2642377701379686E-4</c:v>
                </c:pt>
                <c:pt idx="3">
                  <c:v>2.6297261396081355E-4</c:v>
                </c:pt>
                <c:pt idx="4">
                  <c:v>5.2132528805731812E-4</c:v>
                </c:pt>
                <c:pt idx="5">
                  <c:v>9.8555108342458569E-4</c:v>
                </c:pt>
                <c:pt idx="6">
                  <c:v>1.7780137766644384E-3</c:v>
                </c:pt>
                <c:pt idx="7">
                  <c:v>3.0637981091496676E-3</c:v>
                </c:pt>
                <c:pt idx="8">
                  <c:v>5.0480105135255141E-3</c:v>
                </c:pt>
                <c:pt idx="9">
                  <c:v>7.9630004024440499E-3</c:v>
                </c:pt>
                <c:pt idx="10">
                  <c:v>1.2044718875902236E-2</c:v>
                </c:pt>
                <c:pt idx="11">
                  <c:v>1.7500819639776757E-2</c:v>
                </c:pt>
                <c:pt idx="12">
                  <c:v>2.4476438667851843E-2</c:v>
                </c:pt>
                <c:pt idx="13">
                  <c:v>3.3025108256691367E-2</c:v>
                </c:pt>
                <c:pt idx="14">
                  <c:v>4.3090750215654484E-2</c:v>
                </c:pt>
                <c:pt idx="15">
                  <c:v>5.4502556545300056E-2</c:v>
                </c:pt>
                <c:pt idx="16">
                  <c:v>6.6980105363799211E-2</c:v>
                </c:pt>
                <c:pt idx="17">
                  <c:v>8.014434903774785E-2</c:v>
                </c:pt>
                <c:pt idx="18">
                  <c:v>9.3532830530424632E-2</c:v>
                </c:pt>
                <c:pt idx="19">
                  <c:v>0.10662311290486567</c:v>
                </c:pt>
                <c:pt idx="20">
                  <c:v>0.11887241309629616</c:v>
                </c:pt>
                <c:pt idx="21">
                  <c:v>0.12977897243321787</c:v>
                </c:pt>
                <c:pt idx="22">
                  <c:v>0.13896042879540149</c:v>
                </c:pt>
                <c:pt idx="23">
                  <c:v>0.14623070805415389</c:v>
                </c:pt>
                <c:pt idx="24">
                  <c:v>0.15164812973892805</c:v>
                </c:pt>
                <c:pt idx="25">
                  <c:v>0.15551097200623049</c:v>
                </c:pt>
                <c:pt idx="26">
                  <c:v>0.15829375670373888</c:v>
                </c:pt>
                <c:pt idx="27">
                  <c:v>0.16054082627979521</c:v>
                </c:pt>
                <c:pt idx="28">
                  <c:v>0.1627513694129987</c:v>
                </c:pt>
                <c:pt idx="29">
                  <c:v>0.16529200191359794</c:v>
                </c:pt>
                <c:pt idx="30">
                  <c:v>0.16835769660897945</c:v>
                </c:pt>
                <c:pt idx="31">
                  <c:v>0.17197733742373819</c:v>
                </c:pt>
                <c:pt idx="32">
                  <c:v>0.1760398654407046</c:v>
                </c:pt>
                <c:pt idx="33">
                  <c:v>0.18031218431336529</c:v>
                </c:pt>
                <c:pt idx="34">
                  <c:v>0.1844335331842403</c:v>
                </c:pt>
                <c:pt idx="35">
                  <c:v>0.18789550896508886</c:v>
                </c:pt>
                <c:pt idx="36">
                  <c:v>0.19003830387708934</c:v>
                </c:pt>
                <c:pt idx="37">
                  <c:v>0.19009858149442954</c:v>
                </c:pt>
                <c:pt idx="38">
                  <c:v>0.18732718125941608</c:v>
                </c:pt>
                <c:pt idx="39">
                  <c:v>0.18116156532634423</c:v>
                </c:pt>
                <c:pt idx="40">
                  <c:v>0.17140421410554735</c:v>
                </c:pt>
                <c:pt idx="41">
                  <c:v>0.1583418160059735</c:v>
                </c:pt>
                <c:pt idx="42">
                  <c:v>0.14275170276677568</c:v>
                </c:pt>
                <c:pt idx="43">
                  <c:v>0.12577879604278641</c:v>
                </c:pt>
                <c:pt idx="44">
                  <c:v>0.10871292102809484</c:v>
                </c:pt>
                <c:pt idx="45">
                  <c:v>9.2732228407917158E-2</c:v>
                </c:pt>
                <c:pt idx="46">
                  <c:v>7.8688469706376454E-2</c:v>
                </c:pt>
                <c:pt idx="47">
                  <c:v>6.699131285935743E-2</c:v>
                </c:pt>
                <c:pt idx="48">
                  <c:v>5.761180744984247E-2</c:v>
                </c:pt>
                <c:pt idx="49">
                  <c:v>5.0186092309062812E-2</c:v>
                </c:pt>
                <c:pt idx="50">
                  <c:v>4.4174155225872556E-2</c:v>
                </c:pt>
                <c:pt idx="51">
                  <c:v>3.9021713428175293E-2</c:v>
                </c:pt>
                <c:pt idx="52">
                  <c:v>3.4283989934691388E-2</c:v>
                </c:pt>
                <c:pt idx="53">
                  <c:v>2.9690458864395766E-2</c:v>
                </c:pt>
                <c:pt idx="54">
                  <c:v>2.5150561037521241E-2</c:v>
                </c:pt>
                <c:pt idx="55">
                  <c:v>2.0715488394326964E-2</c:v>
                </c:pt>
                <c:pt idx="56">
                  <c:v>1.6517827740184132E-2</c:v>
                </c:pt>
                <c:pt idx="57">
                  <c:v>1.2709913438551582E-2</c:v>
                </c:pt>
                <c:pt idx="58">
                  <c:v>9.4158210607793412E-3</c:v>
                </c:pt>
                <c:pt idx="59">
                  <c:v>6.704125895909129E-3</c:v>
                </c:pt>
                <c:pt idx="60">
                  <c:v>4.5813966460185656E-3</c:v>
                </c:pt>
                <c:pt idx="61">
                  <c:v>3.001462408850286E-3</c:v>
                </c:pt>
                <c:pt idx="62">
                  <c:v>1.8833197483508325E-3</c:v>
                </c:pt>
                <c:pt idx="63">
                  <c:v>1.130830603741653E-3</c:v>
                </c:pt>
                <c:pt idx="64">
                  <c:v>6.4925947466111858E-4</c:v>
                </c:pt>
                <c:pt idx="65">
                  <c:v>3.5619263177963465E-4</c:v>
                </c:pt>
                <c:pt idx="66">
                  <c:v>1.8660712085404385E-4</c:v>
                </c:pt>
                <c:pt idx="67">
                  <c:v>9.3306363207265388E-5</c:v>
                </c:pt>
                <c:pt idx="68">
                  <c:v>4.450724058806851E-5</c:v>
                </c:pt>
                <c:pt idx="69">
                  <c:v>2.0244980586445188E-5</c:v>
                </c:pt>
                <c:pt idx="70">
                  <c:v>8.7788167776935835E-6</c:v>
                </c:pt>
                <c:pt idx="71">
                  <c:v>3.6281156801895505E-6</c:v>
                </c:pt>
                <c:pt idx="72">
                  <c:v>1.4287918985072722E-6</c:v>
                </c:pt>
                <c:pt idx="73">
                  <c:v>5.3607266483748306E-7</c:v>
                </c:pt>
                <c:pt idx="74">
                  <c:v>1.9158402522155638E-7</c:v>
                </c:pt>
                <c:pt idx="75">
                  <c:v>6.520204320232691E-8</c:v>
                </c:pt>
                <c:pt idx="76">
                  <c:v>2.1123784868603897E-8</c:v>
                </c:pt>
                <c:pt idx="77">
                  <c:v>6.5115821935544249E-9</c:v>
                </c:pt>
                <c:pt idx="78">
                  <c:v>1.908821610731288E-9</c:v>
                </c:pt>
                <c:pt idx="79">
                  <c:v>5.3181100691821693E-10</c:v>
                </c:pt>
                <c:pt idx="80">
                  <c:v>1.4074586600082101E-10</c:v>
                </c:pt>
                <c:pt idx="81">
                  <c:v>3.5369828936950505E-11</c:v>
                </c:pt>
                <c:pt idx="82">
                  <c:v>8.438549793119082E-12</c:v>
                </c:pt>
                <c:pt idx="83">
                  <c:v>1.9114138493709829E-12</c:v>
                </c:pt>
                <c:pt idx="84">
                  <c:v>4.1114474628046274E-13</c:v>
                </c:pt>
                <c:pt idx="85">
                  <c:v>8.4013501161825557E-14</c:v>
                </c:pt>
                <c:pt idx="86">
                  <c:v>1.6315592969229873E-14</c:v>
                </c:pt>
                <c:pt idx="87">
                  <c:v>3.01250977151761E-15</c:v>
                </c:pt>
                <c:pt idx="88">
                  <c:v>5.2900208748752006E-16</c:v>
                </c:pt>
                <c:pt idx="89">
                  <c:v>8.8362091714372118E-17</c:v>
                </c:pt>
                <c:pt idx="90">
                  <c:v>1.4040280657166088E-17</c:v>
                </c:pt>
                <c:pt idx="91">
                  <c:v>2.1220945040142524E-18</c:v>
                </c:pt>
                <c:pt idx="92">
                  <c:v>3.0505884539703428E-19</c:v>
                </c:pt>
                <c:pt idx="93">
                  <c:v>4.1703499498586204E-20</c:v>
                </c:pt>
                <c:pt idx="94">
                  <c:v>5.420919306862001E-21</c:v>
                </c:pt>
                <c:pt idx="95">
                  <c:v>6.6993924641649526E-22</c:v>
                </c:pt>
                <c:pt idx="96">
                  <c:v>7.8708563935054102E-23</c:v>
                </c:pt>
                <c:pt idx="97">
                  <c:v>8.7903433680380155E-24</c:v>
                </c:pt>
                <c:pt idx="98">
                  <c:v>9.3318821604033219E-25</c:v>
                </c:pt>
                <c:pt idx="99">
                  <c:v>9.4167508252687176E-26</c:v>
                </c:pt>
                <c:pt idx="100">
                  <c:v>9.0322218480751021E-27</c:v>
                </c:pt>
                <c:pt idx="101">
                  <c:v>8.2346618329379586E-28</c:v>
                </c:pt>
                <c:pt idx="102">
                  <c:v>7.1359558451237331E-29</c:v>
                </c:pt>
                <c:pt idx="103">
                  <c:v>5.8777647599784711E-30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F128-4E4D-A374-25E73A119BF1}"/>
            </c:ext>
          </c:extLst>
        </c:ser>
        <c:ser>
          <c:idx val="79"/>
          <c:order val="79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NaiwnaGęstość!$CQ$5:$CQ$108</c:f>
              <c:numCache>
                <c:formatCode>General</c:formatCode>
                <c:ptCount val="104"/>
                <c:pt idx="0">
                  <c:v>2.1800948162683616E-5</c:v>
                </c:pt>
                <c:pt idx="1">
                  <c:v>4.9993039406549246E-5</c:v>
                </c:pt>
                <c:pt idx="2">
                  <c:v>1.0916485101230163E-4</c:v>
                </c:pt>
                <c:pt idx="3">
                  <c:v>2.2707252465819651E-4</c:v>
                </c:pt>
                <c:pt idx="4">
                  <c:v>4.5015580726963757E-4</c:v>
                </c:pt>
                <c:pt idx="5">
                  <c:v>8.5100714223493052E-4</c:v>
                </c:pt>
                <c:pt idx="6">
                  <c:v>1.5352856370223068E-3</c:v>
                </c:pt>
                <c:pt idx="7">
                  <c:v>2.6455392491603444E-3</c:v>
                </c:pt>
                <c:pt idx="8">
                  <c:v>4.3588740079914421E-3</c:v>
                </c:pt>
                <c:pt idx="9">
                  <c:v>6.8759198077813855E-3</c:v>
                </c:pt>
                <c:pt idx="10">
                  <c:v>1.0400416540548633E-2</c:v>
                </c:pt>
                <c:pt idx="11">
                  <c:v>1.5111669764152819E-2</c:v>
                </c:pt>
                <c:pt idx="12">
                  <c:v>2.1135002003588206E-2</c:v>
                </c:pt>
                <c:pt idx="13">
                  <c:v>2.8516637516006235E-2</c:v>
                </c:pt>
                <c:pt idx="14">
                  <c:v>3.720815370661542E-2</c:v>
                </c:pt>
                <c:pt idx="15">
                  <c:v>4.7062060678727528E-2</c:v>
                </c:pt>
                <c:pt idx="16">
                  <c:v>5.7836218752026755E-2</c:v>
                </c:pt>
                <c:pt idx="17">
                  <c:v>6.9203326532704806E-2</c:v>
                </c:pt>
                <c:pt idx="18">
                  <c:v>8.0764059979780339E-2</c:v>
                </c:pt>
                <c:pt idx="19">
                  <c:v>9.2067303395446248E-2</c:v>
                </c:pt>
                <c:pt idx="20">
                  <c:v>0.1026443725353481</c:v>
                </c:pt>
                <c:pt idx="21">
                  <c:v>0.11206200704362536</c:v>
                </c:pt>
                <c:pt idx="22">
                  <c:v>0.11999004352163932</c:v>
                </c:pt>
                <c:pt idx="23">
                  <c:v>0.12626781002131215</c:v>
                </c:pt>
                <c:pt idx="24">
                  <c:v>0.13094566449661096</c:v>
                </c:pt>
                <c:pt idx="25">
                  <c:v>0.13428116522717007</c:v>
                </c:pt>
                <c:pt idx="26">
                  <c:v>0.13668405401961151</c:v>
                </c:pt>
                <c:pt idx="27">
                  <c:v>0.13862436162006628</c:v>
                </c:pt>
                <c:pt idx="28">
                  <c:v>0.14053312923699851</c:v>
                </c:pt>
                <c:pt idx="29">
                  <c:v>0.14272692358730457</c:v>
                </c:pt>
                <c:pt idx="30">
                  <c:v>0.14537410049374111</c:v>
                </c:pt>
                <c:pt idx="31">
                  <c:v>0.14849960073903562</c:v>
                </c:pt>
                <c:pt idx="32">
                  <c:v>0.15200752675612439</c:v>
                </c:pt>
                <c:pt idx="33">
                  <c:v>0.15569660365498825</c:v>
                </c:pt>
                <c:pt idx="34">
                  <c:v>0.15925532033195694</c:v>
                </c:pt>
                <c:pt idx="35">
                  <c:v>0.16224467904528697</c:v>
                </c:pt>
                <c:pt idx="36">
                  <c:v>0.16409494660608406</c:v>
                </c:pt>
                <c:pt idx="37">
                  <c:v>0.16414699456577522</c:v>
                </c:pt>
                <c:pt idx="38">
                  <c:v>0.16175393512778741</c:v>
                </c:pt>
                <c:pt idx="39">
                  <c:v>0.15643002613977275</c:v>
                </c:pt>
                <c:pt idx="40">
                  <c:v>0.14800471267403889</c:v>
                </c:pt>
                <c:pt idx="41">
                  <c:v>0.13672554537185672</c:v>
                </c:pt>
                <c:pt idx="42">
                  <c:v>0.12326373723007307</c:v>
                </c:pt>
                <c:pt idx="43">
                  <c:v>0.10860790902350349</c:v>
                </c:pt>
                <c:pt idx="44">
                  <c:v>9.3871803345453905E-2</c:v>
                </c:pt>
                <c:pt idx="45">
                  <c:v>8.0072733778049313E-2</c:v>
                </c:pt>
                <c:pt idx="46">
                  <c:v>6.7946173785426833E-2</c:v>
                </c:pt>
                <c:pt idx="47">
                  <c:v>5.7845865172781501E-2</c:v>
                </c:pt>
                <c:pt idx="48">
                  <c:v>4.9746810231101127E-2</c:v>
                </c:pt>
                <c:pt idx="49">
                  <c:v>4.3334821406801179E-2</c:v>
                </c:pt>
                <c:pt idx="50">
                  <c:v>3.814360749647569E-2</c:v>
                </c:pt>
                <c:pt idx="51">
                  <c:v>3.3694554622552178E-2</c:v>
                </c:pt>
                <c:pt idx="52">
                  <c:v>2.9603605078201919E-2</c:v>
                </c:pt>
                <c:pt idx="53">
                  <c:v>2.563716401865122E-2</c:v>
                </c:pt>
                <c:pt idx="54">
                  <c:v>2.1717035039848415E-2</c:v>
                </c:pt>
                <c:pt idx="55">
                  <c:v>1.7887421792607848E-2</c:v>
                </c:pt>
                <c:pt idx="56">
                  <c:v>1.4262811258915466E-2</c:v>
                </c:pt>
                <c:pt idx="57">
                  <c:v>1.0974742035524329E-2</c:v>
                </c:pt>
                <c:pt idx="58">
                  <c:v>8.1303513461621207E-3</c:v>
                </c:pt>
                <c:pt idx="59">
                  <c:v>5.7888523439705948E-3</c:v>
                </c:pt>
                <c:pt idx="60">
                  <c:v>3.9559161523247677E-3</c:v>
                </c:pt>
                <c:pt idx="61">
                  <c:v>2.5916740504565773E-3</c:v>
                </c:pt>
                <c:pt idx="62">
                  <c:v>1.6261802526689859E-3</c:v>
                </c:pt>
                <c:pt idx="63">
                  <c:v>9.764209372165409E-4</c:v>
                </c:pt>
                <c:pt idx="64">
                  <c:v>5.6059386848667165E-4</c:v>
                </c:pt>
                <c:pt idx="65">
                  <c:v>3.0753681388981982E-4</c:v>
                </c:pt>
                <c:pt idx="66">
                  <c:v>1.6110427375526731E-4</c:v>
                </c:pt>
                <c:pt idx="67">
                  <c:v>8.0543310980647406E-5</c:v>
                </c:pt>
                <c:pt idx="68">
                  <c:v>3.8409830148643401E-5</c:v>
                </c:pt>
                <c:pt idx="69">
                  <c:v>1.7464240366123263E-5</c:v>
                </c:pt>
                <c:pt idx="70">
                  <c:v>7.5679804338247499E-6</c:v>
                </c:pt>
                <c:pt idx="71">
                  <c:v>3.1245294332904352E-6</c:v>
                </c:pt>
                <c:pt idx="72">
                  <c:v>1.2286686414917999E-6</c:v>
                </c:pt>
                <c:pt idx="73">
                  <c:v>4.6006336779867535E-7</c:v>
                </c:pt>
                <c:pt idx="74">
                  <c:v>1.6399541087247246E-7</c:v>
                </c:pt>
                <c:pt idx="75">
                  <c:v>5.5639298881305927E-8</c:v>
                </c:pt>
                <c:pt idx="76">
                  <c:v>1.7962818042748239E-8</c:v>
                </c:pt>
                <c:pt idx="77">
                  <c:v>5.5171801754704108E-9</c:v>
                </c:pt>
                <c:pt idx="78">
                  <c:v>1.6118234119113081E-9</c:v>
                </c:pt>
                <c:pt idx="79">
                  <c:v>4.4780342349928897E-10</c:v>
                </c:pt>
                <c:pt idx="80">
                  <c:v>1.1829030951761448E-10</c:v>
                </c:pt>
                <c:pt idx="81">
                  <c:v>2.9705795424243115E-11</c:v>
                </c:pt>
                <c:pt idx="82">
                  <c:v>7.0912510469278269E-12</c:v>
                </c:pt>
                <c:pt idx="83">
                  <c:v>1.6090738501971452E-12</c:v>
                </c:pt>
                <c:pt idx="84">
                  <c:v>3.4705815194348264E-13</c:v>
                </c:pt>
                <c:pt idx="85">
                  <c:v>7.1156981932742297E-14</c:v>
                </c:pt>
                <c:pt idx="86">
                  <c:v>1.3868968110080514E-14</c:v>
                </c:pt>
                <c:pt idx="87">
                  <c:v>2.5698253664306137E-15</c:v>
                </c:pt>
                <c:pt idx="88">
                  <c:v>4.5270049297294514E-16</c:v>
                </c:pt>
                <c:pt idx="89">
                  <c:v>7.5817971660349851E-17</c:v>
                </c:pt>
                <c:pt idx="90">
                  <c:v>1.2072135195446223E-17</c:v>
                </c:pt>
                <c:pt idx="91">
                  <c:v>1.8274128064889762E-18</c:v>
                </c:pt>
                <c:pt idx="92">
                  <c:v>2.6297579065375821E-19</c:v>
                </c:pt>
                <c:pt idx="93">
                  <c:v>3.5975442048864396E-20</c:v>
                </c:pt>
                <c:pt idx="94">
                  <c:v>4.6783585079408775E-21</c:v>
                </c:pt>
                <c:pt idx="95">
                  <c:v>5.78316773695046E-22</c:v>
                </c:pt>
                <c:pt idx="96">
                  <c:v>6.7953769711388417E-23</c:v>
                </c:pt>
                <c:pt idx="97">
                  <c:v>7.5897904124292605E-24</c:v>
                </c:pt>
                <c:pt idx="98">
                  <c:v>8.0576697531242594E-25</c:v>
                </c:pt>
                <c:pt idx="99">
                  <c:v>8.1310956803707615E-26</c:v>
                </c:pt>
                <c:pt idx="100">
                  <c:v>7.7991293130731472E-27</c:v>
                </c:pt>
                <c:pt idx="101">
                  <c:v>7.1104783869028077E-28</c:v>
                </c:pt>
                <c:pt idx="102">
                  <c:v>6.1617749682898027E-29</c:v>
                </c:pt>
                <c:pt idx="103">
                  <c:v>5.0753515080972122E-30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F128-4E4D-A374-25E73A119BF1}"/>
            </c:ext>
          </c:extLst>
        </c:ser>
        <c:ser>
          <c:idx val="80"/>
          <c:order val="80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NaiwnaGęstość!$CR$5:$CR$108</c:f>
              <c:numCache>
                <c:formatCode>General</c:formatCode>
                <c:ptCount val="104"/>
                <c:pt idx="0">
                  <c:v>1.9165469123188254E-5</c:v>
                </c:pt>
                <c:pt idx="1">
                  <c:v>4.3949467058528601E-5</c:v>
                </c:pt>
                <c:pt idx="2">
                  <c:v>9.5968100368904851E-5</c:v>
                </c:pt>
                <c:pt idx="3">
                  <c:v>1.9962211861547583E-4</c:v>
                </c:pt>
                <c:pt idx="4">
                  <c:v>3.9573724777794775E-4</c:v>
                </c:pt>
                <c:pt idx="5">
                  <c:v>7.4813035590964589E-4</c:v>
                </c:pt>
                <c:pt idx="6">
                  <c:v>1.3496876031286974E-3</c:v>
                </c:pt>
                <c:pt idx="7">
                  <c:v>2.3257245701245621E-3</c:v>
                </c:pt>
                <c:pt idx="8">
                  <c:v>3.8319372436755685E-3</c:v>
                </c:pt>
                <c:pt idx="9">
                  <c:v>6.0447017160069703E-3</c:v>
                </c:pt>
                <c:pt idx="10">
                  <c:v>9.1431281148298717E-3</c:v>
                </c:pt>
                <c:pt idx="11">
                  <c:v>1.3284846058229282E-2</c:v>
                </c:pt>
                <c:pt idx="12">
                  <c:v>1.8580028047203521E-2</c:v>
                </c:pt>
                <c:pt idx="13">
                  <c:v>2.5069310368145605E-2</c:v>
                </c:pt>
                <c:pt idx="14">
                  <c:v>3.2710124150269936E-2</c:v>
                </c:pt>
                <c:pt idx="15">
                  <c:v>4.1372809296232729E-2</c:v>
                </c:pt>
                <c:pt idx="16">
                  <c:v>5.084449797423321E-2</c:v>
                </c:pt>
                <c:pt idx="17">
                  <c:v>6.0837455691707128E-2</c:v>
                </c:pt>
                <c:pt idx="18">
                  <c:v>7.1000632002570008E-2</c:v>
                </c:pt>
                <c:pt idx="19">
                  <c:v>8.0937445808018704E-2</c:v>
                </c:pt>
                <c:pt idx="20">
                  <c:v>9.0235871294007425E-2</c:v>
                </c:pt>
                <c:pt idx="21">
                  <c:v>9.8515024202173493E-2</c:v>
                </c:pt>
                <c:pt idx="22">
                  <c:v>0.10548465401795219</c:v>
                </c:pt>
                <c:pt idx="23">
                  <c:v>0.11100351214807717</c:v>
                </c:pt>
                <c:pt idx="24">
                  <c:v>0.11511586886027449</c:v>
                </c:pt>
                <c:pt idx="25">
                  <c:v>0.11804814665776928</c:v>
                </c:pt>
                <c:pt idx="26">
                  <c:v>0.12016055436654469</c:v>
                </c:pt>
                <c:pt idx="27">
                  <c:v>0.12186630152609915</c:v>
                </c:pt>
                <c:pt idx="28">
                  <c:v>0.12354432151616504</c:v>
                </c:pt>
                <c:pt idx="29">
                  <c:v>0.12547291184861384</c:v>
                </c:pt>
                <c:pt idx="30">
                  <c:v>0.12780007610015839</c:v>
                </c:pt>
                <c:pt idx="31">
                  <c:v>0.13054774000348868</c:v>
                </c:pt>
                <c:pt idx="32">
                  <c:v>0.13363159887981421</c:v>
                </c:pt>
                <c:pt idx="33">
                  <c:v>0.13687470960846307</c:v>
                </c:pt>
                <c:pt idx="34">
                  <c:v>0.14000321911938735</c:v>
                </c:pt>
                <c:pt idx="35">
                  <c:v>0.14263119934412366</c:v>
                </c:pt>
                <c:pt idx="36">
                  <c:v>0.14425779115182474</c:v>
                </c:pt>
                <c:pt idx="37">
                  <c:v>0.1443035469946872</c:v>
                </c:pt>
                <c:pt idx="38">
                  <c:v>0.14219978022945615</c:v>
                </c:pt>
                <c:pt idx="39">
                  <c:v>0.13751946923856384</c:v>
                </c:pt>
                <c:pt idx="40">
                  <c:v>0.13011267718342517</c:v>
                </c:pt>
                <c:pt idx="41">
                  <c:v>0.12019702872134935</c:v>
                </c:pt>
                <c:pt idx="42">
                  <c:v>0.10836259503907526</c:v>
                </c:pt>
                <c:pt idx="43">
                  <c:v>9.5478484211354936E-2</c:v>
                </c:pt>
                <c:pt idx="44">
                  <c:v>8.2523800369978195E-2</c:v>
                </c:pt>
                <c:pt idx="45">
                  <c:v>7.0392875787419359E-2</c:v>
                </c:pt>
                <c:pt idx="46">
                  <c:v>5.9732273815262242E-2</c:v>
                </c:pt>
                <c:pt idx="47">
                  <c:v>5.0852973069135381E-2</c:v>
                </c:pt>
                <c:pt idx="48">
                  <c:v>4.3732997853394462E-2</c:v>
                </c:pt>
                <c:pt idx="49">
                  <c:v>3.8096142302645984E-2</c:v>
                </c:pt>
                <c:pt idx="50">
                  <c:v>3.3532484429066207E-2</c:v>
                </c:pt>
                <c:pt idx="51">
                  <c:v>2.9621269190817999E-2</c:v>
                </c:pt>
                <c:pt idx="52">
                  <c:v>2.6024866937993673E-2</c:v>
                </c:pt>
                <c:pt idx="53">
                  <c:v>2.2537921670790169E-2</c:v>
                </c:pt>
                <c:pt idx="54">
                  <c:v>1.9091690006527117E-2</c:v>
                </c:pt>
                <c:pt idx="55">
                  <c:v>1.572503193508526E-2</c:v>
                </c:pt>
                <c:pt idx="56">
                  <c:v>1.2538594380932902E-2</c:v>
                </c:pt>
                <c:pt idx="57">
                  <c:v>9.6480145301917238E-3</c:v>
                </c:pt>
                <c:pt idx="58">
                  <c:v>7.1474779739262844E-3</c:v>
                </c:pt>
                <c:pt idx="59">
                  <c:v>5.0890396090621411E-3</c:v>
                </c:pt>
                <c:pt idx="60">
                  <c:v>3.4776848459450583E-3</c:v>
                </c:pt>
                <c:pt idx="61">
                  <c:v>2.2783644733949649E-3</c:v>
                </c:pt>
                <c:pt idx="62">
                  <c:v>1.4295882223689322E-3</c:v>
                </c:pt>
                <c:pt idx="63">
                  <c:v>8.5837763748032017E-4</c:v>
                </c:pt>
                <c:pt idx="64">
                  <c:v>4.9281946610664875E-4</c:v>
                </c:pt>
                <c:pt idx="65">
                  <c:v>2.7035426654442812E-4</c:v>
                </c:pt>
                <c:pt idx="66">
                  <c:v>1.4162399721462222E-4</c:v>
                </c:pt>
                <c:pt idx="67">
                  <c:v>7.080236212812087E-5</c:v>
                </c:pt>
                <c:pt idx="68">
                  <c:v>3.3762952640909347E-5</c:v>
                </c:pt>
                <c:pt idx="69">
                  <c:v>1.5350185776867347E-5</c:v>
                </c:pt>
                <c:pt idx="70">
                  <c:v>6.6510329177846272E-6</c:v>
                </c:pt>
                <c:pt idx="71">
                  <c:v>2.7454266485029861E-6</c:v>
                </c:pt>
                <c:pt idx="72">
                  <c:v>1.0792906288188709E-6</c:v>
                </c:pt>
                <c:pt idx="73">
                  <c:v>4.039752064225306E-7</c:v>
                </c:pt>
                <c:pt idx="74">
                  <c:v>1.4393084146681423E-7</c:v>
                </c:pt>
                <c:pt idx="75">
                  <c:v>4.8802707019053496E-8</c:v>
                </c:pt>
                <c:pt idx="76">
                  <c:v>1.5745041593975968E-8</c:v>
                </c:pt>
                <c:pt idx="77">
                  <c:v>4.8326105656508793E-9</c:v>
                </c:pt>
                <c:pt idx="78">
                  <c:v>1.4108937641679698E-9</c:v>
                </c:pt>
                <c:pt idx="79">
                  <c:v>3.9176490145964318E-10</c:v>
                </c:pt>
                <c:pt idx="80">
                  <c:v>1.0344924085542503E-10</c:v>
                </c:pt>
                <c:pt idx="81">
                  <c:v>2.5975231240389262E-11</c:v>
                </c:pt>
                <c:pt idx="82">
                  <c:v>6.2013969358673854E-12</c:v>
                </c:pt>
                <c:pt idx="83">
                  <c:v>1.4076438588627021E-12</c:v>
                </c:pt>
                <c:pt idx="84">
                  <c:v>3.0377420593734025E-13</c:v>
                </c:pt>
                <c:pt idx="85">
                  <c:v>6.2323328192775189E-14</c:v>
                </c:pt>
                <c:pt idx="86">
                  <c:v>1.2155763988118585E-14</c:v>
                </c:pt>
                <c:pt idx="87">
                  <c:v>2.2539168254319261E-15</c:v>
                </c:pt>
                <c:pt idx="88">
                  <c:v>3.972924691109715E-16</c:v>
                </c:pt>
                <c:pt idx="89">
                  <c:v>6.6572124623274029E-17</c:v>
                </c:pt>
                <c:pt idx="90">
                  <c:v>1.0604171658708733E-17</c:v>
                </c:pt>
                <c:pt idx="91">
                  <c:v>1.605668464778884E-18</c:v>
                </c:pt>
                <c:pt idx="92">
                  <c:v>2.3111205962271921E-19</c:v>
                </c:pt>
                <c:pt idx="93">
                  <c:v>3.1620615754435883E-20</c:v>
                </c:pt>
                <c:pt idx="94">
                  <c:v>4.1123797489221899E-21</c:v>
                </c:pt>
                <c:pt idx="95">
                  <c:v>5.0837755238371598E-22</c:v>
                </c:pt>
                <c:pt idx="96">
                  <c:v>5.9737322866063702E-23</c:v>
                </c:pt>
                <c:pt idx="97">
                  <c:v>6.6721858461676469E-24</c:v>
                </c:pt>
                <c:pt idx="98">
                  <c:v>7.0835490538771943E-25</c:v>
                </c:pt>
                <c:pt idx="99">
                  <c:v>7.1481225599183555E-26</c:v>
                </c:pt>
                <c:pt idx="100">
                  <c:v>6.8562983998762354E-27</c:v>
                </c:pt>
                <c:pt idx="101">
                  <c:v>6.2509021422249303E-28</c:v>
                </c:pt>
                <c:pt idx="102">
                  <c:v>5.4168877010963024E-29</c:v>
                </c:pt>
                <c:pt idx="103">
                  <c:v>4.4618007406376024E-30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F128-4E4D-A374-25E73A119BF1}"/>
            </c:ext>
          </c:extLst>
        </c:ser>
        <c:ser>
          <c:idx val="81"/>
          <c:order val="81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NaiwnaGęstość!$CS$5:$CS$108</c:f>
              <c:numCache>
                <c:formatCode>General</c:formatCode>
                <c:ptCount val="104"/>
                <c:pt idx="0">
                  <c:v>1.7233523405029254E-5</c:v>
                </c:pt>
                <c:pt idx="1">
                  <c:v>3.9519208443237821E-5</c:v>
                </c:pt>
                <c:pt idx="2">
                  <c:v>8.6294183211132935E-5</c:v>
                </c:pt>
                <c:pt idx="3">
                  <c:v>1.7949951713725851E-4</c:v>
                </c:pt>
                <c:pt idx="4">
                  <c:v>3.5584556151415503E-4</c:v>
                </c:pt>
                <c:pt idx="5">
                  <c:v>6.7271622289603319E-4</c:v>
                </c:pt>
                <c:pt idx="6">
                  <c:v>1.213634414503018E-3</c:v>
                </c:pt>
                <c:pt idx="7">
                  <c:v>2.0912834721274857E-3</c:v>
                </c:pt>
                <c:pt idx="8">
                  <c:v>3.4456646874136392E-3</c:v>
                </c:pt>
                <c:pt idx="9">
                  <c:v>5.4353748311430465E-3</c:v>
                </c:pt>
                <c:pt idx="10">
                  <c:v>8.2214691093295544E-3</c:v>
                </c:pt>
                <c:pt idx="11">
                  <c:v>1.1945687528186063E-2</c:v>
                </c:pt>
                <c:pt idx="12">
                  <c:v>1.6707096818734977E-2</c:v>
                </c:pt>
                <c:pt idx="13">
                  <c:v>2.2542236988849117E-2</c:v>
                </c:pt>
                <c:pt idx="14">
                  <c:v>2.9412830257468495E-2</c:v>
                </c:pt>
                <c:pt idx="15">
                  <c:v>3.7202286714483945E-2</c:v>
                </c:pt>
                <c:pt idx="16">
                  <c:v>4.5719196343373729E-2</c:v>
                </c:pt>
                <c:pt idx="17">
                  <c:v>5.4704829285757255E-2</c:v>
                </c:pt>
                <c:pt idx="18">
                  <c:v>6.3843522197311597E-2</c:v>
                </c:pt>
                <c:pt idx="19">
                  <c:v>7.2778670728605707E-2</c:v>
                </c:pt>
                <c:pt idx="20">
                  <c:v>8.1139782695796095E-2</c:v>
                </c:pt>
                <c:pt idx="21">
                  <c:v>8.8584368293968013E-2</c:v>
                </c:pt>
                <c:pt idx="22">
                  <c:v>9.4851435266478976E-2</c:v>
                </c:pt>
                <c:pt idx="23">
                  <c:v>9.9813973367853789E-2</c:v>
                </c:pt>
                <c:pt idx="24">
                  <c:v>0.10351179026938383</c:v>
                </c:pt>
                <c:pt idx="25">
                  <c:v>0.10614848430115249</c:v>
                </c:pt>
                <c:pt idx="26">
                  <c:v>0.10804795399094118</c:v>
                </c:pt>
                <c:pt idx="27">
                  <c:v>0.10958175592441062</c:v>
                </c:pt>
                <c:pt idx="28">
                  <c:v>0.11109062568315298</c:v>
                </c:pt>
                <c:pt idx="29">
                  <c:v>0.11282480742516564</c:v>
                </c:pt>
                <c:pt idx="30">
                  <c:v>0.11491738545349632</c:v>
                </c:pt>
                <c:pt idx="31">
                  <c:v>0.11738807531071359</c:v>
                </c:pt>
                <c:pt idx="32">
                  <c:v>0.12016107052137542</c:v>
                </c:pt>
                <c:pt idx="33">
                  <c:v>0.12307726444392821</c:v>
                </c:pt>
                <c:pt idx="34">
                  <c:v>0.12589040934601478</c:v>
                </c:pt>
                <c:pt idx="35">
                  <c:v>0.1282534800451372</c:v>
                </c:pt>
                <c:pt idx="36">
                  <c:v>0.12971610574615905</c:v>
                </c:pt>
                <c:pt idx="37">
                  <c:v>0.12975724922239384</c:v>
                </c:pt>
                <c:pt idx="38">
                  <c:v>0.12786554941579881</c:v>
                </c:pt>
                <c:pt idx="39">
                  <c:v>0.12365702996848238</c:v>
                </c:pt>
                <c:pt idx="40">
                  <c:v>0.11699686819458653</c:v>
                </c:pt>
                <c:pt idx="41">
                  <c:v>0.10808075142961174</c:v>
                </c:pt>
                <c:pt idx="42">
                  <c:v>9.7439269635236012E-2</c:v>
                </c:pt>
                <c:pt idx="43">
                  <c:v>8.5853921774041761E-2</c:v>
                </c:pt>
                <c:pt idx="44">
                  <c:v>7.4205114881759043E-2</c:v>
                </c:pt>
                <c:pt idx="45">
                  <c:v>6.329702943426814E-2</c:v>
                </c:pt>
                <c:pt idx="46">
                  <c:v>5.3711052957200647E-2</c:v>
                </c:pt>
                <c:pt idx="47">
                  <c:v>4.5726816350855924E-2</c:v>
                </c:pt>
                <c:pt idx="48">
                  <c:v>3.93245591582417E-2</c:v>
                </c:pt>
                <c:pt idx="49">
                  <c:v>3.4255918036864695E-2</c:v>
                </c:pt>
                <c:pt idx="50">
                  <c:v>3.0152292567369073E-2</c:v>
                </c:pt>
                <c:pt idx="51">
                  <c:v>2.6635341278862475E-2</c:v>
                </c:pt>
                <c:pt idx="52">
                  <c:v>2.3401468757883293E-2</c:v>
                </c:pt>
                <c:pt idx="53">
                  <c:v>2.0266019596299728E-2</c:v>
                </c:pt>
                <c:pt idx="54">
                  <c:v>1.7167179981627954E-2</c:v>
                </c:pt>
                <c:pt idx="55">
                  <c:v>1.4139892688327606E-2</c:v>
                </c:pt>
                <c:pt idx="56">
                  <c:v>1.1274659093336834E-2</c:v>
                </c:pt>
                <c:pt idx="57">
                  <c:v>8.6754597630172847E-3</c:v>
                </c:pt>
                <c:pt idx="58">
                  <c:v>6.426986054631126E-3</c:v>
                </c:pt>
                <c:pt idx="59">
                  <c:v>4.5760455391785455E-3</c:v>
                </c:pt>
                <c:pt idx="60">
                  <c:v>3.1271210595154109E-3</c:v>
                </c:pt>
                <c:pt idx="61">
                  <c:v>2.0486964640125224E-3</c:v>
                </c:pt>
                <c:pt idx="62">
                  <c:v>1.2854798997619359E-3</c:v>
                </c:pt>
                <c:pt idx="63">
                  <c:v>7.7184938797659759E-4</c:v>
                </c:pt>
                <c:pt idx="64">
                  <c:v>4.4314078882859594E-4</c:v>
                </c:pt>
                <c:pt idx="65">
                  <c:v>2.431008856650805E-4</c:v>
                </c:pt>
                <c:pt idx="66">
                  <c:v>1.2734711716496839E-4</c:v>
                </c:pt>
                <c:pt idx="67">
                  <c:v>6.3664615311876286E-5</c:v>
                </c:pt>
                <c:pt idx="68">
                  <c:v>3.0358999655724714E-5</c:v>
                </c:pt>
                <c:pt idx="69">
                  <c:v>1.3802414143923136E-5</c:v>
                </c:pt>
                <c:pt idx="70">
                  <c:v>5.9802794310876778E-6</c:v>
                </c:pt>
                <c:pt idx="71">
                  <c:v>2.4684730959847805E-6</c:v>
                </c:pt>
                <c:pt idx="72">
                  <c:v>9.7036898975110574E-7</c:v>
                </c:pt>
                <c:pt idx="73">
                  <c:v>3.6318318777159717E-7</c:v>
                </c:pt>
                <c:pt idx="74">
                  <c:v>1.2938663639764231E-7</c:v>
                </c:pt>
                <c:pt idx="75">
                  <c:v>4.3866859866868768E-8</c:v>
                </c:pt>
                <c:pt idx="76">
                  <c:v>1.4151029458973752E-8</c:v>
                </c:pt>
                <c:pt idx="77">
                  <c:v>4.3428579190234656E-9</c:v>
                </c:pt>
                <c:pt idx="78">
                  <c:v>1.2677700806947211E-9</c:v>
                </c:pt>
                <c:pt idx="79">
                  <c:v>3.5199148750409015E-10</c:v>
                </c:pt>
                <c:pt idx="80">
                  <c:v>9.2941018920405623E-11</c:v>
                </c:pt>
                <c:pt idx="81">
                  <c:v>2.3336171746302712E-11</c:v>
                </c:pt>
                <c:pt idx="82">
                  <c:v>5.5714437496236212E-12</c:v>
                </c:pt>
                <c:pt idx="83">
                  <c:v>1.2647243961732183E-12</c:v>
                </c:pt>
                <c:pt idx="84">
                  <c:v>2.7295585013687881E-13</c:v>
                </c:pt>
                <c:pt idx="85">
                  <c:v>5.6006604639990494E-14</c:v>
                </c:pt>
                <c:pt idx="86">
                  <c:v>1.092499679349742E-14</c:v>
                </c:pt>
                <c:pt idx="87">
                  <c:v>2.0259368137585216E-15</c:v>
                </c:pt>
                <c:pt idx="88">
                  <c:v>3.5714298689203513E-16</c:v>
                </c:pt>
                <c:pt idx="89">
                  <c:v>5.9849519765766553E-17</c:v>
                </c:pt>
                <c:pt idx="90">
                  <c:v>9.5339625729049911E-18</c:v>
                </c:pt>
                <c:pt idx="91">
                  <c:v>1.443688311252577E-18</c:v>
                </c:pt>
                <c:pt idx="92">
                  <c:v>2.0780434090156291E-19</c:v>
                </c:pt>
                <c:pt idx="93">
                  <c:v>2.8432286196990926E-20</c:v>
                </c:pt>
                <c:pt idx="94">
                  <c:v>3.6977753777553958E-21</c:v>
                </c:pt>
                <c:pt idx="95">
                  <c:v>4.5712725795884649E-22</c:v>
                </c:pt>
                <c:pt idx="96">
                  <c:v>5.3715351744140167E-23</c:v>
                </c:pt>
                <c:pt idx="97">
                  <c:v>5.9995933642384519E-24</c:v>
                </c:pt>
                <c:pt idx="98">
                  <c:v>6.3694964012291261E-25</c:v>
                </c:pt>
                <c:pt idx="99">
                  <c:v>6.4275642170144679E-26</c:v>
                </c:pt>
                <c:pt idx="100">
                  <c:v>6.1651586277552611E-27</c:v>
                </c:pt>
                <c:pt idx="101">
                  <c:v>5.6207891291661266E-28</c:v>
                </c:pt>
                <c:pt idx="102">
                  <c:v>4.8708465096294269E-29</c:v>
                </c:pt>
                <c:pt idx="103">
                  <c:v>4.0120357201776528E-30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F128-4E4D-A374-25E73A119BF1}"/>
            </c:ext>
          </c:extLst>
        </c:ser>
        <c:ser>
          <c:idx val="82"/>
          <c:order val="82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NaiwnaGęstość!$CT$5:$CT$108</c:f>
              <c:numCache>
                <c:formatCode>General</c:formatCode>
                <c:ptCount val="104"/>
                <c:pt idx="0">
                  <c:v>1.5772482505547528E-5</c:v>
                </c:pt>
                <c:pt idx="1">
                  <c:v>3.6168809427685146E-5</c:v>
                </c:pt>
                <c:pt idx="2">
                  <c:v>7.8978248558905014E-5</c:v>
                </c:pt>
                <c:pt idx="3">
                  <c:v>1.6428172737882634E-4</c:v>
                </c:pt>
                <c:pt idx="4">
                  <c:v>3.2567733026786809E-4</c:v>
                </c:pt>
                <c:pt idx="5">
                  <c:v>6.1568401350412558E-4</c:v>
                </c:pt>
                <c:pt idx="6">
                  <c:v>1.1107437011570749E-3</c:v>
                </c:pt>
                <c:pt idx="7">
                  <c:v>1.9139865483715033E-3</c:v>
                </c:pt>
                <c:pt idx="8">
                  <c:v>3.1535446771351785E-3</c:v>
                </c:pt>
                <c:pt idx="9">
                  <c:v>4.9745691824272381E-3</c:v>
                </c:pt>
                <c:pt idx="10">
                  <c:v>7.5244611707758731E-3</c:v>
                </c:pt>
                <c:pt idx="11">
                  <c:v>1.0932944072253235E-2</c:v>
                </c:pt>
                <c:pt idx="12">
                  <c:v>1.5290685839384734E-2</c:v>
                </c:pt>
                <c:pt idx="13">
                  <c:v>2.0631128654676031E-2</c:v>
                </c:pt>
                <c:pt idx="14">
                  <c:v>2.6919239889109221E-2</c:v>
                </c:pt>
                <c:pt idx="15">
                  <c:v>3.4048314008690975E-2</c:v>
                </c:pt>
                <c:pt idx="16">
                  <c:v>4.1843168546898242E-2</c:v>
                </c:pt>
                <c:pt idx="17">
                  <c:v>5.006700850429522E-2</c:v>
                </c:pt>
                <c:pt idx="18">
                  <c:v>5.8430932159570376E-2</c:v>
                </c:pt>
                <c:pt idx="19">
                  <c:v>6.6608567723820539E-2</c:v>
                </c:pt>
                <c:pt idx="20">
                  <c:v>7.426083297045892E-2</c:v>
                </c:pt>
                <c:pt idx="21">
                  <c:v>8.1074274038113792E-2</c:v>
                </c:pt>
                <c:pt idx="22">
                  <c:v>8.6810025332952165E-2</c:v>
                </c:pt>
                <c:pt idx="23">
                  <c:v>9.135184441123799E-2</c:v>
                </c:pt>
                <c:pt idx="24">
                  <c:v>9.4736164089654962E-2</c:v>
                </c:pt>
                <c:pt idx="25">
                  <c:v>9.7149321835239041E-2</c:v>
                </c:pt>
                <c:pt idx="26">
                  <c:v>9.8887756382132611E-2</c:v>
                </c:pt>
                <c:pt idx="27">
                  <c:v>0.10029152411981607</c:v>
                </c:pt>
                <c:pt idx="28">
                  <c:v>0.10167247340763684</c:v>
                </c:pt>
                <c:pt idx="29">
                  <c:v>0.10325963295384248</c:v>
                </c:pt>
                <c:pt idx="30">
                  <c:v>0.10517480430719128</c:v>
                </c:pt>
                <c:pt idx="31">
                  <c:v>0.10743603154621205</c:v>
                </c:pt>
                <c:pt idx="32">
                  <c:v>0.10997393499266336</c:v>
                </c:pt>
                <c:pt idx="33">
                  <c:v>0.11264289690703011</c:v>
                </c:pt>
                <c:pt idx="34">
                  <c:v>0.11521754619359575</c:v>
                </c:pt>
                <c:pt idx="35">
                  <c:v>0.11738027811805338</c:v>
                </c:pt>
                <c:pt idx="36">
                  <c:v>0.1187189038713012</c:v>
                </c:pt>
                <c:pt idx="37">
                  <c:v>0.11875655924223956</c:v>
                </c:pt>
                <c:pt idx="38">
                  <c:v>0.11702523585257503</c:v>
                </c:pt>
                <c:pt idx="39">
                  <c:v>0.11317351047654417</c:v>
                </c:pt>
                <c:pt idx="40">
                  <c:v>0.10707799056087985</c:v>
                </c:pt>
                <c:pt idx="41">
                  <c:v>9.8917773263989484E-2</c:v>
                </c:pt>
                <c:pt idx="42">
                  <c:v>8.9178465660072689E-2</c:v>
                </c:pt>
                <c:pt idx="43">
                  <c:v>7.8575312009563664E-2</c:v>
                </c:pt>
                <c:pt idx="44">
                  <c:v>6.7914079318393411E-2</c:v>
                </c:pt>
                <c:pt idx="45">
                  <c:v>5.7930770444531328E-2</c:v>
                </c:pt>
                <c:pt idx="46">
                  <c:v>4.9157483460068999E-2</c:v>
                </c:pt>
                <c:pt idx="47">
                  <c:v>4.1850142437819253E-2</c:v>
                </c:pt>
                <c:pt idx="48">
                  <c:v>3.5990662194202029E-2</c:v>
                </c:pt>
                <c:pt idx="49">
                  <c:v>3.1351735384666249E-2</c:v>
                </c:pt>
                <c:pt idx="50">
                  <c:v>2.7596011166671045E-2</c:v>
                </c:pt>
                <c:pt idx="51">
                  <c:v>2.437722348185831E-2</c:v>
                </c:pt>
                <c:pt idx="52">
                  <c:v>2.1417515432323585E-2</c:v>
                </c:pt>
                <c:pt idx="53">
                  <c:v>1.8547886510343815E-2</c:v>
                </c:pt>
                <c:pt idx="54">
                  <c:v>1.5711763416573973E-2</c:v>
                </c:pt>
                <c:pt idx="55">
                  <c:v>1.2941126512773082E-2</c:v>
                </c:pt>
                <c:pt idx="56">
                  <c:v>1.031880456101692E-2</c:v>
                </c:pt>
                <c:pt idx="57">
                  <c:v>7.93996276034333E-3</c:v>
                </c:pt>
                <c:pt idx="58">
                  <c:v>5.8821124193762031E-3</c:v>
                </c:pt>
                <c:pt idx="59">
                  <c:v>4.1880928084574564E-3</c:v>
                </c:pt>
                <c:pt idx="60">
                  <c:v>2.8620067167925319E-3</c:v>
                </c:pt>
                <c:pt idx="61">
                  <c:v>1.8750098976895013E-3</c:v>
                </c:pt>
                <c:pt idx="62">
                  <c:v>1.1764980842018827E-3</c:v>
                </c:pt>
                <c:pt idx="63">
                  <c:v>7.064126627477277E-4</c:v>
                </c:pt>
                <c:pt idx="64">
                  <c:v>4.0557165567700479E-4</c:v>
                </c:pt>
                <c:pt idx="65">
                  <c:v>2.2249093999656883E-4</c:v>
                </c:pt>
                <c:pt idx="66">
                  <c:v>1.1655066601660944E-4</c:v>
                </c:pt>
                <c:pt idx="67">
                  <c:v>5.8267111762400058E-5</c:v>
                </c:pt>
                <c:pt idx="68">
                  <c:v>2.778512502270292E-5</c:v>
                </c:pt>
                <c:pt idx="69">
                  <c:v>1.2632204679247755E-5</c:v>
                </c:pt>
                <c:pt idx="70">
                  <c:v>5.4732374792139873E-6</c:v>
                </c:pt>
                <c:pt idx="71">
                  <c:v>2.2591717490376449E-6</c:v>
                </c:pt>
                <c:pt idx="72">
                  <c:v>8.8808576781624283E-7</c:v>
                </c:pt>
                <c:pt idx="73">
                  <c:v>3.3238378729610344E-7</c:v>
                </c:pt>
                <c:pt idx="74">
                  <c:v>1.1841275286992612E-7</c:v>
                </c:pt>
                <c:pt idx="75">
                  <c:v>4.0145743063788994E-8</c:v>
                </c:pt>
                <c:pt idx="76">
                  <c:v>1.2950427534037047E-8</c:v>
                </c:pt>
                <c:pt idx="77">
                  <c:v>3.974335501409227E-9</c:v>
                </c:pt>
                <c:pt idx="78">
                  <c:v>1.1601726657048198E-9</c:v>
                </c:pt>
                <c:pt idx="79">
                  <c:v>3.2211330740252792E-10</c:v>
                </c:pt>
                <c:pt idx="80">
                  <c:v>8.5051144987934926E-11</c:v>
                </c:pt>
                <c:pt idx="81">
                  <c:v>2.1355066836564117E-11</c:v>
                </c:pt>
                <c:pt idx="82">
                  <c:v>5.0984740703565305E-12</c:v>
                </c:pt>
                <c:pt idx="83">
                  <c:v>1.1573691459004766E-12</c:v>
                </c:pt>
                <c:pt idx="84">
                  <c:v>2.4978932430470971E-13</c:v>
                </c:pt>
                <c:pt idx="85">
                  <c:v>5.1253957930280382E-14</c:v>
                </c:pt>
                <c:pt idx="86">
                  <c:v>9.9980810945739007E-15</c:v>
                </c:pt>
                <c:pt idx="87">
                  <c:v>1.8540788177273538E-15</c:v>
                </c:pt>
                <c:pt idx="88">
                  <c:v>3.2685162327311729E-16</c:v>
                </c:pt>
                <c:pt idx="89">
                  <c:v>5.4773989186868788E-17</c:v>
                </c:pt>
                <c:pt idx="90">
                  <c:v>8.7255173517542129E-18</c:v>
                </c:pt>
                <c:pt idx="91">
                  <c:v>1.3212778356189108E-18</c:v>
                </c:pt>
                <c:pt idx="92">
                  <c:v>1.9018548907987809E-19</c:v>
                </c:pt>
                <c:pt idx="93">
                  <c:v>2.6021713288361147E-20</c:v>
                </c:pt>
                <c:pt idx="94">
                  <c:v>3.3842735810528881E-21</c:v>
                </c:pt>
                <c:pt idx="95">
                  <c:v>4.1837193571271339E-22</c:v>
                </c:pt>
                <c:pt idx="96">
                  <c:v>4.9161386419434507E-23</c:v>
                </c:pt>
                <c:pt idx="97">
                  <c:v>5.490952138442373E-24</c:v>
                </c:pt>
                <c:pt idx="98">
                  <c:v>5.829496032415132E-25</c:v>
                </c:pt>
                <c:pt idx="99">
                  <c:v>5.8826413775377321E-26</c:v>
                </c:pt>
                <c:pt idx="100">
                  <c:v>5.6424824910078196E-27</c:v>
                </c:pt>
                <c:pt idx="101">
                  <c:v>5.1442641880911129E-28</c:v>
                </c:pt>
                <c:pt idx="102">
                  <c:v>4.4579009904871452E-29</c:v>
                </c:pt>
                <c:pt idx="103">
                  <c:v>3.671899334230394E-30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F128-4E4D-A374-25E73A119BF1}"/>
            </c:ext>
          </c:extLst>
        </c:ser>
        <c:ser>
          <c:idx val="83"/>
          <c:order val="83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NaiwnaGęstość!$CU$5:$CU$108</c:f>
              <c:numCache>
                <c:formatCode>General</c:formatCode>
                <c:ptCount val="104"/>
                <c:pt idx="0">
                  <c:v>1.449136404842362E-5</c:v>
                </c:pt>
                <c:pt idx="1">
                  <c:v>3.3231001171203828E-5</c:v>
                </c:pt>
                <c:pt idx="2">
                  <c:v>7.2563247502188316E-5</c:v>
                </c:pt>
                <c:pt idx="3">
                  <c:v>1.5093795901267423E-4</c:v>
                </c:pt>
                <c:pt idx="4">
                  <c:v>2.992242187347752E-4</c:v>
                </c:pt>
                <c:pt idx="5">
                  <c:v>5.6567513549910409E-4</c:v>
                </c:pt>
                <c:pt idx="6">
                  <c:v>1.0205236450444145E-3</c:v>
                </c:pt>
                <c:pt idx="7">
                  <c:v>1.7585231650427736E-3</c:v>
                </c:pt>
                <c:pt idx="8">
                  <c:v>2.8973982975261498E-3</c:v>
                </c:pt>
                <c:pt idx="9">
                  <c:v>4.5705102529844067E-3</c:v>
                </c:pt>
                <c:pt idx="10">
                  <c:v>6.9132874964730074E-3</c:v>
                </c:pt>
                <c:pt idx="11">
                  <c:v>1.004491668425387E-2</c:v>
                </c:pt>
                <c:pt idx="12">
                  <c:v>1.4048701272654097E-2</c:v>
                </c:pt>
                <c:pt idx="13">
                  <c:v>1.8955367105946648E-2</c:v>
                </c:pt>
                <c:pt idx="14">
                  <c:v>2.4732727077219636E-2</c:v>
                </c:pt>
                <c:pt idx="15">
                  <c:v>3.1282742799774277E-2</c:v>
                </c:pt>
                <c:pt idx="16">
                  <c:v>3.8444460986999308E-2</c:v>
                </c:pt>
                <c:pt idx="17">
                  <c:v>4.600032029175339E-2</c:v>
                </c:pt>
                <c:pt idx="18">
                  <c:v>5.3684885008765053E-2</c:v>
                </c:pt>
                <c:pt idx="19">
                  <c:v>6.1198292868003726E-2</c:v>
                </c:pt>
                <c:pt idx="20">
                  <c:v>6.8229003565900129E-2</c:v>
                </c:pt>
                <c:pt idx="21">
                  <c:v>7.4489023502466181E-2</c:v>
                </c:pt>
                <c:pt idx="22">
                  <c:v>7.9758888920004947E-2</c:v>
                </c:pt>
                <c:pt idx="23">
                  <c:v>8.3931799156701431E-2</c:v>
                </c:pt>
                <c:pt idx="24">
                  <c:v>8.7041227777017532E-2</c:v>
                </c:pt>
                <c:pt idx="25">
                  <c:v>8.925837700417516E-2</c:v>
                </c:pt>
                <c:pt idx="26">
                  <c:v>9.0855607363094851E-2</c:v>
                </c:pt>
                <c:pt idx="27">
                  <c:v>9.2145354193946927E-2</c:v>
                </c:pt>
                <c:pt idx="28">
                  <c:v>9.3414136001450848E-2</c:v>
                </c:pt>
                <c:pt idx="29">
                  <c:v>9.4872378657854348E-2</c:v>
                </c:pt>
                <c:pt idx="30">
                  <c:v>9.663199039219289E-2</c:v>
                </c:pt>
                <c:pt idx="31">
                  <c:v>9.8709549654353815E-2</c:v>
                </c:pt>
                <c:pt idx="32">
                  <c:v>0.10104131212414413</c:v>
                </c:pt>
                <c:pt idx="33">
                  <c:v>0.10349348784968687</c:v>
                </c:pt>
                <c:pt idx="34">
                  <c:v>0.1058590114820047</c:v>
                </c:pt>
                <c:pt idx="35">
                  <c:v>0.10784607570243597</c:v>
                </c:pt>
                <c:pt idx="36">
                  <c:v>0.10907597170040188</c:v>
                </c:pt>
                <c:pt idx="37">
                  <c:v>0.10911056851697983</c:v>
                </c:pt>
                <c:pt idx="38">
                  <c:v>0.10751987171184746</c:v>
                </c:pt>
                <c:pt idx="39">
                  <c:v>0.10398100237880202</c:v>
                </c:pt>
                <c:pt idx="40">
                  <c:v>9.8380590513489408E-2</c:v>
                </c:pt>
                <c:pt idx="41">
                  <c:v>9.0883186123883006E-2</c:v>
                </c:pt>
                <c:pt idx="42">
                  <c:v>8.1934952893681828E-2</c:v>
                </c:pt>
                <c:pt idx="43">
                  <c:v>7.2193039433227538E-2</c:v>
                </c:pt>
                <c:pt idx="44">
                  <c:v>6.2397764396586917E-2</c:v>
                </c:pt>
                <c:pt idx="45">
                  <c:v>5.3225348876471359E-2</c:v>
                </c:pt>
                <c:pt idx="46">
                  <c:v>4.5164671327471477E-2</c:v>
                </c:pt>
                <c:pt idx="47">
                  <c:v>3.8450868412963642E-2</c:v>
                </c:pt>
                <c:pt idx="48">
                  <c:v>3.3067323916941109E-2</c:v>
                </c:pt>
                <c:pt idx="49">
                  <c:v>2.8805193513452284E-2</c:v>
                </c:pt>
                <c:pt idx="50">
                  <c:v>2.5354527651627452E-2</c:v>
                </c:pt>
                <c:pt idx="51">
                  <c:v>2.2397185702271921E-2</c:v>
                </c:pt>
                <c:pt idx="52">
                  <c:v>1.9677879668707144E-2</c:v>
                </c:pt>
                <c:pt idx="53">
                  <c:v>1.7041336094008395E-2</c:v>
                </c:pt>
                <c:pt idx="54">
                  <c:v>1.4435576839909552E-2</c:v>
                </c:pt>
                <c:pt idx="55">
                  <c:v>1.1889984666286097E-2</c:v>
                </c:pt>
                <c:pt idx="56">
                  <c:v>9.4806605767132415E-3</c:v>
                </c:pt>
                <c:pt idx="57">
                  <c:v>7.2950399857300337E-3</c:v>
                </c:pt>
                <c:pt idx="58">
                  <c:v>5.4043383529699812E-3</c:v>
                </c:pt>
                <c:pt idx="59">
                  <c:v>3.8479153327626147E-3</c:v>
                </c:pt>
                <c:pt idx="60">
                  <c:v>2.6295404653267208E-3</c:v>
                </c:pt>
                <c:pt idx="61">
                  <c:v>1.7227123749550255E-3</c:v>
                </c:pt>
                <c:pt idx="62">
                  <c:v>1.0809371214446507E-3</c:v>
                </c:pt>
                <c:pt idx="63">
                  <c:v>6.4903434657145832E-4</c:v>
                </c:pt>
                <c:pt idx="64">
                  <c:v>3.7262912355063795E-4</c:v>
                </c:pt>
                <c:pt idx="65">
                  <c:v>2.0441912283950241E-4</c:v>
                </c:pt>
                <c:pt idx="66">
                  <c:v>1.07083838618512E-4</c:v>
                </c:pt>
                <c:pt idx="67">
                  <c:v>5.3534361742500083E-5</c:v>
                </c:pt>
                <c:pt idx="68">
                  <c:v>2.5528272970800569E-5</c:v>
                </c:pt>
                <c:pt idx="69">
                  <c:v>1.1606148831078142E-5</c:v>
                </c:pt>
                <c:pt idx="70">
                  <c:v>5.028669758201031E-6</c:v>
                </c:pt>
                <c:pt idx="71">
                  <c:v>2.0756677141057401E-6</c:v>
                </c:pt>
                <c:pt idx="72">
                  <c:v>8.1594923798177088E-7</c:v>
                </c:pt>
                <c:pt idx="73">
                  <c:v>3.0538491622801845E-7</c:v>
                </c:pt>
                <c:pt idx="74">
                  <c:v>1.0879416607473019E-7</c:v>
                </c:pt>
                <c:pt idx="75">
                  <c:v>3.6884668077136441E-8</c:v>
                </c:pt>
                <c:pt idx="76">
                  <c:v>1.189842939436171E-8</c:v>
                </c:pt>
                <c:pt idx="77">
                  <c:v>3.6514820987744671E-9</c:v>
                </c:pt>
                <c:pt idx="78">
                  <c:v>1.0659245011802821E-9</c:v>
                </c:pt>
                <c:pt idx="79">
                  <c:v>2.9594553408943613E-10</c:v>
                </c:pt>
                <c:pt idx="80">
                  <c:v>7.8141694386341862E-11</c:v>
                </c:pt>
                <c:pt idx="81">
                  <c:v>1.962019956891952E-11</c:v>
                </c:pt>
                <c:pt idx="82">
                  <c:v>4.6842799371883907E-12</c:v>
                </c:pt>
                <c:pt idx="83">
                  <c:v>1.0633468826396484E-12</c:v>
                </c:pt>
                <c:pt idx="84">
                  <c:v>2.2949731418841982E-13</c:v>
                </c:pt>
                <c:pt idx="85">
                  <c:v>4.7090355224159733E-14</c:v>
                </c:pt>
                <c:pt idx="86">
                  <c:v>9.1859081035784243E-15</c:v>
                </c:pt>
                <c:pt idx="87">
                  <c:v>1.7034700025685619E-15</c:v>
                </c:pt>
                <c:pt idx="88">
                  <c:v>3.0030164428604269E-16</c:v>
                </c:pt>
                <c:pt idx="89">
                  <c:v>5.0324801843059702E-17</c:v>
                </c:pt>
                <c:pt idx="90">
                  <c:v>8.0167692955377572E-18</c:v>
                </c:pt>
                <c:pt idx="91">
                  <c:v>1.2139553517647527E-18</c:v>
                </c:pt>
                <c:pt idx="92">
                  <c:v>1.7473753088187741E-19</c:v>
                </c:pt>
                <c:pt idx="93">
                  <c:v>2.3908089318515911E-20</c:v>
                </c:pt>
                <c:pt idx="94">
                  <c:v>3.1093853519610837E-21</c:v>
                </c:pt>
                <c:pt idx="95">
                  <c:v>3.8438965335695299E-22</c:v>
                </c:pt>
                <c:pt idx="96">
                  <c:v>4.5168253720852099E-23</c:v>
                </c:pt>
                <c:pt idx="97">
                  <c:v>5.0449498588665968E-24</c:v>
                </c:pt>
                <c:pt idx="98">
                  <c:v>5.3559956538731483E-25</c:v>
                </c:pt>
                <c:pt idx="99">
                  <c:v>5.4048243252725302E-26</c:v>
                </c:pt>
                <c:pt idx="100">
                  <c:v>5.1841723472235544E-27</c:v>
                </c:pt>
                <c:pt idx="101">
                  <c:v>4.7264217912089868E-28</c:v>
                </c:pt>
                <c:pt idx="102">
                  <c:v>4.0958083859562958E-29</c:v>
                </c:pt>
                <c:pt idx="103">
                  <c:v>3.3736496441437396E-30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F128-4E4D-A374-25E73A119BF1}"/>
            </c:ext>
          </c:extLst>
        </c:ser>
        <c:ser>
          <c:idx val="84"/>
          <c:order val="84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NaiwnaGęstość!$CV$5:$CV$108</c:f>
              <c:numCache>
                <c:formatCode>General</c:formatCode>
                <c:ptCount val="104"/>
                <c:pt idx="0">
                  <c:v>1.3130439339030825E-5</c:v>
                </c:pt>
                <c:pt idx="1">
                  <c:v>3.0110184493033923E-5</c:v>
                </c:pt>
                <c:pt idx="2">
                  <c:v>6.5748629072237587E-5</c:v>
                </c:pt>
                <c:pt idx="3">
                  <c:v>1.3676295124120011E-4</c:v>
                </c:pt>
                <c:pt idx="4">
                  <c:v>2.7112323172180956E-4</c:v>
                </c:pt>
                <c:pt idx="5">
                  <c:v>5.1255099433355307E-4</c:v>
                </c:pt>
                <c:pt idx="6">
                  <c:v>9.2468340250964598E-4</c:v>
                </c:pt>
                <c:pt idx="7">
                  <c:v>1.5933753142711503E-3</c:v>
                </c:pt>
                <c:pt idx="8">
                  <c:v>2.6252954835412311E-3</c:v>
                </c:pt>
                <c:pt idx="9">
                  <c:v>4.1412807948716475E-3</c:v>
                </c:pt>
                <c:pt idx="10">
                  <c:v>6.2640412456958193E-3</c:v>
                </c:pt>
                <c:pt idx="11">
                  <c:v>9.1015703385466766E-3</c:v>
                </c:pt>
                <c:pt idx="12">
                  <c:v>1.2729348268137399E-2</c:v>
                </c:pt>
                <c:pt idx="13">
                  <c:v>1.7175215328385007E-2</c:v>
                </c:pt>
                <c:pt idx="14">
                  <c:v>2.2410007194013204E-2</c:v>
                </c:pt>
                <c:pt idx="15">
                  <c:v>2.8344892538644199E-2</c:v>
                </c:pt>
                <c:pt idx="16">
                  <c:v>3.4834033650989762E-2</c:v>
                </c:pt>
                <c:pt idx="17">
                  <c:v>4.1680300981228928E-2</c:v>
                </c:pt>
                <c:pt idx="18">
                  <c:v>4.8643186636879436E-2</c:v>
                </c:pt>
                <c:pt idx="19">
                  <c:v>5.5450989256113373E-2</c:v>
                </c:pt>
                <c:pt idx="20">
                  <c:v>6.1821426160501687E-2</c:v>
                </c:pt>
                <c:pt idx="21">
                  <c:v>6.7493550038111777E-2</c:v>
                </c:pt>
                <c:pt idx="22">
                  <c:v>7.2268507589286976E-2</c:v>
                </c:pt>
                <c:pt idx="23">
                  <c:v>7.6049528102405908E-2</c:v>
                </c:pt>
                <c:pt idx="24">
                  <c:v>7.8866941545452235E-2</c:v>
                </c:pt>
                <c:pt idx="25">
                  <c:v>8.087587205989466E-2</c:v>
                </c:pt>
                <c:pt idx="26">
                  <c:v>8.2323102028596939E-2</c:v>
                </c:pt>
                <c:pt idx="27">
                  <c:v>8.3491725111187451E-2</c:v>
                </c:pt>
                <c:pt idx="28">
                  <c:v>8.4641352054670896E-2</c:v>
                </c:pt>
                <c:pt idx="29">
                  <c:v>8.5962647046467999E-2</c:v>
                </c:pt>
                <c:pt idx="30">
                  <c:v>8.7557008699433669E-2</c:v>
                </c:pt>
                <c:pt idx="31">
                  <c:v>8.9439458534650948E-2</c:v>
                </c:pt>
                <c:pt idx="32">
                  <c:v>9.1552238640116856E-2</c:v>
                </c:pt>
                <c:pt idx="33">
                  <c:v>9.3774123654199557E-2</c:v>
                </c:pt>
                <c:pt idx="34">
                  <c:v>9.5917494316566015E-2</c:v>
                </c:pt>
                <c:pt idx="35">
                  <c:v>9.7717947753643342E-2</c:v>
                </c:pt>
                <c:pt idx="36">
                  <c:v>9.8832340763186408E-2</c:v>
                </c:pt>
                <c:pt idx="37">
                  <c:v>9.886368849549676E-2</c:v>
                </c:pt>
                <c:pt idx="38">
                  <c:v>9.7422378496156925E-2</c:v>
                </c:pt>
                <c:pt idx="39">
                  <c:v>9.4215854324132695E-2</c:v>
                </c:pt>
                <c:pt idx="40">
                  <c:v>8.9141392870676697E-2</c:v>
                </c:pt>
                <c:pt idx="41">
                  <c:v>8.2348090790228784E-2</c:v>
                </c:pt>
                <c:pt idx="42">
                  <c:v>7.4240211281506846E-2</c:v>
                </c:pt>
                <c:pt idx="43">
                  <c:v>6.5413188282673382E-2</c:v>
                </c:pt>
                <c:pt idx="44">
                  <c:v>5.6537815043154215E-2</c:v>
                </c:pt>
                <c:pt idx="45">
                  <c:v>4.8226806833083641E-2</c:v>
                </c:pt>
                <c:pt idx="46">
                  <c:v>4.0923130157942557E-2</c:v>
                </c:pt>
                <c:pt idx="47">
                  <c:v>3.483983933647386E-2</c:v>
                </c:pt>
                <c:pt idx="48">
                  <c:v>2.9961878628214901E-2</c:v>
                </c:pt>
                <c:pt idx="49">
                  <c:v>2.6100016864605818E-2</c:v>
                </c:pt>
                <c:pt idx="50">
                  <c:v>2.2973412727878263E-2</c:v>
                </c:pt>
                <c:pt idx="51">
                  <c:v>2.0293803069106237E-2</c:v>
                </c:pt>
                <c:pt idx="52">
                  <c:v>1.7829874704574075E-2</c:v>
                </c:pt>
                <c:pt idx="53">
                  <c:v>1.5440936343910409E-2</c:v>
                </c:pt>
                <c:pt idx="54">
                  <c:v>1.3079891261837995E-2</c:v>
                </c:pt>
                <c:pt idx="55">
                  <c:v>1.0773362800714371E-2</c:v>
                </c:pt>
                <c:pt idx="56">
                  <c:v>8.5903051050894158E-3</c:v>
                </c:pt>
                <c:pt idx="57">
                  <c:v>6.6099422840979376E-3</c:v>
                </c:pt>
                <c:pt idx="58">
                  <c:v>4.8968017534890213E-3</c:v>
                </c:pt>
                <c:pt idx="59">
                  <c:v>3.4865467918611549E-3</c:v>
                </c:pt>
                <c:pt idx="60">
                  <c:v>2.3825929312911096E-3</c:v>
                </c:pt>
                <c:pt idx="61">
                  <c:v>1.5609276146841546E-3</c:v>
                </c:pt>
                <c:pt idx="62">
                  <c:v>9.7942327835732817E-4</c:v>
                </c:pt>
                <c:pt idx="63">
                  <c:v>5.8808170654266081E-4</c:v>
                </c:pt>
                <c:pt idx="64">
                  <c:v>3.3763447460004477E-4</c:v>
                </c:pt>
                <c:pt idx="65">
                  <c:v>1.8522154766764865E-4</c:v>
                </c:pt>
                <c:pt idx="66">
                  <c:v>9.7027293501332794E-5</c:v>
                </c:pt>
                <c:pt idx="67">
                  <c:v>4.8506798535480327E-5</c:v>
                </c:pt>
                <c:pt idx="68">
                  <c:v>2.3130840373735902E-5</c:v>
                </c:pt>
                <c:pt idx="69">
                  <c:v>1.051618218375217E-5</c:v>
                </c:pt>
                <c:pt idx="70">
                  <c:v>4.5564128125282144E-6</c:v>
                </c:pt>
                <c:pt idx="71">
                  <c:v>1.8807356323831873E-6</c:v>
                </c:pt>
                <c:pt idx="72">
                  <c:v>7.3932097208106456E-7</c:v>
                </c:pt>
                <c:pt idx="73">
                  <c:v>2.7670526008064427E-7</c:v>
                </c:pt>
                <c:pt idx="74">
                  <c:v>9.8576949185949034E-8</c:v>
                </c:pt>
                <c:pt idx="75">
                  <c:v>3.3420701699295068E-8</c:v>
                </c:pt>
                <c:pt idx="76">
                  <c:v>1.0781004583940772E-8</c:v>
                </c:pt>
                <c:pt idx="77">
                  <c:v>3.3085573982783849E-9</c:v>
                </c:pt>
                <c:pt idx="78">
                  <c:v>9.6581923912344478E-10</c:v>
                </c:pt>
                <c:pt idx="79">
                  <c:v>2.6815205108411333E-10</c:v>
                </c:pt>
                <c:pt idx="80">
                  <c:v>7.0803072828323563E-11</c:v>
                </c:pt>
                <c:pt idx="81">
                  <c:v>1.7777581734798489E-11</c:v>
                </c:pt>
                <c:pt idx="82">
                  <c:v>4.2443590889177942E-12</c:v>
                </c:pt>
                <c:pt idx="83">
                  <c:v>9.6348351423562067E-13</c:v>
                </c:pt>
                <c:pt idx="84">
                  <c:v>2.0794429306418856E-13</c:v>
                </c:pt>
                <c:pt idx="85">
                  <c:v>4.2667918234218197E-14</c:v>
                </c:pt>
                <c:pt idx="86">
                  <c:v>8.3232258529250388E-15</c:v>
                </c:pt>
                <c:pt idx="87">
                  <c:v>1.5434912290308344E-15</c:v>
                </c:pt>
                <c:pt idx="88">
                  <c:v>2.7209932767446906E-16</c:v>
                </c:pt>
                <c:pt idx="89">
                  <c:v>4.5598641171844643E-17</c:v>
                </c:pt>
                <c:pt idx="90">
                  <c:v>7.2638901366943005E-18</c:v>
                </c:pt>
                <c:pt idx="91">
                  <c:v>1.0999492167356909E-18</c:v>
                </c:pt>
                <c:pt idx="92">
                  <c:v>1.5832742286384377E-19</c:v>
                </c:pt>
                <c:pt idx="93">
                  <c:v>2.1662812242284415E-20</c:v>
                </c:pt>
                <c:pt idx="94">
                  <c:v>2.8173741484819211E-21</c:v>
                </c:pt>
                <c:pt idx="95">
                  <c:v>3.4829053524679798E-22</c:v>
                </c:pt>
                <c:pt idx="96">
                  <c:v>4.0926375771070466E-23</c:v>
                </c:pt>
                <c:pt idx="97">
                  <c:v>4.5711644257294547E-24</c:v>
                </c:pt>
                <c:pt idx="98">
                  <c:v>4.8529990458880633E-25</c:v>
                </c:pt>
                <c:pt idx="99">
                  <c:v>4.8972420846826226E-26</c:v>
                </c:pt>
                <c:pt idx="100">
                  <c:v>4.6973121562112345E-27</c:v>
                </c:pt>
                <c:pt idx="101">
                  <c:v>4.2825502419369493E-28</c:v>
                </c:pt>
                <c:pt idx="102">
                  <c:v>3.71115951359432E-29</c:v>
                </c:pt>
                <c:pt idx="103">
                  <c:v>3.0568207281733122E-30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F128-4E4D-A374-25E73A119BF1}"/>
            </c:ext>
          </c:extLst>
        </c:ser>
        <c:ser>
          <c:idx val="85"/>
          <c:order val="85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NaiwnaGęstość!$CW$5:$CW$108</c:f>
              <c:numCache>
                <c:formatCode>General</c:formatCode>
                <c:ptCount val="104"/>
                <c:pt idx="0">
                  <c:v>1.153807976369034E-5</c:v>
                </c:pt>
                <c:pt idx="1">
                  <c:v>2.6458650880580542E-5</c:v>
                </c:pt>
                <c:pt idx="2">
                  <c:v>5.7775136612051927E-5</c:v>
                </c:pt>
                <c:pt idx="3">
                  <c:v>1.201773832081945E-4</c:v>
                </c:pt>
                <c:pt idx="4">
                  <c:v>2.3824347324745621E-4</c:v>
                </c:pt>
                <c:pt idx="5">
                  <c:v>4.503927174774823E-4</c:v>
                </c:pt>
                <c:pt idx="6">
                  <c:v>8.1254484932599159E-4</c:v>
                </c:pt>
                <c:pt idx="7">
                  <c:v>1.4001429041987162E-3</c:v>
                </c:pt>
                <c:pt idx="8">
                  <c:v>2.3069196627955734E-3</c:v>
                </c:pt>
                <c:pt idx="9">
                  <c:v>3.6390578335815894E-3</c:v>
                </c:pt>
                <c:pt idx="10">
                  <c:v>5.5043860810539543E-3</c:v>
                </c:pt>
                <c:pt idx="11">
                  <c:v>7.9978012791109623E-3</c:v>
                </c:pt>
                <c:pt idx="12">
                  <c:v>1.1185629959919043E-2</c:v>
                </c:pt>
                <c:pt idx="13">
                  <c:v>1.5092336158805959E-2</c:v>
                </c:pt>
                <c:pt idx="14">
                  <c:v>1.9692292377513389E-2</c:v>
                </c:pt>
                <c:pt idx="15">
                  <c:v>2.4907440075668294E-2</c:v>
                </c:pt>
                <c:pt idx="16">
                  <c:v>3.0609627627727141E-2</c:v>
                </c:pt>
                <c:pt idx="17">
                  <c:v>3.6625631852737137E-2</c:v>
                </c:pt>
                <c:pt idx="18">
                  <c:v>4.2744111821761584E-2</c:v>
                </c:pt>
                <c:pt idx="19">
                  <c:v>4.8726316042658507E-2</c:v>
                </c:pt>
                <c:pt idx="20">
                  <c:v>5.4324194928089181E-2</c:v>
                </c:pt>
                <c:pt idx="21">
                  <c:v>5.9308446866625487E-2</c:v>
                </c:pt>
                <c:pt idx="22">
                  <c:v>6.3504333970716975E-2</c:v>
                </c:pt>
                <c:pt idx="23">
                  <c:v>6.6826821142858747E-2</c:v>
                </c:pt>
                <c:pt idx="24">
                  <c:v>6.9302560163755911E-2</c:v>
                </c:pt>
                <c:pt idx="25">
                  <c:v>7.1067862901680837E-2</c:v>
                </c:pt>
                <c:pt idx="26">
                  <c:v>7.2339583853595499E-2</c:v>
                </c:pt>
                <c:pt idx="27">
                  <c:v>7.3366485238421084E-2</c:v>
                </c:pt>
                <c:pt idx="28">
                  <c:v>7.4376694191062145E-2</c:v>
                </c:pt>
                <c:pt idx="29">
                  <c:v>7.5537752599930633E-2</c:v>
                </c:pt>
                <c:pt idx="30">
                  <c:v>7.6938762227186888E-2</c:v>
                </c:pt>
                <c:pt idx="31">
                  <c:v>7.8592922898362463E-2</c:v>
                </c:pt>
                <c:pt idx="32">
                  <c:v>8.0449481140670312E-2</c:v>
                </c:pt>
                <c:pt idx="33">
                  <c:v>8.240191288010372E-2</c:v>
                </c:pt>
                <c:pt idx="34">
                  <c:v>8.428535188979594E-2</c:v>
                </c:pt>
                <c:pt idx="35">
                  <c:v>8.5867460060848638E-2</c:v>
                </c:pt>
                <c:pt idx="36">
                  <c:v>8.6846707982429064E-2</c:v>
                </c:pt>
                <c:pt idx="37">
                  <c:v>8.6874254100760523E-2</c:v>
                </c:pt>
                <c:pt idx="38">
                  <c:v>8.5607735189455567E-2</c:v>
                </c:pt>
                <c:pt idx="39">
                  <c:v>8.2790073822171045E-2</c:v>
                </c:pt>
                <c:pt idx="40">
                  <c:v>7.8331004365617823E-2</c:v>
                </c:pt>
                <c:pt idx="41">
                  <c:v>7.2361542168711893E-2</c:v>
                </c:pt>
                <c:pt idx="42">
                  <c:v>6.523692447157052E-2</c:v>
                </c:pt>
                <c:pt idx="43">
                  <c:v>5.7480375523979187E-2</c:v>
                </c:pt>
                <c:pt idx="44">
                  <c:v>4.9681339884263084E-2</c:v>
                </c:pt>
                <c:pt idx="45">
                  <c:v>4.237822738599268E-2</c:v>
                </c:pt>
                <c:pt idx="46">
                  <c:v>3.5960284934082327E-2</c:v>
                </c:pt>
                <c:pt idx="47">
                  <c:v>3.0614729243844691E-2</c:v>
                </c:pt>
                <c:pt idx="48">
                  <c:v>2.6328330420235566E-2</c:v>
                </c:pt>
                <c:pt idx="49">
                  <c:v>2.2934805808103659E-2</c:v>
                </c:pt>
                <c:pt idx="50">
                  <c:v>2.0187372383540486E-2</c:v>
                </c:pt>
                <c:pt idx="51">
                  <c:v>1.7832725354577122E-2</c:v>
                </c:pt>
                <c:pt idx="52">
                  <c:v>1.5667603436865286E-2</c:v>
                </c:pt>
                <c:pt idx="53">
                  <c:v>1.35683773070857E-2</c:v>
                </c:pt>
                <c:pt idx="54">
                  <c:v>1.1493661771732774E-2</c:v>
                </c:pt>
                <c:pt idx="55">
                  <c:v>9.4668514971825417E-3</c:v>
                </c:pt>
                <c:pt idx="56">
                  <c:v>7.5485383950481041E-3</c:v>
                </c:pt>
                <c:pt idx="57">
                  <c:v>5.8083388785215703E-3</c:v>
                </c:pt>
                <c:pt idx="58">
                  <c:v>4.3029549703330538E-3</c:v>
                </c:pt>
                <c:pt idx="59">
                  <c:v>3.0637249785513332E-3</c:v>
                </c:pt>
                <c:pt idx="60">
                  <c:v>2.0936502255606924E-3</c:v>
                </c:pt>
                <c:pt idx="61">
                  <c:v>1.3716302141141214E-3</c:v>
                </c:pt>
                <c:pt idx="62">
                  <c:v>8.6064629026567062E-4</c:v>
                </c:pt>
                <c:pt idx="63">
                  <c:v>5.1676364066406688E-4</c:v>
                </c:pt>
                <c:pt idx="64">
                  <c:v>2.9668873958341852E-4</c:v>
                </c:pt>
                <c:pt idx="65">
                  <c:v>1.6275929042304282E-4</c:v>
                </c:pt>
                <c:pt idx="66">
                  <c:v>8.5260563006104038E-5</c:v>
                </c:pt>
                <c:pt idx="67">
                  <c:v>4.2624263753118959E-5</c:v>
                </c:pt>
                <c:pt idx="68">
                  <c:v>2.0325708339940847E-5</c:v>
                </c:pt>
                <c:pt idx="69">
                  <c:v>9.240859733455571E-6</c:v>
                </c:pt>
                <c:pt idx="70">
                  <c:v>4.0038457676228523E-6</c:v>
                </c:pt>
                <c:pt idx="71">
                  <c:v>1.6526543286787701E-6</c:v>
                </c:pt>
                <c:pt idx="72">
                  <c:v>6.4966174587924427E-7</c:v>
                </c:pt>
                <c:pt idx="73">
                  <c:v>2.4314854720092699E-7</c:v>
                </c:pt>
                <c:pt idx="74">
                  <c:v>8.6622284003082661E-8</c:v>
                </c:pt>
                <c:pt idx="75">
                  <c:v>2.9367691795264057E-8</c:v>
                </c:pt>
                <c:pt idx="76">
                  <c:v>9.4735657034574974E-9</c:v>
                </c:pt>
                <c:pt idx="77">
                  <c:v>2.9073204622312749E-9</c:v>
                </c:pt>
                <c:pt idx="78">
                  <c:v>8.4869193497560534E-10</c:v>
                </c:pt>
                <c:pt idx="79">
                  <c:v>2.3563258018509749E-10</c:v>
                </c:pt>
                <c:pt idx="80">
                  <c:v>6.2216606144057366E-11</c:v>
                </c:pt>
                <c:pt idx="81">
                  <c:v>1.5621649628638229E-11</c:v>
                </c:pt>
                <c:pt idx="82">
                  <c:v>3.7296349862903527E-12</c:v>
                </c:pt>
                <c:pt idx="83">
                  <c:v>8.4663945388198406E-13</c:v>
                </c:pt>
                <c:pt idx="84">
                  <c:v>1.8272637047519275E-13</c:v>
                </c:pt>
                <c:pt idx="85">
                  <c:v>3.7493474211742863E-14</c:v>
                </c:pt>
                <c:pt idx="86">
                  <c:v>7.3138478141653993E-15</c:v>
                </c:pt>
                <c:pt idx="87">
                  <c:v>1.3563082852770393E-15</c:v>
                </c:pt>
                <c:pt idx="88">
                  <c:v>2.3910118335079148E-16</c:v>
                </c:pt>
                <c:pt idx="89">
                  <c:v>4.0068784160763072E-17</c:v>
                </c:pt>
                <c:pt idx="90">
                  <c:v>6.3829807657128855E-18</c:v>
                </c:pt>
                <c:pt idx="91">
                  <c:v>9.6655574675458074E-19</c:v>
                </c:pt>
                <c:pt idx="92">
                  <c:v>1.3912667879644596E-19</c:v>
                </c:pt>
                <c:pt idx="93">
                  <c:v>1.9035711427277169E-20</c:v>
                </c:pt>
                <c:pt idx="94">
                  <c:v>2.4757044840546488E-21</c:v>
                </c:pt>
                <c:pt idx="95">
                  <c:v>3.0605251403253813E-22</c:v>
                </c:pt>
                <c:pt idx="96">
                  <c:v>3.5963136914438875E-23</c:v>
                </c:pt>
                <c:pt idx="97">
                  <c:v>4.0168084535669734E-24</c:v>
                </c:pt>
                <c:pt idx="98">
                  <c:v>4.2644643205427881E-25</c:v>
                </c:pt>
                <c:pt idx="99">
                  <c:v>4.3033419013393712E-26</c:v>
                </c:pt>
                <c:pt idx="100">
                  <c:v>4.127657950514785E-27</c:v>
                </c:pt>
                <c:pt idx="101">
                  <c:v>3.763195199108003E-28</c:v>
                </c:pt>
                <c:pt idx="102">
                  <c:v>3.2610983819961281E-29</c:v>
                </c:pt>
                <c:pt idx="103">
                  <c:v>2.6861128157425261E-30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F128-4E4D-A374-25E73A119BF1}"/>
            </c:ext>
          </c:extLst>
        </c:ser>
        <c:ser>
          <c:idx val="86"/>
          <c:order val="86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NaiwnaGęstość!$CX$5:$CX$108</c:f>
              <c:numCache>
                <c:formatCode>General</c:formatCode>
                <c:ptCount val="104"/>
                <c:pt idx="0">
                  <c:v>9.7037902112253594E-6</c:v>
                </c:pt>
                <c:pt idx="1">
                  <c:v>2.2252333375713123E-5</c:v>
                </c:pt>
                <c:pt idx="2">
                  <c:v>4.8590217487708114E-5</c:v>
                </c:pt>
                <c:pt idx="3">
                  <c:v>1.0107194079696386E-4</c:v>
                </c:pt>
                <c:pt idx="4">
                  <c:v>2.0036823552410334E-4</c:v>
                </c:pt>
                <c:pt idx="5">
                  <c:v>3.7879062483334018E-4</c:v>
                </c:pt>
                <c:pt idx="6">
                  <c:v>6.8336888949962322E-4</c:v>
                </c:pt>
                <c:pt idx="7">
                  <c:v>1.1775523558813206E-3</c:v>
                </c:pt>
                <c:pt idx="8">
                  <c:v>1.9401724464036031E-3</c:v>
                </c:pt>
                <c:pt idx="9">
                  <c:v>3.0605312588251336E-3</c:v>
                </c:pt>
                <c:pt idx="10">
                  <c:v>4.6293151777495375E-3</c:v>
                </c:pt>
                <c:pt idx="11">
                  <c:v>6.7263346547311578E-3</c:v>
                </c:pt>
                <c:pt idx="12">
                  <c:v>9.4073718274188048E-3</c:v>
                </c:pt>
                <c:pt idx="13">
                  <c:v>1.269300151167462E-2</c:v>
                </c:pt>
                <c:pt idx="14">
                  <c:v>1.6561670392577006E-2</c:v>
                </c:pt>
                <c:pt idx="15">
                  <c:v>2.0947729443989215E-2</c:v>
                </c:pt>
                <c:pt idx="16">
                  <c:v>2.5743400204072613E-2</c:v>
                </c:pt>
                <c:pt idx="17">
                  <c:v>3.0802997997204071E-2</c:v>
                </c:pt>
                <c:pt idx="18">
                  <c:v>3.594878024581008E-2</c:v>
                </c:pt>
                <c:pt idx="19">
                  <c:v>4.0979951458802615E-2</c:v>
                </c:pt>
                <c:pt idx="20">
                  <c:v>4.5687896233375172E-2</c:v>
                </c:pt>
                <c:pt idx="21">
                  <c:v>4.9879766645265985E-2</c:v>
                </c:pt>
                <c:pt idx="22">
                  <c:v>5.3408604115797301E-2</c:v>
                </c:pt>
                <c:pt idx="23">
                  <c:v>5.6202892173972362E-2</c:v>
                </c:pt>
                <c:pt idx="24">
                  <c:v>5.8285045579787156E-2</c:v>
                </c:pt>
                <c:pt idx="25">
                  <c:v>5.9769705746726957E-2</c:v>
                </c:pt>
                <c:pt idx="26">
                  <c:v>6.0839252289769108E-2</c:v>
                </c:pt>
                <c:pt idx="27">
                  <c:v>6.1702899951256336E-2</c:v>
                </c:pt>
                <c:pt idx="28">
                  <c:v>6.2552508893706157E-2</c:v>
                </c:pt>
                <c:pt idx="29">
                  <c:v>6.3528985695166171E-2</c:v>
                </c:pt>
                <c:pt idx="30">
                  <c:v>6.4707266985055051E-2</c:v>
                </c:pt>
                <c:pt idx="31">
                  <c:v>6.6098454119959502E-2</c:v>
                </c:pt>
                <c:pt idx="32">
                  <c:v>6.765986226301729E-2</c:v>
                </c:pt>
                <c:pt idx="33">
                  <c:v>6.9301902220205061E-2</c:v>
                </c:pt>
                <c:pt idx="34">
                  <c:v>7.0885917706317914E-2</c:v>
                </c:pt>
                <c:pt idx="35">
                  <c:v>7.2216507032946867E-2</c:v>
                </c:pt>
                <c:pt idx="36">
                  <c:v>7.3040077036830589E-2</c:v>
                </c:pt>
                <c:pt idx="37">
                  <c:v>7.3063243955320906E-2</c:v>
                </c:pt>
                <c:pt idx="38">
                  <c:v>7.1998072447967382E-2</c:v>
                </c:pt>
                <c:pt idx="39">
                  <c:v>6.9628354491912861E-2</c:v>
                </c:pt>
                <c:pt idx="40">
                  <c:v>6.5878174615375179E-2</c:v>
                </c:pt>
                <c:pt idx="41">
                  <c:v>6.0857719737353738E-2</c:v>
                </c:pt>
                <c:pt idx="42">
                  <c:v>5.4865752539673698E-2</c:v>
                </c:pt>
                <c:pt idx="43">
                  <c:v>4.8342316639412589E-2</c:v>
                </c:pt>
                <c:pt idx="44">
                  <c:v>4.1783148454785812E-2</c:v>
                </c:pt>
                <c:pt idx="45">
                  <c:v>3.5641063027778919E-2</c:v>
                </c:pt>
                <c:pt idx="46">
                  <c:v>3.0243425949808993E-2</c:v>
                </c:pt>
                <c:pt idx="47">
                  <c:v>2.5747690780448956E-2</c:v>
                </c:pt>
                <c:pt idx="48">
                  <c:v>2.214273087396109E-2</c:v>
                </c:pt>
                <c:pt idx="49">
                  <c:v>1.9288698696405652E-2</c:v>
                </c:pt>
                <c:pt idx="50">
                  <c:v>1.6978044053925025E-2</c:v>
                </c:pt>
                <c:pt idx="51">
                  <c:v>1.4997731795861006E-2</c:v>
                </c:pt>
                <c:pt idx="52">
                  <c:v>1.3176814511398564E-2</c:v>
                </c:pt>
                <c:pt idx="53">
                  <c:v>1.1411317098786207E-2</c:v>
                </c:pt>
                <c:pt idx="54">
                  <c:v>9.6664336593081743E-3</c:v>
                </c:pt>
                <c:pt idx="55">
                  <c:v>7.9618396449655671E-3</c:v>
                </c:pt>
                <c:pt idx="56">
                  <c:v>6.3484942457478731E-3</c:v>
                </c:pt>
                <c:pt idx="57">
                  <c:v>4.8849464648437462E-3</c:v>
                </c:pt>
                <c:pt idx="58">
                  <c:v>3.6188840063074335E-3</c:v>
                </c:pt>
                <c:pt idx="59">
                  <c:v>2.5766631073379453E-3</c:v>
                </c:pt>
                <c:pt idx="60">
                  <c:v>1.7608079490267325E-3</c:v>
                </c:pt>
                <c:pt idx="61">
                  <c:v>1.1535725283270664E-3</c:v>
                </c:pt>
                <c:pt idx="62">
                  <c:v>7.2382330663007003E-4</c:v>
                </c:pt>
                <c:pt idx="63">
                  <c:v>4.3461009634281062E-4</c:v>
                </c:pt>
                <c:pt idx="64">
                  <c:v>2.495220475013624E-4</c:v>
                </c:pt>
                <c:pt idx="65">
                  <c:v>1.3688430323445061E-4</c:v>
                </c:pt>
                <c:pt idx="66">
                  <c:v>7.1706092657942199E-5</c:v>
                </c:pt>
                <c:pt idx="67">
                  <c:v>3.5847985260472388E-5</c:v>
                </c:pt>
                <c:pt idx="68">
                  <c:v>1.7094387767234025E-5</c:v>
                </c:pt>
                <c:pt idx="69">
                  <c:v>7.771775374880703E-6</c:v>
                </c:pt>
                <c:pt idx="70">
                  <c:v>3.367326290922439E-6</c:v>
                </c:pt>
                <c:pt idx="71">
                  <c:v>1.3899202643898493E-6</c:v>
                </c:pt>
                <c:pt idx="72">
                  <c:v>5.4638045552225903E-7</c:v>
                </c:pt>
                <c:pt idx="73">
                  <c:v>2.0449351479651846E-7</c:v>
                </c:pt>
                <c:pt idx="74">
                  <c:v>7.2851330991210013E-8</c:v>
                </c:pt>
                <c:pt idx="75">
                  <c:v>2.4698903482369021E-8</c:v>
                </c:pt>
                <c:pt idx="76">
                  <c:v>7.9674863844972248E-9</c:v>
                </c:pt>
                <c:pt idx="77">
                  <c:v>2.4451232914739137E-9</c:v>
                </c:pt>
                <c:pt idx="78">
                  <c:v>7.1376941096813236E-10</c:v>
                </c:pt>
                <c:pt idx="79">
                  <c:v>1.981724119026969E-10</c:v>
                </c:pt>
                <c:pt idx="80">
                  <c:v>5.2325594695499583E-11</c:v>
                </c:pt>
                <c:pt idx="81">
                  <c:v>1.313816611515102E-11</c:v>
                </c:pt>
                <c:pt idx="82">
                  <c:v>3.1367086817485368E-12</c:v>
                </c:pt>
                <c:pt idx="83">
                  <c:v>7.1204322608516353E-13</c:v>
                </c:pt>
                <c:pt idx="84">
                  <c:v>1.5367707459542925E-13</c:v>
                </c:pt>
                <c:pt idx="85">
                  <c:v>3.1532873051528255E-14</c:v>
                </c:pt>
                <c:pt idx="86">
                  <c:v>6.1511140251239647E-15</c:v>
                </c:pt>
                <c:pt idx="87">
                  <c:v>1.1406864270498924E-15</c:v>
                </c:pt>
                <c:pt idx="88">
                  <c:v>2.0108958851308461E-16</c:v>
                </c:pt>
                <c:pt idx="89">
                  <c:v>3.3698768099334575E-17</c:v>
                </c:pt>
                <c:pt idx="90">
                  <c:v>5.368233484958737E-18</c:v>
                </c:pt>
                <c:pt idx="91">
                  <c:v>8.1289559208745938E-19</c:v>
                </c:pt>
                <c:pt idx="92">
                  <c:v>1.170087337184488E-19</c:v>
                </c:pt>
                <c:pt idx="93">
                  <c:v>1.6009470718234826E-20</c:v>
                </c:pt>
                <c:pt idx="94">
                  <c:v>2.0821243589716989E-21</c:v>
                </c:pt>
                <c:pt idx="95">
                  <c:v>2.5739719695031808E-22</c:v>
                </c:pt>
                <c:pt idx="96">
                  <c:v>3.0245824528633367E-23</c:v>
                </c:pt>
                <c:pt idx="97">
                  <c:v>3.37822821032916E-24</c:v>
                </c:pt>
                <c:pt idx="98">
                  <c:v>3.5865124853238044E-25</c:v>
                </c:pt>
                <c:pt idx="99">
                  <c:v>3.6192094241617785E-26</c:v>
                </c:pt>
                <c:pt idx="100">
                  <c:v>3.4714551845464857E-27</c:v>
                </c:pt>
                <c:pt idx="101">
                  <c:v>3.1649336357432006E-28</c:v>
                </c:pt>
                <c:pt idx="102">
                  <c:v>2.74265867502734E-29</c:v>
                </c:pt>
                <c:pt idx="103">
                  <c:v>2.2590826013936562E-30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F128-4E4D-A374-25E73A119BF1}"/>
            </c:ext>
          </c:extLst>
        </c:ser>
        <c:ser>
          <c:idx val="87"/>
          <c:order val="87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NaiwnaGęstość!$CY$5:$CY$108</c:f>
              <c:numCache>
                <c:formatCode>General</c:formatCode>
                <c:ptCount val="104"/>
                <c:pt idx="0">
                  <c:v>7.7378401317095339E-6</c:v>
                </c:pt>
                <c:pt idx="1">
                  <c:v>1.7744097354824158E-5</c:v>
                </c:pt>
                <c:pt idx="2">
                  <c:v>3.8746028788827704E-5</c:v>
                </c:pt>
                <c:pt idx="3">
                  <c:v>8.0595159485600517E-5</c:v>
                </c:pt>
                <c:pt idx="4">
                  <c:v>1.5977441187513611E-4</c:v>
                </c:pt>
                <c:pt idx="5">
                  <c:v>3.0204912045193844E-4</c:v>
                </c:pt>
                <c:pt idx="6">
                  <c:v>5.4492101568880038E-4</c:v>
                </c:pt>
                <c:pt idx="7">
                  <c:v>9.3898483769642375E-4</c:v>
                </c:pt>
                <c:pt idx="8">
                  <c:v>1.5471010699357555E-3</c:v>
                </c:pt>
                <c:pt idx="9">
                  <c:v>2.4404795531846263E-3</c:v>
                </c:pt>
                <c:pt idx="10">
                  <c:v>3.6914339639458351E-3</c:v>
                </c:pt>
                <c:pt idx="11">
                  <c:v>5.3636054673233706E-3</c:v>
                </c:pt>
                <c:pt idx="12">
                  <c:v>7.5014749572706275E-3</c:v>
                </c:pt>
                <c:pt idx="13">
                  <c:v>1.0121448872139543E-2</c:v>
                </c:pt>
                <c:pt idx="14">
                  <c:v>1.3206340514614797E-2</c:v>
                </c:pt>
                <c:pt idx="15">
                  <c:v>1.6703801095409813E-2</c:v>
                </c:pt>
                <c:pt idx="16">
                  <c:v>2.052788764902394E-2</c:v>
                </c:pt>
                <c:pt idx="17">
                  <c:v>2.4562430647357972E-2</c:v>
                </c:pt>
                <c:pt idx="18">
                  <c:v>2.8665697466362512E-2</c:v>
                </c:pt>
                <c:pt idx="19">
                  <c:v>3.2677572998910678E-2</c:v>
                </c:pt>
                <c:pt idx="20">
                  <c:v>3.6431706509795755E-2</c:v>
                </c:pt>
                <c:pt idx="21">
                  <c:v>3.9774320312651101E-2</c:v>
                </c:pt>
                <c:pt idx="22">
                  <c:v>4.2588229064117147E-2</c:v>
                </c:pt>
                <c:pt idx="23">
                  <c:v>4.4816405251509532E-2</c:v>
                </c:pt>
                <c:pt idx="24">
                  <c:v>4.6476722491803096E-2</c:v>
                </c:pt>
                <c:pt idx="25">
                  <c:v>4.7660596294887586E-2</c:v>
                </c:pt>
                <c:pt idx="26">
                  <c:v>4.85134568765095E-2</c:v>
                </c:pt>
                <c:pt idx="27">
                  <c:v>4.9202132887557468E-2</c:v>
                </c:pt>
                <c:pt idx="28">
                  <c:v>4.9879614369333788E-2</c:v>
                </c:pt>
                <c:pt idx="29">
                  <c:v>5.0658260776309909E-2</c:v>
                </c:pt>
                <c:pt idx="30">
                  <c:v>5.1597826868824734E-2</c:v>
                </c:pt>
                <c:pt idx="31">
                  <c:v>5.2707164911884333E-2</c:v>
                </c:pt>
                <c:pt idx="32">
                  <c:v>5.3952237850224884E-2</c:v>
                </c:pt>
                <c:pt idx="33">
                  <c:v>5.5261606911388227E-2</c:v>
                </c:pt>
                <c:pt idx="34">
                  <c:v>5.6524707033185434E-2</c:v>
                </c:pt>
                <c:pt idx="35">
                  <c:v>5.758572414776645E-2</c:v>
                </c:pt>
                <c:pt idx="36">
                  <c:v>5.8242442078452104E-2</c:v>
                </c:pt>
                <c:pt idx="37">
                  <c:v>5.826091546954159E-2</c:v>
                </c:pt>
                <c:pt idx="38">
                  <c:v>5.7411543558428008E-2</c:v>
                </c:pt>
                <c:pt idx="39">
                  <c:v>5.5521921225086569E-2</c:v>
                </c:pt>
                <c:pt idx="40">
                  <c:v>5.2531513176462985E-2</c:v>
                </c:pt>
                <c:pt idx="41">
                  <c:v>4.8528182891184088E-2</c:v>
                </c:pt>
                <c:pt idx="42">
                  <c:v>4.3750164896064918E-2</c:v>
                </c:pt>
                <c:pt idx="43">
                  <c:v>3.8548351686285995E-2</c:v>
                </c:pt>
                <c:pt idx="44">
                  <c:v>3.3318045413699246E-2</c:v>
                </c:pt>
                <c:pt idx="45">
                  <c:v>2.8420322557479196E-2</c:v>
                </c:pt>
                <c:pt idx="46">
                  <c:v>2.411622571601978E-2</c:v>
                </c:pt>
                <c:pt idx="47">
                  <c:v>2.053130897134707E-2</c:v>
                </c:pt>
                <c:pt idx="48">
                  <c:v>1.7656699892787436E-2</c:v>
                </c:pt>
                <c:pt idx="49">
                  <c:v>1.5380883511768315E-2</c:v>
                </c:pt>
                <c:pt idx="50">
                  <c:v>1.3538358494850153E-2</c:v>
                </c:pt>
                <c:pt idx="51">
                  <c:v>1.1959249782664823E-2</c:v>
                </c:pt>
                <c:pt idx="52">
                  <c:v>1.050724324361803E-2</c:v>
                </c:pt>
                <c:pt idx="53">
                  <c:v>9.0994287263649262E-3</c:v>
                </c:pt>
                <c:pt idx="54">
                  <c:v>7.7080518716252152E-3</c:v>
                </c:pt>
                <c:pt idx="55">
                  <c:v>6.3488019615030693E-3</c:v>
                </c:pt>
                <c:pt idx="56">
                  <c:v>5.0623140526925249E-3</c:v>
                </c:pt>
                <c:pt idx="57">
                  <c:v>3.8952753485113826E-3</c:v>
                </c:pt>
                <c:pt idx="58">
                  <c:v>2.8857122100193876E-3</c:v>
                </c:pt>
                <c:pt idx="59">
                  <c:v>2.0546412034736471E-3</c:v>
                </c:pt>
                <c:pt idx="60">
                  <c:v>1.4040751207136234E-3</c:v>
                </c:pt>
                <c:pt idx="61">
                  <c:v>9.1986322975072673E-4</c:v>
                </c:pt>
                <c:pt idx="62">
                  <c:v>5.7717952556567088E-4</c:v>
                </c:pt>
                <c:pt idx="63">
                  <c:v>3.465597845708443E-4</c:v>
                </c:pt>
                <c:pt idx="64">
                  <c:v>1.9896985310590134E-4</c:v>
                </c:pt>
                <c:pt idx="65">
                  <c:v>1.0915207685953121E-4</c:v>
                </c:pt>
                <c:pt idx="66">
                  <c:v>5.717871773556195E-5</c:v>
                </c:pt>
                <c:pt idx="67">
                  <c:v>2.8585323151872481E-5</c:v>
                </c:pt>
                <c:pt idx="68">
                  <c:v>1.3631131424941936E-5</c:v>
                </c:pt>
                <c:pt idx="69">
                  <c:v>6.1972439715792275E-6</c:v>
                </c:pt>
                <c:pt idx="70">
                  <c:v>2.6851191072297419E-6</c:v>
                </c:pt>
                <c:pt idx="71">
                  <c:v>1.1083278354533357E-6</c:v>
                </c:pt>
                <c:pt idx="72">
                  <c:v>4.3568590449478786E-7</c:v>
                </c:pt>
                <c:pt idx="73">
                  <c:v>1.6306392560269034E-7</c:v>
                </c:pt>
                <c:pt idx="74">
                  <c:v>5.8091935225211083E-8</c:v>
                </c:pt>
                <c:pt idx="75">
                  <c:v>1.969500188292514E-8</c:v>
                </c:pt>
                <c:pt idx="76">
                  <c:v>6.3533046895752696E-9</c:v>
                </c:pt>
                <c:pt idx="77">
                  <c:v>1.9497508401359424E-9</c:v>
                </c:pt>
                <c:pt idx="78">
                  <c:v>5.6916250945333902E-10</c:v>
                </c:pt>
                <c:pt idx="79">
                  <c:v>1.5802345339580986E-10</c:v>
                </c:pt>
                <c:pt idx="80">
                  <c:v>4.17246330844958E-11</c:v>
                </c:pt>
                <c:pt idx="81">
                  <c:v>1.0476424849663916E-11</c:v>
                </c:pt>
                <c:pt idx="82">
                  <c:v>2.5012237242554347E-12</c:v>
                </c:pt>
                <c:pt idx="83">
                  <c:v>5.6778604282778609E-13</c:v>
                </c:pt>
                <c:pt idx="84">
                  <c:v>1.2254269807151016E-13</c:v>
                </c:pt>
                <c:pt idx="85">
                  <c:v>2.5144435839915302E-14</c:v>
                </c:pt>
                <c:pt idx="86">
                  <c:v>4.9049222923508801E-15</c:v>
                </c:pt>
                <c:pt idx="87">
                  <c:v>9.0958780191589707E-16</c:v>
                </c:pt>
                <c:pt idx="88">
                  <c:v>1.6034962150030024E-16</c:v>
                </c:pt>
                <c:pt idx="89">
                  <c:v>2.6871529005083895E-17</c:v>
                </c:pt>
                <c:pt idx="90">
                  <c:v>4.2806503010527042E-18</c:v>
                </c:pt>
                <c:pt idx="91">
                  <c:v>6.4820611304682196E-19</c:v>
                </c:pt>
                <c:pt idx="92">
                  <c:v>9.3303220263143595E-20</c:v>
                </c:pt>
                <c:pt idx="93">
                  <c:v>1.2766014341773243E-20</c:v>
                </c:pt>
                <c:pt idx="94">
                  <c:v>1.6602940781910353E-21</c:v>
                </c:pt>
                <c:pt idx="95">
                  <c:v>2.0524952796531318E-22</c:v>
                </c:pt>
                <c:pt idx="96">
                  <c:v>2.4118138351979919E-23</c:v>
                </c:pt>
                <c:pt idx="97">
                  <c:v>2.6938123404239341E-24</c:v>
                </c:pt>
                <c:pt idx="98">
                  <c:v>2.8598990330269226E-25</c:v>
                </c:pt>
                <c:pt idx="99">
                  <c:v>2.8859716994837978E-26</c:v>
                </c:pt>
                <c:pt idx="100">
                  <c:v>2.7681518929927996E-27</c:v>
                </c:pt>
                <c:pt idx="101">
                  <c:v>2.5237304154122142E-28</c:v>
                </c:pt>
                <c:pt idx="102">
                  <c:v>2.1870067160620531E-29</c:v>
                </c:pt>
                <c:pt idx="103">
                  <c:v>1.8014012703705195E-30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F128-4E4D-A374-25E73A119BF1}"/>
            </c:ext>
          </c:extLst>
        </c:ser>
        <c:ser>
          <c:idx val="88"/>
          <c:order val="88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NaiwnaGęstość!$CZ$5:$CZ$108</c:f>
              <c:numCache>
                <c:formatCode>General</c:formatCode>
                <c:ptCount val="104"/>
                <c:pt idx="0">
                  <c:v>5.8126415117390307E-6</c:v>
                </c:pt>
                <c:pt idx="1">
                  <c:v>1.3329310908133576E-5</c:v>
                </c:pt>
                <c:pt idx="2">
                  <c:v>2.9105896673936314E-5</c:v>
                </c:pt>
                <c:pt idx="3">
                  <c:v>6.0542833878338258E-5</c:v>
                </c:pt>
                <c:pt idx="4">
                  <c:v>1.2002204273686951E-4</c:v>
                </c:pt>
                <c:pt idx="5">
                  <c:v>2.2689836262297002E-4</c:v>
                </c:pt>
                <c:pt idx="6">
                  <c:v>4.0934297717416541E-4</c:v>
                </c:pt>
                <c:pt idx="7">
                  <c:v>7.0536249826628659E-4</c:v>
                </c:pt>
                <c:pt idx="8">
                  <c:v>1.1621775261435466E-3</c:v>
                </c:pt>
                <c:pt idx="9">
                  <c:v>1.8332806723750734E-3</c:v>
                </c:pt>
                <c:pt idx="10">
                  <c:v>2.772993746503573E-3</c:v>
                </c:pt>
                <c:pt idx="11">
                  <c:v>4.0291237944026018E-3</c:v>
                </c:pt>
                <c:pt idx="12">
                  <c:v>5.6350847256737844E-3</c:v>
                </c:pt>
                <c:pt idx="13">
                  <c:v>7.6032010059303946E-3</c:v>
                </c:pt>
                <c:pt idx="14">
                  <c:v>9.9205620414454625E-3</c:v>
                </c:pt>
                <c:pt idx="15">
                  <c:v>1.2547843584041585E-2</c:v>
                </c:pt>
                <c:pt idx="16">
                  <c:v>1.5420485544545575E-2</c:v>
                </c:pt>
                <c:pt idx="17">
                  <c:v>1.8451221733693398E-2</c:v>
                </c:pt>
                <c:pt idx="18">
                  <c:v>2.1533583043814929E-2</c:v>
                </c:pt>
                <c:pt idx="19">
                  <c:v>2.4547291502956686E-2</c:v>
                </c:pt>
                <c:pt idx="20">
                  <c:v>2.7367384954688434E-2</c:v>
                </c:pt>
                <c:pt idx="21">
                  <c:v>2.9878346077879318E-2</c:v>
                </c:pt>
                <c:pt idx="22">
                  <c:v>3.1992145605991784E-2</c:v>
                </c:pt>
                <c:pt idx="23">
                  <c:v>3.3665944648340822E-2</c:v>
                </c:pt>
                <c:pt idx="24">
                  <c:v>3.4913169810571486E-2</c:v>
                </c:pt>
                <c:pt idx="25">
                  <c:v>3.5802492140231568E-2</c:v>
                </c:pt>
                <c:pt idx="26">
                  <c:v>3.6443158364407778E-2</c:v>
                </c:pt>
                <c:pt idx="27">
                  <c:v>3.6960489648308552E-2</c:v>
                </c:pt>
                <c:pt idx="28">
                  <c:v>3.7469411636534937E-2</c:v>
                </c:pt>
                <c:pt idx="29">
                  <c:v>3.8054328402856899E-2</c:v>
                </c:pt>
                <c:pt idx="30">
                  <c:v>3.8760127537940281E-2</c:v>
                </c:pt>
                <c:pt idx="31">
                  <c:v>3.9593458835806603E-2</c:v>
                </c:pt>
                <c:pt idx="32">
                  <c:v>4.0528753766091268E-2</c:v>
                </c:pt>
                <c:pt idx="33">
                  <c:v>4.1512347744456821E-2</c:v>
                </c:pt>
                <c:pt idx="34">
                  <c:v>4.2461184639051464E-2</c:v>
                </c:pt>
                <c:pt idx="35">
                  <c:v>4.325821740528886E-2</c:v>
                </c:pt>
                <c:pt idx="36">
                  <c:v>4.3751541878324127E-2</c:v>
                </c:pt>
                <c:pt idx="37">
                  <c:v>4.3765419032424181E-2</c:v>
                </c:pt>
                <c:pt idx="38">
                  <c:v>4.3127373486715401E-2</c:v>
                </c:pt>
                <c:pt idx="39">
                  <c:v>4.1707895049666974E-2</c:v>
                </c:pt>
                <c:pt idx="40">
                  <c:v>3.9461509796857717E-2</c:v>
                </c:pt>
                <c:pt idx="41">
                  <c:v>3.6454220500965646E-2</c:v>
                </c:pt>
                <c:pt idx="42">
                  <c:v>3.2864988199764057E-2</c:v>
                </c:pt>
                <c:pt idx="43">
                  <c:v>2.895740224750773E-2</c:v>
                </c:pt>
                <c:pt idx="44">
                  <c:v>2.5028412394827729E-2</c:v>
                </c:pt>
                <c:pt idx="45">
                  <c:v>2.1349258173174394E-2</c:v>
                </c:pt>
                <c:pt idx="46">
                  <c:v>1.8116033972962783E-2</c:v>
                </c:pt>
                <c:pt idx="47">
                  <c:v>1.5423055631265092E-2</c:v>
                </c:pt>
                <c:pt idx="48">
                  <c:v>1.3263658205672881E-2</c:v>
                </c:pt>
                <c:pt idx="49">
                  <c:v>1.1554071997604654E-2</c:v>
                </c:pt>
                <c:pt idx="50">
                  <c:v>1.0169972918603647E-2</c:v>
                </c:pt>
                <c:pt idx="51">
                  <c:v>8.983751350858573E-3</c:v>
                </c:pt>
                <c:pt idx="52">
                  <c:v>7.8930085414287178E-3</c:v>
                </c:pt>
                <c:pt idx="53">
                  <c:v>6.8354626417299162E-3</c:v>
                </c:pt>
                <c:pt idx="54">
                  <c:v>5.7902646631376462E-3</c:v>
                </c:pt>
                <c:pt idx="55">
                  <c:v>4.7692003457157775E-3</c:v>
                </c:pt>
                <c:pt idx="56">
                  <c:v>3.8027946180427246E-3</c:v>
                </c:pt>
                <c:pt idx="57">
                  <c:v>2.9261187624728432E-3</c:v>
                </c:pt>
                <c:pt idx="58">
                  <c:v>2.1677380635136871E-3</c:v>
                </c:pt>
                <c:pt idx="59">
                  <c:v>1.5434401005647912E-3</c:v>
                </c:pt>
                <c:pt idx="60">
                  <c:v>1.0547368766142503E-3</c:v>
                </c:pt>
                <c:pt idx="61">
                  <c:v>6.9099840567394535E-4</c:v>
                </c:pt>
                <c:pt idx="62">
                  <c:v>4.3357546975933945E-4</c:v>
                </c:pt>
                <c:pt idx="63">
                  <c:v>2.6033463548058138E-4</c:v>
                </c:pt>
                <c:pt idx="64">
                  <c:v>1.4946553664352635E-4</c:v>
                </c:pt>
                <c:pt idx="65">
                  <c:v>8.1994701654023079E-5</c:v>
                </c:pt>
                <c:pt idx="66">
                  <c:v>4.2952475450552929E-5</c:v>
                </c:pt>
                <c:pt idx="67">
                  <c:v>2.1473206107991513E-5</c:v>
                </c:pt>
                <c:pt idx="68">
                  <c:v>1.0239663655980085E-5</c:v>
                </c:pt>
                <c:pt idx="69">
                  <c:v>4.6553504536554003E-6</c:v>
                </c:pt>
                <c:pt idx="70">
                  <c:v>2.0170531467312086E-6</c:v>
                </c:pt>
                <c:pt idx="71">
                  <c:v>8.3257243303828804E-7</c:v>
                </c:pt>
                <c:pt idx="72">
                  <c:v>3.2728590038134044E-7</c:v>
                </c:pt>
                <c:pt idx="73">
                  <c:v>1.2249311524581357E-7</c:v>
                </c:pt>
                <c:pt idx="74">
                  <c:v>4.3638481595704396E-8</c:v>
                </c:pt>
                <c:pt idx="75">
                  <c:v>1.4794824339299127E-8</c:v>
                </c:pt>
                <c:pt idx="76">
                  <c:v>4.7725827808506143E-9</c:v>
                </c:pt>
                <c:pt idx="77">
                  <c:v>1.464646784805221E-9</c:v>
                </c:pt>
                <c:pt idx="78">
                  <c:v>4.2755311208650678E-10</c:v>
                </c:pt>
                <c:pt idx="79">
                  <c:v>1.1870672814749423E-10</c:v>
                </c:pt>
                <c:pt idx="80">
                  <c:v>3.1343414981439817E-11</c:v>
                </c:pt>
                <c:pt idx="81">
                  <c:v>7.8698578587657522E-12</c:v>
                </c:pt>
                <c:pt idx="82">
                  <c:v>1.8789115051525123E-12</c:v>
                </c:pt>
                <c:pt idx="83">
                  <c:v>4.2651911462170441E-13</c:v>
                </c:pt>
                <c:pt idx="84">
                  <c:v>9.2053694777291989E-14</c:v>
                </c:pt>
                <c:pt idx="85">
                  <c:v>1.8888422228381432E-14</c:v>
                </c:pt>
                <c:pt idx="86">
                  <c:v>3.6845624155672876E-15</c:v>
                </c:pt>
                <c:pt idx="87">
                  <c:v>6.8327953612269285E-16</c:v>
                </c:pt>
                <c:pt idx="88">
                  <c:v>1.2045413842016755E-16</c:v>
                </c:pt>
                <c:pt idx="89">
                  <c:v>2.0185809259056411E-17</c:v>
                </c:pt>
                <c:pt idx="90">
                  <c:v>3.2156112317236324E-18</c:v>
                </c:pt>
                <c:pt idx="91">
                  <c:v>4.8693042201617051E-19</c:v>
                </c:pt>
                <c:pt idx="92">
                  <c:v>7.0089089726108148E-20</c:v>
                </c:pt>
                <c:pt idx="93">
                  <c:v>9.5897903858384846E-21</c:v>
                </c:pt>
                <c:pt idx="94">
                  <c:v>1.247207762928982E-21</c:v>
                </c:pt>
                <c:pt idx="95">
                  <c:v>1.5418280892440486E-22</c:v>
                </c:pt>
                <c:pt idx="96">
                  <c:v>1.8117470739156825E-23</c:v>
                </c:pt>
                <c:pt idx="97">
                  <c:v>2.0235834765586285E-24</c:v>
                </c:pt>
                <c:pt idx="98">
                  <c:v>2.1483472850039716E-25</c:v>
                </c:pt>
                <c:pt idx="99">
                  <c:v>2.1679329911946216E-26</c:v>
                </c:pt>
                <c:pt idx="100">
                  <c:v>2.0794271179202796E-27</c:v>
                </c:pt>
                <c:pt idx="101">
                  <c:v>1.8958184619177902E-28</c:v>
                </c:pt>
                <c:pt idx="102">
                  <c:v>1.6428726631530658E-29</c:v>
                </c:pt>
                <c:pt idx="103">
                  <c:v>1.3532070481199957E-30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F128-4E4D-A374-25E73A119BF1}"/>
            </c:ext>
          </c:extLst>
        </c:ser>
        <c:ser>
          <c:idx val="89"/>
          <c:order val="89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NaiwnaGęstość!$DA$5:$DA$108</c:f>
              <c:numCache>
                <c:formatCode>General</c:formatCode>
                <c:ptCount val="104"/>
                <c:pt idx="0">
                  <c:v>4.0950926186159887E-6</c:v>
                </c:pt>
                <c:pt idx="1">
                  <c:v>9.3906982911121721E-6</c:v>
                </c:pt>
                <c:pt idx="2">
                  <c:v>2.0505538211314272E-5</c:v>
                </c:pt>
                <c:pt idx="3">
                  <c:v>4.265332923500757E-5</c:v>
                </c:pt>
                <c:pt idx="4">
                  <c:v>8.4557318783610874E-5</c:v>
                </c:pt>
                <c:pt idx="5">
                  <c:v>1.5985327980004544E-4</c:v>
                </c:pt>
                <c:pt idx="6">
                  <c:v>2.8838823122375937E-4</c:v>
                </c:pt>
                <c:pt idx="7">
                  <c:v>4.96938397846354E-4</c:v>
                </c:pt>
                <c:pt idx="8">
                  <c:v>8.1877139665679458E-4</c:v>
                </c:pt>
                <c:pt idx="9">
                  <c:v>1.2915735701458102E-3</c:v>
                </c:pt>
                <c:pt idx="10">
                  <c:v>1.9536154431408726E-3</c:v>
                </c:pt>
                <c:pt idx="11">
                  <c:v>2.8385777923214403E-3</c:v>
                </c:pt>
                <c:pt idx="12">
                  <c:v>3.970001215244128E-3</c:v>
                </c:pt>
                <c:pt idx="13">
                  <c:v>5.3565684817063449E-3</c:v>
                </c:pt>
                <c:pt idx="14">
                  <c:v>6.9891838859146961E-3</c:v>
                </c:pt>
                <c:pt idx="15">
                  <c:v>8.8401429086555523E-3</c:v>
                </c:pt>
                <c:pt idx="16">
                  <c:v>1.0863962004436494E-2</c:v>
                </c:pt>
                <c:pt idx="17">
                  <c:v>1.2999160841675369E-2</c:v>
                </c:pt>
                <c:pt idx="18">
                  <c:v>1.5170730346433932E-2</c:v>
                </c:pt>
                <c:pt idx="19">
                  <c:v>1.729393289397925E-2</c:v>
                </c:pt>
                <c:pt idx="20">
                  <c:v>1.9280730781767598E-2</c:v>
                </c:pt>
                <c:pt idx="21">
                  <c:v>2.1049740334557709E-2</c:v>
                </c:pt>
                <c:pt idx="22">
                  <c:v>2.2538943621449821E-2</c:v>
                </c:pt>
                <c:pt idx="23">
                  <c:v>2.3718160005176084E-2</c:v>
                </c:pt>
                <c:pt idx="24">
                  <c:v>2.4596848729620549E-2</c:v>
                </c:pt>
                <c:pt idx="25">
                  <c:v>2.5223389571749969E-2</c:v>
                </c:pt>
                <c:pt idx="26">
                  <c:v>2.567474847979927E-2</c:v>
                </c:pt>
                <c:pt idx="27">
                  <c:v>2.6039216083349689E-2</c:v>
                </c:pt>
                <c:pt idx="28">
                  <c:v>2.6397759212704607E-2</c:v>
                </c:pt>
                <c:pt idx="29">
                  <c:v>2.6809841796402976E-2</c:v>
                </c:pt>
                <c:pt idx="30">
                  <c:v>2.7307087811397766E-2</c:v>
                </c:pt>
                <c:pt idx="31">
                  <c:v>2.7894182136733694E-2</c:v>
                </c:pt>
                <c:pt idx="32">
                  <c:v>2.8553111361510845E-2</c:v>
                </c:pt>
                <c:pt idx="33">
                  <c:v>2.9246067985858874E-2</c:v>
                </c:pt>
                <c:pt idx="34">
                  <c:v>2.9914537726419659E-2</c:v>
                </c:pt>
                <c:pt idx="35">
                  <c:v>3.04760591949675E-2</c:v>
                </c:pt>
                <c:pt idx="36">
                  <c:v>3.082361364229225E-2</c:v>
                </c:pt>
                <c:pt idx="37">
                  <c:v>3.0833390304281082E-2</c:v>
                </c:pt>
                <c:pt idx="38">
                  <c:v>3.0383877703289604E-2</c:v>
                </c:pt>
                <c:pt idx="39">
                  <c:v>2.9383833978228972E-2</c:v>
                </c:pt>
                <c:pt idx="40">
                  <c:v>2.780122207127261E-2</c:v>
                </c:pt>
                <c:pt idx="41">
                  <c:v>2.5682541919954276E-2</c:v>
                </c:pt>
                <c:pt idx="42">
                  <c:v>2.3153874243913256E-2</c:v>
                </c:pt>
                <c:pt idx="43">
                  <c:v>2.0400921673661775E-2</c:v>
                </c:pt>
                <c:pt idx="44">
                  <c:v>1.7632889736403479E-2</c:v>
                </c:pt>
                <c:pt idx="45">
                  <c:v>1.5040870726558362E-2</c:v>
                </c:pt>
                <c:pt idx="46">
                  <c:v>1.2763016066181087E-2</c:v>
                </c:pt>
                <c:pt idx="47">
                  <c:v>1.0865772668853529E-2</c:v>
                </c:pt>
                <c:pt idx="48">
                  <c:v>9.3444449832664998E-3</c:v>
                </c:pt>
                <c:pt idx="49">
                  <c:v>8.1400160076606463E-3</c:v>
                </c:pt>
                <c:pt idx="50">
                  <c:v>7.1648975678939306E-3</c:v>
                </c:pt>
                <c:pt idx="51">
                  <c:v>6.329186785402785E-3</c:v>
                </c:pt>
                <c:pt idx="52">
                  <c:v>5.5607422118498029E-3</c:v>
                </c:pt>
                <c:pt idx="53">
                  <c:v>4.8156853562088828E-3</c:v>
                </c:pt>
                <c:pt idx="54">
                  <c:v>4.0793277951101234E-3</c:v>
                </c:pt>
                <c:pt idx="55">
                  <c:v>3.3599727581683238E-3</c:v>
                </c:pt>
                <c:pt idx="56">
                  <c:v>2.6791255127310044E-3</c:v>
                </c:pt>
                <c:pt idx="57">
                  <c:v>2.0614943001725345E-3</c:v>
                </c:pt>
                <c:pt idx="58">
                  <c:v>1.527203789371822E-3</c:v>
                </c:pt>
                <c:pt idx="59">
                  <c:v>1.0873765654279618E-3</c:v>
                </c:pt>
                <c:pt idx="60">
                  <c:v>7.4307785699188119E-4</c:v>
                </c:pt>
                <c:pt idx="61">
                  <c:v>4.8681868042885505E-4</c:v>
                </c:pt>
                <c:pt idx="62">
                  <c:v>3.054603835861223E-4</c:v>
                </c:pt>
                <c:pt idx="63">
                  <c:v>1.8340963260396391E-4</c:v>
                </c:pt>
                <c:pt idx="64">
                  <c:v>1.0530069927936321E-4</c:v>
                </c:pt>
                <c:pt idx="65">
                  <c:v>5.7766489956567995E-5</c:v>
                </c:pt>
                <c:pt idx="66">
                  <c:v>3.0260659428868303E-5</c:v>
                </c:pt>
                <c:pt idx="67">
                  <c:v>1.5128193894851311E-5</c:v>
                </c:pt>
                <c:pt idx="68">
                  <c:v>7.2139957315488915E-6</c:v>
                </c:pt>
                <c:pt idx="69">
                  <c:v>3.279763811569916E-6</c:v>
                </c:pt>
                <c:pt idx="70">
                  <c:v>1.4210440186016033E-6</c:v>
                </c:pt>
                <c:pt idx="71">
                  <c:v>5.8655969374863411E-7</c:v>
                </c:pt>
                <c:pt idx="72">
                  <c:v>2.305777970516037E-7</c:v>
                </c:pt>
                <c:pt idx="73">
                  <c:v>8.6298226212758472E-8</c:v>
                </c:pt>
                <c:pt idx="74">
                  <c:v>3.0743960987259862E-8</c:v>
                </c:pt>
                <c:pt idx="75">
                  <c:v>1.0423174355938881E-8</c:v>
                </c:pt>
                <c:pt idx="76">
                  <c:v>3.3623557341455337E-9</c:v>
                </c:pt>
                <c:pt idx="77">
                  <c:v>1.0318654995662305E-9</c:v>
                </c:pt>
                <c:pt idx="78">
                  <c:v>3.0121754280337829E-10</c:v>
                </c:pt>
                <c:pt idx="79">
                  <c:v>8.3630660041971939E-11</c:v>
                </c:pt>
                <c:pt idx="80">
                  <c:v>2.2081903222950904E-11</c:v>
                </c:pt>
                <c:pt idx="81">
                  <c:v>5.5444322106739957E-12</c:v>
                </c:pt>
                <c:pt idx="82">
                  <c:v>1.323721172240932E-12</c:v>
                </c:pt>
                <c:pt idx="83">
                  <c:v>3.0048907617105044E-13</c:v>
                </c:pt>
                <c:pt idx="84">
                  <c:v>6.4853200603474302E-14</c:v>
                </c:pt>
                <c:pt idx="85">
                  <c:v>1.3307175109319613E-14</c:v>
                </c:pt>
                <c:pt idx="86">
                  <c:v>2.5958291630911633E-15</c:v>
                </c:pt>
                <c:pt idx="87">
                  <c:v>4.8138062173090423E-16</c:v>
                </c:pt>
                <c:pt idx="88">
                  <c:v>8.4861736635399716E-17</c:v>
                </c:pt>
                <c:pt idx="89">
                  <c:v>1.4221203618095611E-17</c:v>
                </c:pt>
                <c:pt idx="90">
                  <c:v>2.265446061444447E-18</c:v>
                </c:pt>
                <c:pt idx="91">
                  <c:v>3.430497430384641E-19</c:v>
                </c:pt>
                <c:pt idx="92">
                  <c:v>4.9378808826096376E-20</c:v>
                </c:pt>
                <c:pt idx="93">
                  <c:v>6.7561503223280957E-21</c:v>
                </c:pt>
                <c:pt idx="94">
                  <c:v>8.7867646637688134E-22</c:v>
                </c:pt>
                <c:pt idx="95">
                  <c:v>1.0862408794153715E-22</c:v>
                </c:pt>
                <c:pt idx="96">
                  <c:v>1.2764028289388325E-23</c:v>
                </c:pt>
                <c:pt idx="97">
                  <c:v>1.4256447333407204E-24</c:v>
                </c:pt>
                <c:pt idx="98">
                  <c:v>1.5135426967714898E-25</c:v>
                </c:pt>
                <c:pt idx="99">
                  <c:v>1.527341118829648E-26</c:v>
                </c:pt>
                <c:pt idx="100">
                  <c:v>1.4649874113770327E-27</c:v>
                </c:pt>
                <c:pt idx="101">
                  <c:v>1.3356323753936011E-28</c:v>
                </c:pt>
                <c:pt idx="102">
                  <c:v>1.1574282884325522E-29</c:v>
                </c:pt>
                <c:pt idx="103">
                  <c:v>9.533545433730715E-31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F128-4E4D-A374-25E73A119BF1}"/>
            </c:ext>
          </c:extLst>
        </c:ser>
        <c:ser>
          <c:idx val="90"/>
          <c:order val="90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NaiwnaGęstość!$DB$5:$DB$108</c:f>
              <c:numCache>
                <c:formatCode>General</c:formatCode>
                <c:ptCount val="104"/>
                <c:pt idx="0">
                  <c:v>2.6968809108775371E-6</c:v>
                </c:pt>
                <c:pt idx="1">
                  <c:v>6.184376598952229E-6</c:v>
                </c:pt>
                <c:pt idx="2">
                  <c:v>1.3504210947017203E-5</c:v>
                </c:pt>
                <c:pt idx="3">
                  <c:v>2.8089950609747991E-5</c:v>
                </c:pt>
                <c:pt idx="4">
                  <c:v>5.5686413016850743E-5</c:v>
                </c:pt>
                <c:pt idx="5">
                  <c:v>1.0527362845815396E-4</c:v>
                </c:pt>
                <c:pt idx="6">
                  <c:v>1.8992213074095216E-4</c:v>
                </c:pt>
                <c:pt idx="7">
                  <c:v>3.2726577976320315E-4</c:v>
                </c:pt>
                <c:pt idx="8">
                  <c:v>5.3921343316589668E-4</c:v>
                </c:pt>
                <c:pt idx="9">
                  <c:v>8.5058396249347904E-4</c:v>
                </c:pt>
                <c:pt idx="10">
                  <c:v>1.2865809607946845E-3</c:v>
                </c:pt>
                <c:pt idx="11">
                  <c:v>1.8693853778427715E-3</c:v>
                </c:pt>
                <c:pt idx="12">
                  <c:v>2.6145002056561571E-3</c:v>
                </c:pt>
                <c:pt idx="13">
                  <c:v>3.5276436045552527E-3</c:v>
                </c:pt>
                <c:pt idx="14">
                  <c:v>4.6028254694045461E-3</c:v>
                </c:pt>
                <c:pt idx="15">
                  <c:v>5.8218005989422597E-3</c:v>
                </c:pt>
                <c:pt idx="16">
                  <c:v>7.1546151637873609E-3</c:v>
                </c:pt>
                <c:pt idx="17">
                  <c:v>8.5607804258134943E-3</c:v>
                </c:pt>
                <c:pt idx="18">
                  <c:v>9.9908981031046271E-3</c:v>
                </c:pt>
                <c:pt idx="19">
                  <c:v>1.1389163039621919E-2</c:v>
                </c:pt>
                <c:pt idx="20">
                  <c:v>1.2697596766612713E-2</c:v>
                </c:pt>
                <c:pt idx="21">
                  <c:v>1.3862602918706054E-2</c:v>
                </c:pt>
                <c:pt idx="22">
                  <c:v>1.4843338714174528E-2</c:v>
                </c:pt>
                <c:pt idx="23">
                  <c:v>1.5619928269343174E-2</c:v>
                </c:pt>
                <c:pt idx="24">
                  <c:v>1.6198601102476434E-2</c:v>
                </c:pt>
                <c:pt idx="25">
                  <c:v>1.661121839697734E-2</c:v>
                </c:pt>
                <c:pt idx="26">
                  <c:v>1.6908467161886615E-2</c:v>
                </c:pt>
                <c:pt idx="27">
                  <c:v>1.7148492434619179E-2</c:v>
                </c:pt>
                <c:pt idx="28">
                  <c:v>1.7384616061442149E-2</c:v>
                </c:pt>
                <c:pt idx="29">
                  <c:v>1.7655998849862894E-2</c:v>
                </c:pt>
                <c:pt idx="30">
                  <c:v>1.7983467215231048E-2</c:v>
                </c:pt>
                <c:pt idx="31">
                  <c:v>1.8370106450613741E-2</c:v>
                </c:pt>
                <c:pt idx="32">
                  <c:v>1.8804053570598885E-2</c:v>
                </c:pt>
                <c:pt idx="33">
                  <c:v>1.9260409913743559E-2</c:v>
                </c:pt>
                <c:pt idx="34">
                  <c:v>1.9700640074747078E-2</c:v>
                </c:pt>
                <c:pt idx="35">
                  <c:v>2.0070437945176295E-2</c:v>
                </c:pt>
                <c:pt idx="36">
                  <c:v>2.0299324820706229E-2</c:v>
                </c:pt>
                <c:pt idx="37">
                  <c:v>2.0305763379133437E-2</c:v>
                </c:pt>
                <c:pt idx="38">
                  <c:v>2.0009730525736694E-2</c:v>
                </c:pt>
                <c:pt idx="39">
                  <c:v>1.9351137648032653E-2</c:v>
                </c:pt>
                <c:pt idx="40">
                  <c:v>1.8308886290445386E-2</c:v>
                </c:pt>
                <c:pt idx="41">
                  <c:v>1.6913599641647528E-2</c:v>
                </c:pt>
                <c:pt idx="42">
                  <c:v>1.5248309935019872E-2</c:v>
                </c:pt>
                <c:pt idx="43">
                  <c:v>1.3435314252941338E-2</c:v>
                </c:pt>
                <c:pt idx="44">
                  <c:v>1.1612387841373577E-2</c:v>
                </c:pt>
                <c:pt idx="45">
                  <c:v>9.9053772217589427E-3</c:v>
                </c:pt>
                <c:pt idx="46">
                  <c:v>8.405263958532902E-3</c:v>
                </c:pt>
                <c:pt idx="47">
                  <c:v>7.1558076023368854E-3</c:v>
                </c:pt>
                <c:pt idx="48">
                  <c:v>6.1539158317337108E-3</c:v>
                </c:pt>
                <c:pt idx="49">
                  <c:v>5.3607221691403103E-3</c:v>
                </c:pt>
                <c:pt idx="50">
                  <c:v>4.7185441890631894E-3</c:v>
                </c:pt>
                <c:pt idx="51">
                  <c:v>4.1681750848165033E-3</c:v>
                </c:pt>
                <c:pt idx="52">
                  <c:v>3.6621050897054099E-3</c:v>
                </c:pt>
                <c:pt idx="53">
                  <c:v>3.1714374055699704E-3</c:v>
                </c:pt>
                <c:pt idx="54">
                  <c:v>2.6864987643582991E-3</c:v>
                </c:pt>
                <c:pt idx="55">
                  <c:v>2.2127573748588819E-3</c:v>
                </c:pt>
                <c:pt idx="56">
                  <c:v>1.7643758337195206E-3</c:v>
                </c:pt>
                <c:pt idx="57">
                  <c:v>1.3576261012375162E-3</c:v>
                </c:pt>
                <c:pt idx="58">
                  <c:v>1.005761561497647E-3</c:v>
                </c:pt>
                <c:pt idx="59">
                  <c:v>7.1610714954460522E-4</c:v>
                </c:pt>
                <c:pt idx="60">
                  <c:v>4.8936438670695525E-4</c:v>
                </c:pt>
                <c:pt idx="61">
                  <c:v>3.2060129735255827E-4</c:v>
                </c:pt>
                <c:pt idx="62">
                  <c:v>2.0116523708837582E-4</c:v>
                </c:pt>
                <c:pt idx="63">
                  <c:v>1.20786996316548E-4</c:v>
                </c:pt>
                <c:pt idx="64">
                  <c:v>6.9347258349567635E-5</c:v>
                </c:pt>
                <c:pt idx="65">
                  <c:v>3.8042935425699559E-5</c:v>
                </c:pt>
                <c:pt idx="66">
                  <c:v>1.9928583395962957E-5</c:v>
                </c:pt>
                <c:pt idx="67">
                  <c:v>9.962885123918677E-6</c:v>
                </c:pt>
                <c:pt idx="68">
                  <c:v>4.7508784761359928E-6</c:v>
                </c:pt>
                <c:pt idx="69">
                  <c:v>2.159934643578124E-6</c:v>
                </c:pt>
                <c:pt idx="70">
                  <c:v>9.3584854952035239E-7</c:v>
                </c:pt>
                <c:pt idx="71">
                  <c:v>3.8628714622220901E-7</c:v>
                </c:pt>
                <c:pt idx="72">
                  <c:v>1.5185025523324775E-7</c:v>
                </c:pt>
                <c:pt idx="73">
                  <c:v>5.6832912119681429E-8</c:v>
                </c:pt>
                <c:pt idx="74">
                  <c:v>2.0246868443067341E-8</c:v>
                </c:pt>
                <c:pt idx="75">
                  <c:v>6.8643282507185791E-9</c:v>
                </c:pt>
                <c:pt idx="76">
                  <c:v>2.2143267172451118E-9</c:v>
                </c:pt>
                <c:pt idx="77">
                  <c:v>6.7954955541713506E-10</c:v>
                </c:pt>
                <c:pt idx="78">
                  <c:v>1.9837105454336273E-10</c:v>
                </c:pt>
                <c:pt idx="79">
                  <c:v>5.5076148853361743E-11</c:v>
                </c:pt>
                <c:pt idx="80">
                  <c:v>1.4542348323717242E-11</c:v>
                </c:pt>
                <c:pt idx="81">
                  <c:v>3.6513639087529317E-12</c:v>
                </c:pt>
                <c:pt idx="82">
                  <c:v>8.7175521855377612E-13</c:v>
                </c:pt>
                <c:pt idx="83">
                  <c:v>1.9789131258440363E-13</c:v>
                </c:pt>
                <c:pt idx="84">
                  <c:v>4.2709988516907499E-14</c:v>
                </c:pt>
                <c:pt idx="85">
                  <c:v>8.763627559209464E-15</c:v>
                </c:pt>
                <c:pt idx="86">
                  <c:v>1.7095198496888005E-15</c:v>
                </c:pt>
                <c:pt idx="87">
                  <c:v>3.1701998721849644E-16</c:v>
                </c:pt>
                <c:pt idx="88">
                  <c:v>5.5886891679935627E-17</c:v>
                </c:pt>
                <c:pt idx="89">
                  <c:v>9.3655739049689813E-18</c:v>
                </c:pt>
                <c:pt idx="90">
                  <c:v>1.4919414056614683E-18</c:v>
                </c:pt>
                <c:pt idx="91">
                  <c:v>2.259202390871728E-19</c:v>
                </c:pt>
                <c:pt idx="92">
                  <c:v>3.251910990232355E-20</c:v>
                </c:pt>
                <c:pt idx="93">
                  <c:v>4.4493579345376226E-21</c:v>
                </c:pt>
                <c:pt idx="94">
                  <c:v>5.7866476041022949E-22</c:v>
                </c:pt>
                <c:pt idx="95">
                  <c:v>7.1535922752833784E-23</c:v>
                </c:pt>
                <c:pt idx="96">
                  <c:v>8.4059305723800854E-24</c:v>
                </c:pt>
                <c:pt idx="97">
                  <c:v>9.3887841499885276E-25</c:v>
                </c:pt>
                <c:pt idx="98">
                  <c:v>9.9676485659088005E-26</c:v>
                </c:pt>
                <c:pt idx="99">
                  <c:v>1.0058520017459647E-26</c:v>
                </c:pt>
                <c:pt idx="100">
                  <c:v>9.647880896412777E-28</c:v>
                </c:pt>
                <c:pt idx="101">
                  <c:v>8.7959950912328798E-29</c:v>
                </c:pt>
                <c:pt idx="102">
                  <c:v>7.6224069819411307E-30</c:v>
                </c:pt>
                <c:pt idx="103">
                  <c:v>6.2784505962899383E-31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F128-4E4D-A374-25E73A119BF1}"/>
            </c:ext>
          </c:extLst>
        </c:ser>
        <c:ser>
          <c:idx val="91"/>
          <c:order val="91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NaiwnaGęstość!$DC$5:$DC$108</c:f>
              <c:numCache>
                <c:formatCode>General</c:formatCode>
                <c:ptCount val="104"/>
                <c:pt idx="0">
                  <c:v>1.6558445136382324E-6</c:v>
                </c:pt>
                <c:pt idx="1">
                  <c:v>3.7971146669266944E-6</c:v>
                </c:pt>
                <c:pt idx="2">
                  <c:v>8.2913833968129503E-6</c:v>
                </c:pt>
                <c:pt idx="3">
                  <c:v>1.7246809237262694E-5</c:v>
                </c:pt>
                <c:pt idx="4">
                  <c:v>3.4190624104399707E-5</c:v>
                </c:pt>
                <c:pt idx="5">
                  <c:v>6.463643218732378E-5</c:v>
                </c:pt>
                <c:pt idx="6">
                  <c:v>1.166093456101329E-4</c:v>
                </c:pt>
                <c:pt idx="7">
                  <c:v>2.0093629041488116E-4</c:v>
                </c:pt>
                <c:pt idx="8">
                  <c:v>3.3106897727169587E-4</c:v>
                </c:pt>
                <c:pt idx="9">
                  <c:v>5.2224582183171202E-4</c:v>
                </c:pt>
                <c:pt idx="10">
                  <c:v>7.8994145299136746E-4</c:v>
                </c:pt>
                <c:pt idx="11">
                  <c:v>1.1477746419174559E-3</c:v>
                </c:pt>
                <c:pt idx="12">
                  <c:v>1.6052639936678182E-3</c:v>
                </c:pt>
                <c:pt idx="13">
                  <c:v>2.1659203730924619E-3</c:v>
                </c:pt>
                <c:pt idx="14">
                  <c:v>2.8260659452952496E-3</c:v>
                </c:pt>
                <c:pt idx="15">
                  <c:v>3.5744984297870095E-3</c:v>
                </c:pt>
                <c:pt idx="16">
                  <c:v>4.3928266236625694E-3</c:v>
                </c:pt>
                <c:pt idx="17">
                  <c:v>5.2561910477286686E-3</c:v>
                </c:pt>
                <c:pt idx="18">
                  <c:v>6.134261896259029E-3</c:v>
                </c:pt>
                <c:pt idx="19">
                  <c:v>6.9927756387110438E-3</c:v>
                </c:pt>
                <c:pt idx="20">
                  <c:v>7.796134363064932E-3</c:v>
                </c:pt>
                <c:pt idx="21">
                  <c:v>8.511430703188029E-3</c:v>
                </c:pt>
                <c:pt idx="22">
                  <c:v>9.1135878024151823E-3</c:v>
                </c:pt>
                <c:pt idx="23">
                  <c:v>9.5904021656628112E-3</c:v>
                </c:pt>
                <c:pt idx="24">
                  <c:v>9.9456986239047935E-3</c:v>
                </c:pt>
                <c:pt idx="25">
                  <c:v>1.0199039466867437E-2</c:v>
                </c:pt>
                <c:pt idx="26">
                  <c:v>1.0381545759442517E-2</c:v>
                </c:pt>
                <c:pt idx="27">
                  <c:v>1.0528917684315317E-2</c:v>
                </c:pt>
                <c:pt idx="28">
                  <c:v>1.0673894056997622E-2</c:v>
                </c:pt>
                <c:pt idx="29">
                  <c:v>1.0840519027158473E-2</c:v>
                </c:pt>
                <c:pt idx="30">
                  <c:v>1.1041579702102589E-2</c:v>
                </c:pt>
                <c:pt idx="31">
                  <c:v>1.1278970405593976E-2</c:v>
                </c:pt>
                <c:pt idx="32">
                  <c:v>1.1545407442149181E-2</c:v>
                </c:pt>
                <c:pt idx="33">
                  <c:v>1.1825603406313662E-2</c:v>
                </c:pt>
                <c:pt idx="34">
                  <c:v>1.2095898136012556E-2</c:v>
                </c:pt>
                <c:pt idx="35">
                  <c:v>1.2322948493496111E-2</c:v>
                </c:pt>
                <c:pt idx="36">
                  <c:v>1.246348160920077E-2</c:v>
                </c:pt>
                <c:pt idx="37">
                  <c:v>1.2467434787705772E-2</c:v>
                </c:pt>
                <c:pt idx="38">
                  <c:v>1.2285675046600197E-2</c:v>
                </c:pt>
                <c:pt idx="39">
                  <c:v>1.1881308877197261E-2</c:v>
                </c:pt>
                <c:pt idx="40">
                  <c:v>1.1241382143565069E-2</c:v>
                </c:pt>
                <c:pt idx="41">
                  <c:v>1.0384697025195181E-2</c:v>
                </c:pt>
                <c:pt idx="42">
                  <c:v>9.3622340705961319E-3</c:v>
                </c:pt>
                <c:pt idx="43">
                  <c:v>8.2490818578635668E-3</c:v>
                </c:pt>
                <c:pt idx="44">
                  <c:v>7.1298323258630883E-3</c:v>
                </c:pt>
                <c:pt idx="45">
                  <c:v>6.0817533551489672E-3</c:v>
                </c:pt>
                <c:pt idx="46">
                  <c:v>5.1607062645154644E-3</c:v>
                </c:pt>
                <c:pt idx="47">
                  <c:v>4.3935587630841199E-3</c:v>
                </c:pt>
                <c:pt idx="48">
                  <c:v>3.7784122117769108E-3</c:v>
                </c:pt>
                <c:pt idx="49">
                  <c:v>3.2914031750929259E-3</c:v>
                </c:pt>
                <c:pt idx="50">
                  <c:v>2.8971155071424782E-3</c:v>
                </c:pt>
                <c:pt idx="51">
                  <c:v>2.5591971147999968E-3</c:v>
                </c:pt>
                <c:pt idx="52">
                  <c:v>2.2484777124186128E-3</c:v>
                </c:pt>
                <c:pt idx="53">
                  <c:v>1.9472150984417595E-3</c:v>
                </c:pt>
                <c:pt idx="54">
                  <c:v>1.6494700310704892E-3</c:v>
                </c:pt>
                <c:pt idx="55">
                  <c:v>1.3585999086553643E-3</c:v>
                </c:pt>
                <c:pt idx="56">
                  <c:v>1.083300353559073E-3</c:v>
                </c:pt>
                <c:pt idx="57">
                  <c:v>8.3356210585313652E-4</c:v>
                </c:pt>
                <c:pt idx="58">
                  <c:v>6.1752254499521141E-4</c:v>
                </c:pt>
                <c:pt idx="59">
                  <c:v>4.3967907146656807E-4</c:v>
                </c:pt>
                <c:pt idx="60">
                  <c:v>3.00462408862905E-4</c:v>
                </c:pt>
                <c:pt idx="61">
                  <c:v>1.9684439796557234E-4</c:v>
                </c:pt>
                <c:pt idx="62">
                  <c:v>1.2351244462594182E-4</c:v>
                </c:pt>
                <c:pt idx="63">
                  <c:v>7.4161407855609769E-5</c:v>
                </c:pt>
                <c:pt idx="64">
                  <c:v>4.2578178669602711E-5</c:v>
                </c:pt>
                <c:pt idx="65">
                  <c:v>2.3357792942677929E-5</c:v>
                </c:pt>
                <c:pt idx="66">
                  <c:v>1.2235851923491061E-5</c:v>
                </c:pt>
                <c:pt idx="67">
                  <c:v>6.1170623463239052E-6</c:v>
                </c:pt>
                <c:pt idx="68">
                  <c:v>2.9169682754408302E-6</c:v>
                </c:pt>
                <c:pt idx="69">
                  <c:v>1.3261675422746874E-6</c:v>
                </c:pt>
                <c:pt idx="70">
                  <c:v>5.7459700206611675E-7</c:v>
                </c:pt>
                <c:pt idx="71">
                  <c:v>2.3717452601675445E-7</c:v>
                </c:pt>
                <c:pt idx="72">
                  <c:v>9.3233783890265118E-8</c:v>
                </c:pt>
                <c:pt idx="73">
                  <c:v>3.4894557393280107E-8</c:v>
                </c:pt>
                <c:pt idx="74">
                  <c:v>1.2431274178472693E-8</c:v>
                </c:pt>
                <c:pt idx="75">
                  <c:v>4.2145948039157927E-9</c:v>
                </c:pt>
                <c:pt idx="76">
                  <c:v>1.3595634613913134E-9</c:v>
                </c:pt>
                <c:pt idx="77">
                  <c:v>4.1723325584910797E-10</c:v>
                </c:pt>
                <c:pt idx="78">
                  <c:v>1.2179685836530668E-10</c:v>
                </c:pt>
                <c:pt idx="79">
                  <c:v>3.38159310421626E-11</c:v>
                </c:pt>
                <c:pt idx="80">
                  <c:v>8.9287842077562749E-12</c:v>
                </c:pt>
                <c:pt idx="81">
                  <c:v>2.2418827880826584E-12</c:v>
                </c:pt>
                <c:pt idx="82">
                  <c:v>5.3524465617135232E-13</c:v>
                </c:pt>
                <c:pt idx="83">
                  <c:v>1.2150230398305666E-13</c:v>
                </c:pt>
                <c:pt idx="84">
                  <c:v>2.6223293686431171E-14</c:v>
                </c:pt>
                <c:pt idx="85">
                  <c:v>5.3807361515135431E-15</c:v>
                </c:pt>
                <c:pt idx="86">
                  <c:v>1.0496196004226726E-15</c:v>
                </c:pt>
                <c:pt idx="87">
                  <c:v>1.9464552714661589E-16</c:v>
                </c:pt>
                <c:pt idx="88">
                  <c:v>3.4313715002863528E-17</c:v>
                </c:pt>
                <c:pt idx="89">
                  <c:v>5.7503221981611601E-18</c:v>
                </c:pt>
                <c:pt idx="90">
                  <c:v>9.1602969240135827E-19</c:v>
                </c:pt>
                <c:pt idx="91">
                  <c:v>1.3871164533201699E-19</c:v>
                </c:pt>
                <c:pt idx="92">
                  <c:v>1.9966246749338282E-20</c:v>
                </c:pt>
                <c:pt idx="93">
                  <c:v>2.7318391759165824E-21</c:v>
                </c:pt>
                <c:pt idx="94">
                  <c:v>3.5529150171087043E-22</c:v>
                </c:pt>
                <c:pt idx="95">
                  <c:v>4.3921985854312344E-23</c:v>
                </c:pt>
                <c:pt idx="96">
                  <c:v>5.1611155554400729E-24</c:v>
                </c:pt>
                <c:pt idx="97">
                  <c:v>5.7645729412032043E-25</c:v>
                </c:pt>
                <c:pt idx="98">
                  <c:v>6.1199870284088918E-26</c:v>
                </c:pt>
                <c:pt idx="99">
                  <c:v>6.1757807395401157E-27</c:v>
                </c:pt>
                <c:pt idx="100">
                  <c:v>5.9236544654698831E-28</c:v>
                </c:pt>
                <c:pt idx="101">
                  <c:v>5.4006093317140779E-29</c:v>
                </c:pt>
                <c:pt idx="102">
                  <c:v>4.680043798321843E-30</c:v>
                </c:pt>
                <c:pt idx="103">
                  <c:v>3.8548746932368577E-31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F128-4E4D-A374-25E73A119BF1}"/>
            </c:ext>
          </c:extLst>
        </c:ser>
        <c:ser>
          <c:idx val="92"/>
          <c:order val="92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NaiwnaGęstość!$DD$5:$DD$108</c:f>
              <c:numCache>
                <c:formatCode>General</c:formatCode>
                <c:ptCount val="104"/>
                <c:pt idx="0">
                  <c:v>9.4566282360378735E-7</c:v>
                </c:pt>
                <c:pt idx="1">
                  <c:v>2.1685551680112434E-6</c:v>
                </c:pt>
                <c:pt idx="2">
                  <c:v>4.7352592408472716E-6</c:v>
                </c:pt>
                <c:pt idx="3">
                  <c:v>9.8497571403186979E-6</c:v>
                </c:pt>
                <c:pt idx="4">
                  <c:v>1.9526472362009702E-5</c:v>
                </c:pt>
                <c:pt idx="5">
                  <c:v>3.6914257628958585E-5</c:v>
                </c:pt>
                <c:pt idx="6">
                  <c:v>6.6596303046579758E-5</c:v>
                </c:pt>
                <c:pt idx="7">
                  <c:v>1.147559316065845E-4</c:v>
                </c:pt>
                <c:pt idx="8">
                  <c:v>1.8907549668807335E-4</c:v>
                </c:pt>
                <c:pt idx="9">
                  <c:v>2.9825774969868775E-4</c:v>
                </c:pt>
                <c:pt idx="10">
                  <c:v>4.5114034486012315E-4</c:v>
                </c:pt>
                <c:pt idx="11">
                  <c:v>6.5550104481224643E-4</c:v>
                </c:pt>
                <c:pt idx="12">
                  <c:v>9.1677598251417765E-4</c:v>
                </c:pt>
                <c:pt idx="13">
                  <c:v>1.2369702341309817E-3</c:v>
                </c:pt>
                <c:pt idx="14">
                  <c:v>1.6139833658936765E-3</c:v>
                </c:pt>
                <c:pt idx="15">
                  <c:v>2.0414176876139994E-3</c:v>
                </c:pt>
                <c:pt idx="16">
                  <c:v>2.5087698720015379E-3</c:v>
                </c:pt>
                <c:pt idx="17">
                  <c:v>3.0018425200290344E-3</c:v>
                </c:pt>
                <c:pt idx="18">
                  <c:v>3.5033140960775153E-3</c:v>
                </c:pt>
                <c:pt idx="19">
                  <c:v>3.9936164904768494E-3</c:v>
                </c:pt>
                <c:pt idx="20">
                  <c:v>4.4524195202190579E-3</c:v>
                </c:pt>
                <c:pt idx="21">
                  <c:v>4.8609295893366038E-3</c:v>
                </c:pt>
                <c:pt idx="22">
                  <c:v>5.2048251532123705E-3</c:v>
                </c:pt>
                <c:pt idx="23">
                  <c:v>5.4771367219434604E-3</c:v>
                </c:pt>
                <c:pt idx="24">
                  <c:v>5.6800486796485328E-3</c:v>
                </c:pt>
                <c:pt idx="25">
                  <c:v>5.8247331683894607E-3</c:v>
                </c:pt>
                <c:pt idx="26">
                  <c:v>5.9289636166836631E-3</c:v>
                </c:pt>
                <c:pt idx="27">
                  <c:v>6.0131286149351752E-3</c:v>
                </c:pt>
                <c:pt idx="28">
                  <c:v>6.0959254988318095E-3</c:v>
                </c:pt>
                <c:pt idx="29">
                  <c:v>6.1910860277748269E-3</c:v>
                </c:pt>
                <c:pt idx="30">
                  <c:v>6.3059129961388844E-3</c:v>
                </c:pt>
                <c:pt idx="31">
                  <c:v>6.4414882636908482E-3</c:v>
                </c:pt>
                <c:pt idx="32">
                  <c:v>6.5936520678561393E-3</c:v>
                </c:pt>
                <c:pt idx="33">
                  <c:v>6.7536736788538854E-3</c:v>
                </c:pt>
                <c:pt idx="34">
                  <c:v>6.9080406349219135E-3</c:v>
                </c:pt>
                <c:pt idx="35">
                  <c:v>7.0377104682846966E-3</c:v>
                </c:pt>
                <c:pt idx="36">
                  <c:v>7.1179697812289444E-3</c:v>
                </c:pt>
                <c:pt idx="37">
                  <c:v>7.1202274653994436E-3</c:v>
                </c:pt>
                <c:pt idx="38">
                  <c:v>7.0164233771679175E-3</c:v>
                </c:pt>
                <c:pt idx="39">
                  <c:v>6.7854874104283655E-3</c:v>
                </c:pt>
                <c:pt idx="40">
                  <c:v>6.4200213797462229E-3</c:v>
                </c:pt>
                <c:pt idx="41">
                  <c:v>5.9307633236277916E-3</c:v>
                </c:pt>
                <c:pt idx="42">
                  <c:v>5.3468285418819391E-3</c:v>
                </c:pt>
                <c:pt idx="43">
                  <c:v>4.7111005759266356E-3</c:v>
                </c:pt>
                <c:pt idx="44">
                  <c:v>4.0718903940338957E-3</c:v>
                </c:pt>
                <c:pt idx="45">
                  <c:v>3.4733261504458603E-3</c:v>
                </c:pt>
                <c:pt idx="46">
                  <c:v>2.9473105824220458E-3</c:v>
                </c:pt>
                <c:pt idx="47">
                  <c:v>2.5091880012564002E-3</c:v>
                </c:pt>
                <c:pt idx="48">
                  <c:v>2.1578740826801047E-3</c:v>
                </c:pt>
                <c:pt idx="49">
                  <c:v>1.8797402742470762E-3</c:v>
                </c:pt>
                <c:pt idx="50">
                  <c:v>1.6545602006863556E-3</c:v>
                </c:pt>
                <c:pt idx="51">
                  <c:v>1.4615729615958259E-3</c:v>
                </c:pt>
                <c:pt idx="52">
                  <c:v>1.2841192302917657E-3</c:v>
                </c:pt>
                <c:pt idx="53">
                  <c:v>1.1120663280819801E-3</c:v>
                </c:pt>
                <c:pt idx="54">
                  <c:v>9.4202231802830902E-4</c:v>
                </c:pt>
                <c:pt idx="55">
                  <c:v>7.7590463064914109E-4</c:v>
                </c:pt>
                <c:pt idx="56">
                  <c:v>6.1867938850535833E-4</c:v>
                </c:pt>
                <c:pt idx="57">
                  <c:v>4.7605236371995279E-4</c:v>
                </c:pt>
                <c:pt idx="58">
                  <c:v>3.5267086295202312E-4</c:v>
                </c:pt>
                <c:pt idx="59">
                  <c:v>2.5110337883657552E-4</c:v>
                </c:pt>
                <c:pt idx="60">
                  <c:v>1.7159590022603307E-4</c:v>
                </c:pt>
                <c:pt idx="61">
                  <c:v>1.1241902706293613E-4</c:v>
                </c:pt>
                <c:pt idx="62">
                  <c:v>7.05387046749567E-5</c:v>
                </c:pt>
                <c:pt idx="63">
                  <c:v>4.2354028882261554E-5</c:v>
                </c:pt>
                <c:pt idx="64">
                  <c:v>2.4316655539192749E-5</c:v>
                </c:pt>
                <c:pt idx="65">
                  <c:v>1.3339776920715955E-5</c:v>
                </c:pt>
                <c:pt idx="66">
                  <c:v>6.9879690900098664E-6</c:v>
                </c:pt>
                <c:pt idx="67">
                  <c:v>3.493491329010681E-6</c:v>
                </c:pt>
                <c:pt idx="68">
                  <c:v>1.6658982368188189E-6</c:v>
                </c:pt>
                <c:pt idx="69">
                  <c:v>7.5738230991486222E-7</c:v>
                </c:pt>
                <c:pt idx="70">
                  <c:v>3.2815582558184037E-7</c:v>
                </c:pt>
                <c:pt idx="71">
                  <c:v>1.3545180728780433E-7</c:v>
                </c:pt>
                <c:pt idx="72">
                  <c:v>5.3246378269666571E-8</c:v>
                </c:pt>
                <c:pt idx="73">
                  <c:v>1.9928492923788588E-8</c:v>
                </c:pt>
                <c:pt idx="74">
                  <c:v>7.099575922607265E-9</c:v>
                </c:pt>
                <c:pt idx="75">
                  <c:v>2.4069806010104785E-9</c:v>
                </c:pt>
                <c:pt idx="76">
                  <c:v>7.7645492144846598E-10</c:v>
                </c:pt>
                <c:pt idx="77">
                  <c:v>2.3828443768596018E-10</c:v>
                </c:pt>
                <c:pt idx="78">
                  <c:v>6.95589229780608E-11</c:v>
                </c:pt>
                <c:pt idx="79">
                  <c:v>1.931248288636661E-11</c:v>
                </c:pt>
                <c:pt idx="80">
                  <c:v>5.0992827017938526E-12</c:v>
                </c:pt>
                <c:pt idx="81">
                  <c:v>1.2803528290882541E-12</c:v>
                </c:pt>
                <c:pt idx="82">
                  <c:v>3.0568146266444935E-13</c:v>
                </c:pt>
                <c:pt idx="83">
                  <c:v>6.9390701187591226E-14</c:v>
                </c:pt>
                <c:pt idx="84">
                  <c:v>1.4976281738684896E-14</c:v>
                </c:pt>
                <c:pt idx="85">
                  <c:v>3.0729709825997406E-15</c:v>
                </c:pt>
                <c:pt idx="86">
                  <c:v>5.994441065391253E-16</c:v>
                </c:pt>
                <c:pt idx="87">
                  <c:v>1.1116323862974222E-16</c:v>
                </c:pt>
                <c:pt idx="88">
                  <c:v>1.9596770319120086E-17</c:v>
                </c:pt>
                <c:pt idx="89">
                  <c:v>3.2840438107298515E-18</c:v>
                </c:pt>
                <c:pt idx="90">
                  <c:v>5.2315010152603969E-19</c:v>
                </c:pt>
                <c:pt idx="91">
                  <c:v>7.921906019012916E-20</c:v>
                </c:pt>
                <c:pt idx="92">
                  <c:v>1.1402844362640656E-20</c:v>
                </c:pt>
                <c:pt idx="93">
                  <c:v>1.5601698876016192E-21</c:v>
                </c:pt>
                <c:pt idx="94">
                  <c:v>2.0290912700015597E-22</c:v>
                </c:pt>
                <c:pt idx="95">
                  <c:v>2.5084111955664721E-23</c:v>
                </c:pt>
                <c:pt idx="96">
                  <c:v>2.9475443309462903E-24</c:v>
                </c:pt>
                <c:pt idx="97">
                  <c:v>3.2921824963326335E-25</c:v>
                </c:pt>
                <c:pt idx="98">
                  <c:v>3.4951616326508183E-26</c:v>
                </c:pt>
                <c:pt idx="99">
                  <c:v>3.527025758764784E-27</c:v>
                </c:pt>
                <c:pt idx="100">
                  <c:v>3.3830349176693926E-28</c:v>
                </c:pt>
                <c:pt idx="101">
                  <c:v>3.0843206760930843E-29</c:v>
                </c:pt>
                <c:pt idx="102">
                  <c:v>2.6728013388081681E-30</c:v>
                </c:pt>
                <c:pt idx="103">
                  <c:v>2.201542268624865E-31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F128-4E4D-A374-25E73A119BF1}"/>
            </c:ext>
          </c:extLst>
        </c:ser>
        <c:ser>
          <c:idx val="93"/>
          <c:order val="93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NaiwnaGęstość!$DE$5:$DE$108</c:f>
              <c:numCache>
                <c:formatCode>General</c:formatCode>
                <c:ptCount val="104"/>
                <c:pt idx="0">
                  <c:v>5.0129539126784778E-7</c:v>
                </c:pt>
                <c:pt idx="1">
                  <c:v>1.149550013282087E-6</c:v>
                </c:pt>
                <c:pt idx="2">
                  <c:v>2.5101585624875758E-6</c:v>
                </c:pt>
                <c:pt idx="3">
                  <c:v>5.2213513488165895E-6</c:v>
                </c:pt>
                <c:pt idx="4">
                  <c:v>1.0350973262850455E-5</c:v>
                </c:pt>
                <c:pt idx="5">
                  <c:v>1.9568229562997084E-5</c:v>
                </c:pt>
                <c:pt idx="6">
                  <c:v>3.5302667038875498E-5</c:v>
                </c:pt>
                <c:pt idx="7">
                  <c:v>6.0832062125275623E-5</c:v>
                </c:pt>
                <c:pt idx="8">
                  <c:v>1.0022882651789886E-4</c:v>
                </c:pt>
                <c:pt idx="9">
                  <c:v>1.5810628439858729E-4</c:v>
                </c:pt>
                <c:pt idx="10">
                  <c:v>2.3914927186364807E-4</c:v>
                </c:pt>
                <c:pt idx="11">
                  <c:v>3.4748077701034208E-4</c:v>
                </c:pt>
                <c:pt idx="12">
                  <c:v>4.8598249120974501E-4</c:v>
                </c:pt>
                <c:pt idx="13">
                  <c:v>6.5571730433719086E-4</c:v>
                </c:pt>
                <c:pt idx="14">
                  <c:v>8.5557177749905587E-4</c:v>
                </c:pt>
                <c:pt idx="15">
                  <c:v>1.0821544983165459E-3</c:v>
                </c:pt>
                <c:pt idx="16">
                  <c:v>1.3298976582301618E-3</c:v>
                </c:pt>
                <c:pt idx="17">
                  <c:v>1.5912752230946327E-3</c:v>
                </c:pt>
                <c:pt idx="18">
                  <c:v>1.8571050555151705E-3</c:v>
                </c:pt>
                <c:pt idx="19">
                  <c:v>2.1170141103126509E-3</c:v>
                </c:pt>
                <c:pt idx="20">
                  <c:v>2.3602253676115398E-3</c:v>
                </c:pt>
                <c:pt idx="21">
                  <c:v>2.5767763515602712E-3</c:v>
                </c:pt>
                <c:pt idx="22">
                  <c:v>2.7590752184982917E-3</c:v>
                </c:pt>
                <c:pt idx="23">
                  <c:v>2.9034274453031885E-3</c:v>
                </c:pt>
                <c:pt idx="24">
                  <c:v>3.0109909729070902E-3</c:v>
                </c:pt>
                <c:pt idx="25">
                  <c:v>3.0876881482463634E-3</c:v>
                </c:pt>
                <c:pt idx="26">
                  <c:v>3.1429406569159408E-3</c:v>
                </c:pt>
                <c:pt idx="27">
                  <c:v>3.187556480522883E-3</c:v>
                </c:pt>
                <c:pt idx="28">
                  <c:v>3.2314470673924711E-3</c:v>
                </c:pt>
                <c:pt idx="29">
                  <c:v>3.2818916163364102E-3</c:v>
                </c:pt>
                <c:pt idx="30">
                  <c:v>3.3427613350114019E-3</c:v>
                </c:pt>
                <c:pt idx="31">
                  <c:v>3.4146297167404272E-3</c:v>
                </c:pt>
                <c:pt idx="32">
                  <c:v>3.4952916734568343E-3</c:v>
                </c:pt>
                <c:pt idx="33">
                  <c:v>3.5801190496570815E-3</c:v>
                </c:pt>
                <c:pt idx="34">
                  <c:v>3.661948896098598E-3</c:v>
                </c:pt>
                <c:pt idx="35">
                  <c:v>3.7306868101084946E-3</c:v>
                </c:pt>
                <c:pt idx="36">
                  <c:v>3.7732322318815006E-3</c:v>
                </c:pt>
                <c:pt idx="37">
                  <c:v>3.7744290291345604E-3</c:v>
                </c:pt>
                <c:pt idx="38">
                  <c:v>3.7194025337216169E-3</c:v>
                </c:pt>
                <c:pt idx="39">
                  <c:v>3.5969834929018138E-3</c:v>
                </c:pt>
                <c:pt idx="40">
                  <c:v>3.4032501322651568E-3</c:v>
                </c:pt>
                <c:pt idx="41">
                  <c:v>3.1438946806696569E-3</c:v>
                </c:pt>
                <c:pt idx="42">
                  <c:v>2.834351144026582E-3</c:v>
                </c:pt>
                <c:pt idx="43">
                  <c:v>2.4973520662590924E-3</c:v>
                </c:pt>
                <c:pt idx="44">
                  <c:v>2.1585070675594628E-3</c:v>
                </c:pt>
                <c:pt idx="45">
                  <c:v>1.8412084604883603E-3</c:v>
                </c:pt>
                <c:pt idx="46">
                  <c:v>1.5623678701597744E-3</c:v>
                </c:pt>
                <c:pt idx="47">
                  <c:v>1.3301193083396774E-3</c:v>
                </c:pt>
                <c:pt idx="48">
                  <c:v>1.1438879752738321E-3</c:v>
                </c:pt>
                <c:pt idx="49">
                  <c:v>9.9644938210601106E-4</c:v>
                </c:pt>
                <c:pt idx="50">
                  <c:v>8.7708153739031426E-4</c:v>
                </c:pt>
                <c:pt idx="51">
                  <c:v>7.7477909817533848E-4</c:v>
                </c:pt>
                <c:pt idx="52">
                  <c:v>6.8071096369268344E-4</c:v>
                </c:pt>
                <c:pt idx="53">
                  <c:v>5.8950580601995265E-4</c:v>
                </c:pt>
                <c:pt idx="54">
                  <c:v>4.9936556107750833E-4</c:v>
                </c:pt>
                <c:pt idx="55">
                  <c:v>4.1130665782708296E-4</c:v>
                </c:pt>
                <c:pt idx="56">
                  <c:v>3.2796163536200187E-4</c:v>
                </c:pt>
                <c:pt idx="57">
                  <c:v>2.5235512063966238E-4</c:v>
                </c:pt>
                <c:pt idx="58">
                  <c:v>1.8695064860282186E-4</c:v>
                </c:pt>
                <c:pt idx="59">
                  <c:v>1.3310977591660038E-4</c:v>
                </c:pt>
                <c:pt idx="60">
                  <c:v>9.0962901149012983E-5</c:v>
                </c:pt>
                <c:pt idx="61">
                  <c:v>5.9593270191910333E-5</c:v>
                </c:pt>
                <c:pt idx="62">
                  <c:v>3.7392532176325648E-5</c:v>
                </c:pt>
                <c:pt idx="63">
                  <c:v>2.2451849592005043E-5</c:v>
                </c:pt>
                <c:pt idx="64">
                  <c:v>1.2890246976603562E-5</c:v>
                </c:pt>
                <c:pt idx="65">
                  <c:v>7.0714090942184404E-6</c:v>
                </c:pt>
                <c:pt idx="66">
                  <c:v>3.7043189302869541E-6</c:v>
                </c:pt>
                <c:pt idx="67">
                  <c:v>1.8518980115908503E-6</c:v>
                </c:pt>
                <c:pt idx="68">
                  <c:v>8.830918246907839E-7</c:v>
                </c:pt>
                <c:pt idx="69">
                  <c:v>4.0148798484140454E-7</c:v>
                </c:pt>
                <c:pt idx="70">
                  <c:v>1.7395523951652725E-7</c:v>
                </c:pt>
                <c:pt idx="71">
                  <c:v>7.1802935504553797E-8</c:v>
                </c:pt>
                <c:pt idx="72">
                  <c:v>2.8225878571146814E-8</c:v>
                </c:pt>
                <c:pt idx="73">
                  <c:v>1.0564084162194747E-8</c:v>
                </c:pt>
                <c:pt idx="74">
                  <c:v>3.7634816565976579E-9</c:v>
                </c:pt>
                <c:pt idx="75">
                  <c:v>1.2759392164317654E-9</c:v>
                </c:pt>
                <c:pt idx="76">
                  <c:v>4.115983667054202E-10</c:v>
                </c:pt>
                <c:pt idx="77">
                  <c:v>1.2631446160441419E-10</c:v>
                </c:pt>
                <c:pt idx="78">
                  <c:v>3.6873150387337933E-11</c:v>
                </c:pt>
                <c:pt idx="79">
                  <c:v>1.0237537548511059E-11</c:v>
                </c:pt>
                <c:pt idx="80">
                  <c:v>2.7031272176267023E-12</c:v>
                </c:pt>
                <c:pt idx="81">
                  <c:v>6.7871439629269742E-13</c:v>
                </c:pt>
                <c:pt idx="82">
                  <c:v>1.6204159094014046E-13</c:v>
                </c:pt>
                <c:pt idx="83">
                  <c:v>3.6783976100088424E-14</c:v>
                </c:pt>
                <c:pt idx="84">
                  <c:v>7.9389194822329932E-15</c:v>
                </c:pt>
                <c:pt idx="85">
                  <c:v>1.628980385637431E-15</c:v>
                </c:pt>
                <c:pt idx="86">
                  <c:v>3.1776502198275982E-16</c:v>
                </c:pt>
                <c:pt idx="87">
                  <c:v>5.8927577369632978E-17</c:v>
                </c:pt>
                <c:pt idx="88">
                  <c:v>1.0388238174862843E-17</c:v>
                </c:pt>
                <c:pt idx="89">
                  <c:v>1.7408699865844883E-18</c:v>
                </c:pt>
                <c:pt idx="90">
                  <c:v>2.7732160796688851E-19</c:v>
                </c:pt>
                <c:pt idx="91">
                  <c:v>4.1993984306736934E-20</c:v>
                </c:pt>
                <c:pt idx="92">
                  <c:v>6.0446421109721914E-21</c:v>
                </c:pt>
                <c:pt idx="93">
                  <c:v>8.2704527948880604E-22</c:v>
                </c:pt>
                <c:pt idx="94">
                  <c:v>1.0756202704863657E-22</c:v>
                </c:pt>
                <c:pt idx="95">
                  <c:v>1.3297075240307759E-23</c:v>
                </c:pt>
                <c:pt idx="96">
                  <c:v>1.5624917801359253E-24</c:v>
                </c:pt>
                <c:pt idx="97">
                  <c:v>1.745184299764428E-25</c:v>
                </c:pt>
                <c:pt idx="98">
                  <c:v>1.8527834387176438E-26</c:v>
                </c:pt>
                <c:pt idx="99">
                  <c:v>1.8696745960826296E-27</c:v>
                </c:pt>
                <c:pt idx="100">
                  <c:v>1.7933451230143901E-28</c:v>
                </c:pt>
                <c:pt idx="101">
                  <c:v>1.6349968524990914E-29</c:v>
                </c:pt>
                <c:pt idx="102">
                  <c:v>1.4168506569953122E-30</c:v>
                </c:pt>
                <c:pt idx="103">
                  <c:v>1.1670364588694053E-31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F128-4E4D-A374-25E73A119BF1}"/>
            </c:ext>
          </c:extLst>
        </c:ser>
        <c:ser>
          <c:idx val="94"/>
          <c:order val="94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NaiwnaGęstość!$DF$5:$DF$108</c:f>
              <c:numCache>
                <c:formatCode>General</c:formatCode>
                <c:ptCount val="104"/>
                <c:pt idx="0">
                  <c:v>2.461687673011063E-7</c:v>
                </c:pt>
                <c:pt idx="1">
                  <c:v>5.6450411204642518E-7</c:v>
                </c:pt>
                <c:pt idx="2">
                  <c:v>1.2326517455009286E-6</c:v>
                </c:pt>
                <c:pt idx="3">
                  <c:v>2.564024420678107E-6</c:v>
                </c:pt>
                <c:pt idx="4">
                  <c:v>5.083003699751022E-6</c:v>
                </c:pt>
                <c:pt idx="5">
                  <c:v>9.6092783490487634E-6</c:v>
                </c:pt>
                <c:pt idx="6">
                  <c:v>1.7335914470352655E-5</c:v>
                </c:pt>
                <c:pt idx="7">
                  <c:v>2.9872514303172855E-5</c:v>
                </c:pt>
                <c:pt idx="8">
                  <c:v>4.9218897882834159E-5</c:v>
                </c:pt>
                <c:pt idx="9">
                  <c:v>7.7640508592193542E-5</c:v>
                </c:pt>
                <c:pt idx="10">
                  <c:v>1.1743790683321065E-4</c:v>
                </c:pt>
                <c:pt idx="11">
                  <c:v>1.7063574895657098E-4</c:v>
                </c:pt>
                <c:pt idx="12">
                  <c:v>2.386491335746233E-4</c:v>
                </c:pt>
                <c:pt idx="13">
                  <c:v>3.2200000901353516E-4</c:v>
                </c:pt>
                <c:pt idx="14">
                  <c:v>4.2014160407875161E-4</c:v>
                </c:pt>
                <c:pt idx="15">
                  <c:v>5.3140851386282667E-4</c:v>
                </c:pt>
                <c:pt idx="16">
                  <c:v>6.5306658083402259E-4</c:v>
                </c:pt>
                <c:pt idx="17">
                  <c:v>7.8142003084304633E-4</c:v>
                </c:pt>
                <c:pt idx="18">
                  <c:v>9.1195983491608771E-4</c:v>
                </c:pt>
                <c:pt idx="19">
                  <c:v>1.0395921506014029E-3</c:v>
                </c:pt>
                <c:pt idx="20">
                  <c:v>1.1590247574953087E-3</c:v>
                </c:pt>
                <c:pt idx="21">
                  <c:v>1.265365429492466E-3</c:v>
                </c:pt>
                <c:pt idx="22">
                  <c:v>1.3548860756747946E-3</c:v>
                </c:pt>
                <c:pt idx="23">
                  <c:v>1.4257724439692607E-3</c:v>
                </c:pt>
                <c:pt idx="24">
                  <c:v>1.4785931589769178E-3</c:v>
                </c:pt>
                <c:pt idx="25">
                  <c:v>1.5162564797207897E-3</c:v>
                </c:pt>
                <c:pt idx="26">
                  <c:v>1.5433890689813524E-3</c:v>
                </c:pt>
                <c:pt idx="27">
                  <c:v>1.5652983513939971E-3</c:v>
                </c:pt>
                <c:pt idx="28">
                  <c:v>1.5868514952170083E-3</c:v>
                </c:pt>
                <c:pt idx="29">
                  <c:v>1.6116230623347176E-3</c:v>
                </c:pt>
                <c:pt idx="30">
                  <c:v>1.6415140684624433E-3</c:v>
                </c:pt>
                <c:pt idx="31">
                  <c:v>1.6768061362658487E-3</c:v>
                </c:pt>
                <c:pt idx="32">
                  <c:v>1.7164164235313137E-3</c:v>
                </c:pt>
                <c:pt idx="33">
                  <c:v>1.7580722037286716E-3</c:v>
                </c:pt>
                <c:pt idx="34">
                  <c:v>1.7982560011021126E-3</c:v>
                </c:pt>
                <c:pt idx="35">
                  <c:v>1.8320108048633633E-3</c:v>
                </c:pt>
                <c:pt idx="36">
                  <c:v>1.8529033847964802E-3</c:v>
                </c:pt>
                <c:pt idx="37">
                  <c:v>1.8534910903880875E-3</c:v>
                </c:pt>
                <c:pt idx="38">
                  <c:v>1.8264694883932137E-3</c:v>
                </c:pt>
                <c:pt idx="39">
                  <c:v>1.7663537464619402E-3</c:v>
                </c:pt>
                <c:pt idx="40">
                  <c:v>1.6712180173015165E-3</c:v>
                </c:pt>
                <c:pt idx="41">
                  <c:v>1.5438575569338034E-3</c:v>
                </c:pt>
                <c:pt idx="42">
                  <c:v>1.3918514699663373E-3</c:v>
                </c:pt>
                <c:pt idx="43">
                  <c:v>1.226362919700957E-3</c:v>
                </c:pt>
                <c:pt idx="44">
                  <c:v>1.0599679017354634E-3</c:v>
                </c:pt>
                <c:pt idx="45">
                  <c:v>9.0415356884981164E-4</c:v>
                </c:pt>
                <c:pt idx="46">
                  <c:v>7.67224633155638E-4</c:v>
                </c:pt>
                <c:pt idx="47">
                  <c:v>6.5317542550960117E-4</c:v>
                </c:pt>
                <c:pt idx="48">
                  <c:v>5.6172368170299242E-4</c:v>
                </c:pt>
                <c:pt idx="49">
                  <c:v>4.8932170601169965E-4</c:v>
                </c:pt>
                <c:pt idx="50">
                  <c:v>4.3070430058386397E-4</c:v>
                </c:pt>
                <c:pt idx="51">
                  <c:v>3.8046712347805845E-4</c:v>
                </c:pt>
                <c:pt idx="52">
                  <c:v>3.3427352762363934E-4</c:v>
                </c:pt>
                <c:pt idx="53">
                  <c:v>2.8948584031014696E-4</c:v>
                </c:pt>
                <c:pt idx="54">
                  <c:v>2.4522109467667861E-4</c:v>
                </c:pt>
                <c:pt idx="55">
                  <c:v>2.0197842370733358E-4</c:v>
                </c:pt>
                <c:pt idx="56">
                  <c:v>1.6105057597862868E-4</c:v>
                </c:pt>
                <c:pt idx="57">
                  <c:v>1.2392284080823556E-4</c:v>
                </c:pt>
                <c:pt idx="58">
                  <c:v>9.1804974700254499E-5</c:v>
                </c:pt>
                <c:pt idx="59">
                  <c:v>6.5365590874957735E-5</c:v>
                </c:pt>
                <c:pt idx="60">
                  <c:v>4.4668723543122484E-5</c:v>
                </c:pt>
                <c:pt idx="61">
                  <c:v>2.9264186581651577E-5</c:v>
                </c:pt>
                <c:pt idx="62">
                  <c:v>1.8362174702688959E-5</c:v>
                </c:pt>
                <c:pt idx="63">
                  <c:v>1.1025324058366655E-5</c:v>
                </c:pt>
                <c:pt idx="64">
                  <c:v>6.3299528854871266E-6</c:v>
                </c:pt>
                <c:pt idx="65">
                  <c:v>3.4725235662010669E-6</c:v>
                </c:pt>
                <c:pt idx="66">
                  <c:v>1.8190624542798966E-6</c:v>
                </c:pt>
                <c:pt idx="67">
                  <c:v>9.0940283637498651E-7</c:v>
                </c:pt>
                <c:pt idx="68">
                  <c:v>4.3365574406739598E-7</c:v>
                </c:pt>
                <c:pt idx="69">
                  <c:v>1.971568141982095E-7</c:v>
                </c:pt>
                <c:pt idx="70">
                  <c:v>8.5423380352746433E-8</c:v>
                </c:pt>
                <c:pt idx="71">
                  <c:v>3.5259929434125905E-8</c:v>
                </c:pt>
                <c:pt idx="72">
                  <c:v>1.3860749280532187E-8</c:v>
                </c:pt>
                <c:pt idx="73">
                  <c:v>5.1876550656000729E-9</c:v>
                </c:pt>
                <c:pt idx="74">
                  <c:v>1.8481152157051395E-9</c:v>
                </c:pt>
                <c:pt idx="75">
                  <c:v>6.2656946289841689E-10</c:v>
                </c:pt>
                <c:pt idx="76">
                  <c:v>2.0212167181262625E-10</c:v>
                </c:pt>
                <c:pt idx="77">
                  <c:v>6.2028647873300163E-11</c:v>
                </c:pt>
                <c:pt idx="78">
                  <c:v>1.8107124333224391E-11</c:v>
                </c:pt>
                <c:pt idx="79">
                  <c:v>5.0272993576539905E-12</c:v>
                </c:pt>
                <c:pt idx="80">
                  <c:v>1.3274119543335084E-12</c:v>
                </c:pt>
                <c:pt idx="81">
                  <c:v>3.3329308267192115E-13</c:v>
                </c:pt>
                <c:pt idx="82">
                  <c:v>7.9573001045068524E-14</c:v>
                </c:pt>
                <c:pt idx="83">
                  <c:v>1.8063333935886712E-14</c:v>
                </c:pt>
                <c:pt idx="84">
                  <c:v>3.8985278075293944E-15</c:v>
                </c:pt>
                <c:pt idx="85">
                  <c:v>7.9993572746769202E-16</c:v>
                </c:pt>
                <c:pt idx="86">
                  <c:v>1.560433730600748E-16</c:v>
                </c:pt>
                <c:pt idx="87">
                  <c:v>2.8937287942015667E-17</c:v>
                </c:pt>
                <c:pt idx="88">
                  <c:v>5.1013032046207413E-18</c:v>
                </c:pt>
                <c:pt idx="89">
                  <c:v>8.5488082694145299E-19</c:v>
                </c:pt>
                <c:pt idx="90">
                  <c:v>1.3618301617836593E-19</c:v>
                </c:pt>
                <c:pt idx="91">
                  <c:v>2.0621788133152681E-20</c:v>
                </c:pt>
                <c:pt idx="92">
                  <c:v>2.968313938556289E-21</c:v>
                </c:pt>
                <c:pt idx="93">
                  <c:v>4.0613323102580933E-22</c:v>
                </c:pt>
                <c:pt idx="94">
                  <c:v>5.2819978137048943E-23</c:v>
                </c:pt>
                <c:pt idx="95">
                  <c:v>6.5297321252802989E-24</c:v>
                </c:pt>
                <c:pt idx="96">
                  <c:v>7.6728548104416183E-25</c:v>
                </c:pt>
                <c:pt idx="97">
                  <c:v>8.5699943639958215E-26</c:v>
                </c:pt>
                <c:pt idx="98">
                  <c:v>9.0983763890486106E-27</c:v>
                </c:pt>
                <c:pt idx="99">
                  <c:v>9.1813230001537161E-28</c:v>
                </c:pt>
                <c:pt idx="100">
                  <c:v>8.8064954509430782E-29</c:v>
                </c:pt>
                <c:pt idx="101">
                  <c:v>8.028902055192397E-30</c:v>
                </c:pt>
                <c:pt idx="102">
                  <c:v>6.9576618049524239E-31</c:v>
                </c:pt>
                <c:pt idx="103">
                  <c:v>5.7309109854119626E-32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F128-4E4D-A374-25E73A119BF1}"/>
            </c:ext>
          </c:extLst>
        </c:ser>
        <c:ser>
          <c:idx val="95"/>
          <c:order val="95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NaiwnaGęstość!$DG$5:$DG$108</c:f>
              <c:numCache>
                <c:formatCode>General</c:formatCode>
                <c:ptCount val="104"/>
                <c:pt idx="0">
                  <c:v>1.1177738438566998E-7</c:v>
                </c:pt>
                <c:pt idx="1">
                  <c:v>2.5632330945673551E-7</c:v>
                </c:pt>
                <c:pt idx="2">
                  <c:v>5.5970783573040674E-7</c:v>
                </c:pt>
                <c:pt idx="3">
                  <c:v>1.1642416964042438E-6</c:v>
                </c:pt>
                <c:pt idx="4">
                  <c:v>2.3080298309569479E-6</c:v>
                </c:pt>
                <c:pt idx="5">
                  <c:v>4.3632667599001813E-6</c:v>
                </c:pt>
                <c:pt idx="6">
                  <c:v>7.8716857409432973E-6</c:v>
                </c:pt>
                <c:pt idx="7">
                  <c:v>1.3564155804330466E-5</c:v>
                </c:pt>
                <c:pt idx="8">
                  <c:v>2.2348731433339179E-5</c:v>
                </c:pt>
                <c:pt idx="9">
                  <c:v>3.5254078199909518E-5</c:v>
                </c:pt>
                <c:pt idx="10">
                  <c:v>5.3324807194114318E-5</c:v>
                </c:pt>
                <c:pt idx="11">
                  <c:v>7.7480250277751645E-5</c:v>
                </c:pt>
                <c:pt idx="12">
                  <c:v>1.0836295858868643E-4</c:v>
                </c:pt>
                <c:pt idx="13">
                  <c:v>1.4620993221154812E-4</c:v>
                </c:pt>
                <c:pt idx="14">
                  <c:v>1.9077289978902833E-4</c:v>
                </c:pt>
                <c:pt idx="15">
                  <c:v>2.4129565407949243E-4</c:v>
                </c:pt>
                <c:pt idx="16">
                  <c:v>2.9653670136809307E-4</c:v>
                </c:pt>
                <c:pt idx="17">
                  <c:v>3.5481790850976384E-4</c:v>
                </c:pt>
                <c:pt idx="18">
                  <c:v>4.1409186928665899E-4</c:v>
                </c:pt>
                <c:pt idx="19">
                  <c:v>4.7204563233630038E-4</c:v>
                </c:pt>
                <c:pt idx="20">
                  <c:v>5.2627616919654144E-4</c:v>
                </c:pt>
                <c:pt idx="21">
                  <c:v>5.7456207605619404E-4</c:v>
                </c:pt>
                <c:pt idx="22">
                  <c:v>6.1521054575639845E-4</c:v>
                </c:pt>
                <c:pt idx="23">
                  <c:v>6.4739778430588887E-4</c:v>
                </c:pt>
                <c:pt idx="24">
                  <c:v>6.7138198599673551E-4</c:v>
                </c:pt>
                <c:pt idx="25">
                  <c:v>6.8848369847709706E-4</c:v>
                </c:pt>
                <c:pt idx="26">
                  <c:v>7.0080374172387812E-4</c:v>
                </c:pt>
                <c:pt idx="27">
                  <c:v>7.1075204795582544E-4</c:v>
                </c:pt>
                <c:pt idx="28">
                  <c:v>7.20538643015131E-4</c:v>
                </c:pt>
                <c:pt idx="29">
                  <c:v>7.3178662142404428E-4</c:v>
                </c:pt>
                <c:pt idx="30">
                  <c:v>7.4535917377601031E-4</c:v>
                </c:pt>
                <c:pt idx="31">
                  <c:v>7.6138417593967281E-4</c:v>
                </c:pt>
                <c:pt idx="32">
                  <c:v>7.7936994380876673E-4</c:v>
                </c:pt>
                <c:pt idx="33">
                  <c:v>7.9828450476649273E-4</c:v>
                </c:pt>
                <c:pt idx="34">
                  <c:v>8.1653068528050139E-4</c:v>
                </c:pt>
                <c:pt idx="35">
                  <c:v>8.3185766488173222E-4</c:v>
                </c:pt>
                <c:pt idx="36">
                  <c:v>8.413443189507914E-4</c:v>
                </c:pt>
                <c:pt idx="37">
                  <c:v>8.416111773119837E-4</c:v>
                </c:pt>
                <c:pt idx="38">
                  <c:v>8.2934152984203021E-4</c:v>
                </c:pt>
                <c:pt idx="39">
                  <c:v>8.020448891383682E-4</c:v>
                </c:pt>
                <c:pt idx="40">
                  <c:v>7.5884678938037387E-4</c:v>
                </c:pt>
                <c:pt idx="41">
                  <c:v>7.0101646715820226E-4</c:v>
                </c:pt>
                <c:pt idx="42">
                  <c:v>6.3199535209878708E-4</c:v>
                </c:pt>
                <c:pt idx="43">
                  <c:v>5.568522805497689E-4</c:v>
                </c:pt>
                <c:pt idx="44">
                  <c:v>4.8129761093467725E-4</c:v>
                </c:pt>
                <c:pt idx="45">
                  <c:v>4.1054729288781934E-4</c:v>
                </c:pt>
                <c:pt idx="46">
                  <c:v>3.4837223125667815E-4</c:v>
                </c:pt>
                <c:pt idx="47">
                  <c:v>2.9658612426310073E-4</c:v>
                </c:pt>
                <c:pt idx="48">
                  <c:v>2.5506080473421187E-4</c:v>
                </c:pt>
                <c:pt idx="49">
                  <c:v>2.2218537721408068E-4</c:v>
                </c:pt>
                <c:pt idx="50">
                  <c:v>1.9556908331931739E-4</c:v>
                </c:pt>
                <c:pt idx="51">
                  <c:v>1.7275798377419093E-4</c:v>
                </c:pt>
                <c:pt idx="52">
                  <c:v>1.517829454840573E-4</c:v>
                </c:pt>
                <c:pt idx="53">
                  <c:v>1.314462854135215E-4</c:v>
                </c:pt>
                <c:pt idx="54">
                  <c:v>1.1134707647791309E-4</c:v>
                </c:pt>
                <c:pt idx="55">
                  <c:v>9.1711959042843557E-5</c:v>
                </c:pt>
                <c:pt idx="56">
                  <c:v>7.3127928997903486E-5</c:v>
                </c:pt>
                <c:pt idx="57">
                  <c:v>5.6269408841143773E-5</c:v>
                </c:pt>
                <c:pt idx="58">
                  <c:v>4.168571040953877E-5</c:v>
                </c:pt>
                <c:pt idx="59">
                  <c:v>2.9680429637483743E-5</c:v>
                </c:pt>
                <c:pt idx="60">
                  <c:v>2.028264241738513E-5</c:v>
                </c:pt>
                <c:pt idx="61">
                  <c:v>1.3287933591795393E-5</c:v>
                </c:pt>
                <c:pt idx="62">
                  <c:v>8.337677774486971E-6</c:v>
                </c:pt>
                <c:pt idx="63">
                  <c:v>5.0062479442861725E-6</c:v>
                </c:pt>
                <c:pt idx="64">
                  <c:v>2.874229678206199E-6</c:v>
                </c:pt>
                <c:pt idx="65">
                  <c:v>1.576762177034348E-6</c:v>
                </c:pt>
                <c:pt idx="66">
                  <c:v>8.2597823193742918E-7</c:v>
                </c:pt>
                <c:pt idx="67">
                  <c:v>4.1293081781804328E-7</c:v>
                </c:pt>
                <c:pt idx="68">
                  <c:v>1.9690923965339777E-7</c:v>
                </c:pt>
                <c:pt idx="69">
                  <c:v>8.9522619975309689E-8</c:v>
                </c:pt>
                <c:pt idx="70">
                  <c:v>3.8788031990804524E-8</c:v>
                </c:pt>
                <c:pt idx="71">
                  <c:v>1.6010409155394822E-8</c:v>
                </c:pt>
                <c:pt idx="72">
                  <c:v>6.2937240868918389E-9</c:v>
                </c:pt>
                <c:pt idx="73">
                  <c:v>2.3555486777840378E-9</c:v>
                </c:pt>
                <c:pt idx="74">
                  <c:v>8.3917016411021528E-10</c:v>
                </c:pt>
                <c:pt idx="75">
                  <c:v>2.8450520537827949E-10</c:v>
                </c:pt>
                <c:pt idx="76">
                  <c:v>9.1777003437806265E-11</c:v>
                </c:pt>
                <c:pt idx="77">
                  <c:v>2.8165230269754391E-11</c:v>
                </c:pt>
                <c:pt idx="78">
                  <c:v>8.2218675378842231E-12</c:v>
                </c:pt>
                <c:pt idx="79">
                  <c:v>2.2827362661932478E-12</c:v>
                </c:pt>
                <c:pt idx="80">
                  <c:v>6.0273542368672032E-13</c:v>
                </c:pt>
                <c:pt idx="81">
                  <c:v>1.5133775670792331E-13</c:v>
                </c:pt>
                <c:pt idx="82">
                  <c:v>3.6131561375763413E-14</c:v>
                </c:pt>
                <c:pt idx="83">
                  <c:v>8.2019837153779032E-15</c:v>
                </c:pt>
                <c:pt idx="84">
                  <c:v>1.7701971133788021E-15</c:v>
                </c:pt>
                <c:pt idx="85">
                  <c:v>3.6322529569162334E-16</c:v>
                </c:pt>
                <c:pt idx="86">
                  <c:v>7.0854317883624113E-17</c:v>
                </c:pt>
                <c:pt idx="87">
                  <c:v>1.3139499347685778E-17</c:v>
                </c:pt>
                <c:pt idx="88">
                  <c:v>2.316339052359467E-18</c:v>
                </c:pt>
                <c:pt idx="89">
                  <c:v>3.8817411260012746E-19</c:v>
                </c:pt>
                <c:pt idx="90">
                  <c:v>6.1836363374033579E-20</c:v>
                </c:pt>
                <c:pt idx="91">
                  <c:v>9.3636961510222257E-21</c:v>
                </c:pt>
                <c:pt idx="92">
                  <c:v>1.3478166695351414E-21</c:v>
                </c:pt>
                <c:pt idx="93">
                  <c:v>1.8441214445632066E-22</c:v>
                </c:pt>
                <c:pt idx="94">
                  <c:v>2.3983867101409784E-23</c:v>
                </c:pt>
                <c:pt idx="95">
                  <c:v>2.9649430579881434E-24</c:v>
                </c:pt>
                <c:pt idx="96">
                  <c:v>3.4839986034179381E-25</c:v>
                </c:pt>
                <c:pt idx="97">
                  <c:v>3.8913610557088786E-26</c:v>
                </c:pt>
                <c:pt idx="98">
                  <c:v>4.1312824777654893E-27</c:v>
                </c:pt>
                <c:pt idx="99">
                  <c:v>4.1689458878505043E-28</c:v>
                </c:pt>
                <c:pt idx="100">
                  <c:v>3.9987486548473072E-29</c:v>
                </c:pt>
                <c:pt idx="101">
                  <c:v>3.645668299262362E-30</c:v>
                </c:pt>
                <c:pt idx="102">
                  <c:v>3.1592522744625471E-31</c:v>
                </c:pt>
                <c:pt idx="103">
                  <c:v>2.6022238609697621E-32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F128-4E4D-A374-25E73A119BF1}"/>
            </c:ext>
          </c:extLst>
        </c:ser>
        <c:ser>
          <c:idx val="96"/>
          <c:order val="96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NaiwnaGęstość!$DH$5:$DH$108</c:f>
              <c:numCache>
                <c:formatCode>General</c:formatCode>
                <c:ptCount val="104"/>
                <c:pt idx="0">
                  <c:v>4.68514266135859E-8</c:v>
                </c:pt>
                <c:pt idx="1">
                  <c:v>1.0743776827813569E-7</c:v>
                </c:pt>
                <c:pt idx="2">
                  <c:v>2.3460121861765435E-7</c:v>
                </c:pt>
                <c:pt idx="3">
                  <c:v>4.8799123990374139E-7</c:v>
                </c:pt>
                <c:pt idx="4">
                  <c:v>9.6740938107789112E-7</c:v>
                </c:pt>
                <c:pt idx="5">
                  <c:v>1.8288607621343635E-6</c:v>
                </c:pt>
                <c:pt idx="6">
                  <c:v>3.2994125676132401E-6</c:v>
                </c:pt>
                <c:pt idx="7">
                  <c:v>5.6854081327323143E-6</c:v>
                </c:pt>
                <c:pt idx="8">
                  <c:v>9.3674579738159176E-6</c:v>
                </c:pt>
                <c:pt idx="9">
                  <c:v>1.477672667588767E-5</c:v>
                </c:pt>
                <c:pt idx="10">
                  <c:v>2.2351062378759293E-5</c:v>
                </c:pt>
                <c:pt idx="11">
                  <c:v>3.2475802505499753E-5</c:v>
                </c:pt>
                <c:pt idx="12">
                  <c:v>4.5420271997344788E-5</c:v>
                </c:pt>
                <c:pt idx="13">
                  <c:v>6.1283809303958948E-5</c:v>
                </c:pt>
                <c:pt idx="14">
                  <c:v>7.9962351628193052E-5</c:v>
                </c:pt>
                <c:pt idx="15">
                  <c:v>1.0113893513804455E-4</c:v>
                </c:pt>
                <c:pt idx="16">
                  <c:v>1.2429318845434689E-4</c:v>
                </c:pt>
                <c:pt idx="17">
                  <c:v>1.4872172303096424E-4</c:v>
                </c:pt>
                <c:pt idx="18">
                  <c:v>1.735663697249094E-4</c:v>
                </c:pt>
                <c:pt idx="19">
                  <c:v>1.9785765629798757E-4</c:v>
                </c:pt>
                <c:pt idx="20">
                  <c:v>2.2058835474729461E-4</c:v>
                </c:pt>
                <c:pt idx="21">
                  <c:v>2.4082736493829959E-4</c:v>
                </c:pt>
                <c:pt idx="22">
                  <c:v>2.5786514772039383E-4</c:v>
                </c:pt>
                <c:pt idx="23">
                  <c:v>2.7135641031419603E-4</c:v>
                </c:pt>
                <c:pt idx="24">
                  <c:v>2.814093747092745E-4</c:v>
                </c:pt>
                <c:pt idx="25">
                  <c:v>2.8857754769564316E-4</c:v>
                </c:pt>
                <c:pt idx="26">
                  <c:v>2.9374148676279102E-4</c:v>
                </c:pt>
                <c:pt idx="27">
                  <c:v>2.9791131361924514E-4</c:v>
                </c:pt>
                <c:pt idx="28">
                  <c:v>3.0201335933035162E-4</c:v>
                </c:pt>
                <c:pt idx="29">
                  <c:v>3.0672794303503132E-4</c:v>
                </c:pt>
                <c:pt idx="30">
                  <c:v>3.1241687057589359E-4</c:v>
                </c:pt>
                <c:pt idx="31">
                  <c:v>3.1913374105000395E-4</c:v>
                </c:pt>
                <c:pt idx="32">
                  <c:v>3.2667246534597054E-4</c:v>
                </c:pt>
                <c:pt idx="33">
                  <c:v>3.3460049273281202E-4</c:v>
                </c:pt>
                <c:pt idx="34">
                  <c:v>3.4224836883967063E-4</c:v>
                </c:pt>
                <c:pt idx="35">
                  <c:v>3.4867266355672482E-4</c:v>
                </c:pt>
                <c:pt idx="36">
                  <c:v>3.5264898917364436E-4</c:v>
                </c:pt>
                <c:pt idx="37">
                  <c:v>3.5276084270282059E-4</c:v>
                </c:pt>
                <c:pt idx="38">
                  <c:v>3.4761802699665172E-4</c:v>
                </c:pt>
                <c:pt idx="39">
                  <c:v>3.3617665568747479E-4</c:v>
                </c:pt>
                <c:pt idx="40">
                  <c:v>3.1807019692766953E-4</c:v>
                </c:pt>
                <c:pt idx="41">
                  <c:v>2.9383065050669021E-4</c:v>
                </c:pt>
                <c:pt idx="42">
                  <c:v>2.6490048968062752E-4</c:v>
                </c:pt>
                <c:pt idx="43">
                  <c:v>2.3340431430000553E-4</c:v>
                </c:pt>
                <c:pt idx="44">
                  <c:v>2.017356178258464E-4</c:v>
                </c:pt>
                <c:pt idx="45">
                  <c:v>1.7208066255848035E-4</c:v>
                </c:pt>
                <c:pt idx="46">
                  <c:v>1.4602002110389249E-4</c:v>
                </c:pt>
                <c:pt idx="47">
                  <c:v>1.2431390403246862E-4</c:v>
                </c:pt>
                <c:pt idx="48">
                  <c:v>1.0690859014714156E-4</c:v>
                </c:pt>
                <c:pt idx="49">
                  <c:v>9.3128873540647471E-5</c:v>
                </c:pt>
                <c:pt idx="50">
                  <c:v>8.1972669206562107E-5</c:v>
                </c:pt>
                <c:pt idx="51">
                  <c:v>7.2411409903640837E-5</c:v>
                </c:pt>
                <c:pt idx="52">
                  <c:v>6.3619734623633696E-5</c:v>
                </c:pt>
                <c:pt idx="53">
                  <c:v>5.5095635208561837E-5</c:v>
                </c:pt>
                <c:pt idx="54">
                  <c:v>4.6671063300628452E-5</c:v>
                </c:pt>
                <c:pt idx="55">
                  <c:v>3.8441015079208112E-5</c:v>
                </c:pt>
                <c:pt idx="56">
                  <c:v>3.0651529535057115E-5</c:v>
                </c:pt>
                <c:pt idx="57">
                  <c:v>2.358529047176995E-5</c:v>
                </c:pt>
                <c:pt idx="58">
                  <c:v>1.7472541631042867E-5</c:v>
                </c:pt>
                <c:pt idx="59">
                  <c:v>1.2440535074808413E-5</c:v>
                </c:pt>
                <c:pt idx="60">
                  <c:v>8.5014579467074211E-6</c:v>
                </c:pt>
                <c:pt idx="61">
                  <c:v>5.5696297506315399E-6</c:v>
                </c:pt>
                <c:pt idx="62">
                  <c:v>3.494732861446185E-6</c:v>
                </c:pt>
                <c:pt idx="63">
                  <c:v>2.0983659571229737E-6</c:v>
                </c:pt>
                <c:pt idx="64">
                  <c:v>1.204731722603559E-6</c:v>
                </c:pt>
                <c:pt idx="65">
                  <c:v>6.6089896297370687E-7</c:v>
                </c:pt>
                <c:pt idx="66">
                  <c:v>3.46208302607205E-7</c:v>
                </c:pt>
                <c:pt idx="67">
                  <c:v>1.7307971566715514E-7</c:v>
                </c:pt>
                <c:pt idx="68">
                  <c:v>8.2534394966043634E-8</c:v>
                </c:pt>
                <c:pt idx="69">
                  <c:v>3.7523354863605774E-8</c:v>
                </c:pt>
                <c:pt idx="70">
                  <c:v>1.6257981382283783E-8</c:v>
                </c:pt>
                <c:pt idx="71">
                  <c:v>6.7107538230571589E-9</c:v>
                </c:pt>
                <c:pt idx="72">
                  <c:v>2.6380108445351464E-9</c:v>
                </c:pt>
                <c:pt idx="73">
                  <c:v>9.8732687849579491E-10</c:v>
                </c:pt>
                <c:pt idx="74">
                  <c:v>3.5173769341807037E-10</c:v>
                </c:pt>
                <c:pt idx="75">
                  <c:v>1.1925019380461102E-10</c:v>
                </c:pt>
                <c:pt idx="76">
                  <c:v>3.8468278400084416E-11</c:v>
                </c:pt>
                <c:pt idx="77">
                  <c:v>1.1805440128077628E-11</c:v>
                </c:pt>
                <c:pt idx="78">
                  <c:v>3.4461910671367513E-12</c:v>
                </c:pt>
                <c:pt idx="79">
                  <c:v>9.5680759790112903E-13</c:v>
                </c:pt>
                <c:pt idx="80">
                  <c:v>2.5263620745349332E-13</c:v>
                </c:pt>
                <c:pt idx="81">
                  <c:v>6.3433134003223151E-14</c:v>
                </c:pt>
                <c:pt idx="82">
                  <c:v>1.5144523246223641E-14</c:v>
                </c:pt>
                <c:pt idx="83">
                  <c:v>3.4378567743272314E-15</c:v>
                </c:pt>
                <c:pt idx="84">
                  <c:v>7.4197710569868277E-16</c:v>
                </c:pt>
                <c:pt idx="85">
                  <c:v>1.5224567455056511E-16</c:v>
                </c:pt>
                <c:pt idx="86">
                  <c:v>2.9698546739351716E-17</c:v>
                </c:pt>
                <c:pt idx="87">
                  <c:v>5.5074136222701008E-18</c:v>
                </c:pt>
                <c:pt idx="88">
                  <c:v>9.7089218646733315E-19</c:v>
                </c:pt>
                <c:pt idx="89">
                  <c:v>1.627029568613724E-19</c:v>
                </c:pt>
                <c:pt idx="90">
                  <c:v>2.5918676274205073E-20</c:v>
                </c:pt>
                <c:pt idx="91">
                  <c:v>3.9247878760327913E-21</c:v>
                </c:pt>
                <c:pt idx="92">
                  <c:v>5.6493658469779863E-22</c:v>
                </c:pt>
                <c:pt idx="93">
                  <c:v>7.7296244675385039E-23</c:v>
                </c:pt>
                <c:pt idx="94">
                  <c:v>1.0052824152107776E-23</c:v>
                </c:pt>
                <c:pt idx="95">
                  <c:v>1.2427541837577761E-24</c:v>
                </c:pt>
                <c:pt idx="96">
                  <c:v>1.4603160181908647E-25</c:v>
                </c:pt>
                <c:pt idx="97">
                  <c:v>1.631061756638169E-26</c:v>
                </c:pt>
                <c:pt idx="98">
                  <c:v>1.7316246832112972E-27</c:v>
                </c:pt>
                <c:pt idx="99">
                  <c:v>1.7474112799662099E-28</c:v>
                </c:pt>
                <c:pt idx="100">
                  <c:v>1.6760732072808469E-29</c:v>
                </c:pt>
                <c:pt idx="101">
                  <c:v>1.5280797785626524E-30</c:v>
                </c:pt>
                <c:pt idx="102">
                  <c:v>1.3241987804982325E-31</c:v>
                </c:pt>
                <c:pt idx="103">
                  <c:v>1.0907206401760911E-32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F128-4E4D-A374-25E73A119BF1}"/>
            </c:ext>
          </c:extLst>
        </c:ser>
        <c:ser>
          <c:idx val="97"/>
          <c:order val="97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NaiwnaGęstość!$DI$5:$DI$108</c:f>
              <c:numCache>
                <c:formatCode>General</c:formatCode>
                <c:ptCount val="104"/>
                <c:pt idx="0">
                  <c:v>1.8100052108528221E-8</c:v>
                </c:pt>
                <c:pt idx="1">
                  <c:v>4.1506296495448354E-8</c:v>
                </c:pt>
                <c:pt idx="2">
                  <c:v>9.0633190675829526E-8</c:v>
                </c:pt>
                <c:pt idx="3">
                  <c:v>1.885250356112258E-7</c:v>
                </c:pt>
                <c:pt idx="4">
                  <c:v>3.7373803688426632E-7</c:v>
                </c:pt>
                <c:pt idx="5">
                  <c:v>7.0654145426332894E-7</c:v>
                </c:pt>
                <c:pt idx="6">
                  <c:v>1.2746578646127109E-6</c:v>
                </c:pt>
                <c:pt idx="7">
                  <c:v>2.1964364993501488E-6</c:v>
                </c:pt>
                <c:pt idx="8">
                  <c:v>3.6189181355973912E-6</c:v>
                </c:pt>
                <c:pt idx="9">
                  <c:v>5.7086740395966589E-6</c:v>
                </c:pt>
                <c:pt idx="10">
                  <c:v>8.6348575268185231E-6</c:v>
                </c:pt>
                <c:pt idx="11">
                  <c:v>1.254633551426081E-5</c:v>
                </c:pt>
                <c:pt idx="12">
                  <c:v>1.7547155964234223E-5</c:v>
                </c:pt>
                <c:pt idx="13">
                  <c:v>2.3675696173766197E-5</c:v>
                </c:pt>
                <c:pt idx="14">
                  <c:v>3.089175369466889E-5</c:v>
                </c:pt>
                <c:pt idx="15">
                  <c:v>3.9072876292497401E-5</c:v>
                </c:pt>
                <c:pt idx="16">
                  <c:v>4.8018029553585226E-5</c:v>
                </c:pt>
                <c:pt idx="17">
                  <c:v>5.7455474274714402E-5</c:v>
                </c:pt>
                <c:pt idx="18">
                  <c:v>6.705367506136836E-5</c:v>
                </c:pt>
                <c:pt idx="19">
                  <c:v>7.6438096935694188E-5</c:v>
                </c:pt>
                <c:pt idx="20">
                  <c:v>8.5219618783235858E-5</c:v>
                </c:pt>
                <c:pt idx="21">
                  <c:v>9.3038529872188619E-5</c:v>
                </c:pt>
                <c:pt idx="22">
                  <c:v>9.9620714844124268E-5</c:v>
                </c:pt>
                <c:pt idx="23">
                  <c:v>1.0483277717835523E-4</c:v>
                </c:pt>
                <c:pt idx="24">
                  <c:v>1.0871652613859148E-4</c:v>
                </c:pt>
                <c:pt idx="25">
                  <c:v>1.1148579729966631E-4</c:v>
                </c:pt>
                <c:pt idx="26">
                  <c:v>1.13480775317551E-4</c:v>
                </c:pt>
                <c:pt idx="27">
                  <c:v>1.1509169922831776E-4</c:v>
                </c:pt>
                <c:pt idx="28">
                  <c:v>1.166764373353333E-4</c:v>
                </c:pt>
                <c:pt idx="29">
                  <c:v>1.18497816467041E-4</c:v>
                </c:pt>
                <c:pt idx="30">
                  <c:v>1.2069561261486182E-4</c:v>
                </c:pt>
                <c:pt idx="31">
                  <c:v>1.2329053264985553E-4</c:v>
                </c:pt>
                <c:pt idx="32">
                  <c:v>1.2620295842749994E-4</c:v>
                </c:pt>
                <c:pt idx="33">
                  <c:v>1.2926578317354638E-4</c:v>
                </c:pt>
                <c:pt idx="34">
                  <c:v>1.3222037743159119E-4</c:v>
                </c:pt>
                <c:pt idx="35">
                  <c:v>1.3470226704614361E-4</c:v>
                </c:pt>
                <c:pt idx="36">
                  <c:v>1.3623843586892711E-4</c:v>
                </c:pt>
                <c:pt idx="37">
                  <c:v>1.3628164810071909E-4</c:v>
                </c:pt>
                <c:pt idx="38">
                  <c:v>1.3429483064403955E-4</c:v>
                </c:pt>
                <c:pt idx="39">
                  <c:v>1.2987470020495767E-4</c:v>
                </c:pt>
                <c:pt idx="40">
                  <c:v>1.2287965500054209E-4</c:v>
                </c:pt>
                <c:pt idx="41">
                  <c:v>1.135152218334293E-4</c:v>
                </c:pt>
                <c:pt idx="42">
                  <c:v>1.0233866956366357E-4</c:v>
                </c:pt>
                <c:pt idx="43">
                  <c:v>9.0170792151723867E-5</c:v>
                </c:pt>
                <c:pt idx="44">
                  <c:v>7.7936264884944186E-5</c:v>
                </c:pt>
                <c:pt idx="45">
                  <c:v>6.6479703699681342E-5</c:v>
                </c:pt>
                <c:pt idx="46">
                  <c:v>5.6411729202338539E-5</c:v>
                </c:pt>
                <c:pt idx="47">
                  <c:v>4.8026032576557267E-5</c:v>
                </c:pt>
                <c:pt idx="48">
                  <c:v>4.1301859780539234E-5</c:v>
                </c:pt>
                <c:pt idx="49">
                  <c:v>3.5978359374129624E-5</c:v>
                </c:pt>
                <c:pt idx="50">
                  <c:v>3.1668397130167153E-5</c:v>
                </c:pt>
                <c:pt idx="51">
                  <c:v>2.7974607973363938E-5</c:v>
                </c:pt>
                <c:pt idx="52">
                  <c:v>2.4578131234206449E-5</c:v>
                </c:pt>
                <c:pt idx="53">
                  <c:v>2.1285026738935099E-5</c:v>
                </c:pt>
                <c:pt idx="54">
                  <c:v>1.8030372579024844E-5</c:v>
                </c:pt>
                <c:pt idx="55">
                  <c:v>1.4850868507739814E-5</c:v>
                </c:pt>
                <c:pt idx="56">
                  <c:v>1.1841566455731943E-5</c:v>
                </c:pt>
                <c:pt idx="57">
                  <c:v>9.1116752976315969E-6</c:v>
                </c:pt>
                <c:pt idx="58">
                  <c:v>6.7501448055927026E-6</c:v>
                </c:pt>
                <c:pt idx="59">
                  <c:v>4.8061361069997732E-6</c:v>
                </c:pt>
                <c:pt idx="60">
                  <c:v>3.2843574455691112E-6</c:v>
                </c:pt>
                <c:pt idx="61">
                  <c:v>2.1517079841151946E-6</c:v>
                </c:pt>
                <c:pt idx="62">
                  <c:v>1.3501157055315654E-6</c:v>
                </c:pt>
                <c:pt idx="63">
                  <c:v>8.1065905377732895E-7</c:v>
                </c:pt>
                <c:pt idx="64">
                  <c:v>4.6542247551536028E-7</c:v>
                </c:pt>
                <c:pt idx="65">
                  <c:v>2.5532425654734593E-7</c:v>
                </c:pt>
                <c:pt idx="66">
                  <c:v>1.3375021361203119E-7</c:v>
                </c:pt>
                <c:pt idx="67">
                  <c:v>6.6865666617637755E-8</c:v>
                </c:pt>
                <c:pt idx="68">
                  <c:v>3.1885407929030856E-8</c:v>
                </c:pt>
                <c:pt idx="69">
                  <c:v>1.4496350002736401E-8</c:v>
                </c:pt>
                <c:pt idx="70">
                  <c:v>6.2809252880569946E-9</c:v>
                </c:pt>
                <c:pt idx="71">
                  <c:v>2.5925569969648976E-9</c:v>
                </c:pt>
                <c:pt idx="72">
                  <c:v>1.0191393773931051E-9</c:v>
                </c:pt>
                <c:pt idx="73">
                  <c:v>3.8143273835214E-10</c:v>
                </c:pt>
                <c:pt idx="74">
                  <c:v>1.3588637613767898E-10</c:v>
                </c:pt>
                <c:pt idx="75">
                  <c:v>4.6069775838792692E-11</c:v>
                </c:pt>
                <c:pt idx="76">
                  <c:v>1.4861401111849878E-11</c:v>
                </c:pt>
                <c:pt idx="77">
                  <c:v>4.5607806832578465E-12</c:v>
                </c:pt>
                <c:pt idx="78">
                  <c:v>1.3313626158190862E-12</c:v>
                </c:pt>
                <c:pt idx="79">
                  <c:v>3.6964226346149782E-13</c:v>
                </c:pt>
                <c:pt idx="80">
                  <c:v>9.7600624995337545E-14</c:v>
                </c:pt>
                <c:pt idx="81">
                  <c:v>2.4506042053640598E-14</c:v>
                </c:pt>
                <c:pt idx="82">
                  <c:v>5.8507644212476762E-15</c:v>
                </c:pt>
                <c:pt idx="83">
                  <c:v>1.3281428390685466E-15</c:v>
                </c:pt>
                <c:pt idx="84">
                  <c:v>2.8664707239857558E-16</c:v>
                </c:pt>
                <c:pt idx="85">
                  <c:v>5.8816877987322098E-17</c:v>
                </c:pt>
                <c:pt idx="86">
                  <c:v>1.1473401823242464E-17</c:v>
                </c:pt>
                <c:pt idx="87">
                  <c:v>2.12767210630467E-18</c:v>
                </c:pt>
                <c:pt idx="88">
                  <c:v>3.7508354466469504E-19</c:v>
                </c:pt>
                <c:pt idx="89">
                  <c:v>6.2856826574166536E-20</c:v>
                </c:pt>
                <c:pt idx="90">
                  <c:v>1.0013129269603683E-20</c:v>
                </c:pt>
                <c:pt idx="91">
                  <c:v>1.5162583128368089E-21</c:v>
                </c:pt>
                <c:pt idx="92">
                  <c:v>2.1825123288943737E-22</c:v>
                </c:pt>
                <c:pt idx="93">
                  <c:v>2.9861759983469048E-23</c:v>
                </c:pt>
                <c:pt idx="94">
                  <c:v>3.8836947803475911E-24</c:v>
                </c:pt>
                <c:pt idx="95">
                  <c:v>4.8011164461712365E-25</c:v>
                </c:pt>
                <c:pt idx="96">
                  <c:v>5.6416203165323566E-26</c:v>
                </c:pt>
                <c:pt idx="97">
                  <c:v>6.3012601581736258E-27</c:v>
                </c:pt>
                <c:pt idx="98">
                  <c:v>6.6897636345292212E-28</c:v>
                </c:pt>
                <c:pt idx="99">
                  <c:v>6.7507517931688533E-29</c:v>
                </c:pt>
                <c:pt idx="100">
                  <c:v>6.4751523234714639E-30</c:v>
                </c:pt>
                <c:pt idx="101">
                  <c:v>5.9034111908882534E-31</c:v>
                </c:pt>
                <c:pt idx="102">
                  <c:v>5.1157603218249308E-32</c:v>
                </c:pt>
                <c:pt idx="103">
                  <c:v>4.2137671891744971E-33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F128-4E4D-A374-25E73A119BF1}"/>
            </c:ext>
          </c:extLst>
        </c:ser>
        <c:ser>
          <c:idx val="98"/>
          <c:order val="98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NaiwnaGęstość!$DJ$5:$DJ$108</c:f>
              <c:numCache>
                <c:formatCode>General</c:formatCode>
                <c:ptCount val="104"/>
                <c:pt idx="0">
                  <c:v>6.4364118073619888E-9</c:v>
                </c:pt>
                <c:pt idx="1">
                  <c:v>1.4759715344537447E-8</c:v>
                </c:pt>
                <c:pt idx="2">
                  <c:v>3.2229329236568374E-8</c:v>
                </c:pt>
                <c:pt idx="3">
                  <c:v>6.7039849273124614E-8</c:v>
                </c:pt>
                <c:pt idx="4">
                  <c:v>1.3290193304630131E-7</c:v>
                </c:pt>
                <c:pt idx="5">
                  <c:v>2.51247440136844E-7</c:v>
                </c:pt>
                <c:pt idx="6">
                  <c:v>4.5327068015867644E-7</c:v>
                </c:pt>
                <c:pt idx="7">
                  <c:v>7.8105685739308492E-7</c:v>
                </c:pt>
                <c:pt idx="8">
                  <c:v>1.2868939425240974E-6</c:v>
                </c:pt>
                <c:pt idx="9">
                  <c:v>2.030014984074459E-6</c:v>
                </c:pt>
                <c:pt idx="10">
                  <c:v>3.0705712120197033E-6</c:v>
                </c:pt>
                <c:pt idx="11">
                  <c:v>4.4614999757412123E-6</c:v>
                </c:pt>
                <c:pt idx="12">
                  <c:v>6.2398009219324344E-6</c:v>
                </c:pt>
                <c:pt idx="13">
                  <c:v>8.4191210879743102E-6</c:v>
                </c:pt>
                <c:pt idx="14">
                  <c:v>1.0985164409377657E-5</c:v>
                </c:pt>
                <c:pt idx="15">
                  <c:v>1.3894386646441211E-5</c:v>
                </c:pt>
                <c:pt idx="16">
                  <c:v>1.7075299592056477E-5</c:v>
                </c:pt>
                <c:pt idx="17">
                  <c:v>2.0431272285957254E-5</c:v>
                </c:pt>
                <c:pt idx="18">
                  <c:v>2.3844410132314209E-5</c:v>
                </c:pt>
                <c:pt idx="19">
                  <c:v>2.7181527804407384E-5</c:v>
                </c:pt>
                <c:pt idx="20">
                  <c:v>3.0304253118523642E-5</c:v>
                </c:pt>
                <c:pt idx="21">
                  <c:v>3.3084672277092648E-5</c:v>
                </c:pt>
                <c:pt idx="22">
                  <c:v>3.5425309354686792E-5</c:v>
                </c:pt>
                <c:pt idx="23">
                  <c:v>3.7278728303295477E-5</c:v>
                </c:pt>
                <c:pt idx="24">
                  <c:v>3.8659796573961751E-5</c:v>
                </c:pt>
                <c:pt idx="25">
                  <c:v>3.9644554490240394E-5</c:v>
                </c:pt>
                <c:pt idx="26">
                  <c:v>4.0353972341236002E-5</c:v>
                </c:pt>
                <c:pt idx="27">
                  <c:v>4.0926819845643767E-5</c:v>
                </c:pt>
                <c:pt idx="28">
                  <c:v>4.1490355630094103E-5</c:v>
                </c:pt>
                <c:pt idx="29">
                  <c:v>4.2138041397997642E-5</c:v>
                </c:pt>
                <c:pt idx="30">
                  <c:v>4.2919581748886653E-5</c:v>
                </c:pt>
                <c:pt idx="31">
                  <c:v>4.3842340084180304E-5</c:v>
                </c:pt>
                <c:pt idx="32">
                  <c:v>4.4878004045305777E-5</c:v>
                </c:pt>
                <c:pt idx="33">
                  <c:v>4.5967150156108707E-5</c:v>
                </c:pt>
                <c:pt idx="34">
                  <c:v>4.701780930639277E-5</c:v>
                </c:pt>
                <c:pt idx="35">
                  <c:v>4.7900373816367162E-5</c:v>
                </c:pt>
                <c:pt idx="36">
                  <c:v>4.8446638274048276E-5</c:v>
                </c:pt>
                <c:pt idx="37">
                  <c:v>4.8462004623120691E-5</c:v>
                </c:pt>
                <c:pt idx="38">
                  <c:v>4.77554886826931E-5</c:v>
                </c:pt>
                <c:pt idx="39">
                  <c:v>4.6183682171993496E-5</c:v>
                </c:pt>
                <c:pt idx="40">
                  <c:v>4.3696231236671727E-5</c:v>
                </c:pt>
                <c:pt idx="41">
                  <c:v>4.0366221585613437E-5</c:v>
                </c:pt>
                <c:pt idx="42">
                  <c:v>3.6391819050008356E-5</c:v>
                </c:pt>
                <c:pt idx="43">
                  <c:v>3.2064899471260789E-5</c:v>
                </c:pt>
                <c:pt idx="44">
                  <c:v>2.7714279081594073E-5</c:v>
                </c:pt>
                <c:pt idx="45">
                  <c:v>2.3640304860832184E-5</c:v>
                </c:pt>
                <c:pt idx="46">
                  <c:v>2.0060114619259123E-5</c:v>
                </c:pt>
                <c:pt idx="47">
                  <c:v>1.7078145481739165E-5</c:v>
                </c:pt>
                <c:pt idx="48">
                  <c:v>1.468701727285182E-5</c:v>
                </c:pt>
                <c:pt idx="49">
                  <c:v>1.2793970740893667E-5</c:v>
                </c:pt>
                <c:pt idx="50">
                  <c:v>1.126134024292655E-5</c:v>
                </c:pt>
                <c:pt idx="51">
                  <c:v>9.9478220276087086E-6</c:v>
                </c:pt>
                <c:pt idx="52">
                  <c:v>8.7400286546248115E-6</c:v>
                </c:pt>
                <c:pt idx="53">
                  <c:v>7.5689946416202562E-6</c:v>
                </c:pt>
                <c:pt idx="54">
                  <c:v>6.4116336385623731E-6</c:v>
                </c:pt>
                <c:pt idx="55">
                  <c:v>5.2809961451856466E-6</c:v>
                </c:pt>
                <c:pt idx="56">
                  <c:v>4.2108828027861532E-6</c:v>
                </c:pt>
                <c:pt idx="57">
                  <c:v>3.2401284879667304E-6</c:v>
                </c:pt>
                <c:pt idx="58">
                  <c:v>2.4003639032425347E-6</c:v>
                </c:pt>
                <c:pt idx="59">
                  <c:v>1.7090708358959248E-6</c:v>
                </c:pt>
                <c:pt idx="60">
                  <c:v>1.1679235460486868E-6</c:v>
                </c:pt>
                <c:pt idx="61">
                  <c:v>7.6515131514061901E-7</c:v>
                </c:pt>
                <c:pt idx="62">
                  <c:v>4.8010362712126112E-7</c:v>
                </c:pt>
                <c:pt idx="63">
                  <c:v>2.8827184994781601E-7</c:v>
                </c:pt>
                <c:pt idx="64">
                  <c:v>1.655050879885173E-7</c:v>
                </c:pt>
                <c:pt idx="65">
                  <c:v>9.0793775050677865E-8</c:v>
                </c:pt>
                <c:pt idx="66">
                  <c:v>4.7561821864813749E-8</c:v>
                </c:pt>
                <c:pt idx="67">
                  <c:v>2.3777553984063607E-8</c:v>
                </c:pt>
                <c:pt idx="68">
                  <c:v>1.1338509681984311E-8</c:v>
                </c:pt>
                <c:pt idx="69">
                  <c:v>5.1549287130119482E-9</c:v>
                </c:pt>
                <c:pt idx="70">
                  <c:v>2.233508580130589E-9</c:v>
                </c:pt>
                <c:pt idx="71">
                  <c:v>9.2191803462607093E-10</c:v>
                </c:pt>
                <c:pt idx="72">
                  <c:v>3.6240783632384318E-10</c:v>
                </c:pt>
                <c:pt idx="73">
                  <c:v>1.3563818303525092E-10</c:v>
                </c:pt>
                <c:pt idx="74">
                  <c:v>4.83214451863425E-11</c:v>
                </c:pt>
                <c:pt idx="75">
                  <c:v>1.6382496989144679E-11</c:v>
                </c:pt>
                <c:pt idx="76">
                  <c:v>5.2847415585717403E-12</c:v>
                </c:pt>
                <c:pt idx="77">
                  <c:v>1.6218219961188964E-12</c:v>
                </c:pt>
                <c:pt idx="78">
                  <c:v>4.7343499394130206E-13</c:v>
                </c:pt>
                <c:pt idx="79">
                  <c:v>1.3144546848694429E-13</c:v>
                </c:pt>
                <c:pt idx="80">
                  <c:v>3.4706961690453457E-14</c:v>
                </c:pt>
                <c:pt idx="81">
                  <c:v>8.7143936094771534E-15</c:v>
                </c:pt>
                <c:pt idx="82">
                  <c:v>2.0805425850276228E-15</c:v>
                </c:pt>
                <c:pt idx="83">
                  <c:v>4.7229003540913967E-16</c:v>
                </c:pt>
                <c:pt idx="84">
                  <c:v>1.0193222595545116E-16</c:v>
                </c:pt>
                <c:pt idx="85">
                  <c:v>2.0915389949148178E-17</c:v>
                </c:pt>
                <c:pt idx="86">
                  <c:v>4.0799627825895341E-18</c:v>
                </c:pt>
                <c:pt idx="87">
                  <c:v>7.5660411280040697E-19</c:v>
                </c:pt>
                <c:pt idx="88">
                  <c:v>1.3338039808678416E-19</c:v>
                </c:pt>
                <c:pt idx="89">
                  <c:v>2.2352003094214712E-20</c:v>
                </c:pt>
                <c:pt idx="90">
                  <c:v>3.5606871777541866E-21</c:v>
                </c:pt>
                <c:pt idx="91">
                  <c:v>5.3918424373791296E-22</c:v>
                </c:pt>
                <c:pt idx="92">
                  <c:v>7.7610539677894425E-23</c:v>
                </c:pt>
                <c:pt idx="93">
                  <c:v>1.061889675199607E-23</c:v>
                </c:pt>
                <c:pt idx="94">
                  <c:v>1.3810490041982516E-24</c:v>
                </c:pt>
                <c:pt idx="95">
                  <c:v>1.7072858352764778E-25</c:v>
                </c:pt>
                <c:pt idx="96">
                  <c:v>2.0061705568722133E-26</c:v>
                </c:pt>
                <c:pt idx="97">
                  <c:v>2.2407396973304226E-27</c:v>
                </c:pt>
                <c:pt idx="98">
                  <c:v>2.3788922477994977E-28</c:v>
                </c:pt>
                <c:pt idx="99">
                  <c:v>2.4005797491405814E-29</c:v>
                </c:pt>
                <c:pt idx="100">
                  <c:v>2.3025760710170703E-30</c:v>
                </c:pt>
                <c:pt idx="101">
                  <c:v>2.0992638731047114E-31</c:v>
                </c:pt>
                <c:pt idx="102">
                  <c:v>1.8191737759425366E-32</c:v>
                </c:pt>
                <c:pt idx="103">
                  <c:v>1.498423359626594E-33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F128-4E4D-A374-25E73A119BF1}"/>
            </c:ext>
          </c:extLst>
        </c:ser>
        <c:ser>
          <c:idx val="99"/>
          <c:order val="99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NaiwnaGęstość!$DK$5:$DK$108</c:f>
              <c:numCache>
                <c:formatCode>General</c:formatCode>
                <c:ptCount val="104"/>
                <c:pt idx="0">
                  <c:v>2.1043232913170953E-9</c:v>
                </c:pt>
                <c:pt idx="1">
                  <c:v>4.8255477900271775E-9</c:v>
                </c:pt>
                <c:pt idx="2">
                  <c:v>1.0537070996368513E-8</c:v>
                </c:pt>
                <c:pt idx="3">
                  <c:v>2.1918037641790293E-8</c:v>
                </c:pt>
                <c:pt idx="4">
                  <c:v>4.3451016115922092E-8</c:v>
                </c:pt>
                <c:pt idx="5">
                  <c:v>8.214294796349466E-8</c:v>
                </c:pt>
                <c:pt idx="6">
                  <c:v>1.4819251441277463E-7</c:v>
                </c:pt>
                <c:pt idx="7">
                  <c:v>2.5535907055779946E-7</c:v>
                </c:pt>
                <c:pt idx="8">
                  <c:v>4.2073766840258349E-7</c:v>
                </c:pt>
                <c:pt idx="9">
                  <c:v>6.6369398673721893E-7</c:v>
                </c:pt>
                <c:pt idx="10">
                  <c:v>1.0038938949975466E-6</c:v>
                </c:pt>
                <c:pt idx="11">
                  <c:v>1.4586447533429049E-6</c:v>
                </c:pt>
                <c:pt idx="12">
                  <c:v>2.0400432424453529E-6</c:v>
                </c:pt>
                <c:pt idx="13">
                  <c:v>2.7525511306748605E-6</c:v>
                </c:pt>
                <c:pt idx="14">
                  <c:v>3.5914944564548313E-6</c:v>
                </c:pt>
                <c:pt idx="15">
                  <c:v>4.5426368470129002E-6</c:v>
                </c:pt>
                <c:pt idx="16">
                  <c:v>5.5826059166510537E-6</c:v>
                </c:pt>
                <c:pt idx="17">
                  <c:v>6.6798090969575072E-6</c:v>
                </c:pt>
                <c:pt idx="18">
                  <c:v>7.7957018772096378E-6</c:v>
                </c:pt>
                <c:pt idx="19">
                  <c:v>8.8867405884399144E-6</c:v>
                </c:pt>
                <c:pt idx="20">
                  <c:v>9.9076857683869383E-6</c:v>
                </c:pt>
                <c:pt idx="21">
                  <c:v>1.0816717224128903E-5</c:v>
                </c:pt>
                <c:pt idx="22">
                  <c:v>1.15819661339746E-5</c:v>
                </c:pt>
                <c:pt idx="23">
                  <c:v>1.2187923735640897E-5</c:v>
                </c:pt>
                <c:pt idx="24">
                  <c:v>1.2639450800074208E-5</c:v>
                </c:pt>
                <c:pt idx="25">
                  <c:v>1.29614079839144E-5</c:v>
                </c:pt>
                <c:pt idx="26">
                  <c:v>1.3193345366388693E-5</c:v>
                </c:pt>
                <c:pt idx="27">
                  <c:v>1.3380632380019383E-5</c:v>
                </c:pt>
                <c:pt idx="28">
                  <c:v>1.3564875015854632E-5</c:v>
                </c:pt>
                <c:pt idx="29">
                  <c:v>1.3776629684083765E-5</c:v>
                </c:pt>
                <c:pt idx="30">
                  <c:v>1.4032146828216585E-5</c:v>
                </c:pt>
                <c:pt idx="31">
                  <c:v>1.4333833841933511E-5</c:v>
                </c:pt>
                <c:pt idx="32">
                  <c:v>1.4672434270340111E-5</c:v>
                </c:pt>
                <c:pt idx="33">
                  <c:v>1.5028520176153117E-5</c:v>
                </c:pt>
                <c:pt idx="34">
                  <c:v>1.5372023138261497E-5</c:v>
                </c:pt>
                <c:pt idx="35">
                  <c:v>1.5660569165149445E-5</c:v>
                </c:pt>
                <c:pt idx="36">
                  <c:v>1.5839165105857007E-5</c:v>
                </c:pt>
                <c:pt idx="37">
                  <c:v>1.5844188986743341E-5</c:v>
                </c:pt>
                <c:pt idx="38">
                  <c:v>1.5613200356179328E-5</c:v>
                </c:pt>
                <c:pt idx="39">
                  <c:v>1.5099313248128566E-5</c:v>
                </c:pt>
                <c:pt idx="40">
                  <c:v>1.4286064951427141E-5</c:v>
                </c:pt>
                <c:pt idx="41">
                  <c:v>1.319735013970276E-5</c:v>
                </c:pt>
                <c:pt idx="42">
                  <c:v>1.1897957236474075E-5</c:v>
                </c:pt>
                <c:pt idx="43">
                  <c:v>1.0483312256984127E-5</c:v>
                </c:pt>
                <c:pt idx="44">
                  <c:v>9.0609185240065253E-6</c:v>
                </c:pt>
                <c:pt idx="45">
                  <c:v>7.7289716104841676E-6</c:v>
                </c:pt>
                <c:pt idx="46">
                  <c:v>6.5584626470783316E-6</c:v>
                </c:pt>
                <c:pt idx="47">
                  <c:v>5.583536353068586E-6</c:v>
                </c:pt>
                <c:pt idx="48">
                  <c:v>4.8017798506751732E-6</c:v>
                </c:pt>
                <c:pt idx="49">
                  <c:v>4.1828663895771498E-6</c:v>
                </c:pt>
                <c:pt idx="50">
                  <c:v>3.6817875042631016E-6</c:v>
                </c:pt>
                <c:pt idx="51">
                  <c:v>3.2523452844689845E-6</c:v>
                </c:pt>
                <c:pt idx="52">
                  <c:v>2.8574687908671655E-6</c:v>
                </c:pt>
                <c:pt idx="53">
                  <c:v>2.4746104184940035E-6</c:v>
                </c:pt>
                <c:pt idx="54">
                  <c:v>2.0962223059728113E-6</c:v>
                </c:pt>
                <c:pt idx="55">
                  <c:v>1.7265711893945248E-6</c:v>
                </c:pt>
                <c:pt idx="56">
                  <c:v>1.3767078652074756E-6</c:v>
                </c:pt>
                <c:pt idx="57">
                  <c:v>1.0593290249529506E-6</c:v>
                </c:pt>
                <c:pt idx="58">
                  <c:v>7.8477602434520557E-7</c:v>
                </c:pt>
                <c:pt idx="59">
                  <c:v>5.5876436656413979E-7</c:v>
                </c:pt>
                <c:pt idx="60">
                  <c:v>3.8184143494622161E-7</c:v>
                </c:pt>
                <c:pt idx="61">
                  <c:v>2.5015890561735722E-7</c:v>
                </c:pt>
                <c:pt idx="62">
                  <c:v>1.5696528982833432E-7</c:v>
                </c:pt>
                <c:pt idx="63">
                  <c:v>9.4247724700027007E-8</c:v>
                </c:pt>
                <c:pt idx="64">
                  <c:v>5.4110305851990811E-8</c:v>
                </c:pt>
                <c:pt idx="65">
                  <c:v>2.9684156524480303E-8</c:v>
                </c:pt>
                <c:pt idx="66">
                  <c:v>1.5549882842040061E-8</c:v>
                </c:pt>
                <c:pt idx="67">
                  <c:v>7.7738438988604947E-9</c:v>
                </c:pt>
                <c:pt idx="68">
                  <c:v>3.7070173144193411E-9</c:v>
                </c:pt>
                <c:pt idx="69">
                  <c:v>1.6853546479830173E-9</c:v>
                </c:pt>
                <c:pt idx="70">
                  <c:v>7.3022427203142446E-10</c:v>
                </c:pt>
                <c:pt idx="71">
                  <c:v>3.0141228544915782E-10</c:v>
                </c:pt>
                <c:pt idx="72">
                  <c:v>1.1848577650979479E-10</c:v>
                </c:pt>
                <c:pt idx="73">
                  <c:v>4.4345606884030937E-11</c:v>
                </c:pt>
                <c:pt idx="74">
                  <c:v>1.5798234423008244E-11</c:v>
                </c:pt>
                <c:pt idx="75">
                  <c:v>5.356100730652097E-12</c:v>
                </c:pt>
                <c:pt idx="76">
                  <c:v>1.7277957164850623E-12</c:v>
                </c:pt>
                <c:pt idx="77">
                  <c:v>5.3023919272843337E-13</c:v>
                </c:pt>
                <c:pt idx="78">
                  <c:v>1.5478504397989639E-13</c:v>
                </c:pt>
                <c:pt idx="79">
                  <c:v>4.2974838955889036E-14</c:v>
                </c:pt>
                <c:pt idx="80">
                  <c:v>1.1347109234454835E-14</c:v>
                </c:pt>
                <c:pt idx="81">
                  <c:v>2.8490876579948899E-15</c:v>
                </c:pt>
                <c:pt idx="82">
                  <c:v>6.8021350269151218E-16</c:v>
                </c:pt>
                <c:pt idx="83">
                  <c:v>1.544107107366341E-16</c:v>
                </c:pt>
                <c:pt idx="84">
                  <c:v>3.3325766534780909E-17</c:v>
                </c:pt>
                <c:pt idx="85">
                  <c:v>6.8380867374940291E-18</c:v>
                </c:pt>
                <c:pt idx="86">
                  <c:v>1.3339048165454347E-18</c:v>
                </c:pt>
                <c:pt idx="87">
                  <c:v>2.4736447954605837E-19</c:v>
                </c:pt>
                <c:pt idx="88">
                  <c:v>4.3607445685518214E-20</c:v>
                </c:pt>
                <c:pt idx="89">
                  <c:v>7.307773667456774E-21</c:v>
                </c:pt>
                <c:pt idx="90">
                  <c:v>1.1641326231910673E-21</c:v>
                </c:pt>
                <c:pt idx="91">
                  <c:v>1.7628113246438089E-22</c:v>
                </c:pt>
                <c:pt idx="92">
                  <c:v>2.5374023785904987E-23</c:v>
                </c:pt>
                <c:pt idx="93">
                  <c:v>3.471746748360293E-24</c:v>
                </c:pt>
                <c:pt idx="94">
                  <c:v>4.5152076544582978E-25</c:v>
                </c:pt>
                <c:pt idx="95">
                  <c:v>5.5818077768093296E-26</c:v>
                </c:pt>
                <c:pt idx="96">
                  <c:v>6.558982792791583E-27</c:v>
                </c:pt>
                <c:pt idx="97">
                  <c:v>7.3258841665132726E-28</c:v>
                </c:pt>
                <c:pt idx="98">
                  <c:v>7.7775607192385209E-29</c:v>
                </c:pt>
                <c:pt idx="99">
                  <c:v>7.8484659309751484E-30</c:v>
                </c:pt>
                <c:pt idx="100">
                  <c:v>7.5280522770909153E-31</c:v>
                </c:pt>
                <c:pt idx="101">
                  <c:v>6.8633424880334641E-32</c:v>
                </c:pt>
                <c:pt idx="102">
                  <c:v>5.9476146993741437E-33</c:v>
                </c:pt>
                <c:pt idx="103">
                  <c:v>4.8989518854422133E-34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F128-4E4D-A374-25E73A119BF1}"/>
            </c:ext>
          </c:extLst>
        </c:ser>
        <c:ser>
          <c:idx val="100"/>
          <c:order val="100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NaiwnaGęstość!$DL$5:$DL$108</c:f>
              <c:numCache>
                <c:formatCode>General</c:formatCode>
                <c:ptCount val="104"/>
                <c:pt idx="0">
                  <c:v>6.3191484552284372E-10</c:v>
                </c:pt>
                <c:pt idx="1">
                  <c:v>1.4490811839038028E-9</c:v>
                </c:pt>
                <c:pt idx="2">
                  <c:v>3.1642151272135913E-9</c:v>
                </c:pt>
                <c:pt idx="3">
                  <c:v>6.5818467284591363E-9</c:v>
                </c:pt>
                <c:pt idx="4">
                  <c:v>1.3048062647977421E-8</c:v>
                </c:pt>
                <c:pt idx="5">
                  <c:v>2.4667002683154223E-8</c:v>
                </c:pt>
                <c:pt idx="6">
                  <c:v>4.4501265674903912E-8</c:v>
                </c:pt>
                <c:pt idx="7">
                  <c:v>7.6682698086466727E-8</c:v>
                </c:pt>
                <c:pt idx="8">
                  <c:v>1.2634483486035637E-7</c:v>
                </c:pt>
                <c:pt idx="9">
                  <c:v>1.993030656620204E-7</c:v>
                </c:pt>
                <c:pt idx="10">
                  <c:v>3.0146292549071443E-7</c:v>
                </c:pt>
                <c:pt idx="11">
                  <c:v>4.380217040721304E-7</c:v>
                </c:pt>
                <c:pt idx="12">
                  <c:v>6.1261195735894179E-7</c:v>
                </c:pt>
                <c:pt idx="13">
                  <c:v>8.2657352589841698E-7</c:v>
                </c:pt>
                <c:pt idx="14">
                  <c:v>1.0785028488784692E-6</c:v>
                </c:pt>
                <c:pt idx="15">
                  <c:v>1.3641248344734388E-6</c:v>
                </c:pt>
                <c:pt idx="16">
                  <c:v>1.6764209045214995E-6</c:v>
                </c:pt>
                <c:pt idx="17">
                  <c:v>2.00590401248851E-6</c:v>
                </c:pt>
                <c:pt idx="18">
                  <c:v>2.3409994879616391E-6</c:v>
                </c:pt>
                <c:pt idx="19">
                  <c:v>2.6686314452332803E-6</c:v>
                </c:pt>
                <c:pt idx="20">
                  <c:v>2.9752147626995411E-6</c:v>
                </c:pt>
                <c:pt idx="21">
                  <c:v>3.2481911035026947E-6</c:v>
                </c:pt>
                <c:pt idx="22">
                  <c:v>3.4779904640130283E-6</c:v>
                </c:pt>
                <c:pt idx="23">
                  <c:v>3.659955661960671E-6</c:v>
                </c:pt>
                <c:pt idx="24">
                  <c:v>3.7955463558184444E-6</c:v>
                </c:pt>
                <c:pt idx="25">
                  <c:v>3.8922280420074552E-6</c:v>
                </c:pt>
                <c:pt idx="26">
                  <c:v>3.961877356740592E-6</c:v>
                </c:pt>
                <c:pt idx="27">
                  <c:v>4.0181184508610669E-6</c:v>
                </c:pt>
                <c:pt idx="28">
                  <c:v>4.073445337771909E-6</c:v>
                </c:pt>
                <c:pt idx="29">
                  <c:v>4.1370339123102831E-6</c:v>
                </c:pt>
                <c:pt idx="30">
                  <c:v>4.213764078881822E-6</c:v>
                </c:pt>
                <c:pt idx="31">
                  <c:v>4.3043587624343949E-6</c:v>
                </c:pt>
                <c:pt idx="32">
                  <c:v>4.4060383086777876E-6</c:v>
                </c:pt>
                <c:pt idx="33">
                  <c:v>4.5129686321186545E-6</c:v>
                </c:pt>
                <c:pt idx="34">
                  <c:v>4.6161203779235948E-6</c:v>
                </c:pt>
                <c:pt idx="35">
                  <c:v>4.7027689070538324E-6</c:v>
                </c:pt>
                <c:pt idx="36">
                  <c:v>4.7564001274793733E-6</c:v>
                </c:pt>
                <c:pt idx="37">
                  <c:v>4.7579087668254815E-6</c:v>
                </c:pt>
                <c:pt idx="38">
                  <c:v>4.6885443562319782E-6</c:v>
                </c:pt>
                <c:pt idx="39">
                  <c:v>4.534227339526419E-6</c:v>
                </c:pt>
                <c:pt idx="40">
                  <c:v>4.2900140696822475E-6</c:v>
                </c:pt>
                <c:pt idx="41">
                  <c:v>3.963079964591085E-6</c:v>
                </c:pt>
                <c:pt idx="42">
                  <c:v>3.5728805740766626E-6</c:v>
                </c:pt>
                <c:pt idx="43">
                  <c:v>3.1480717210964044E-6</c:v>
                </c:pt>
                <c:pt idx="44">
                  <c:v>2.7209359669297414E-6</c:v>
                </c:pt>
                <c:pt idx="45">
                  <c:v>2.3209608150241122E-6</c:v>
                </c:pt>
                <c:pt idx="46">
                  <c:v>1.969464448545771E-6</c:v>
                </c:pt>
                <c:pt idx="47">
                  <c:v>1.6767003086356294E-6</c:v>
                </c:pt>
                <c:pt idx="48">
                  <c:v>1.4419438235058112E-6</c:v>
                </c:pt>
                <c:pt idx="49">
                  <c:v>1.2560880637109481E-6</c:v>
                </c:pt>
                <c:pt idx="50">
                  <c:v>1.1056172744959501E-6</c:v>
                </c:pt>
                <c:pt idx="51">
                  <c:v>9.7665851844267486E-7</c:v>
                </c:pt>
                <c:pt idx="52">
                  <c:v>8.5807962921752346E-7</c:v>
                </c:pt>
                <c:pt idx="53">
                  <c:v>7.4310970504589688E-7</c:v>
                </c:pt>
                <c:pt idx="54">
                  <c:v>6.2948217135935424E-7</c:v>
                </c:pt>
                <c:pt idx="55">
                  <c:v>5.1847830175730669E-7</c:v>
                </c:pt>
                <c:pt idx="56">
                  <c:v>4.1341657983938242E-7</c:v>
                </c:pt>
                <c:pt idx="57">
                  <c:v>3.1810974099042905E-7</c:v>
                </c:pt>
                <c:pt idx="58">
                  <c:v>2.3566322828834017E-7</c:v>
                </c:pt>
                <c:pt idx="59">
                  <c:v>1.677933708370676E-7</c:v>
                </c:pt>
                <c:pt idx="60">
                  <c:v>1.1466454435679343E-7</c:v>
                </c:pt>
                <c:pt idx="61">
                  <c:v>7.5121121764714332E-8</c:v>
                </c:pt>
                <c:pt idx="62">
                  <c:v>4.7135674106538118E-8</c:v>
                </c:pt>
                <c:pt idx="63">
                  <c:v>2.8301989832285062E-8</c:v>
                </c:pt>
                <c:pt idx="64">
                  <c:v>1.6248979282196294E-8</c:v>
                </c:pt>
                <c:pt idx="65">
                  <c:v>8.913962632092688E-9</c:v>
                </c:pt>
                <c:pt idx="66">
                  <c:v>4.6695305111011946E-9</c:v>
                </c:pt>
                <c:pt idx="67">
                  <c:v>2.3344356766552045E-9</c:v>
                </c:pt>
                <c:pt idx="68">
                  <c:v>1.1131936253604943E-9</c:v>
                </c:pt>
                <c:pt idx="69">
                  <c:v>5.0610123759301803E-10</c:v>
                </c:pt>
                <c:pt idx="70">
                  <c:v>2.1928168545288198E-10</c:v>
                </c:pt>
                <c:pt idx="71">
                  <c:v>9.0512184408261079E-11</c:v>
                </c:pt>
                <c:pt idx="72">
                  <c:v>3.5580521999059475E-11</c:v>
                </c:pt>
                <c:pt idx="73">
                  <c:v>1.3316702542507049E-11</c:v>
                </c:pt>
                <c:pt idx="74">
                  <c:v>4.7441089048158954E-12</c:v>
                </c:pt>
                <c:pt idx="75">
                  <c:v>1.6084028436982183E-12</c:v>
                </c:pt>
                <c:pt idx="76">
                  <c:v>5.1884601942238614E-13</c:v>
                </c:pt>
                <c:pt idx="77">
                  <c:v>1.5922744330479163E-13</c:v>
                </c:pt>
                <c:pt idx="78">
                  <c:v>4.6480960201976827E-14</c:v>
                </c:pt>
                <c:pt idx="79">
                  <c:v>1.2905069687834182E-14</c:v>
                </c:pt>
                <c:pt idx="80">
                  <c:v>3.4074644369560748E-15</c:v>
                </c:pt>
                <c:pt idx="81">
                  <c:v>8.5556282854048705E-16</c:v>
                </c:pt>
                <c:pt idx="82">
                  <c:v>2.0426377080435413E-16</c:v>
                </c:pt>
                <c:pt idx="83">
                  <c:v>4.6368550319633082E-17</c:v>
                </c:pt>
                <c:pt idx="84">
                  <c:v>1.0007514861737608E-17</c:v>
                </c:pt>
                <c:pt idx="85">
                  <c:v>2.0534337771316393E-18</c:v>
                </c:pt>
                <c:pt idx="86">
                  <c:v>4.0056309767968481E-19</c:v>
                </c:pt>
                <c:pt idx="87">
                  <c:v>7.4281973461572846E-20</c:v>
                </c:pt>
                <c:pt idx="88">
                  <c:v>1.3095037448719502E-20</c:v>
                </c:pt>
                <c:pt idx="89">
                  <c:v>2.1944777626333815E-21</c:v>
                </c:pt>
                <c:pt idx="90">
                  <c:v>3.4958159223312771E-22</c:v>
                </c:pt>
                <c:pt idx="91">
                  <c:v>5.2936098293194914E-23</c:v>
                </c:pt>
                <c:pt idx="92">
                  <c:v>7.6196572965398757E-24</c:v>
                </c:pt>
                <c:pt idx="93">
                  <c:v>1.042543376883597E-24</c:v>
                </c:pt>
                <c:pt idx="94">
                  <c:v>1.3558880231206028E-25</c:v>
                </c:pt>
                <c:pt idx="95">
                  <c:v>1.6761812282241975E-26</c:v>
                </c:pt>
                <c:pt idx="96">
                  <c:v>1.9696206449816489E-27</c:v>
                </c:pt>
                <c:pt idx="97">
                  <c:v>2.1999162298407968E-28</c:v>
                </c:pt>
                <c:pt idx="98">
                  <c:v>2.3355518140779607E-29</c:v>
                </c:pt>
                <c:pt idx="99">
                  <c:v>2.3568441963398478E-30</c:v>
                </c:pt>
                <c:pt idx="100">
                  <c:v>2.2606260223391519E-31</c:v>
                </c:pt>
                <c:pt idx="101">
                  <c:v>2.0610179177275937E-32</c:v>
                </c:pt>
                <c:pt idx="102">
                  <c:v>1.7860307109142121E-33</c:v>
                </c:pt>
                <c:pt idx="103">
                  <c:v>1.4711239649756715E-34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F128-4E4D-A374-25E73A119BF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87804912"/>
        <c:axId val="191206208"/>
        <c:axId val="184830400"/>
      </c:surface3DChart>
      <c:catAx>
        <c:axId val="187804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206208"/>
        <c:crosses val="autoZero"/>
        <c:auto val="1"/>
        <c:lblAlgn val="ctr"/>
        <c:lblOffset val="100"/>
        <c:noMultiLvlLbl val="0"/>
      </c:catAx>
      <c:valAx>
        <c:axId val="19120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7804912"/>
        <c:crosses val="autoZero"/>
        <c:crossBetween val="midCat"/>
      </c:valAx>
      <c:serAx>
        <c:axId val="1848304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2062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irysy</a:t>
            </a:r>
            <a:r>
              <a:rPr lang="pl-PL" baseline="0"/>
              <a:t> - rozmiary płatków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NaiwnyBayes_Petal!$I$2</c:f>
              <c:strCache>
                <c:ptCount val="1"/>
                <c:pt idx="0">
                  <c:v>setosa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20193678095713541"/>
                  <c:y val="1.81921285028472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NaiwnyBayes_Petal!$C$2:$C$51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NaiwnyBayes_Petal!$D$2:$D$51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2B-41AD-8420-7FCD896ECB51}"/>
            </c:ext>
          </c:extLst>
        </c:ser>
        <c:ser>
          <c:idx val="1"/>
          <c:order val="1"/>
          <c:tx>
            <c:strRef>
              <c:f>NaiwnyBayes_Petal!$I$52</c:f>
              <c:strCache>
                <c:ptCount val="1"/>
                <c:pt idx="0">
                  <c:v>versicolor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4089287254078831"/>
                  <c:y val="9.169771971241252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NaiwnyBayes_Petal!$C$52:$C$101</c:f>
              <c:numCache>
                <c:formatCode>General</c:formatCode>
                <c:ptCount val="50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4.8</c:v>
                </c:pt>
                <c:pt idx="21">
                  <c:v>4</c:v>
                </c:pt>
                <c:pt idx="22">
                  <c:v>4.9000000000000004</c:v>
                </c:pt>
                <c:pt idx="23">
                  <c:v>4.7</c:v>
                </c:pt>
                <c:pt idx="24">
                  <c:v>4.3</c:v>
                </c:pt>
                <c:pt idx="25">
                  <c:v>4.4000000000000004</c:v>
                </c:pt>
                <c:pt idx="26">
                  <c:v>4.8</c:v>
                </c:pt>
                <c:pt idx="27">
                  <c:v>5</c:v>
                </c:pt>
                <c:pt idx="28">
                  <c:v>4.5</c:v>
                </c:pt>
                <c:pt idx="29">
                  <c:v>3.5</c:v>
                </c:pt>
                <c:pt idx="30">
                  <c:v>3.8</c:v>
                </c:pt>
                <c:pt idx="31">
                  <c:v>3.7</c:v>
                </c:pt>
                <c:pt idx="32">
                  <c:v>3.9</c:v>
                </c:pt>
                <c:pt idx="33">
                  <c:v>5.0999999999999996</c:v>
                </c:pt>
                <c:pt idx="34">
                  <c:v>4.5</c:v>
                </c:pt>
                <c:pt idx="35">
                  <c:v>4.5</c:v>
                </c:pt>
                <c:pt idx="36">
                  <c:v>4.7</c:v>
                </c:pt>
                <c:pt idx="37">
                  <c:v>4.4000000000000004</c:v>
                </c:pt>
                <c:pt idx="38">
                  <c:v>4.0999999999999996</c:v>
                </c:pt>
                <c:pt idx="39">
                  <c:v>4</c:v>
                </c:pt>
                <c:pt idx="40">
                  <c:v>4.4000000000000004</c:v>
                </c:pt>
                <c:pt idx="41">
                  <c:v>4.5999999999999996</c:v>
                </c:pt>
                <c:pt idx="42">
                  <c:v>4</c:v>
                </c:pt>
                <c:pt idx="43">
                  <c:v>3.3</c:v>
                </c:pt>
                <c:pt idx="44">
                  <c:v>4.2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3</c:v>
                </c:pt>
                <c:pt idx="49">
                  <c:v>4.0999999999999996</c:v>
                </c:pt>
              </c:numCache>
            </c:numRef>
          </c:xVal>
          <c:yVal>
            <c:numRef>
              <c:f>NaiwnyBayes_Petal!$D$52:$D$101</c:f>
              <c:numCache>
                <c:formatCode>General</c:formatCode>
                <c:ptCount val="50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1.8</c:v>
                </c:pt>
                <c:pt idx="21">
                  <c:v>1.3</c:v>
                </c:pt>
                <c:pt idx="22">
                  <c:v>1.5</c:v>
                </c:pt>
                <c:pt idx="23">
                  <c:v>1.2</c:v>
                </c:pt>
                <c:pt idx="24">
                  <c:v>1.3</c:v>
                </c:pt>
                <c:pt idx="25">
                  <c:v>1.4</c:v>
                </c:pt>
                <c:pt idx="26">
                  <c:v>1.4</c:v>
                </c:pt>
                <c:pt idx="27">
                  <c:v>1.7</c:v>
                </c:pt>
                <c:pt idx="28">
                  <c:v>1.5</c:v>
                </c:pt>
                <c:pt idx="29">
                  <c:v>1</c:v>
                </c:pt>
                <c:pt idx="30">
                  <c:v>1.1000000000000001</c:v>
                </c:pt>
                <c:pt idx="31">
                  <c:v>1</c:v>
                </c:pt>
                <c:pt idx="32">
                  <c:v>1.2</c:v>
                </c:pt>
                <c:pt idx="33">
                  <c:v>1.6</c:v>
                </c:pt>
                <c:pt idx="34">
                  <c:v>1.5</c:v>
                </c:pt>
                <c:pt idx="35">
                  <c:v>1.6</c:v>
                </c:pt>
                <c:pt idx="36">
                  <c:v>1.5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1.2</c:v>
                </c:pt>
                <c:pt idx="41">
                  <c:v>1.4</c:v>
                </c:pt>
                <c:pt idx="42">
                  <c:v>1.2</c:v>
                </c:pt>
                <c:pt idx="43">
                  <c:v>1</c:v>
                </c:pt>
                <c:pt idx="44">
                  <c:v>1.3</c:v>
                </c:pt>
                <c:pt idx="45">
                  <c:v>1.2</c:v>
                </c:pt>
                <c:pt idx="46">
                  <c:v>1.3</c:v>
                </c:pt>
                <c:pt idx="47">
                  <c:v>1.3</c:v>
                </c:pt>
                <c:pt idx="48">
                  <c:v>1.1000000000000001</c:v>
                </c:pt>
                <c:pt idx="4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2B-41AD-8420-7FCD896ECB51}"/>
            </c:ext>
          </c:extLst>
        </c:ser>
        <c:ser>
          <c:idx val="2"/>
          <c:order val="2"/>
          <c:tx>
            <c:strRef>
              <c:f>NaiwnyBayes_Petal!$I$102</c:f>
              <c:strCache>
                <c:ptCount val="1"/>
                <c:pt idx="0">
                  <c:v>virginica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145848555674057"/>
                  <c:y val="-5.176153697486018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NaiwnyBayes_Petal!$C$102:$C$151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NaiwnyBayes_Petal!$D$102:$D$151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2B-41AD-8420-7FCD896E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384143"/>
        <c:axId val="1601299759"/>
      </c:scatterChart>
      <c:valAx>
        <c:axId val="1764384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1299759"/>
        <c:crosses val="autoZero"/>
        <c:crossBetween val="midCat"/>
      </c:valAx>
      <c:valAx>
        <c:axId val="1601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4384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Kolorowe irysy - rozmiary płatków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NaiwnyBayes_Petal!$G$2:$G$23</c:f>
              <c:numCache>
                <c:formatCode>General</c:formatCode>
                <c:ptCount val="22"/>
                <c:pt idx="0">
                  <c:v>1.4163037536623082</c:v>
                </c:pt>
                <c:pt idx="1">
                  <c:v>1.4201347507993392</c:v>
                </c:pt>
                <c:pt idx="2">
                  <c:v>1.3208194136469347</c:v>
                </c:pt>
                <c:pt idx="3">
                  <c:v>1.5213246296643754</c:v>
                </c:pt>
                <c:pt idx="4">
                  <c:v>1.3878374445184567</c:v>
                </c:pt>
                <c:pt idx="5">
                  <c:v>1.6785332779154236</c:v>
                </c:pt>
                <c:pt idx="6">
                  <c:v>1.3835238401605385</c:v>
                </c:pt>
                <c:pt idx="7">
                  <c:v>1.5070301530434835</c:v>
                </c:pt>
                <c:pt idx="8">
                  <c:v>1.4016541501141555</c:v>
                </c:pt>
                <c:pt idx="9">
                  <c:v>1.5249620497679364</c:v>
                </c:pt>
                <c:pt idx="10">
                  <c:v>1.4979968826099244</c:v>
                </c:pt>
                <c:pt idx="11">
                  <c:v>1.6052428332067852</c:v>
                </c:pt>
                <c:pt idx="12">
                  <c:v>1.3809573954989991</c:v>
                </c:pt>
                <c:pt idx="13">
                  <c:v>1.0777438934534134</c:v>
                </c:pt>
                <c:pt idx="14">
                  <c:v>1.2154792862974024</c:v>
                </c:pt>
                <c:pt idx="15">
                  <c:v>1.4963492643956473</c:v>
                </c:pt>
                <c:pt idx="16">
                  <c:v>1.2880373637518141</c:v>
                </c:pt>
                <c:pt idx="17">
                  <c:v>1.3758348819401589</c:v>
                </c:pt>
                <c:pt idx="18">
                  <c:v>1.6939860113040957</c:v>
                </c:pt>
                <c:pt idx="19">
                  <c:v>1.4940290147038324</c:v>
                </c:pt>
                <c:pt idx="20">
                  <c:v>1.6896963139561041</c:v>
                </c:pt>
                <c:pt idx="21">
                  <c:v>1.4927056460618304</c:v>
                </c:pt>
              </c:numCache>
            </c:numRef>
          </c:xVal>
          <c:yVal>
            <c:numRef>
              <c:f>NaiwnyBayes_Petal!$H$2:$H$23</c:f>
              <c:numCache>
                <c:formatCode>General</c:formatCode>
                <c:ptCount val="22"/>
                <c:pt idx="0">
                  <c:v>0.22018151800797928</c:v>
                </c:pt>
                <c:pt idx="1">
                  <c:v>0.22386752290427706</c:v>
                </c:pt>
                <c:pt idx="2">
                  <c:v>0.19917468219012399</c:v>
                </c:pt>
                <c:pt idx="3">
                  <c:v>0.1942965134167311</c:v>
                </c:pt>
                <c:pt idx="4">
                  <c:v>0.17729559094007466</c:v>
                </c:pt>
                <c:pt idx="5">
                  <c:v>0.4135199020461594</c:v>
                </c:pt>
                <c:pt idx="6">
                  <c:v>0.2944635990504284</c:v>
                </c:pt>
                <c:pt idx="7">
                  <c:v>0.21828216963982533</c:v>
                </c:pt>
                <c:pt idx="8">
                  <c:v>0.20564287279168847</c:v>
                </c:pt>
                <c:pt idx="9">
                  <c:v>0.10335430510720109</c:v>
                </c:pt>
                <c:pt idx="10">
                  <c:v>0.18144149982898328</c:v>
                </c:pt>
                <c:pt idx="11">
                  <c:v>0.18708289031014616</c:v>
                </c:pt>
                <c:pt idx="12">
                  <c:v>0.12035355431431929</c:v>
                </c:pt>
                <c:pt idx="13">
                  <c:v>0.1180884101434756</c:v>
                </c:pt>
                <c:pt idx="14">
                  <c:v>0.19863508140312094</c:v>
                </c:pt>
                <c:pt idx="15">
                  <c:v>0.38879427717833859</c:v>
                </c:pt>
                <c:pt idx="16">
                  <c:v>0.4058275335277145</c:v>
                </c:pt>
                <c:pt idx="17">
                  <c:v>0.30804614721416312</c:v>
                </c:pt>
                <c:pt idx="18">
                  <c:v>0.28548349477359308</c:v>
                </c:pt>
                <c:pt idx="19">
                  <c:v>0.30023038823703402</c:v>
                </c:pt>
                <c:pt idx="20">
                  <c:v>0.20707407381389692</c:v>
                </c:pt>
                <c:pt idx="21">
                  <c:v>0.41165410361023175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2-4A7F-85E0-A3226818036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NaiwnyBayes_Petal!$G$24:$G$32</c:f>
              <c:numCache>
                <c:formatCode>General</c:formatCode>
                <c:ptCount val="9"/>
                <c:pt idx="0">
                  <c:v>0.99037891570960557</c:v>
                </c:pt>
                <c:pt idx="1">
                  <c:v>1.6755452448650958</c:v>
                </c:pt>
                <c:pt idx="2">
                  <c:v>1.9036736649669448</c:v>
                </c:pt>
                <c:pt idx="3">
                  <c:v>1.5954417400146759</c:v>
                </c:pt>
                <c:pt idx="4">
                  <c:v>1.5880696939004113</c:v>
                </c:pt>
                <c:pt idx="5">
                  <c:v>1.5233238600130632</c:v>
                </c:pt>
                <c:pt idx="6">
                  <c:v>1.3933559000500015</c:v>
                </c:pt>
                <c:pt idx="7">
                  <c:v>1.6107024048487428</c:v>
                </c:pt>
                <c:pt idx="8">
                  <c:v>1.5786196861423036</c:v>
                </c:pt>
              </c:numCache>
            </c:numRef>
          </c:xVal>
          <c:yVal>
            <c:numRef>
              <c:f>NaiwnyBayes_Petal!$H$24:$H$32</c:f>
              <c:numCache>
                <c:formatCode>General</c:formatCode>
                <c:ptCount val="9"/>
                <c:pt idx="0">
                  <c:v>0.21045416219234958</c:v>
                </c:pt>
                <c:pt idx="1">
                  <c:v>0.52012586143864314</c:v>
                </c:pt>
                <c:pt idx="2">
                  <c:v>0.17993376845673539</c:v>
                </c:pt>
                <c:pt idx="3">
                  <c:v>0.1984354986401286</c:v>
                </c:pt>
                <c:pt idx="4">
                  <c:v>0.39878944500571534</c:v>
                </c:pt>
                <c:pt idx="5">
                  <c:v>0.21929917383832162</c:v>
                </c:pt>
                <c:pt idx="6">
                  <c:v>0.19865425221337599</c:v>
                </c:pt>
                <c:pt idx="7">
                  <c:v>0.1977723969033722</c:v>
                </c:pt>
                <c:pt idx="8">
                  <c:v>0.22050806985054897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D2-4A7F-85E0-A3226818036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NaiwnyBayes_Petal!$G$33:$G$41</c:f>
              <c:numCache>
                <c:formatCode>General</c:formatCode>
                <c:ptCount val="9"/>
                <c:pt idx="0">
                  <c:v>1.4753980004246521</c:v>
                </c:pt>
                <c:pt idx="1">
                  <c:v>1.5047072218254607</c:v>
                </c:pt>
                <c:pt idx="2">
                  <c:v>1.4207224265581568</c:v>
                </c:pt>
                <c:pt idx="3">
                  <c:v>1.4779200011348004</c:v>
                </c:pt>
                <c:pt idx="4">
                  <c:v>1.1825690564812836</c:v>
                </c:pt>
                <c:pt idx="5">
                  <c:v>1.2962262334449353</c:v>
                </c:pt>
                <c:pt idx="6">
                  <c:v>1.398463553612558</c:v>
                </c:pt>
                <c:pt idx="7">
                  <c:v>1.2988835855280458</c:v>
                </c:pt>
                <c:pt idx="8">
                  <c:v>1.5058514418868372</c:v>
                </c:pt>
              </c:numCache>
            </c:numRef>
          </c:xVal>
          <c:yVal>
            <c:numRef>
              <c:f>NaiwnyBayes_Petal!$H$33:$H$41</c:f>
              <c:numCache>
                <c:formatCode>General</c:formatCode>
                <c:ptCount val="9"/>
                <c:pt idx="0">
                  <c:v>0.39557385348134932</c:v>
                </c:pt>
                <c:pt idx="1">
                  <c:v>0.10242512115698071</c:v>
                </c:pt>
                <c:pt idx="2">
                  <c:v>0.18309153773246561</c:v>
                </c:pt>
                <c:pt idx="3">
                  <c:v>0.18989483571529711</c:v>
                </c:pt>
                <c:pt idx="4">
                  <c:v>0.18231044281739442</c:v>
                </c:pt>
                <c:pt idx="5">
                  <c:v>0.20931102872358712</c:v>
                </c:pt>
                <c:pt idx="6">
                  <c:v>0.11700037162258822</c:v>
                </c:pt>
                <c:pt idx="7">
                  <c:v>0.19275970571089718</c:v>
                </c:pt>
                <c:pt idx="8">
                  <c:v>0.21223610092419479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D2-4A7F-85E0-A32268180361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NaiwnyBayes_Petal!$G$42:$G$51</c:f>
              <c:numCache>
                <c:formatCode>General</c:formatCode>
                <c:ptCount val="10"/>
                <c:pt idx="0">
                  <c:v>1.304277608400231</c:v>
                </c:pt>
                <c:pt idx="1">
                  <c:v>1.3229661868830298</c:v>
                </c:pt>
                <c:pt idx="2">
                  <c:v>1.2777665357183354</c:v>
                </c:pt>
                <c:pt idx="3">
                  <c:v>1.6207493395178256</c:v>
                </c:pt>
                <c:pt idx="4">
                  <c:v>1.9029008304890647</c:v>
                </c:pt>
                <c:pt idx="5">
                  <c:v>1.4007548898212225</c:v>
                </c:pt>
                <c:pt idx="6">
                  <c:v>1.6052425364158796</c:v>
                </c:pt>
                <c:pt idx="7">
                  <c:v>1.40162416775731</c:v>
                </c:pt>
                <c:pt idx="8">
                  <c:v>1.501990193397992</c:v>
                </c:pt>
                <c:pt idx="9">
                  <c:v>1.406506275245013</c:v>
                </c:pt>
              </c:numCache>
            </c:numRef>
          </c:xVal>
          <c:yVal>
            <c:numRef>
              <c:f>NaiwnyBayes_Petal!$H$42:$H$51</c:f>
              <c:numCache>
                <c:formatCode>General</c:formatCode>
                <c:ptCount val="10"/>
                <c:pt idx="0">
                  <c:v>0.3244299790171839</c:v>
                </c:pt>
                <c:pt idx="1">
                  <c:v>0.31871447236341011</c:v>
                </c:pt>
                <c:pt idx="2">
                  <c:v>0.20291090542540277</c:v>
                </c:pt>
                <c:pt idx="3">
                  <c:v>0.59213341563985289</c:v>
                </c:pt>
                <c:pt idx="4">
                  <c:v>0.41249144930218418</c:v>
                </c:pt>
                <c:pt idx="5">
                  <c:v>0.29981898130613582</c:v>
                </c:pt>
                <c:pt idx="6">
                  <c:v>0.19022742223310132</c:v>
                </c:pt>
                <c:pt idx="7">
                  <c:v>0.20301234614934094</c:v>
                </c:pt>
                <c:pt idx="8">
                  <c:v>0.22140509522227647</c:v>
                </c:pt>
                <c:pt idx="9">
                  <c:v>0.19076543266517326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D2-4A7F-85E0-A32268180361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0070C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NaiwnyBayes_Petal!$G$52:$G$60</c:f>
              <c:numCache>
                <c:formatCode>General</c:formatCode>
                <c:ptCount val="9"/>
                <c:pt idx="0">
                  <c:v>4.7005162016303208</c:v>
                </c:pt>
                <c:pt idx="1">
                  <c:v>4.5154444353581171</c:v>
                </c:pt>
                <c:pt idx="2">
                  <c:v>4.8996744465809323</c:v>
                </c:pt>
                <c:pt idx="3">
                  <c:v>3.9901545021275484</c:v>
                </c:pt>
                <c:pt idx="4">
                  <c:v>4.5806584722477766</c:v>
                </c:pt>
                <c:pt idx="5">
                  <c:v>4.4804986809635965</c:v>
                </c:pt>
                <c:pt idx="6">
                  <c:v>4.7009661297915812</c:v>
                </c:pt>
                <c:pt idx="7">
                  <c:v>3.2943031006940502</c:v>
                </c:pt>
                <c:pt idx="8">
                  <c:v>4.6158663476584589</c:v>
                </c:pt>
              </c:numCache>
            </c:numRef>
          </c:xVal>
          <c:yVal>
            <c:numRef>
              <c:f>NaiwnyBayes_Petal!$H$52:$H$60</c:f>
              <c:numCache>
                <c:formatCode>General</c:formatCode>
                <c:ptCount val="9"/>
                <c:pt idx="0">
                  <c:v>1.3810949128946675</c:v>
                </c:pt>
                <c:pt idx="1">
                  <c:v>1.4826109264966905</c:v>
                </c:pt>
                <c:pt idx="2">
                  <c:v>1.4965171337255041</c:v>
                </c:pt>
                <c:pt idx="3">
                  <c:v>1.3240067548976138</c:v>
                </c:pt>
                <c:pt idx="4">
                  <c:v>1.4894526986753063</c:v>
                </c:pt>
                <c:pt idx="5">
                  <c:v>1.2914588310864978</c:v>
                </c:pt>
                <c:pt idx="6">
                  <c:v>1.5968963499503492</c:v>
                </c:pt>
                <c:pt idx="7">
                  <c:v>1.0189324610594084</c:v>
                </c:pt>
                <c:pt idx="8">
                  <c:v>1.3012839639364424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D2-4A7F-85E0-A32268180361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NaiwnyBayes_Petal!$G$61:$G$79</c:f>
              <c:numCache>
                <c:formatCode>General</c:formatCode>
                <c:ptCount val="19"/>
                <c:pt idx="0">
                  <c:v>3.8808483796754403</c:v>
                </c:pt>
                <c:pt idx="1">
                  <c:v>3.5132871729887736</c:v>
                </c:pt>
                <c:pt idx="2">
                  <c:v>4.1871809020514119</c:v>
                </c:pt>
                <c:pt idx="3">
                  <c:v>3.9841137443161636</c:v>
                </c:pt>
                <c:pt idx="4">
                  <c:v>4.7101418636516001</c:v>
                </c:pt>
                <c:pt idx="5">
                  <c:v>3.6162845170005045</c:v>
                </c:pt>
                <c:pt idx="6">
                  <c:v>4.3988494206929127</c:v>
                </c:pt>
                <c:pt idx="7">
                  <c:v>4.5182346916957652</c:v>
                </c:pt>
                <c:pt idx="8">
                  <c:v>4.0960546844382932</c:v>
                </c:pt>
                <c:pt idx="9">
                  <c:v>4.5118156886293956</c:v>
                </c:pt>
                <c:pt idx="10">
                  <c:v>3.8787090050658719</c:v>
                </c:pt>
                <c:pt idx="11">
                  <c:v>4.7868745199274372</c:v>
                </c:pt>
                <c:pt idx="12">
                  <c:v>3.9844963540943961</c:v>
                </c:pt>
                <c:pt idx="13">
                  <c:v>4.9025541223850411</c:v>
                </c:pt>
                <c:pt idx="14">
                  <c:v>4.7002755457276999</c:v>
                </c:pt>
                <c:pt idx="15">
                  <c:v>4.314573108245761</c:v>
                </c:pt>
                <c:pt idx="16">
                  <c:v>4.4045232352931105</c:v>
                </c:pt>
                <c:pt idx="17">
                  <c:v>4.779159783010182</c:v>
                </c:pt>
                <c:pt idx="18">
                  <c:v>4.9864981955772114</c:v>
                </c:pt>
              </c:numCache>
            </c:numRef>
          </c:xVal>
          <c:yVal>
            <c:numRef>
              <c:f>NaiwnyBayes_Petal!$H$61:$H$79</c:f>
              <c:numCache>
                <c:formatCode>General</c:formatCode>
                <c:ptCount val="19"/>
                <c:pt idx="0">
                  <c:v>1.3978239490894264</c:v>
                </c:pt>
                <c:pt idx="1">
                  <c:v>0.97946510666825104</c:v>
                </c:pt>
                <c:pt idx="2">
                  <c:v>1.4853060891734389</c:v>
                </c:pt>
                <c:pt idx="3">
                  <c:v>1.0179759008349984</c:v>
                </c:pt>
                <c:pt idx="4">
                  <c:v>1.3820570900458924</c:v>
                </c:pt>
                <c:pt idx="5">
                  <c:v>1.3189776492165821</c:v>
                </c:pt>
                <c:pt idx="6">
                  <c:v>1.420925439662353</c:v>
                </c:pt>
                <c:pt idx="7">
                  <c:v>1.5040941408961173</c:v>
                </c:pt>
                <c:pt idx="8">
                  <c:v>1.0055903398277324</c:v>
                </c:pt>
                <c:pt idx="9">
                  <c:v>1.5050811807894886</c:v>
                </c:pt>
                <c:pt idx="10">
                  <c:v>1.1193073564518492</c:v>
                </c:pt>
                <c:pt idx="11">
                  <c:v>1.7855643344247356</c:v>
                </c:pt>
                <c:pt idx="12">
                  <c:v>1.2907705576988375</c:v>
                </c:pt>
                <c:pt idx="13">
                  <c:v>1.4927471205491227</c:v>
                </c:pt>
                <c:pt idx="14">
                  <c:v>1.1773059074891203</c:v>
                </c:pt>
                <c:pt idx="15">
                  <c:v>1.3013050375532669</c:v>
                </c:pt>
                <c:pt idx="16">
                  <c:v>1.3990698895345095</c:v>
                </c:pt>
                <c:pt idx="17">
                  <c:v>1.3858445150810841</c:v>
                </c:pt>
                <c:pt idx="18">
                  <c:v>1.6843083183738503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6D2-4A7F-85E0-A3226818036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NaiwnyBayes_Petal!$G$80:$G$88</c:f>
              <c:numCache>
                <c:formatCode>General</c:formatCode>
                <c:ptCount val="9"/>
                <c:pt idx="0">
                  <c:v>4.5047829731461722</c:v>
                </c:pt>
                <c:pt idx="1">
                  <c:v>3.5180319226361854</c:v>
                </c:pt>
                <c:pt idx="2">
                  <c:v>3.8035031621945898</c:v>
                </c:pt>
                <c:pt idx="3">
                  <c:v>3.7167613496972431</c:v>
                </c:pt>
                <c:pt idx="4">
                  <c:v>3.8993374128407718</c:v>
                </c:pt>
                <c:pt idx="5">
                  <c:v>5.1218853807755664</c:v>
                </c:pt>
                <c:pt idx="6">
                  <c:v>4.5046963258962975</c:v>
                </c:pt>
                <c:pt idx="7">
                  <c:v>4.5055093849095806</c:v>
                </c:pt>
                <c:pt idx="8">
                  <c:v>4.7011139471570358</c:v>
                </c:pt>
              </c:numCache>
            </c:numRef>
          </c:xVal>
          <c:yVal>
            <c:numRef>
              <c:f>NaiwnyBayes_Petal!$H$80:$H$88</c:f>
              <c:numCache>
                <c:formatCode>General</c:formatCode>
                <c:ptCount val="9"/>
                <c:pt idx="0">
                  <c:v>1.4785873186803757</c:v>
                </c:pt>
                <c:pt idx="1">
                  <c:v>0.99176940424923121</c:v>
                </c:pt>
                <c:pt idx="2">
                  <c:v>1.0860082630724266</c:v>
                </c:pt>
                <c:pt idx="3">
                  <c:v>1.003030484094416</c:v>
                </c:pt>
                <c:pt idx="4">
                  <c:v>1.1944505468270639</c:v>
                </c:pt>
                <c:pt idx="5">
                  <c:v>1.5854728008103884</c:v>
                </c:pt>
                <c:pt idx="6">
                  <c:v>1.5213813029503569</c:v>
                </c:pt>
                <c:pt idx="7">
                  <c:v>1.6211400091862656</c:v>
                </c:pt>
                <c:pt idx="8">
                  <c:v>1.5032874056462227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6D2-4A7F-85E0-A3226818036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NaiwnyBayes_Petal!$G$89:$G$101</c:f>
              <c:numCache>
                <c:formatCode>General</c:formatCode>
                <c:ptCount val="13"/>
                <c:pt idx="0">
                  <c:v>4.385046321985147</c:v>
                </c:pt>
                <c:pt idx="1">
                  <c:v>4.1130961153713805</c:v>
                </c:pt>
                <c:pt idx="2">
                  <c:v>4.0243398956853911</c:v>
                </c:pt>
                <c:pt idx="3">
                  <c:v>4.3820492485962177</c:v>
                </c:pt>
                <c:pt idx="4">
                  <c:v>4.590215777096442</c:v>
                </c:pt>
                <c:pt idx="5">
                  <c:v>3.9751492591577358</c:v>
                </c:pt>
                <c:pt idx="6">
                  <c:v>3.3100283632782928</c:v>
                </c:pt>
                <c:pt idx="7">
                  <c:v>4.2089711391354516</c:v>
                </c:pt>
                <c:pt idx="8">
                  <c:v>4.1761043572270271</c:v>
                </c:pt>
                <c:pt idx="9">
                  <c:v>4.1831651291565262</c:v>
                </c:pt>
                <c:pt idx="10">
                  <c:v>4.3222555358617427</c:v>
                </c:pt>
                <c:pt idx="11">
                  <c:v>2.9867631985012588</c:v>
                </c:pt>
                <c:pt idx="12">
                  <c:v>4.1080170583819351</c:v>
                </c:pt>
              </c:numCache>
            </c:numRef>
          </c:xVal>
          <c:yVal>
            <c:numRef>
              <c:f>NaiwnyBayes_Petal!$H$89:$H$101</c:f>
              <c:numCache>
                <c:formatCode>General</c:formatCode>
                <c:ptCount val="13"/>
                <c:pt idx="0">
                  <c:v>1.3024608267291857</c:v>
                </c:pt>
                <c:pt idx="1">
                  <c:v>1.2962694288060124</c:v>
                </c:pt>
                <c:pt idx="2">
                  <c:v>1.3013828952108806</c:v>
                </c:pt>
                <c:pt idx="3">
                  <c:v>1.2052976311383465</c:v>
                </c:pt>
                <c:pt idx="4">
                  <c:v>1.4049297397700593</c:v>
                </c:pt>
                <c:pt idx="5">
                  <c:v>1.1875337936226067</c:v>
                </c:pt>
                <c:pt idx="6">
                  <c:v>0.99913919155836484</c:v>
                </c:pt>
                <c:pt idx="7">
                  <c:v>1.2935617971950728</c:v>
                </c:pt>
                <c:pt idx="8">
                  <c:v>1.1934242763502967</c:v>
                </c:pt>
                <c:pt idx="9">
                  <c:v>1.2894374499087413</c:v>
                </c:pt>
                <c:pt idx="10">
                  <c:v>1.3165280803213666</c:v>
                </c:pt>
                <c:pt idx="11">
                  <c:v>1.1122680893323387</c:v>
                </c:pt>
                <c:pt idx="12">
                  <c:v>1.3110129956014636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6D2-4A7F-85E0-A32268180361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NaiwnyBayes_Petal!$G$102:$G$131</c:f>
              <c:numCache>
                <c:formatCode>General</c:formatCode>
                <c:ptCount val="30"/>
                <c:pt idx="0">
                  <c:v>6.0248312952747796</c:v>
                </c:pt>
                <c:pt idx="1">
                  <c:v>5.1037133215195727</c:v>
                </c:pt>
                <c:pt idx="2">
                  <c:v>5.9131948232659939</c:v>
                </c:pt>
                <c:pt idx="3">
                  <c:v>5.5777417443950821</c:v>
                </c:pt>
                <c:pt idx="4">
                  <c:v>5.7969379522668731</c:v>
                </c:pt>
                <c:pt idx="5">
                  <c:v>6.6167284180134214</c:v>
                </c:pt>
                <c:pt idx="6">
                  <c:v>4.4864813778687465</c:v>
                </c:pt>
                <c:pt idx="7">
                  <c:v>6.2960580914027862</c:v>
                </c:pt>
                <c:pt idx="8">
                  <c:v>5.818517135461355</c:v>
                </c:pt>
                <c:pt idx="9">
                  <c:v>6.1147411414877091</c:v>
                </c:pt>
                <c:pt idx="10">
                  <c:v>5.0957316377506139</c:v>
                </c:pt>
                <c:pt idx="11">
                  <c:v>5.3066477445760611</c:v>
                </c:pt>
                <c:pt idx="12">
                  <c:v>5.4971509509328449</c:v>
                </c:pt>
                <c:pt idx="13">
                  <c:v>4.977114220058624</c:v>
                </c:pt>
                <c:pt idx="14">
                  <c:v>5.0851784561563234</c:v>
                </c:pt>
                <c:pt idx="15">
                  <c:v>5.2881536895474186</c:v>
                </c:pt>
                <c:pt idx="16">
                  <c:v>5.4816877590410336</c:v>
                </c:pt>
                <c:pt idx="17">
                  <c:v>6.6761961934574954</c:v>
                </c:pt>
                <c:pt idx="18">
                  <c:v>6.9062220723600367</c:v>
                </c:pt>
                <c:pt idx="19">
                  <c:v>4.9931760845805302</c:v>
                </c:pt>
                <c:pt idx="20">
                  <c:v>5.7024014402963044</c:v>
                </c:pt>
                <c:pt idx="21">
                  <c:v>4.9035091414986809</c:v>
                </c:pt>
                <c:pt idx="22">
                  <c:v>6.6827312786784088</c:v>
                </c:pt>
                <c:pt idx="23">
                  <c:v>4.9201135152594553</c:v>
                </c:pt>
                <c:pt idx="24">
                  <c:v>5.6763596513815457</c:v>
                </c:pt>
                <c:pt idx="25">
                  <c:v>6.0238058867518012</c:v>
                </c:pt>
                <c:pt idx="26">
                  <c:v>4.7914930199897139</c:v>
                </c:pt>
                <c:pt idx="27">
                  <c:v>4.881390570287742</c:v>
                </c:pt>
                <c:pt idx="28">
                  <c:v>5.5948749797289432</c:v>
                </c:pt>
                <c:pt idx="29">
                  <c:v>5.8159784753075758</c:v>
                </c:pt>
              </c:numCache>
            </c:numRef>
          </c:xVal>
          <c:yVal>
            <c:numRef>
              <c:f>NaiwnyBayes_Petal!$H$102:$H$131</c:f>
              <c:numCache>
                <c:formatCode>General</c:formatCode>
                <c:ptCount val="30"/>
                <c:pt idx="0">
                  <c:v>2.5212274422282412</c:v>
                </c:pt>
                <c:pt idx="1">
                  <c:v>1.8867986661527369</c:v>
                </c:pt>
                <c:pt idx="2">
                  <c:v>2.1177028898491708</c:v>
                </c:pt>
                <c:pt idx="3">
                  <c:v>1.7966221736735157</c:v>
                </c:pt>
                <c:pt idx="4">
                  <c:v>2.1880171299173958</c:v>
                </c:pt>
                <c:pt idx="5">
                  <c:v>2.1002711979844357</c:v>
                </c:pt>
                <c:pt idx="6">
                  <c:v>1.720355520909892</c:v>
                </c:pt>
                <c:pt idx="7">
                  <c:v>1.7882641768882006</c:v>
                </c:pt>
                <c:pt idx="8">
                  <c:v>1.7763251273489284</c:v>
                </c:pt>
                <c:pt idx="9">
                  <c:v>2.4977097577594751</c:v>
                </c:pt>
                <c:pt idx="10">
                  <c:v>2.0178074354195328</c:v>
                </c:pt>
                <c:pt idx="11">
                  <c:v>1.8851161260360383</c:v>
                </c:pt>
                <c:pt idx="12">
                  <c:v>2.1148378838409752</c:v>
                </c:pt>
                <c:pt idx="13">
                  <c:v>2.0209781960840303</c:v>
                </c:pt>
                <c:pt idx="14">
                  <c:v>2.3930619788019225</c:v>
                </c:pt>
                <c:pt idx="15">
                  <c:v>2.2989741798599912</c:v>
                </c:pt>
                <c:pt idx="16">
                  <c:v>1.8096641006121825</c:v>
                </c:pt>
                <c:pt idx="17">
                  <c:v>2.2093589169690135</c:v>
                </c:pt>
                <c:pt idx="18">
                  <c:v>2.3206803997340679</c:v>
                </c:pt>
                <c:pt idx="19">
                  <c:v>1.4806125019174048</c:v>
                </c:pt>
                <c:pt idx="20">
                  <c:v>2.3176096812893343</c:v>
                </c:pt>
                <c:pt idx="21">
                  <c:v>2.0074304487201022</c:v>
                </c:pt>
                <c:pt idx="22">
                  <c:v>1.9769088588635744</c:v>
                </c:pt>
                <c:pt idx="23">
                  <c:v>1.8115989394807219</c:v>
                </c:pt>
                <c:pt idx="24">
                  <c:v>2.1158330029325692</c:v>
                </c:pt>
                <c:pt idx="25">
                  <c:v>1.8159255830226464</c:v>
                </c:pt>
                <c:pt idx="26">
                  <c:v>1.8216397084118987</c:v>
                </c:pt>
                <c:pt idx="27">
                  <c:v>1.7891772622918445</c:v>
                </c:pt>
                <c:pt idx="28">
                  <c:v>2.1244849845857656</c:v>
                </c:pt>
                <c:pt idx="29">
                  <c:v>1.5940981263996663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6D2-4A7F-85E0-A32268180361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7030A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NaiwnyBayes_Petal!$G$132:$G$150</c:f>
              <c:numCache>
                <c:formatCode>General</c:formatCode>
                <c:ptCount val="19"/>
                <c:pt idx="0">
                  <c:v>6.1002690501934582</c:v>
                </c:pt>
                <c:pt idx="1">
                  <c:v>6.4198526580236299</c:v>
                </c:pt>
                <c:pt idx="2">
                  <c:v>5.5951020375026648</c:v>
                </c:pt>
                <c:pt idx="3">
                  <c:v>5.0820668881235482</c:v>
                </c:pt>
                <c:pt idx="4">
                  <c:v>5.6068501914622253</c:v>
                </c:pt>
                <c:pt idx="5">
                  <c:v>6.1166582917162122</c:v>
                </c:pt>
                <c:pt idx="6">
                  <c:v>5.6118135180812319</c:v>
                </c:pt>
                <c:pt idx="7">
                  <c:v>5.4903933168175314</c:v>
                </c:pt>
                <c:pt idx="8">
                  <c:v>4.8079569555895141</c:v>
                </c:pt>
                <c:pt idx="9">
                  <c:v>5.4167499229850193</c:v>
                </c:pt>
                <c:pt idx="10">
                  <c:v>5.5902431746233079</c:v>
                </c:pt>
                <c:pt idx="11">
                  <c:v>5.1118016253430225</c:v>
                </c:pt>
                <c:pt idx="12">
                  <c:v>5.094998096427255</c:v>
                </c:pt>
                <c:pt idx="13">
                  <c:v>5.9037899782151841</c:v>
                </c:pt>
                <c:pt idx="14">
                  <c:v>5.7016115967954191</c:v>
                </c:pt>
                <c:pt idx="15">
                  <c:v>5.1892107079913918</c:v>
                </c:pt>
                <c:pt idx="16">
                  <c:v>4.9892167746325136</c:v>
                </c:pt>
                <c:pt idx="17">
                  <c:v>5.2243872951218604</c:v>
                </c:pt>
                <c:pt idx="18">
                  <c:v>5.40250893932867</c:v>
                </c:pt>
              </c:numCache>
            </c:numRef>
          </c:xVal>
          <c:yVal>
            <c:numRef>
              <c:f>NaiwnyBayes_Petal!$H$132:$H$150</c:f>
              <c:numCache>
                <c:formatCode>General</c:formatCode>
                <c:ptCount val="19"/>
                <c:pt idx="0">
                  <c:v>1.8920824019224467</c:v>
                </c:pt>
                <c:pt idx="1">
                  <c:v>2.0159878401640774</c:v>
                </c:pt>
                <c:pt idx="2">
                  <c:v>2.2033888157883581</c:v>
                </c:pt>
                <c:pt idx="3">
                  <c:v>1.4916922767820773</c:v>
                </c:pt>
                <c:pt idx="4">
                  <c:v>1.4164362025551243</c:v>
                </c:pt>
                <c:pt idx="5">
                  <c:v>2.289345293403291</c:v>
                </c:pt>
                <c:pt idx="6">
                  <c:v>2.3865160276659281</c:v>
                </c:pt>
                <c:pt idx="7">
                  <c:v>1.7909886117194036</c:v>
                </c:pt>
                <c:pt idx="8">
                  <c:v>1.8089787369005312</c:v>
                </c:pt>
                <c:pt idx="9">
                  <c:v>2.092532973838396</c:v>
                </c:pt>
                <c:pt idx="10">
                  <c:v>2.4146573662985911</c:v>
                </c:pt>
                <c:pt idx="11">
                  <c:v>2.3232566786470961</c:v>
                </c:pt>
                <c:pt idx="12">
                  <c:v>1.8992770863489219</c:v>
                </c:pt>
                <c:pt idx="13">
                  <c:v>2.2997792733015832</c:v>
                </c:pt>
                <c:pt idx="14">
                  <c:v>2.4836064020109223</c:v>
                </c:pt>
                <c:pt idx="15">
                  <c:v>2.2815323388106945</c:v>
                </c:pt>
                <c:pt idx="16">
                  <c:v>1.8887317436965494</c:v>
                </c:pt>
                <c:pt idx="17">
                  <c:v>2.0026665642838966</c:v>
                </c:pt>
                <c:pt idx="18">
                  <c:v>2.2871146396057682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6D2-4A7F-85E0-A32268180361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NaiwnyBayes_Petal!$G$151</c:f>
              <c:numCache>
                <c:formatCode>General</c:formatCode>
                <c:ptCount val="1"/>
                <c:pt idx="0">
                  <c:v>5.0754651017451931</c:v>
                </c:pt>
              </c:numCache>
            </c:numRef>
          </c:xVal>
          <c:yVal>
            <c:numRef>
              <c:f>NaiwnyBayes_Petal!$H$151</c:f>
              <c:numCache>
                <c:formatCode>General</c:formatCode>
                <c:ptCount val="1"/>
                <c:pt idx="0">
                  <c:v>1.8082730612028319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6D2-4A7F-85E0-A32268180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560496"/>
        <c:axId val="241555424"/>
      </c:scatterChart>
      <c:valAx>
        <c:axId val="30956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1555424"/>
        <c:crosses val="autoZero"/>
        <c:crossBetween val="midCat"/>
      </c:valAx>
      <c:valAx>
        <c:axId val="24155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956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9</xdr:row>
      <xdr:rowOff>109537</xdr:rowOff>
    </xdr:from>
    <xdr:to>
      <xdr:col>13</xdr:col>
      <xdr:colOff>581025</xdr:colOff>
      <xdr:row>23</xdr:row>
      <xdr:rowOff>185737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40E67913-9B52-4D10-9068-DD39FC14D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209550</xdr:colOff>
      <xdr:row>48</xdr:row>
      <xdr:rowOff>142875</xdr:rowOff>
    </xdr:from>
    <xdr:to>
      <xdr:col>12</xdr:col>
      <xdr:colOff>622300</xdr:colOff>
      <xdr:row>67</xdr:row>
      <xdr:rowOff>173037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71E4AEDB-75FA-4A3B-A0AF-D3AA403E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295275</xdr:colOff>
      <xdr:row>9</xdr:row>
      <xdr:rowOff>128587</xdr:rowOff>
    </xdr:from>
    <xdr:to>
      <xdr:col>6</xdr:col>
      <xdr:colOff>428625</xdr:colOff>
      <xdr:row>24</xdr:row>
      <xdr:rowOff>14287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7B9A4641-3736-45CE-A2ED-4BA45A0B9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542925</xdr:colOff>
      <xdr:row>24</xdr:row>
      <xdr:rowOff>95250</xdr:rowOff>
    </xdr:from>
    <xdr:to>
      <xdr:col>12</xdr:col>
      <xdr:colOff>409575</xdr:colOff>
      <xdr:row>48</xdr:row>
      <xdr:rowOff>52387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1879B300-A877-41AF-96E9-93CF895D2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720724</xdr:colOff>
      <xdr:row>24</xdr:row>
      <xdr:rowOff>95251</xdr:rowOff>
    </xdr:from>
    <xdr:to>
      <xdr:col>19</xdr:col>
      <xdr:colOff>209549</xdr:colOff>
      <xdr:row>43</xdr:row>
      <xdr:rowOff>20638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2572511-BA15-498D-837C-BAE0BBDC38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657224</xdr:colOff>
      <xdr:row>3</xdr:row>
      <xdr:rowOff>171450</xdr:rowOff>
    </xdr:from>
    <xdr:to>
      <xdr:col>19</xdr:col>
      <xdr:colOff>76199</xdr:colOff>
      <xdr:row>24</xdr:row>
      <xdr:rowOff>180975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E72A42B-65CD-429F-AC57-37C3057F1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BL12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3984.005259143516" createdVersion="6" refreshedVersion="6" minRefreshableVersion="3" recordCount="150" xr:uid="{1F5CF8F1-7E4C-4E61-B0C2-B3CFAFFD1947}">
  <cacheSource type="worksheet">
    <worksheetSource ref="E1:F151" sheet="NaiwnyBayes_Petal" r:id="rId2"/>
  </cacheSource>
  <cacheFields count="2">
    <cacheField name="Colour" numFmtId="0">
      <sharedItems count="4">
        <s v="blue"/>
        <s v="violet"/>
        <s v="white"/>
        <s v="yellow"/>
      </sharedItems>
    </cacheField>
    <cacheField name="Species" numFmtId="0">
      <sharedItems count="3">
        <s v="setosa"/>
        <s v="versicolor"/>
        <s v="virginic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2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3"/>
    <x v="0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2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3"/>
    <x v="1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1"/>
    <x v="2"/>
  </r>
  <r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24C15-8B31-4037-96A9-3F73A8D3CA4C}" name="Tabela przestawna1" cacheId="3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outline="1" outlineData="1" multipleFieldFilters="0">
  <location ref="P53:T59" firstHeaderRow="1" firstDataRow="2" firstDataCol="1"/>
  <pivotFields count="2">
    <pivotField axis="axisRow" showAll="0">
      <items count="5">
        <item x="0"/>
        <item x="1"/>
        <item x="2"/>
        <item x="3"/>
        <item t="default"/>
      </items>
    </pivotField>
    <pivotField axis="axisCol" dataField="1" showAll="0">
      <items count="4">
        <item x="0"/>
        <item x="1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Liczba z Species" fld="1" subtotal="count" baseField="0" baseItem="0"/>
  </dataField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DC1C7-5084-4833-81D0-5CB43AD2EB68}">
  <sheetPr codeName="Arkusz1"/>
  <dimension ref="A1:DL151"/>
  <sheetViews>
    <sheetView tabSelected="1" topLeftCell="B7" zoomScaleNormal="100" zoomScaleSheetLayoutView="40" workbookViewId="0">
      <selection activeCell="N27" sqref="N27"/>
    </sheetView>
  </sheetViews>
  <sheetFormatPr defaultRowHeight="15" x14ac:dyDescent="0.25"/>
  <cols>
    <col min="1" max="1" width="12.5703125" bestFit="1" customWidth="1"/>
    <col min="2" max="2" width="12.140625" bestFit="1" customWidth="1"/>
    <col min="3" max="3" width="12.28515625" bestFit="1" customWidth="1"/>
    <col min="4" max="4" width="11.85546875" bestFit="1" customWidth="1"/>
    <col min="7" max="7" width="9.42578125" bestFit="1" customWidth="1"/>
    <col min="8" max="8" width="9.28515625" bestFit="1" customWidth="1"/>
    <col min="9" max="9" width="9.85546875" bestFit="1" customWidth="1"/>
    <col min="10" max="10" width="9.28515625" bestFit="1" customWidth="1"/>
    <col min="12" max="12" width="15" style="97" bestFit="1" customWidth="1"/>
    <col min="13" max="13" width="12.140625" style="97" bestFit="1" customWidth="1"/>
    <col min="14" max="14" width="9.28515625" style="97" bestFit="1" customWidth="1"/>
    <col min="15" max="15" width="9.28515625" style="97" customWidth="1"/>
    <col min="16" max="116" width="5.5703125" style="97" customWidth="1"/>
    <col min="117" max="131" width="6.7109375" customWidth="1"/>
  </cols>
  <sheetData>
    <row r="1" spans="1:116" ht="15.75" thickBot="1" x14ac:dyDescent="0.3">
      <c r="A1" s="69" t="s">
        <v>0</v>
      </c>
      <c r="B1" s="70" t="s">
        <v>1</v>
      </c>
      <c r="C1" s="70" t="s">
        <v>2</v>
      </c>
      <c r="D1" s="70" t="s">
        <v>3</v>
      </c>
      <c r="E1" s="59" t="s">
        <v>4</v>
      </c>
      <c r="H1" t="s">
        <v>5</v>
      </c>
      <c r="I1" t="s">
        <v>6</v>
      </c>
      <c r="J1" t="s">
        <v>7</v>
      </c>
      <c r="O1" s="97" t="s">
        <v>50</v>
      </c>
      <c r="P1" s="97" cm="1">
        <f t="array" ref="P1">EstymacjaGaussowska(P$4,$C$2:$C$51,$H8)</f>
        <v>2.1634616762013591E-32</v>
      </c>
      <c r="Q1" s="97" cm="1">
        <f t="array" ref="Q1">EstymacjaGaussowska(Q$4,$C$2:$C$51,$H8)</f>
        <v>1.1007649536200519E-27</v>
      </c>
      <c r="R1" s="97" cm="1">
        <f t="array" ref="R1">EstymacjaGaussowska(R$4,$C$2:$C$51,$H8)</f>
        <v>2.2700142960407638E-23</v>
      </c>
      <c r="S1" s="97" cm="1">
        <f t="array" ref="S1">EstymacjaGaussowska(S$4,$C$2:$C$51,$H8)</f>
        <v>1.8973727682895698E-19</v>
      </c>
      <c r="T1" s="97" cm="1">
        <f t="array" ref="T1">EstymacjaGaussowska(T$4,$C$2:$C$51,$H8)</f>
        <v>6.4279327776964995E-16</v>
      </c>
      <c r="U1" s="97" cm="1">
        <f t="array" ref="U1">EstymacjaGaussowska(U$4,$C$2:$C$51,$H8)</f>
        <v>8.8267038957108429E-13</v>
      </c>
      <c r="V1" s="97" cm="1">
        <f t="array" ref="V1">EstymacjaGaussowska(V$4,$C$2:$C$51,$H8)</f>
        <v>4.9133485475496616E-10</v>
      </c>
      <c r="W1" s="97" cm="1">
        <f t="array" ref="W1">EstymacjaGaussowska(W$4,$C$2:$C$51,$H8)</f>
        <v>1.1090267024910185E-7</v>
      </c>
      <c r="X1" s="97" cm="1">
        <f t="array" ref="X1">EstymacjaGaussowska(X$4,$C$2:$C$51,$H8)</f>
        <v>1.0160264804114535E-5</v>
      </c>
      <c r="Y1" s="97" cm="1">
        <f t="array" ref="Y1">EstymacjaGaussowska(Y$4,$C$2:$C$51,$H8)</f>
        <v>3.7891694579353217E-4</v>
      </c>
      <c r="Z1" s="97" cm="1">
        <f t="array" ref="Z1">EstymacjaGaussowska(Z$4,$C$2:$C$51,$H8)</f>
        <v>5.8050533134256588E-3</v>
      </c>
      <c r="AA1" s="97" cm="1">
        <f t="array" ref="AA1">EstymacjaGaussowska(AA$4,$C$2:$C$51,$H8)</f>
        <v>3.7571834831753338E-2</v>
      </c>
      <c r="AB1" s="97" cm="1">
        <f t="array" ref="AB1">EstymacjaGaussowska(AB$4,$C$2:$C$51,$H8)</f>
        <v>0.11188757960060738</v>
      </c>
      <c r="AC1" s="97" cm="1">
        <f t="array" ref="AC1">EstymacjaGaussowska(AC$4,$C$2:$C$51,$H8)</f>
        <v>0.19508489036926679</v>
      </c>
      <c r="AD1" s="97" cm="1">
        <f t="array" ref="AD1">EstymacjaGaussowska(AD$4,$C$2:$C$51,$H8)</f>
        <v>0.31952267143067115</v>
      </c>
      <c r="AE1" s="97" cm="1">
        <f t="array" ref="AE1">EstymacjaGaussowska(AE$4,$C$2:$C$51,$H8)</f>
        <v>0.6450898418611527</v>
      </c>
      <c r="AF1" s="97" cm="1">
        <f t="array" ref="AF1">EstymacjaGaussowska(AF$4,$C$2:$C$51,$H8)</f>
        <v>1.262784031189655</v>
      </c>
      <c r="AG1" s="97" cm="1">
        <f t="array" ref="AG1">EstymacjaGaussowska(AG$4,$C$2:$C$51,$H8)</f>
        <v>1.9678122347885689</v>
      </c>
      <c r="AH1" s="97" cm="1">
        <f t="array" ref="AH1">EstymacjaGaussowska(AH$4,$C$2:$C$51,$H8)</f>
        <v>2.338307860862642</v>
      </c>
      <c r="AI1" s="97" cm="1">
        <f t="array" ref="AI1">EstymacjaGaussowska(AI$4,$C$2:$C$51,$H8)</f>
        <v>2.126843091371029</v>
      </c>
      <c r="AJ1" s="97" cm="1">
        <f t="array" ref="AJ1">EstymacjaGaussowska(AJ$4,$C$2:$C$51,$H8)</f>
        <v>1.5339415394897107</v>
      </c>
      <c r="AK1" s="97" cm="1">
        <f t="array" ref="AK1">EstymacjaGaussowska(AK$4,$C$2:$C$51,$H8)</f>
        <v>0.92737372904751114</v>
      </c>
      <c r="AL1" s="97" cm="1">
        <f t="array" ref="AL1">EstymacjaGaussowska(AL$4,$C$2:$C$51,$H8)</f>
        <v>0.46121226449721275</v>
      </c>
      <c r="AM1" s="97" cm="1">
        <f t="array" ref="AM1">EstymacjaGaussowska(AM$4,$C$2:$C$51,$H8)</f>
        <v>0.25390007078954574</v>
      </c>
      <c r="AN1" s="97" cm="1">
        <f t="array" ref="AN1">EstymacjaGaussowska(AN$4,$C$2:$C$51,$H8)</f>
        <v>0.19723978424831648</v>
      </c>
      <c r="AO1" s="97" cm="1">
        <f t="array" ref="AO1">EstymacjaGaussowska(AO$4,$C$2:$C$51,$H8)</f>
        <v>9.428285700733087E-2</v>
      </c>
      <c r="AP1" s="97" cm="1">
        <f t="array" ref="AP1">EstymacjaGaussowska(AP$4,$C$2:$C$51,$H8)</f>
        <v>1.9287861284869041E-2</v>
      </c>
      <c r="AQ1" s="97" cm="1">
        <f t="array" ref="AQ1">EstymacjaGaussowska(AQ$4,$C$2:$C$51,$H8)</f>
        <v>1.6084662869713128E-3</v>
      </c>
      <c r="AR1" s="97" cm="1">
        <f t="array" ref="AR1">EstymacjaGaussowska(AR$4,$C$2:$C$51,$H8)</f>
        <v>5.4398446827406852E-5</v>
      </c>
      <c r="AS1" s="97" cm="1">
        <f t="array" ref="AS1">EstymacjaGaussowska(AS$4,$C$2:$C$51,$H8)</f>
        <v>7.457202463056912E-7</v>
      </c>
      <c r="AT1" s="97" cm="1">
        <f t="array" ref="AT1">EstymacjaGaussowska(AT$4,$C$2:$C$51,$H8)</f>
        <v>4.1433927359166675E-9</v>
      </c>
      <c r="AU1" s="97" cm="1">
        <f t="array" ref="AU1">EstymacjaGaussowska(AU$4,$C$2:$C$51,$H8)</f>
        <v>9.3309201569415184E-12</v>
      </c>
      <c r="AV1" s="97" cm="1">
        <f t="array" ref="AV1">EstymacjaGaussowska(AV$4,$C$2:$C$51,$H8)</f>
        <v>8.5168851186479732E-15</v>
      </c>
      <c r="AW1" s="97" cm="1">
        <f t="array" ref="AW1">EstymacjaGaussowska(AW$4,$C$2:$C$51,$H8)</f>
        <v>3.1508303538300477E-18</v>
      </c>
      <c r="AX1" s="97" cm="1">
        <f t="array" ref="AX1">EstymacjaGaussowska(AX$4,$C$2:$C$51,$H8)</f>
        <v>4.7245142645426754E-22</v>
      </c>
      <c r="AY1" s="97" cm="1">
        <f t="array" ref="AY1">EstymacjaGaussowska(AY$4,$C$2:$C$51,$H8)</f>
        <v>2.8712910733209188E-26</v>
      </c>
      <c r="AZ1" s="97" cm="1">
        <f t="array" ref="AZ1">EstymacjaGaussowska(AZ$4,$C$2:$C$51,$H8)</f>
        <v>7.0726992177992873E-31</v>
      </c>
      <c r="BA1" s="97" cm="1">
        <f t="array" ref="BA1">EstymacjaGaussowska(BA$4,$C$2:$C$51,$H8)</f>
        <v>7.0612415775313856E-36</v>
      </c>
      <c r="BB1" s="97" cm="1">
        <f t="array" ref="BB1">EstymacjaGaussowska(BB$4,$C$2:$C$51,$H8)</f>
        <v>2.8573593535512486E-41</v>
      </c>
      <c r="BC1" s="97" cm="1">
        <f t="array" ref="BC1">EstymacjaGaussowska(BC$4,$C$2:$C$51,$H8)</f>
        <v>4.6863699279722506E-47</v>
      </c>
      <c r="BD1" s="97" cm="1">
        <f t="array" ref="BD1">EstymacjaGaussowska(BD$4,$C$2:$C$51,$H8)</f>
        <v>3.1152735281171329E-53</v>
      </c>
      <c r="BE1" s="97" cm="1">
        <f t="array" ref="BE1">EstymacjaGaussowska(BE$4,$C$2:$C$51,$H8)</f>
        <v>8.3935119700550328E-60</v>
      </c>
      <c r="BF1" s="97" cm="1">
        <f t="array" ref="BF1">EstymacjaGaussowska(BF$4,$C$2:$C$51,$H8)</f>
        <v>9.1659852855083939E-67</v>
      </c>
      <c r="BG1" s="97" cm="1">
        <f t="array" ref="BG1">EstymacjaGaussowska(BG$4,$C$2:$C$51,$H8)</f>
        <v>4.056976663133258E-74</v>
      </c>
      <c r="BH1" s="97" cm="1">
        <f t="array" ref="BH1">EstymacjaGaussowska(BH$4,$C$2:$C$51,$H8)</f>
        <v>7.2780288960482816E-82</v>
      </c>
      <c r="BI1" s="97" cm="1">
        <f t="array" ref="BI1">EstymacjaGaussowska(BI$4,$C$2:$C$51,$H8)</f>
        <v>5.2919161444470602E-90</v>
      </c>
      <c r="BJ1" s="97" cm="1">
        <f t="array" ref="BJ1">EstymacjaGaussowska(BJ$4,$C$2:$C$51,$H8)</f>
        <v>1.5595526614363543E-98</v>
      </c>
      <c r="BK1" s="97" cm="1">
        <f t="array" ref="BK1">EstymacjaGaussowska(BK$4,$C$2:$C$51,$H8)</f>
        <v>1.8628378210127234E-107</v>
      </c>
      <c r="BL1" s="97" cm="1">
        <f t="array" ref="BL1">EstymacjaGaussowska(BL$4,$C$2:$C$51,$H8)</f>
        <v>9.0185758371566653E-117</v>
      </c>
      <c r="BM1" s="97" cm="1">
        <f t="array" ref="BM1">EstymacjaGaussowska(BM$4,$C$2:$C$51,$H8)</f>
        <v>1.7696557381275516E-126</v>
      </c>
      <c r="BN1" s="97" cm="1">
        <f t="array" ref="BN1">EstymacjaGaussowska(BN$4,$C$2:$C$51,$H8)</f>
        <v>1.4074323459464909E-136</v>
      </c>
      <c r="BO1" s="97" cm="1">
        <f t="array" ref="BO1">EstymacjaGaussowska(BO$4,$C$2:$C$51,$H8)</f>
        <v>4.5368474791963081E-147</v>
      </c>
      <c r="BP1" s="97" cm="1">
        <f t="array" ref="BP1">EstymacjaGaussowska(BP$4,$C$2:$C$51,$H8)</f>
        <v>5.9274615150018638E-158</v>
      </c>
      <c r="BQ1" s="97" cm="1">
        <f t="array" ref="BQ1">EstymacjaGaussowska(BQ$4,$C$2:$C$51,$H8)</f>
        <v>3.1388547464803127E-169</v>
      </c>
      <c r="BR1" s="97" cm="1">
        <f t="array" ref="BR1">EstymacjaGaussowska(BR$4,$C$2:$C$51,$H8)</f>
        <v>6.7369233602159622E-181</v>
      </c>
      <c r="BS1" s="97" cm="1">
        <f t="array" ref="BS1">EstymacjaGaussowska(BS$4,$C$2:$C$51,$H8)</f>
        <v>5.8605706670435247E-193</v>
      </c>
      <c r="BT1" s="97" cm="1">
        <f t="array" ref="BT1">EstymacjaGaussowska(BT$4,$C$2:$C$51,$H8)</f>
        <v>2.0663606337787645E-205</v>
      </c>
      <c r="BU1" s="97" cm="1">
        <f t="array" ref="BU1">EstymacjaGaussowska(BU$4,$C$2:$C$51,$H8)</f>
        <v>2.952978222454782E-218</v>
      </c>
      <c r="BV1" s="97" cm="1">
        <f t="array" ref="BV1">EstymacjaGaussowska(BV$4,$C$2:$C$51,$H8)</f>
        <v>1.7104180894584183E-231</v>
      </c>
      <c r="BW1" s="97" cm="1">
        <f t="array" ref="BW1">EstymacjaGaussowska(BW$4,$C$2:$C$51,$H8)</f>
        <v>4.0154315782994301E-245</v>
      </c>
      <c r="BX1" s="97" cm="1">
        <f t="array" ref="BX1">EstymacjaGaussowska(BX$4,$C$2:$C$51,$H8)</f>
        <v>3.8207629284429487E-259</v>
      </c>
      <c r="BY1" s="97" cm="1">
        <f t="array" ref="BY1">EstymacjaGaussowska(BY$4,$C$2:$C$51,$H8)</f>
        <v>1.4735194228870772E-273</v>
      </c>
      <c r="BZ1" s="97" cm="1">
        <f t="array" ref="BZ1">EstymacjaGaussowska(BZ$4,$C$2:$C$51,$H8)</f>
        <v>2.3032949237505036E-288</v>
      </c>
      <c r="CA1" s="97" cm="1">
        <f t="array" ref="CA1">EstymacjaGaussowska(CA$4,$C$2:$C$51,$H8)</f>
        <v>1.459254859770136E-303</v>
      </c>
      <c r="CB1" s="97" cm="1">
        <f t="array" ref="CB1">EstymacjaGaussowska(CB$4,$C$2:$C$51,$H8)</f>
        <v>0</v>
      </c>
      <c r="CC1" s="97" cm="1">
        <f t="array" ref="CC1">EstymacjaGaussowska(CC$4,$C$2:$C$51,$H8)</f>
        <v>0</v>
      </c>
      <c r="CD1" s="97" cm="1">
        <f t="array" ref="CD1">EstymacjaGaussowska(CD$4,$C$2:$C$51,$H8)</f>
        <v>0</v>
      </c>
      <c r="CE1" s="97" cm="1">
        <f t="array" ref="CE1">EstymacjaGaussowska(CE$4,$C$2:$C$51,$H8)</f>
        <v>0</v>
      </c>
      <c r="CF1" s="97" cm="1">
        <f t="array" ref="CF1">EstymacjaGaussowska(CF$4,$C$2:$C$51,$H8)</f>
        <v>0</v>
      </c>
      <c r="CG1" s="97" cm="1">
        <f t="array" ref="CG1">EstymacjaGaussowska(CG$4,$C$2:$C$51,$H8)</f>
        <v>0</v>
      </c>
      <c r="CH1" s="97" cm="1">
        <f t="array" ref="CH1">EstymacjaGaussowska(CH$4,$C$2:$C$51,$H8)</f>
        <v>0</v>
      </c>
      <c r="CI1" s="97" cm="1">
        <f t="array" ref="CI1">EstymacjaGaussowska(CI$4,$C$2:$C$51,$H8)</f>
        <v>0</v>
      </c>
      <c r="CJ1" s="97" cm="1">
        <f t="array" ref="CJ1">EstymacjaGaussowska(CJ$4,$C$2:$C$51,$H8)</f>
        <v>0</v>
      </c>
      <c r="CK1" s="97" cm="1">
        <f t="array" ref="CK1">EstymacjaGaussowska(CK$4,$C$2:$C$51,$H8)</f>
        <v>0</v>
      </c>
      <c r="CL1" s="97" cm="1">
        <f t="array" ref="CL1">EstymacjaGaussowska(CL$4,$C$2:$C$51,$H8)</f>
        <v>0</v>
      </c>
      <c r="CM1" s="97" cm="1">
        <f t="array" ref="CM1">EstymacjaGaussowska(CM$4,$C$2:$C$51,$H8)</f>
        <v>0</v>
      </c>
      <c r="CN1" s="97" cm="1">
        <f t="array" ref="CN1">EstymacjaGaussowska(CN$4,$C$2:$C$51,$H8)</f>
        <v>0</v>
      </c>
      <c r="CO1" s="97" cm="1">
        <f t="array" ref="CO1">EstymacjaGaussowska(CO$4,$C$2:$C$51,$H8)</f>
        <v>0</v>
      </c>
      <c r="CP1" s="97" cm="1">
        <f t="array" ref="CP1">EstymacjaGaussowska(CP$4,$C$2:$C$51,$H8)</f>
        <v>0</v>
      </c>
      <c r="CQ1" s="97" cm="1">
        <f t="array" ref="CQ1">EstymacjaGaussowska(CQ$4,$C$2:$C$51,$H8)</f>
        <v>0</v>
      </c>
      <c r="CR1" s="97" cm="1">
        <f t="array" ref="CR1">EstymacjaGaussowska(CR$4,$C$2:$C$51,$H8)</f>
        <v>0</v>
      </c>
      <c r="CS1" s="97" cm="1">
        <f t="array" ref="CS1">EstymacjaGaussowska(CS$4,$C$2:$C$51,$H8)</f>
        <v>0</v>
      </c>
      <c r="CT1" s="97" cm="1">
        <f t="array" ref="CT1">EstymacjaGaussowska(CT$4,$C$2:$C$51,$H8)</f>
        <v>0</v>
      </c>
      <c r="CU1" s="97" cm="1">
        <f t="array" ref="CU1">EstymacjaGaussowska(CU$4,$C$2:$C$51,$H8)</f>
        <v>0</v>
      </c>
      <c r="CV1" s="97" cm="1">
        <f t="array" ref="CV1">EstymacjaGaussowska(CV$4,$C$2:$C$51,$H8)</f>
        <v>0</v>
      </c>
      <c r="CW1" s="97" cm="1">
        <f t="array" ref="CW1">EstymacjaGaussowska(CW$4,$C$2:$C$51,$H8)</f>
        <v>0</v>
      </c>
      <c r="CX1" s="97" cm="1">
        <f t="array" ref="CX1">EstymacjaGaussowska(CX$4,$C$2:$C$51,$H8)</f>
        <v>0</v>
      </c>
      <c r="CY1" s="97" cm="1">
        <f t="array" ref="CY1">EstymacjaGaussowska(CY$4,$C$2:$C$51,$H8)</f>
        <v>0</v>
      </c>
      <c r="CZ1" s="97" cm="1">
        <f t="array" ref="CZ1">EstymacjaGaussowska(CZ$4,$C$2:$C$51,$H8)</f>
        <v>0</v>
      </c>
      <c r="DA1" s="97" cm="1">
        <f t="array" ref="DA1">EstymacjaGaussowska(DA$4,$C$2:$C$51,$H8)</f>
        <v>0</v>
      </c>
      <c r="DB1" s="97" cm="1">
        <f t="array" ref="DB1">EstymacjaGaussowska(DB$4,$C$2:$C$51,$H8)</f>
        <v>0</v>
      </c>
      <c r="DC1" s="97" cm="1">
        <f t="array" ref="DC1">EstymacjaGaussowska(DC$4,$C$2:$C$51,$H8)</f>
        <v>0</v>
      </c>
      <c r="DD1" s="97" cm="1">
        <f t="array" ref="DD1">EstymacjaGaussowska(DD$4,$C$2:$C$51,$H8)</f>
        <v>0</v>
      </c>
      <c r="DE1" s="97" cm="1">
        <f t="array" ref="DE1">EstymacjaGaussowska(DE$4,$C$2:$C$51,$H8)</f>
        <v>0</v>
      </c>
      <c r="DF1" s="97" cm="1">
        <f t="array" ref="DF1">EstymacjaGaussowska(DF$4,$C$2:$C$51,$H8)</f>
        <v>0</v>
      </c>
      <c r="DG1" s="97" cm="1">
        <f t="array" ref="DG1">EstymacjaGaussowska(DG$4,$C$2:$C$51,$H8)</f>
        <v>0</v>
      </c>
      <c r="DH1" s="97" cm="1">
        <f t="array" ref="DH1">EstymacjaGaussowska(DH$4,$C$2:$C$51,$H8)</f>
        <v>0</v>
      </c>
      <c r="DI1" s="97" cm="1">
        <f t="array" ref="DI1">EstymacjaGaussowska(DI$4,$C$2:$C$51,$H8)</f>
        <v>0</v>
      </c>
      <c r="DJ1" s="97" cm="1">
        <f t="array" ref="DJ1">EstymacjaGaussowska(DJ$4,$C$2:$C$51,$H8)</f>
        <v>0</v>
      </c>
      <c r="DK1" s="97" cm="1">
        <f t="array" ref="DK1">EstymacjaGaussowska(DK$4,$C$2:$C$51,$H8)</f>
        <v>0</v>
      </c>
      <c r="DL1" s="97" cm="1">
        <f t="array" ref="DL1">EstymacjaGaussowska(DL$4,$C$2:$C$51,$H8)</f>
        <v>0</v>
      </c>
    </row>
    <row r="2" spans="1:116" x14ac:dyDescent="0.25">
      <c r="A2" s="60">
        <v>5.0999999999999996</v>
      </c>
      <c r="B2" s="25">
        <v>3.5</v>
      </c>
      <c r="C2" s="25">
        <v>1.4</v>
      </c>
      <c r="D2" s="57">
        <v>0.2</v>
      </c>
      <c r="E2" s="82" t="s">
        <v>5</v>
      </c>
      <c r="G2" t="s">
        <v>40</v>
      </c>
      <c r="H2" s="1">
        <f>0.1</f>
        <v>0.1</v>
      </c>
      <c r="I2">
        <f>1/3</f>
        <v>0.33333333333333331</v>
      </c>
      <c r="J2">
        <f>1-H2-I2</f>
        <v>0.56666666666666665</v>
      </c>
      <c r="O2" s="97" t="s">
        <v>51</v>
      </c>
      <c r="P2" s="97" cm="1">
        <f t="array" ref="P2">EstymacjaGaussowska(P$4,$C$52:$C$101,$I8)</f>
        <v>7.569559115828481E-40</v>
      </c>
      <c r="Q2" s="97" cm="1">
        <f t="array" ref="Q2">EstymacjaGaussowska(Q$4,$C$52:$C$101,$I8)</f>
        <v>7.2628084438782316E-38</v>
      </c>
      <c r="R2" s="97" cm="1">
        <f t="array" ref="R2">EstymacjaGaussowska(R$4,$C$52:$C$101,$I8)</f>
        <v>6.1598496480249513E-36</v>
      </c>
      <c r="S2" s="97" cm="1">
        <f t="array" ref="S2">EstymacjaGaussowska(S$4,$C$52:$C$101,$I8)</f>
        <v>4.6181406254689188E-34</v>
      </c>
      <c r="T2" s="97" cm="1">
        <f t="array" ref="T2">EstymacjaGaussowska(T$4,$C$52:$C$101,$I8)</f>
        <v>3.0605234939993739E-32</v>
      </c>
      <c r="U2" s="97" cm="1">
        <f t="array" ref="U2">EstymacjaGaussowska(U$4,$C$52:$C$101,$I8)</f>
        <v>1.7928989398359071E-30</v>
      </c>
      <c r="V2" s="97" cm="1">
        <f t="array" ref="V2">EstymacjaGaussowska(V$4,$C$52:$C$101,$I8)</f>
        <v>9.2842631236046938E-29</v>
      </c>
      <c r="W2" s="97" cm="1">
        <f t="array" ref="W2">EstymacjaGaussowska(W$4,$C$52:$C$101,$I8)</f>
        <v>4.2498208310512026E-27</v>
      </c>
      <c r="X2" s="97" cm="1">
        <f t="array" ref="X2">EstymacjaGaussowska(X$4,$C$52:$C$101,$I8)</f>
        <v>1.7195918358905735E-25</v>
      </c>
      <c r="Y2" s="97" cm="1">
        <f t="array" ref="Y2">EstymacjaGaussowska(Y$4,$C$52:$C$101,$I8)</f>
        <v>6.1505185964351966E-24</v>
      </c>
      <c r="Z2" s="97" cm="1">
        <f t="array" ref="Z2">EstymacjaGaussowska(Z$4,$C$52:$C$101,$I8)</f>
        <v>1.9445976678436306E-22</v>
      </c>
      <c r="AA2" s="97" cm="1">
        <f t="array" ref="AA2">EstymacjaGaussowska(AA$4,$C$52:$C$101,$I8)</f>
        <v>5.4347495646229109E-21</v>
      </c>
      <c r="AB2" s="97" cm="1">
        <f t="array" ref="AB2">EstymacjaGaussowska(AB$4,$C$52:$C$101,$I8)</f>
        <v>1.3426450137557996E-19</v>
      </c>
      <c r="AC2" s="97" cm="1">
        <f t="array" ref="AC2">EstymacjaGaussowska(AC$4,$C$52:$C$101,$I8)</f>
        <v>2.9320743810389825E-18</v>
      </c>
      <c r="AD2" s="97" cm="1">
        <f t="array" ref="AD2">EstymacjaGaussowska(AD$4,$C$52:$C$101,$I8)</f>
        <v>5.6600625292908771E-17</v>
      </c>
      <c r="AE2" s="97" cm="1">
        <f t="array" ref="AE2">EstymacjaGaussowska(AE$4,$C$52:$C$101,$I8)</f>
        <v>9.6582957673504122E-16</v>
      </c>
      <c r="AF2" s="97" cm="1">
        <f t="array" ref="AF2">EstymacjaGaussowska(AF$4,$C$52:$C$101,$I8)</f>
        <v>1.456846141608359E-14</v>
      </c>
      <c r="AG2" s="97" cm="1">
        <f t="array" ref="AG2">EstymacjaGaussowska(AG$4,$C$52:$C$101,$I8)</f>
        <v>1.9425052650220369E-13</v>
      </c>
      <c r="AH2" s="97" cm="1">
        <f t="array" ref="AH2">EstymacjaGaussowska(AH$4,$C$52:$C$101,$I8)</f>
        <v>2.2895403182339014E-12</v>
      </c>
      <c r="AI2" s="97" cm="1">
        <f t="array" ref="AI2">EstymacjaGaussowska(AI$4,$C$52:$C$101,$I8)</f>
        <v>2.3854786242172153E-11</v>
      </c>
      <c r="AJ2" s="97" cm="1">
        <f t="array" ref="AJ2">EstymacjaGaussowska(AJ$4,$C$52:$C$101,$I8)</f>
        <v>2.1970987378522072E-10</v>
      </c>
      <c r="AK2" s="97" cm="1">
        <f t="array" ref="AK2">EstymacjaGaussowska(AK$4,$C$52:$C$101,$I8)</f>
        <v>1.7888727242948232E-9</v>
      </c>
      <c r="AL2" s="97" cm="1">
        <f t="array" ref="AL2">EstymacjaGaussowska(AL$4,$C$52:$C$101,$I8)</f>
        <v>1.2875955173196777E-8</v>
      </c>
      <c r="AM2" s="97" cm="1">
        <f t="array" ref="AM2">EstymacjaGaussowska(AM$4,$C$52:$C$101,$I8)</f>
        <v>8.1935553480096349E-8</v>
      </c>
      <c r="AN2" s="97" cm="1">
        <f t="array" ref="AN2">EstymacjaGaussowska(AN$4,$C$52:$C$101,$I8)</f>
        <v>4.6099315166823482E-7</v>
      </c>
      <c r="AO2" s="97" cm="1">
        <f t="array" ref="AO2">EstymacjaGaussowska(AO$4,$C$52:$C$101,$I8)</f>
        <v>2.2935242223231347E-6</v>
      </c>
      <c r="AP2" s="97" cm="1">
        <f t="array" ref="AP2">EstymacjaGaussowska(AP$4,$C$52:$C$101,$I8)</f>
        <v>1.0092311875525187E-5</v>
      </c>
      <c r="AQ2" s="97" cm="1">
        <f t="array" ref="AQ2">EstymacjaGaussowska(AQ$4,$C$52:$C$101,$I8)</f>
        <v>3.9291840817112733E-5</v>
      </c>
      <c r="AR2" s="97" cm="1">
        <f t="array" ref="AR2">EstymacjaGaussowska(AR$4,$C$52:$C$101,$I8)</f>
        <v>1.3541617065839548E-4</v>
      </c>
      <c r="AS2" s="97" cm="1">
        <f t="array" ref="AS2">EstymacjaGaussowska(AS$4,$C$52:$C$101,$I8)</f>
        <v>4.134887695302582E-4</v>
      </c>
      <c r="AT2" s="97" cm="1">
        <f t="array" ref="AT2">EstymacjaGaussowska(AT$4,$C$52:$C$101,$I8)</f>
        <v>1.1201231075975431E-3</v>
      </c>
      <c r="AU2" s="97" cm="1">
        <f t="array" ref="AU2">EstymacjaGaussowska(AU$4,$C$52:$C$101,$I8)</f>
        <v>2.6977155614091126E-3</v>
      </c>
      <c r="AV2" s="97" cm="1">
        <f t="array" ref="AV2">EstymacjaGaussowska(AV$4,$C$52:$C$101,$I8)</f>
        <v>5.7954651013678062E-3</v>
      </c>
      <c r="AW2" s="97" cm="1">
        <f t="array" ref="AW2">EstymacjaGaussowska(AW$4,$C$52:$C$101,$I8)</f>
        <v>1.1161851317942062E-2</v>
      </c>
      <c r="AX2" s="97" cm="1">
        <f t="array" ref="AX2">EstymacjaGaussowska(AX$4,$C$52:$C$101,$I8)</f>
        <v>1.9417613862833361E-2</v>
      </c>
      <c r="AY2" s="97" cm="1">
        <f t="array" ref="AY2">EstymacjaGaussowska(AY$4,$C$52:$C$101,$I8)</f>
        <v>3.0836021763659342E-2</v>
      </c>
      <c r="AZ2" s="97" cm="1">
        <f t="array" ref="AZ2">EstymacjaGaussowska(AZ$4,$C$52:$C$101,$I8)</f>
        <v>4.5320390235684176E-2</v>
      </c>
      <c r="BA2" s="97" cm="1">
        <f t="array" ref="BA2">EstymacjaGaussowska(BA$4,$C$52:$C$101,$I8)</f>
        <v>6.2626753186114867E-2</v>
      </c>
      <c r="BB2" s="97" cm="1">
        <f t="array" ref="BB2">EstymacjaGaussowska(BB$4,$C$52:$C$101,$I8)</f>
        <v>8.2607610033595846E-2</v>
      </c>
      <c r="BC2" s="97" cm="1">
        <f t="array" ref="BC2">EstymacjaGaussowska(BC$4,$C$52:$C$101,$I8)</f>
        <v>0.10517150333794525</v>
      </c>
      <c r="BD2" s="97" cm="1">
        <f t="array" ref="BD2">EstymacjaGaussowska(BD$4,$C$52:$C$101,$I8)</f>
        <v>0.12996400525454821</v>
      </c>
      <c r="BE2" s="97" cm="1">
        <f t="array" ref="BE2">EstymacjaGaussowska(BE$4,$C$52:$C$101,$I8)</f>
        <v>0.15620638826268898</v>
      </c>
      <c r="BF2" s="97" cm="1">
        <f t="array" ref="BF2">EstymacjaGaussowska(BF$4,$C$52:$C$101,$I8)</f>
        <v>0.18316080945347107</v>
      </c>
      <c r="BG2" s="97" cm="1">
        <f t="array" ref="BG2">EstymacjaGaussowska(BG$4,$C$52:$C$101,$I8)</f>
        <v>0.21116799272961373</v>
      </c>
      <c r="BH2" s="97" cm="1">
        <f t="array" ref="BH2">EstymacjaGaussowska(BH$4,$C$52:$C$101,$I8)</f>
        <v>0.24252962715433976</v>
      </c>
      <c r="BI2" s="97" cm="1">
        <f t="array" ref="BI2">EstymacjaGaussowska(BI$4,$C$52:$C$101,$I8)</f>
        <v>0.28126091263596331</v>
      </c>
      <c r="BJ2" s="97" cm="1">
        <f t="array" ref="BJ2">EstymacjaGaussowska(BJ$4,$C$52:$C$101,$I8)</f>
        <v>0.3312500254811257</v>
      </c>
      <c r="BK2" s="97" cm="1">
        <f t="array" ref="BK2">EstymacjaGaussowska(BK$4,$C$52:$C$101,$I8)</f>
        <v>0.39351571615602965</v>
      </c>
      <c r="BL2" s="97" cm="1">
        <f t="array" ref="BL2">EstymacjaGaussowska(BL$4,$C$52:$C$101,$I8)</f>
        <v>0.4643511813838424</v>
      </c>
      <c r="BM2" s="97" cm="1">
        <f t="array" ref="BM2">EstymacjaGaussowska(BM$4,$C$52:$C$101,$I8)</f>
        <v>0.53610807152552942</v>
      </c>
      <c r="BN2" s="97" cm="1">
        <f t="array" ref="BN2">EstymacjaGaussowska(BN$4,$C$52:$C$101,$I8)</f>
        <v>0.60071496736241869</v>
      </c>
      <c r="BO2" s="97" cm="1">
        <f t="array" ref="BO2">EstymacjaGaussowska(BO$4,$C$52:$C$101,$I8)</f>
        <v>0.65374956311185495</v>
      </c>
      <c r="BP2" s="97" cm="1">
        <f t="array" ref="BP2">EstymacjaGaussowska(BP$4,$C$52:$C$101,$I8)</f>
        <v>0.69600171383255194</v>
      </c>
      <c r="BQ2" s="97" cm="1">
        <f t="array" ref="BQ2">EstymacjaGaussowska(BQ$4,$C$52:$C$101,$I8)</f>
        <v>0.73110565484500367</v>
      </c>
      <c r="BR2" s="97" cm="1">
        <f t="array" ref="BR2">EstymacjaGaussowska(BR$4,$C$52:$C$101,$I8)</f>
        <v>0.7608873951265962</v>
      </c>
      <c r="BS2" s="97" cm="1">
        <f t="array" ref="BS2">EstymacjaGaussowska(BS$4,$C$52:$C$101,$I8)</f>
        <v>0.78200788221669182</v>
      </c>
      <c r="BT2" s="97" cm="1">
        <f t="array" ref="BT2">EstymacjaGaussowska(BT$4,$C$52:$C$101,$I8)</f>
        <v>0.78655421356008914</v>
      </c>
      <c r="BU2" s="97" cm="1">
        <f t="array" ref="BU2">EstymacjaGaussowska(BU$4,$C$52:$C$101,$I8)</f>
        <v>0.76619045702279753</v>
      </c>
      <c r="BV2" s="97" cm="1">
        <f t="array" ref="BV2">EstymacjaGaussowska(BV$4,$C$52:$C$101,$I8)</f>
        <v>0.71691114939816147</v>
      </c>
      <c r="BW2" s="97" cm="1">
        <f t="array" ref="BW2">EstymacjaGaussowska(BW$4,$C$52:$C$101,$I8)</f>
        <v>0.64135649393838967</v>
      </c>
      <c r="BX2" s="97" cm="1">
        <f t="array" ref="BX2">EstymacjaGaussowska(BX$4,$C$52:$C$101,$I8)</f>
        <v>0.54773141546263882</v>
      </c>
      <c r="BY2" s="97" cm="1">
        <f t="array" ref="BY2">EstymacjaGaussowska(BY$4,$C$52:$C$101,$I8)</f>
        <v>0.44661853299103293</v>
      </c>
      <c r="BZ2" s="97" cm="1">
        <f t="array" ref="BZ2">EstymacjaGaussowska(BZ$4,$C$52:$C$101,$I8)</f>
        <v>0.34777569213168691</v>
      </c>
      <c r="CA2" s="97" cm="1">
        <f t="array" ref="CA2">EstymacjaGaussowska(CA$4,$C$52:$C$101,$I8)</f>
        <v>0.25830412977616302</v>
      </c>
      <c r="CB2" s="97" cm="1">
        <f t="array" ref="CB2">EstymacjaGaussowska(CB$4,$C$52:$C$101,$I8)</f>
        <v>0.18233859939396102</v>
      </c>
      <c r="CC2" s="97" cm="1">
        <f t="array" ref="CC2">EstymacjaGaussowska(CC$4,$C$52:$C$101,$I8)</f>
        <v>0.12158643678664284</v>
      </c>
      <c r="CD2" s="97" cm="1">
        <f t="array" ref="CD2">EstymacjaGaussowska(CD$4,$C$52:$C$101,$I8)</f>
        <v>7.5973236658518198E-2</v>
      </c>
      <c r="CE2" s="97" cm="1">
        <f t="array" ref="CE2">EstymacjaGaussowska(CE$4,$C$52:$C$101,$I8)</f>
        <v>4.4089567159874013E-2</v>
      </c>
      <c r="CF2" s="97" cm="1">
        <f t="array" ref="CF2">EstymacjaGaussowska(CF$4,$C$52:$C$101,$I8)</f>
        <v>2.3556415999088653E-2</v>
      </c>
      <c r="CG2" s="97" cm="1">
        <f t="array" ref="CG2">EstymacjaGaussowska(CG$4,$C$52:$C$101,$I8)</f>
        <v>1.1496226065686253E-2</v>
      </c>
      <c r="CH2" s="97" cm="1">
        <f t="array" ref="CH2">EstymacjaGaussowska(CH$4,$C$52:$C$101,$I8)</f>
        <v>5.090588057142827E-3</v>
      </c>
      <c r="CI2" s="97" cm="1">
        <f t="array" ref="CI2">EstymacjaGaussowska(CI$4,$C$52:$C$101,$I8)</f>
        <v>2.0341274906941005E-3</v>
      </c>
      <c r="CJ2" s="97" cm="1">
        <f t="array" ref="CJ2">EstymacjaGaussowska(CJ$4,$C$52:$C$101,$I8)</f>
        <v>7.3030063206051192E-4</v>
      </c>
      <c r="CK2" s="97" cm="1">
        <f t="array" ref="CK2">EstymacjaGaussowska(CK$4,$C$52:$C$101,$I8)</f>
        <v>2.3477935809743046E-4</v>
      </c>
      <c r="CL2" s="97" cm="1">
        <f t="array" ref="CL2">EstymacjaGaussowska(CL$4,$C$52:$C$101,$I8)</f>
        <v>6.7406140948319542E-5</v>
      </c>
      <c r="CM2" s="97" cm="1">
        <f t="array" ref="CM2">EstymacjaGaussowska(CM$4,$C$52:$C$101,$I8)</f>
        <v>1.7247309708777507E-5</v>
      </c>
      <c r="CN2" s="97" cm="1">
        <f t="array" ref="CN2">EstymacjaGaussowska(CN$4,$C$52:$C$101,$I8)</f>
        <v>3.9266605231645837E-6</v>
      </c>
      <c r="CO2" s="97" cm="1">
        <f t="array" ref="CO2">EstymacjaGaussowska(CO$4,$C$52:$C$101,$I8)</f>
        <v>7.9442815009977478E-7</v>
      </c>
      <c r="CP2" s="97" cm="1">
        <f t="array" ref="CP2">EstymacjaGaussowska(CP$4,$C$52:$C$101,$I8)</f>
        <v>1.4268585172638925E-7</v>
      </c>
      <c r="CQ2" s="97" cm="1">
        <f t="array" ref="CQ2">EstymacjaGaussowska(CQ$4,$C$52:$C$101,$I8)</f>
        <v>2.2733062413377164E-8</v>
      </c>
      <c r="CR2" s="97" cm="1">
        <f t="array" ref="CR2">EstymacjaGaussowska(CR$4,$C$52:$C$101,$I8)</f>
        <v>3.210784872075143E-9</v>
      </c>
      <c r="CS2" s="97" cm="1">
        <f t="array" ref="CS2">EstymacjaGaussowska(CS$4,$C$52:$C$101,$I8)</f>
        <v>4.0180982509648341E-10</v>
      </c>
      <c r="CT2" s="97" cm="1">
        <f t="array" ref="CT2">EstymacjaGaussowska(CT$4,$C$52:$C$101,$I8)</f>
        <v>4.4535714451697098E-11</v>
      </c>
      <c r="CU2" s="97" cm="1">
        <f t="array" ref="CU2">EstymacjaGaussowska(CU$4,$C$52:$C$101,$I8)</f>
        <v>4.3704971950062989E-12</v>
      </c>
      <c r="CV2" s="97" cm="1">
        <f t="array" ref="CV2">EstymacjaGaussowska(CV$4,$C$52:$C$101,$I8)</f>
        <v>3.7963868157721858E-13</v>
      </c>
      <c r="CW2" s="97" cm="1">
        <f t="array" ref="CW2">EstymacjaGaussowska(CW$4,$C$52:$C$101,$I8)</f>
        <v>2.9183079351936538E-14</v>
      </c>
      <c r="CX2" s="97" cm="1">
        <f t="array" ref="CX2">EstymacjaGaussowska(CX$4,$C$52:$C$101,$I8)</f>
        <v>1.9848774731360752E-15</v>
      </c>
      <c r="CY2" s="97" cm="1">
        <f t="array" ref="CY2">EstymacjaGaussowska(CY$4,$C$52:$C$101,$I8)</f>
        <v>1.1942983118153676E-16</v>
      </c>
      <c r="CZ2" s="97" cm="1">
        <f t="array" ref="CZ2">EstymacjaGaussowska(CZ$4,$C$52:$C$101,$I8)</f>
        <v>6.3564434875088805E-18</v>
      </c>
      <c r="DA2" s="97" cm="1">
        <f t="array" ref="DA2">EstymacjaGaussowska(DA$4,$C$52:$C$101,$I8)</f>
        <v>2.9922137406276899E-19</v>
      </c>
      <c r="DB2" s="97" cm="1">
        <f t="array" ref="DB2">EstymacjaGaussowska(DB$4,$C$52:$C$101,$I8)</f>
        <v>1.2456909441004598E-20</v>
      </c>
      <c r="DC2" s="97" cm="1">
        <f t="array" ref="DC2">EstymacjaGaussowska(DC$4,$C$52:$C$101,$I8)</f>
        <v>4.5860164034014847E-22</v>
      </c>
      <c r="DD2" s="97" cm="1">
        <f t="array" ref="DD2">EstymacjaGaussowska(DD$4,$C$52:$C$101,$I8)</f>
        <v>1.4929383790042724E-23</v>
      </c>
      <c r="DE2" s="97" cm="1">
        <f t="array" ref="DE2">EstymacjaGaussowska(DE$4,$C$52:$C$101,$I8)</f>
        <v>4.2974092382540969E-25</v>
      </c>
      <c r="DF2" s="97" cm="1">
        <f t="array" ref="DF2">EstymacjaGaussowska(DF$4,$C$52:$C$101,$I8)</f>
        <v>1.0937325918987883E-26</v>
      </c>
      <c r="DG2" s="97" cm="1">
        <f t="array" ref="DG2">EstymacjaGaussowska(DG$4,$C$52:$C$101,$I8)</f>
        <v>2.4611562047317318E-28</v>
      </c>
      <c r="DH2" s="97" cm="1">
        <f t="array" ref="DH2">EstymacjaGaussowska(DH$4,$C$52:$C$101,$I8)</f>
        <v>4.8964035541535306E-30</v>
      </c>
      <c r="DI2" s="97" cm="1">
        <f t="array" ref="DI2">EstymacjaGaussowska(DI$4,$C$52:$C$101,$I8)</f>
        <v>8.6121919994966605E-32</v>
      </c>
      <c r="DJ2" s="97" cm="1">
        <f t="array" ref="DJ2">EstymacjaGaussowska(DJ$4,$C$52:$C$101,$I8)</f>
        <v>1.3391797595985448E-33</v>
      </c>
      <c r="DK2" s="97" cm="1">
        <f t="array" ref="DK2">EstymacjaGaussowska(DK$4,$C$52:$C$101,$I8)</f>
        <v>1.8409601491553218E-35</v>
      </c>
      <c r="DL2" s="97" cm="1">
        <f t="array" ref="DL2">EstymacjaGaussowska(DL$4,$C$52:$C$101,$I8)</f>
        <v>2.2372943959977556E-37</v>
      </c>
    </row>
    <row r="3" spans="1:116" x14ac:dyDescent="0.25">
      <c r="A3" s="60">
        <v>4.9000000000000004</v>
      </c>
      <c r="B3" s="25">
        <v>3</v>
      </c>
      <c r="C3" s="25">
        <v>1.4</v>
      </c>
      <c r="D3" s="57">
        <v>0.2</v>
      </c>
      <c r="E3" s="82" t="s">
        <v>5</v>
      </c>
      <c r="G3" t="s">
        <v>14</v>
      </c>
      <c r="H3">
        <f>COUNTIF($E:$E,H1)</f>
        <v>50</v>
      </c>
      <c r="I3">
        <f t="shared" ref="I3:J3" si="0">COUNTIF($E:$E,I1)</f>
        <v>50</v>
      </c>
      <c r="J3">
        <f t="shared" si="0"/>
        <v>50</v>
      </c>
      <c r="O3" s="97" t="s">
        <v>52</v>
      </c>
      <c r="P3" s="97" cm="1">
        <f t="array" ref="P3">EstymacjaGaussowska(P$4,$C$102:$C$151,$J8)</f>
        <v>1.0856963019090769E-63</v>
      </c>
      <c r="Q3" s="97" cm="1">
        <f t="array" ref="Q3">EstymacjaGaussowska(Q$4,$C$102:$C$151,$J8)</f>
        <v>1.5877553090043306E-61</v>
      </c>
      <c r="R3" s="97" cm="1">
        <f t="array" ref="R3">EstymacjaGaussowska(R$4,$C$102:$C$151,$J8)</f>
        <v>2.1233586672163822E-59</v>
      </c>
      <c r="S3" s="97" cm="1">
        <f t="array" ref="S3">EstymacjaGaussowska(S$4,$C$102:$C$151,$J8)</f>
        <v>2.5967355028991076E-57</v>
      </c>
      <c r="T3" s="97" cm="1">
        <f t="array" ref="T3">EstymacjaGaussowska(T$4,$C$102:$C$151,$J8)</f>
        <v>2.9040002089483542E-55</v>
      </c>
      <c r="U3" s="97" cm="1">
        <f t="array" ref="U3">EstymacjaGaussowska(U$4,$C$102:$C$151,$J8)</f>
        <v>2.9698201001955872E-53</v>
      </c>
      <c r="V3" s="97" cm="1">
        <f t="array" ref="V3">EstymacjaGaussowska(V$4,$C$102:$C$151,$J8)</f>
        <v>2.7773346553705904E-51</v>
      </c>
      <c r="W3" s="97" cm="1">
        <f t="array" ref="W3">EstymacjaGaussowska(W$4,$C$102:$C$151,$J8)</f>
        <v>2.3751489868859842E-49</v>
      </c>
      <c r="X3" s="97" cm="1">
        <f t="array" ref="X3">EstymacjaGaussowska(X$4,$C$102:$C$151,$J8)</f>
        <v>1.8574540305687273E-47</v>
      </c>
      <c r="Y3" s="97" cm="1">
        <f t="array" ref="Y3">EstymacjaGaussowska(Y$4,$C$102:$C$151,$J8)</f>
        <v>1.3283418849014766E-45</v>
      </c>
      <c r="Z3" s="97" cm="1">
        <f t="array" ref="Z3">EstymacjaGaussowska(Z$4,$C$102:$C$151,$J8)</f>
        <v>8.6869282923779046E-44</v>
      </c>
      <c r="AA3" s="97" cm="1">
        <f t="array" ref="AA3">EstymacjaGaussowska(AA$4,$C$102:$C$151,$J8)</f>
        <v>5.1950195489107984E-42</v>
      </c>
      <c r="AB3" s="97" cm="1">
        <f t="array" ref="AB3">EstymacjaGaussowska(AB$4,$C$102:$C$151,$J8)</f>
        <v>2.8410097197088972E-40</v>
      </c>
      <c r="AC3" s="97" cm="1">
        <f t="array" ref="AC3">EstymacjaGaussowska(AC$4,$C$102:$C$151,$J8)</f>
        <v>1.4207669377448593E-38</v>
      </c>
      <c r="AD3" s="97" cm="1">
        <f t="array" ref="AD3">EstymacjaGaussowska(AD$4,$C$102:$C$151,$J8)</f>
        <v>6.4973694459142822E-37</v>
      </c>
      <c r="AE3" s="97" cm="1">
        <f t="array" ref="AE3">EstymacjaGaussowska(AE$4,$C$102:$C$151,$J8)</f>
        <v>2.7171704889283378E-35</v>
      </c>
      <c r="AF3" s="97" cm="1">
        <f t="array" ref="AF3">EstymacjaGaussowska(AF$4,$C$102:$C$151,$J8)</f>
        <v>1.0391083604096579E-33</v>
      </c>
      <c r="AG3" s="97" cm="1">
        <f t="array" ref="AG3">EstymacjaGaussowska(AG$4,$C$102:$C$151,$J8)</f>
        <v>3.6338703869278997E-32</v>
      </c>
      <c r="AH3" s="97" cm="1">
        <f t="array" ref="AH3">EstymacjaGaussowska(AH$4,$C$102:$C$151,$J8)</f>
        <v>1.1620978558642418E-30</v>
      </c>
      <c r="AI3" s="97" cm="1">
        <f t="array" ref="AI3">EstymacjaGaussowska(AI$4,$C$102:$C$151,$J8)</f>
        <v>3.3984484118360701E-29</v>
      </c>
      <c r="AJ3" s="97" cm="1">
        <f t="array" ref="AJ3">EstymacjaGaussowska(AJ$4,$C$102:$C$151,$J8)</f>
        <v>9.0883163675197509E-28</v>
      </c>
      <c r="AK3" s="97" cm="1">
        <f t="array" ref="AK3">EstymacjaGaussowska(AK$4,$C$102:$C$151,$J8)</f>
        <v>2.222547472274461E-26</v>
      </c>
      <c r="AL3" s="97" cm="1">
        <f t="array" ref="AL3">EstymacjaGaussowska(AL$4,$C$102:$C$151,$J8)</f>
        <v>4.9703116944584267E-25</v>
      </c>
      <c r="AM3" s="97" cm="1">
        <f t="array" ref="AM3">EstymacjaGaussowska(AM$4,$C$102:$C$151,$J8)</f>
        <v>1.0164390319313689E-23</v>
      </c>
      <c r="AN3" s="97" cm="1">
        <f t="array" ref="AN3">EstymacjaGaussowska(AN$4,$C$102:$C$151,$J8)</f>
        <v>1.9008349124630255E-22</v>
      </c>
      <c r="AO3" s="97" cm="1">
        <f t="array" ref="AO3">EstymacjaGaussowska(AO$4,$C$102:$C$151,$J8)</f>
        <v>3.2506719354976864E-21</v>
      </c>
      <c r="AP3" s="97" cm="1">
        <f t="array" ref="AP3">EstymacjaGaussowska(AP$4,$C$102:$C$151,$J8)</f>
        <v>5.0835606335667914E-20</v>
      </c>
      <c r="AQ3" s="97" cm="1">
        <f t="array" ref="AQ3">EstymacjaGaussowska(AQ$4,$C$102:$C$151,$J8)</f>
        <v>7.2699199769373829E-19</v>
      </c>
      <c r="AR3" s="97" cm="1">
        <f t="array" ref="AR3">EstymacjaGaussowska(AR$4,$C$102:$C$151,$J8)</f>
        <v>9.507337269535981E-18</v>
      </c>
      <c r="AS3" s="97" cm="1">
        <f t="array" ref="AS3">EstymacjaGaussowska(AS$4,$C$102:$C$151,$J8)</f>
        <v>1.1369911298838208E-16</v>
      </c>
      <c r="AT3" s="97" cm="1">
        <f t="array" ref="AT3">EstymacjaGaussowska(AT$4,$C$102:$C$151,$J8)</f>
        <v>1.2434431550673602E-15</v>
      </c>
      <c r="AU3" s="97" cm="1">
        <f t="array" ref="AU3">EstymacjaGaussowska(AU$4,$C$102:$C$151,$J8)</f>
        <v>1.2435635774390597E-14</v>
      </c>
      <c r="AV3" s="97" cm="1">
        <f t="array" ref="AV3">EstymacjaGaussowska(AV$4,$C$102:$C$151,$J8)</f>
        <v>1.1373308301952696E-13</v>
      </c>
      <c r="AW3" s="97" cm="1">
        <f t="array" ref="AW3">EstymacjaGaussowska(AW$4,$C$102:$C$151,$J8)</f>
        <v>9.5123417607729608E-13</v>
      </c>
      <c r="AX3" s="97" cm="1">
        <f t="array" ref="AX3">EstymacjaGaussowska(AX$4,$C$102:$C$151,$J8)</f>
        <v>7.2757384035271508E-12</v>
      </c>
      <c r="AY3" s="97" cm="1">
        <f t="array" ref="AY3">EstymacjaGaussowska(AY$4,$C$102:$C$151,$J8)</f>
        <v>5.0893922951208565E-11</v>
      </c>
      <c r="AZ3" s="97" cm="1">
        <f t="array" ref="AZ3">EstymacjaGaussowska(AZ$4,$C$102:$C$151,$J8)</f>
        <v>3.25588147310785E-10</v>
      </c>
      <c r="BA3" s="97" cm="1">
        <f t="array" ref="BA3">EstymacjaGaussowska(BA$4,$C$102:$C$151,$J8)</f>
        <v>1.9050478993753875E-9</v>
      </c>
      <c r="BB3" s="97" cm="1">
        <f t="array" ref="BB3">EstymacjaGaussowska(BB$4,$C$102:$C$151,$J8)</f>
        <v>1.0195481478448938E-8</v>
      </c>
      <c r="BC3" s="97" cm="1">
        <f t="array" ref="BC3">EstymacjaGaussowska(BC$4,$C$102:$C$151,$J8)</f>
        <v>4.9913383894952948E-8</v>
      </c>
      <c r="BD3" s="97" cm="1">
        <f t="array" ref="BD3">EstymacjaGaussowska(BD$4,$C$102:$C$151,$J8)</f>
        <v>2.2356072502899222E-7</v>
      </c>
      <c r="BE3" s="97" cm="1">
        <f t="array" ref="BE3">EstymacjaGaussowska(BE$4,$C$102:$C$151,$J8)</f>
        <v>9.1628891721242596E-7</v>
      </c>
      <c r="BF3" s="97" cm="1">
        <f t="array" ref="BF3">EstymacjaGaussowska(BF$4,$C$102:$C$151,$J8)</f>
        <v>3.4376123557160253E-6</v>
      </c>
      <c r="BG3" s="97" cm="1">
        <f t="array" ref="BG3">EstymacjaGaussowska(BG$4,$C$102:$C$151,$J8)</f>
        <v>1.1810171113589281E-5</v>
      </c>
      <c r="BH3" s="97" cm="1">
        <f t="array" ref="BH3">EstymacjaGaussowska(BH$4,$C$102:$C$151,$J8)</f>
        <v>3.7179396694962745E-5</v>
      </c>
      <c r="BI3" s="97" cm="1">
        <f t="array" ref="BI3">EstymacjaGaussowska(BI$4,$C$102:$C$151,$J8)</f>
        <v>1.0734717510496707E-4</v>
      </c>
      <c r="BJ3" s="97" cm="1">
        <f t="array" ref="BJ3">EstymacjaGaussowska(BJ$4,$C$102:$C$151,$J8)</f>
        <v>2.846389749733851E-4</v>
      </c>
      <c r="BK3" s="97" cm="1">
        <f t="array" ref="BK3">EstymacjaGaussowska(BK$4,$C$102:$C$151,$J8)</f>
        <v>6.9445007689535325E-4</v>
      </c>
      <c r="BL3" s="97" cm="1">
        <f t="array" ref="BL3">EstymacjaGaussowska(BL$4,$C$102:$C$151,$J8)</f>
        <v>1.5631939020794951E-3</v>
      </c>
      <c r="BM3" s="97" cm="1">
        <f t="array" ref="BM3">EstymacjaGaussowska(BM$4,$C$102:$C$151,$J8)</f>
        <v>3.2588857645866058E-3</v>
      </c>
      <c r="BN3" s="97" cm="1">
        <f t="array" ref="BN3">EstymacjaGaussowska(BN$4,$C$102:$C$151,$J8)</f>
        <v>6.3251557921113113E-3</v>
      </c>
      <c r="BO3" s="97" cm="1">
        <f t="array" ref="BO3">EstymacjaGaussowska(BO$4,$C$102:$C$151,$J8)</f>
        <v>1.1506974212739059E-2</v>
      </c>
      <c r="BP3" s="97" cm="1">
        <f t="array" ref="BP3">EstymacjaGaussowska(BP$4,$C$102:$C$151,$J8)</f>
        <v>1.978355639905359E-2</v>
      </c>
      <c r="BQ3" s="97" cm="1">
        <f t="array" ref="BQ3">EstymacjaGaussowska(BQ$4,$C$102:$C$151,$J8)</f>
        <v>3.2432910008923822E-2</v>
      </c>
      <c r="BR3" s="97" cm="1">
        <f t="array" ref="BR3">EstymacjaGaussowska(BR$4,$C$102:$C$151,$J8)</f>
        <v>5.1122184806012549E-2</v>
      </c>
      <c r="BS3" s="97" cm="1">
        <f t="array" ref="BS3">EstymacjaGaussowska(BS$4,$C$102:$C$151,$J8)</f>
        <v>7.7935444655013467E-2</v>
      </c>
      <c r="BT3" s="97" cm="1">
        <f t="array" ref="BT3">EstymacjaGaussowska(BT$4,$C$102:$C$151,$J8)</f>
        <v>0.11516101871409867</v>
      </c>
      <c r="BU3" s="97" cm="1">
        <f t="array" ref="BU3">EstymacjaGaussowska(BU$4,$C$102:$C$151,$J8)</f>
        <v>0.16466694353135372</v>
      </c>
      <c r="BV3" s="97" cm="1">
        <f t="array" ref="BV3">EstymacjaGaussowska(BV$4,$C$102:$C$151,$J8)</f>
        <v>0.22688059419043322</v>
      </c>
      <c r="BW3" s="97" cm="1">
        <f t="array" ref="BW3">EstymacjaGaussowska(BW$4,$C$102:$C$151,$J8)</f>
        <v>0.29971831999297094</v>
      </c>
      <c r="BX3" s="97" cm="1">
        <f t="array" ref="BX3">EstymacjaGaussowska(BX$4,$C$102:$C$151,$J8)</f>
        <v>0.37808302746430411</v>
      </c>
      <c r="BY3" s="97" cm="1">
        <f t="array" ref="BY3">EstymacjaGaussowska(BY$4,$C$102:$C$151,$J8)</f>
        <v>0.45450636078331186</v>
      </c>
      <c r="BZ3" s="97" cm="1">
        <f t="array" ref="BZ3">EstymacjaGaussowska(BZ$4,$C$102:$C$151,$J8)</f>
        <v>0.52104254469050704</v>
      </c>
      <c r="CA3" s="97" cm="1">
        <f t="array" ref="CA3">EstymacjaGaussowska(CA$4,$C$102:$C$151,$J8)</f>
        <v>0.57179635024238584</v>
      </c>
      <c r="CB3" s="97" cm="1">
        <f t="array" ref="CB3">EstymacjaGaussowska(CB$4,$C$102:$C$151,$J8)</f>
        <v>0.60491473913917548</v>
      </c>
      <c r="CC3" s="97" cm="1">
        <f t="array" ref="CC3">EstymacjaGaussowska(CC$4,$C$102:$C$151,$J8)</f>
        <v>0.62292740351062914</v>
      </c>
      <c r="CD3" s="97" cm="1">
        <f t="array" ref="CD3">EstymacjaGaussowska(CD$4,$C$102:$C$151,$J8)</f>
        <v>0.63110108647707341</v>
      </c>
      <c r="CE3" s="97" cm="1">
        <f t="array" ref="CE3">EstymacjaGaussowska(CE$4,$C$102:$C$151,$J8)</f>
        <v>0.63458862088303514</v>
      </c>
      <c r="CF3" s="97" cm="1">
        <f t="array" ref="CF3">EstymacjaGaussowska(CF$4,$C$102:$C$151,$J8)</f>
        <v>0.63589313231436462</v>
      </c>
      <c r="CG3" s="97" cm="1">
        <f t="array" ref="CG3">EstymacjaGaussowska(CG$4,$C$102:$C$151,$J8)</f>
        <v>0.63398824239572493</v>
      </c>
      <c r="CH3" s="97" cm="1">
        <f t="array" ref="CH3">EstymacjaGaussowska(CH$4,$C$102:$C$151,$J8)</f>
        <v>0.62541583858604122</v>
      </c>
      <c r="CI3" s="97" cm="1">
        <f t="array" ref="CI3">EstymacjaGaussowska(CI$4,$C$102:$C$151,$J8)</f>
        <v>0.60651845183841013</v>
      </c>
      <c r="CJ3" s="97" cm="1">
        <f t="array" ref="CJ3">EstymacjaGaussowska(CJ$4,$C$102:$C$151,$J8)</f>
        <v>0.5754433434878331</v>
      </c>
      <c r="CK3" s="97" cm="1">
        <f t="array" ref="CK3">EstymacjaGaussowska(CK$4,$C$102:$C$151,$J8)</f>
        <v>0.53295436762700321</v>
      </c>
      <c r="CL3" s="97" cm="1">
        <f t="array" ref="CL3">EstymacjaGaussowska(CL$4,$C$102:$C$151,$J8)</f>
        <v>0.48198987301373825</v>
      </c>
      <c r="CM3" s="97" cm="1">
        <f t="array" ref="CM3">EstymacjaGaussowska(CM$4,$C$102:$C$151,$J8)</f>
        <v>0.42660090283458368</v>
      </c>
      <c r="CN3" s="97" cm="1">
        <f t="array" ref="CN3">EstymacjaGaussowska(CN$4,$C$102:$C$151,$J8)</f>
        <v>0.37097764595231003</v>
      </c>
      <c r="CO3" s="97" cm="1">
        <f t="array" ref="CO3">EstymacjaGaussowska(CO$4,$C$102:$C$151,$J8)</f>
        <v>0.3188628409033748</v>
      </c>
      <c r="CP3" s="97" cm="1">
        <f t="array" ref="CP3">EstymacjaGaussowska(CP$4,$C$102:$C$151,$J8)</f>
        <v>0.27322067613588591</v>
      </c>
      <c r="CQ3" s="97" cm="1">
        <f t="array" ref="CQ3">EstymacjaGaussowska(CQ$4,$C$102:$C$151,$J8)</f>
        <v>0.23592155770349535</v>
      </c>
      <c r="CR3" s="97" cm="1">
        <f t="array" ref="CR3">EstymacjaGaussowska(CR$4,$C$102:$C$151,$J8)</f>
        <v>0.20740140731127862</v>
      </c>
      <c r="CS3" s="97" cm="1">
        <f t="array" ref="CS3">EstymacjaGaussowska(CS$4,$C$102:$C$151,$J8)</f>
        <v>0.18649462656828167</v>
      </c>
      <c r="CT3" s="97" cm="1">
        <f t="array" ref="CT3">EstymacjaGaussowska(CT$4,$C$102:$C$151,$J8)</f>
        <v>0.17068379841979556</v>
      </c>
      <c r="CU3" s="97" cm="1">
        <f t="array" ref="CU3">EstymacjaGaussowska(CU$4,$C$102:$C$151,$J8)</f>
        <v>0.15682002241556114</v>
      </c>
      <c r="CV3" s="97" cm="1">
        <f t="array" ref="CV3">EstymacjaGaussowska(CV$4,$C$102:$C$151,$J8)</f>
        <v>0.1420926135450287</v>
      </c>
      <c r="CW3" s="97" cm="1">
        <f t="array" ref="CW3">EstymacjaGaussowska(CW$4,$C$102:$C$151,$J8)</f>
        <v>0.12486070470165846</v>
      </c>
      <c r="CX3" s="97" cm="1">
        <f t="array" ref="CX3">EstymacjaGaussowska(CX$4,$C$102:$C$151,$J8)</f>
        <v>0.10501072178956132</v>
      </c>
      <c r="CY3" s="97" cm="1">
        <f t="array" ref="CY3">EstymacjaGaussowska(CY$4,$C$102:$C$151,$J8)</f>
        <v>8.3735958799179944E-2</v>
      </c>
      <c r="CZ3" s="97" cm="1">
        <f t="array" ref="CZ3">EstymacjaGaussowska(CZ$4,$C$102:$C$151,$J8)</f>
        <v>6.2902192583015937E-2</v>
      </c>
      <c r="DA3" s="97" cm="1">
        <f t="array" ref="DA3">EstymacjaGaussowska(DA$4,$C$102:$C$151,$J8)</f>
        <v>4.4315532623377604E-2</v>
      </c>
      <c r="DB3" s="97" cm="1">
        <f t="array" ref="DB3">EstymacjaGaussowska(DB$4,$C$102:$C$151,$J8)</f>
        <v>2.9184618058223467E-2</v>
      </c>
      <c r="DC3" s="97" cm="1">
        <f t="array" ref="DC3">EstymacjaGaussowska(DC$4,$C$102:$C$151,$J8)</f>
        <v>1.7918918666160938E-2</v>
      </c>
      <c r="DD3" s="97" cm="1">
        <f t="array" ref="DD3">EstymacjaGaussowska(DD$4,$C$102:$C$151,$J8)</f>
        <v>1.0233602903050443E-2</v>
      </c>
      <c r="DE3" s="97" cm="1">
        <f t="array" ref="DE3">EstymacjaGaussowska(DE$4,$C$102:$C$151,$J8)</f>
        <v>5.4248277962482749E-3</v>
      </c>
      <c r="DF3" s="97" cm="1">
        <f t="array" ref="DF3">EstymacjaGaussowska(DF$4,$C$102:$C$151,$J8)</f>
        <v>2.6639446415929308E-3</v>
      </c>
      <c r="DG3" s="97" cm="1">
        <f t="array" ref="DG3">EstymacjaGaussowska(DG$4,$C$102:$C$151,$J8)</f>
        <v>1.2096122812414176E-3</v>
      </c>
      <c r="DH3" s="97" cm="1">
        <f t="array" ref="DH3">EstymacjaGaussowska(DH$4,$C$102:$C$151,$J8)</f>
        <v>5.0700829453958801E-4</v>
      </c>
      <c r="DI3" s="97" cm="1">
        <f t="array" ref="DI3">EstymacjaGaussowska(DI$4,$C$102:$C$151,$J8)</f>
        <v>1.9587187016331903E-4</v>
      </c>
      <c r="DJ3" s="97" cm="1">
        <f t="array" ref="DJ3">EstymacjaGaussowska(DJ$4,$C$102:$C$151,$J8)</f>
        <v>6.9652397147257385E-5</v>
      </c>
      <c r="DK3" s="97" cm="1">
        <f t="array" ref="DK3">EstymacjaGaussowska(DK$4,$C$102:$C$151,$J8)</f>
        <v>2.2772185186378776E-5</v>
      </c>
      <c r="DL3" s="97" cm="1">
        <f t="array" ref="DL3">EstymacjaGaussowska(DL$4,$C$102:$C$151,$J8)</f>
        <v>6.838341781248539E-6</v>
      </c>
    </row>
    <row r="4" spans="1:116" x14ac:dyDescent="0.25">
      <c r="A4" s="60">
        <v>4.7</v>
      </c>
      <c r="B4" s="25">
        <v>3.2</v>
      </c>
      <c r="C4" s="25">
        <v>1.3</v>
      </c>
      <c r="D4" s="57">
        <v>0.2</v>
      </c>
      <c r="E4" s="82" t="s">
        <v>5</v>
      </c>
      <c r="G4" t="s">
        <v>41</v>
      </c>
      <c r="H4">
        <f>AVERAGEIF($E$2:$E$152,H1,$C$2:$C$152)</f>
        <v>1.4620000000000002</v>
      </c>
      <c r="I4">
        <f>AVERAGEIF($E$2:$E$152,I1,$C$2:$C$152)</f>
        <v>4.26</v>
      </c>
      <c r="J4">
        <f>AVERAGEIF($E$2:$E$152,J1,$C$2:$C$152)</f>
        <v>5.5519999999999996</v>
      </c>
      <c r="L4" s="97" t="s">
        <v>47</v>
      </c>
      <c r="M4" s="97" t="s">
        <v>48</v>
      </c>
      <c r="N4" s="97" t="s">
        <v>49</v>
      </c>
      <c r="P4" s="97">
        <v>0</v>
      </c>
      <c r="Q4" s="97">
        <v>0.08</v>
      </c>
      <c r="R4" s="97">
        <v>0.16</v>
      </c>
      <c r="S4" s="97">
        <v>0.24</v>
      </c>
      <c r="T4" s="97">
        <v>0.32</v>
      </c>
      <c r="U4" s="97">
        <v>0.4</v>
      </c>
      <c r="V4" s="97">
        <v>0.48</v>
      </c>
      <c r="W4" s="97">
        <v>0.56000000000000005</v>
      </c>
      <c r="X4" s="97">
        <v>0.64</v>
      </c>
      <c r="Y4" s="97">
        <v>0.72</v>
      </c>
      <c r="Z4" s="97">
        <v>0.8</v>
      </c>
      <c r="AA4" s="97">
        <v>0.88</v>
      </c>
      <c r="AB4" s="97">
        <v>0.96</v>
      </c>
      <c r="AC4" s="97">
        <v>1.04</v>
      </c>
      <c r="AD4" s="97">
        <v>1.1200000000000001</v>
      </c>
      <c r="AE4" s="97">
        <v>1.2</v>
      </c>
      <c r="AF4" s="97">
        <v>1.28</v>
      </c>
      <c r="AG4" s="97">
        <v>1.36</v>
      </c>
      <c r="AH4" s="97">
        <v>1.44</v>
      </c>
      <c r="AI4" s="97">
        <v>1.52</v>
      </c>
      <c r="AJ4" s="97">
        <v>1.6</v>
      </c>
      <c r="AK4" s="97">
        <v>1.68</v>
      </c>
      <c r="AL4" s="97">
        <v>1.76</v>
      </c>
      <c r="AM4" s="97">
        <v>1.84</v>
      </c>
      <c r="AN4" s="97">
        <v>1.92</v>
      </c>
      <c r="AO4" s="97">
        <v>2</v>
      </c>
      <c r="AP4" s="97">
        <v>2.08</v>
      </c>
      <c r="AQ4" s="97">
        <v>2.16</v>
      </c>
      <c r="AR4" s="97">
        <v>2.2400000000000002</v>
      </c>
      <c r="AS4" s="97">
        <v>2.3199999999999998</v>
      </c>
      <c r="AT4" s="97">
        <v>2.4</v>
      </c>
      <c r="AU4" s="97">
        <v>2.48</v>
      </c>
      <c r="AV4" s="97">
        <v>2.56</v>
      </c>
      <c r="AW4" s="97">
        <v>2.64</v>
      </c>
      <c r="AX4" s="97">
        <v>2.72</v>
      </c>
      <c r="AY4" s="97">
        <v>2.8</v>
      </c>
      <c r="AZ4" s="97">
        <v>2.88</v>
      </c>
      <c r="BA4" s="97">
        <v>2.96</v>
      </c>
      <c r="BB4" s="97">
        <v>3.04</v>
      </c>
      <c r="BC4" s="97">
        <v>3.12</v>
      </c>
      <c r="BD4" s="97">
        <v>3.2</v>
      </c>
      <c r="BE4" s="97">
        <v>3.28</v>
      </c>
      <c r="BF4" s="97">
        <v>3.36</v>
      </c>
      <c r="BG4" s="97">
        <v>3.44</v>
      </c>
      <c r="BH4" s="97">
        <v>3.52</v>
      </c>
      <c r="BI4" s="97">
        <v>3.6</v>
      </c>
      <c r="BJ4" s="97">
        <v>3.68</v>
      </c>
      <c r="BK4" s="97">
        <v>3.76</v>
      </c>
      <c r="BL4" s="97">
        <v>3.84</v>
      </c>
      <c r="BM4" s="97">
        <v>3.92</v>
      </c>
      <c r="BN4" s="97">
        <v>4</v>
      </c>
      <c r="BO4" s="97">
        <v>4.08</v>
      </c>
      <c r="BP4" s="97">
        <v>4.16</v>
      </c>
      <c r="BQ4" s="97">
        <v>4.24</v>
      </c>
      <c r="BR4" s="97">
        <v>4.32</v>
      </c>
      <c r="BS4" s="97">
        <v>4.4000000000000004</v>
      </c>
      <c r="BT4" s="97">
        <v>4.4800000000000004</v>
      </c>
      <c r="BU4" s="97">
        <v>4.5599999999999996</v>
      </c>
      <c r="BV4" s="97">
        <v>4.6399999999999997</v>
      </c>
      <c r="BW4" s="97">
        <v>4.72</v>
      </c>
      <c r="BX4" s="97">
        <v>4.8</v>
      </c>
      <c r="BY4" s="97">
        <v>4.88</v>
      </c>
      <c r="BZ4" s="97">
        <v>4.96</v>
      </c>
      <c r="CA4" s="97">
        <v>5.04</v>
      </c>
      <c r="CB4" s="97">
        <v>5.12</v>
      </c>
      <c r="CC4" s="97">
        <v>5.2</v>
      </c>
      <c r="CD4" s="97">
        <v>5.28</v>
      </c>
      <c r="CE4" s="97">
        <v>5.36</v>
      </c>
      <c r="CF4" s="97">
        <v>5.44</v>
      </c>
      <c r="CG4" s="97">
        <v>5.52</v>
      </c>
      <c r="CH4" s="97">
        <v>5.6</v>
      </c>
      <c r="CI4" s="97">
        <v>5.68</v>
      </c>
      <c r="CJ4" s="97">
        <v>5.76</v>
      </c>
      <c r="CK4" s="97">
        <v>5.84</v>
      </c>
      <c r="CL4" s="97">
        <v>5.92</v>
      </c>
      <c r="CM4" s="97">
        <v>6</v>
      </c>
      <c r="CN4" s="97">
        <v>6.08</v>
      </c>
      <c r="CO4" s="97">
        <v>6.16</v>
      </c>
      <c r="CP4" s="97">
        <v>6.24</v>
      </c>
      <c r="CQ4" s="97">
        <v>6.32</v>
      </c>
      <c r="CR4" s="97">
        <v>6.4</v>
      </c>
      <c r="CS4" s="97">
        <v>6.48</v>
      </c>
      <c r="CT4" s="97">
        <v>6.56</v>
      </c>
      <c r="CU4" s="97">
        <v>6.64</v>
      </c>
      <c r="CV4" s="97">
        <v>6.72</v>
      </c>
      <c r="CW4" s="97">
        <v>6.8</v>
      </c>
      <c r="CX4" s="97">
        <v>6.88</v>
      </c>
      <c r="CY4" s="97">
        <v>6.96</v>
      </c>
      <c r="CZ4" s="97">
        <v>7.04</v>
      </c>
      <c r="DA4" s="97">
        <v>7.12</v>
      </c>
      <c r="DB4" s="97">
        <v>7.2</v>
      </c>
      <c r="DC4" s="97">
        <v>7.28</v>
      </c>
      <c r="DD4" s="97">
        <v>7.36</v>
      </c>
      <c r="DE4" s="97">
        <v>7.44</v>
      </c>
      <c r="DF4" s="97">
        <v>7.52</v>
      </c>
      <c r="DG4" s="97">
        <v>7.6</v>
      </c>
      <c r="DH4" s="97">
        <v>7.68</v>
      </c>
      <c r="DI4" s="97">
        <v>7.76</v>
      </c>
      <c r="DJ4" s="97">
        <v>7.84</v>
      </c>
      <c r="DK4" s="97">
        <v>7.92</v>
      </c>
      <c r="DL4" s="97">
        <v>8</v>
      </c>
    </row>
    <row r="5" spans="1:116" x14ac:dyDescent="0.25">
      <c r="A5" s="60">
        <v>4.5999999999999996</v>
      </c>
      <c r="B5" s="25">
        <v>3.1</v>
      </c>
      <c r="C5" s="25">
        <v>1.5</v>
      </c>
      <c r="D5" s="57">
        <v>0.2</v>
      </c>
      <c r="E5" s="82" t="s">
        <v>5</v>
      </c>
      <c r="G5" t="s">
        <v>42</v>
      </c>
      <c r="H5">
        <f>AVERAGEIF($E$2:$E$152,H1,$D$2:$D$152)</f>
        <v>0.24599999999999991</v>
      </c>
      <c r="I5">
        <f t="shared" ref="I5:J5" si="1">AVERAGEIF($E$2:$E$152,I1,$D$2:$D$152)</f>
        <v>1.3259999999999998</v>
      </c>
      <c r="J5">
        <f t="shared" si="1"/>
        <v>2.0259999999999998</v>
      </c>
      <c r="L5" s="97" cm="1">
        <f t="array" ref="L5">EstymacjaGaussowska($O5,$D$2:$D$51,H$9)</f>
        <v>0</v>
      </c>
      <c r="M5" s="97" cm="1">
        <f t="array" ref="M5">EstymacjaGaussowska($O5,$D$52:$D$101,I$9)</f>
        <v>7.7870690987522039E-36</v>
      </c>
      <c r="N5" s="97" cm="1">
        <f t="array" ref="N5">EstymacjaGaussowska($O5,$D$102:$D$151,J$9)</f>
        <v>1.630722594325653E-4</v>
      </c>
      <c r="O5" s="97">
        <v>3</v>
      </c>
      <c r="P5" s="97">
        <f>$H$2*$L5*P$1+$I$2*$M5*P$2+$J$2*$N5*P$3</f>
        <v>1.0032660640376245E-67</v>
      </c>
      <c r="Q5" s="97">
        <f t="shared" ref="Q5:CB8" si="2">$H$2*$L5*Q$1+$I$2*$M5*Q$2+$J$2*$N5*Q$3</f>
        <v>1.4672068109558574E-65</v>
      </c>
      <c r="R5" s="97">
        <f t="shared" si="2"/>
        <v>1.9621450901983355E-63</v>
      </c>
      <c r="S5" s="97">
        <f t="shared" si="2"/>
        <v>2.3995813237575186E-61</v>
      </c>
      <c r="T5" s="97">
        <f t="shared" si="2"/>
        <v>2.6835173022506519E-59</v>
      </c>
      <c r="U5" s="97">
        <f t="shared" si="2"/>
        <v>2.7443398897876131E-57</v>
      </c>
      <c r="V5" s="97">
        <f t="shared" si="2"/>
        <v>2.5664686813025746E-55</v>
      </c>
      <c r="W5" s="97">
        <f t="shared" si="2"/>
        <v>2.194818501192428E-53</v>
      </c>
      <c r="X5" s="97">
        <f t="shared" si="2"/>
        <v>1.7164289452691691E-51</v>
      </c>
      <c r="Y5" s="97">
        <f t="shared" si="2"/>
        <v>1.2274890374884947E-49</v>
      </c>
      <c r="Z5" s="97">
        <f t="shared" si="2"/>
        <v>8.0273831374496242E-48</v>
      </c>
      <c r="AA5" s="97">
        <f t="shared" si="2"/>
        <v>4.8005935954187069E-46</v>
      </c>
      <c r="AB5" s="97">
        <f t="shared" si="2"/>
        <v>2.6253092863907682E-44</v>
      </c>
      <c r="AC5" s="97">
        <f t="shared" si="2"/>
        <v>1.3128968231100766E-42</v>
      </c>
      <c r="AD5" s="97">
        <f t="shared" si="2"/>
        <v>6.0040640568570478E-41</v>
      </c>
      <c r="AE5" s="97">
        <f t="shared" si="2"/>
        <v>2.5108724083963563E-39</v>
      </c>
      <c r="AF5" s="97">
        <f t="shared" si="2"/>
        <v>9.6021523938824895E-38</v>
      </c>
      <c r="AG5" s="97">
        <f t="shared" si="2"/>
        <v>3.3579729087285676E-36</v>
      </c>
      <c r="AH5" s="97">
        <f t="shared" si="2"/>
        <v>1.0738668972126814E-34</v>
      </c>
      <c r="AI5" s="97">
        <f t="shared" si="2"/>
        <v>3.1404250794710818E-33</v>
      </c>
      <c r="AJ5" s="97">
        <f t="shared" si="2"/>
        <v>8.3982962787733828E-32</v>
      </c>
      <c r="AK5" s="97">
        <f t="shared" si="2"/>
        <v>2.0538030819996256E-30</v>
      </c>
      <c r="AL5" s="97">
        <f t="shared" si="2"/>
        <v>4.5929464292301511E-29</v>
      </c>
      <c r="AM5" s="97">
        <f t="shared" si="2"/>
        <v>9.392670539041539E-28</v>
      </c>
      <c r="AN5" s="97">
        <f t="shared" si="2"/>
        <v>1.7565161825740058E-26</v>
      </c>
      <c r="AO5" s="97">
        <f t="shared" si="2"/>
        <v>3.0038683641086149E-25</v>
      </c>
      <c r="AP5" s="97">
        <f t="shared" si="2"/>
        <v>4.6975970713763527E-24</v>
      </c>
      <c r="AQ5" s="97">
        <f t="shared" si="2"/>
        <v>6.7179595670210246E-23</v>
      </c>
      <c r="AR5" s="97">
        <f t="shared" si="2"/>
        <v>8.7855034951404547E-22</v>
      </c>
      <c r="AS5" s="97">
        <f t="shared" si="2"/>
        <v>1.0506663708613265E-20</v>
      </c>
      <c r="AT5" s="97">
        <f t="shared" si="2"/>
        <v>1.149036147045822E-19</v>
      </c>
      <c r="AU5" s="97">
        <f t="shared" si="2"/>
        <v>1.1491474264858443E-18</v>
      </c>
      <c r="AV5" s="97">
        <f t="shared" si="2"/>
        <v>1.0509802798127947E-17</v>
      </c>
      <c r="AW5" s="97">
        <f t="shared" si="2"/>
        <v>8.7901280260692953E-17</v>
      </c>
      <c r="AX5" s="97">
        <f t="shared" si="2"/>
        <v>6.7233362361862622E-16</v>
      </c>
      <c r="AY5" s="97">
        <f t="shared" si="2"/>
        <v>4.7029859706562678E-15</v>
      </c>
      <c r="AZ5" s="97">
        <f t="shared" si="2"/>
        <v>3.0086823734978486E-14</v>
      </c>
      <c r="BA5" s="97">
        <f t="shared" si="2"/>
        <v>1.7604093032443049E-13</v>
      </c>
      <c r="BB5" s="97">
        <f t="shared" si="2"/>
        <v>9.4214011372633921E-13</v>
      </c>
      <c r="BC5" s="97">
        <f t="shared" si="2"/>
        <v>4.6123766963491635E-12</v>
      </c>
      <c r="BD5" s="97">
        <f t="shared" si="2"/>
        <v>2.0658713112154123E-11</v>
      </c>
      <c r="BE5" s="97">
        <f t="shared" si="2"/>
        <v>8.4672072279614484E-11</v>
      </c>
      <c r="BF5" s="97">
        <f t="shared" si="2"/>
        <v>3.1766155454328553E-10</v>
      </c>
      <c r="BG5" s="97">
        <f t="shared" si="2"/>
        <v>1.0913497297409913E-9</v>
      </c>
      <c r="BH5" s="97">
        <f t="shared" si="2"/>
        <v>3.4356593265860947E-9</v>
      </c>
      <c r="BI5" s="97">
        <f t="shared" si="2"/>
        <v>9.9196962865731162E-9</v>
      </c>
      <c r="BJ5" s="97">
        <f t="shared" si="2"/>
        <v>2.6302808437171613E-8</v>
      </c>
      <c r="BK5" s="97">
        <f t="shared" si="2"/>
        <v>6.4172474424718254E-8</v>
      </c>
      <c r="BL5" s="97">
        <f t="shared" si="2"/>
        <v>1.4445101820787654E-7</v>
      </c>
      <c r="BM5" s="97">
        <f t="shared" si="2"/>
        <v>3.0114585675613119E-7</v>
      </c>
      <c r="BN5" s="97">
        <f t="shared" si="2"/>
        <v>5.8449255289345571E-7</v>
      </c>
      <c r="BO5" s="97">
        <f t="shared" si="2"/>
        <v>1.0633320276587196E-6</v>
      </c>
      <c r="BP5" s="97">
        <f t="shared" si="2"/>
        <v>1.8281512369096442E-6</v>
      </c>
      <c r="BQ5" s="97">
        <f t="shared" si="2"/>
        <v>2.9970478185726861E-6</v>
      </c>
      <c r="BR5" s="97">
        <f t="shared" si="2"/>
        <v>4.7240791039525219E-6</v>
      </c>
      <c r="BS5" s="97">
        <f t="shared" si="2"/>
        <v>7.2018284615389917E-6</v>
      </c>
      <c r="BT5" s="97">
        <f t="shared" si="2"/>
        <v>1.0641754928149604E-5</v>
      </c>
      <c r="BU5" s="97">
        <f t="shared" si="2"/>
        <v>1.521647930345708E-5</v>
      </c>
      <c r="BV5" s="97">
        <f t="shared" si="2"/>
        <v>2.0965494299087572E-5</v>
      </c>
      <c r="BW5" s="97">
        <f t="shared" si="2"/>
        <v>2.7696254726265617E-5</v>
      </c>
      <c r="BX5" s="97">
        <f t="shared" si="2"/>
        <v>3.4937750340301605E-5</v>
      </c>
      <c r="BY5" s="97">
        <f t="shared" si="2"/>
        <v>4.1999848201664167E-5</v>
      </c>
      <c r="BZ5" s="97">
        <f t="shared" si="2"/>
        <v>4.8148298179798805E-5</v>
      </c>
      <c r="CA5" s="97">
        <f t="shared" si="2"/>
        <v>5.283833623594818E-5</v>
      </c>
      <c r="CB5" s="97">
        <f t="shared" si="2"/>
        <v>5.5898727522775509E-5</v>
      </c>
      <c r="CC5" s="97">
        <f t="shared" ref="CC5:DL12" si="3">$H$2*$L5*CC$1+$I$2*$M5*CC$2+$J$2*$N5*CC$3</f>
        <v>5.7563234853332444E-5</v>
      </c>
      <c r="CD5" s="97">
        <f t="shared" si="3"/>
        <v>5.8318545391225786E-5</v>
      </c>
      <c r="CE5" s="97">
        <f t="shared" si="3"/>
        <v>5.8640820123302211E-5</v>
      </c>
      <c r="CF5" s="97">
        <f t="shared" si="3"/>
        <v>5.8761366911687633E-5</v>
      </c>
      <c r="CG5" s="97">
        <f t="shared" si="3"/>
        <v>5.8585340579985996E-5</v>
      </c>
      <c r="CH5" s="97">
        <f t="shared" si="3"/>
        <v>5.7793185200445034E-5</v>
      </c>
      <c r="CI5" s="97">
        <f t="shared" si="3"/>
        <v>5.6046922786337616E-5</v>
      </c>
      <c r="CJ5" s="97">
        <f t="shared" si="3"/>
        <v>5.31753461788614E-5</v>
      </c>
      <c r="CK5" s="97">
        <f t="shared" si="3"/>
        <v>4.924904131192069E-5</v>
      </c>
      <c r="CL5" s="97">
        <f t="shared" si="3"/>
        <v>4.453953398238047E-5</v>
      </c>
      <c r="CM5" s="97">
        <f t="shared" si="3"/>
        <v>3.9421171424017763E-5</v>
      </c>
      <c r="CN5" s="97">
        <f t="shared" si="3"/>
        <v>3.428115899050323E-5</v>
      </c>
      <c r="CO5" s="97">
        <f t="shared" si="3"/>
        <v>2.9465354218613293E-5</v>
      </c>
      <c r="CP5" s="97">
        <f t="shared" si="3"/>
        <v>2.5247670689330852E-5</v>
      </c>
      <c r="CQ5" s="97">
        <f t="shared" si="3"/>
        <v>2.1800948162683616E-5</v>
      </c>
      <c r="CR5" s="97">
        <f t="shared" si="3"/>
        <v>1.9165469123188254E-5</v>
      </c>
      <c r="CS5" s="97">
        <f t="shared" si="3"/>
        <v>1.7233523405029254E-5</v>
      </c>
      <c r="CT5" s="97">
        <f t="shared" si="3"/>
        <v>1.5772482505547528E-5</v>
      </c>
      <c r="CU5" s="97">
        <f t="shared" si="3"/>
        <v>1.449136404842362E-5</v>
      </c>
      <c r="CV5" s="97">
        <f t="shared" si="3"/>
        <v>1.3130439339030825E-5</v>
      </c>
      <c r="CW5" s="97">
        <f t="shared" si="3"/>
        <v>1.153807976369034E-5</v>
      </c>
      <c r="CX5" s="97">
        <f t="shared" si="3"/>
        <v>9.7037902112253594E-6</v>
      </c>
      <c r="CY5" s="97">
        <f t="shared" si="3"/>
        <v>7.7378401317095339E-6</v>
      </c>
      <c r="CZ5" s="97">
        <f t="shared" si="3"/>
        <v>5.8126415117390307E-6</v>
      </c>
      <c r="DA5" s="97">
        <f t="shared" si="3"/>
        <v>4.0950926186159887E-6</v>
      </c>
      <c r="DB5" s="97">
        <f t="shared" si="3"/>
        <v>2.6968809108775371E-6</v>
      </c>
      <c r="DC5" s="97">
        <f t="shared" si="3"/>
        <v>1.6558445136382324E-6</v>
      </c>
      <c r="DD5" s="97">
        <f t="shared" si="3"/>
        <v>9.4566282360378735E-7</v>
      </c>
      <c r="DE5" s="97">
        <f t="shared" si="3"/>
        <v>5.0129539126784778E-7</v>
      </c>
      <c r="DF5" s="97">
        <f t="shared" si="3"/>
        <v>2.461687673011063E-7</v>
      </c>
      <c r="DG5" s="97">
        <f t="shared" si="3"/>
        <v>1.1177738438566998E-7</v>
      </c>
      <c r="DH5" s="97">
        <f t="shared" si="3"/>
        <v>4.68514266135859E-8</v>
      </c>
      <c r="DI5" s="97">
        <f t="shared" si="3"/>
        <v>1.8100052108528221E-8</v>
      </c>
      <c r="DJ5" s="97">
        <f t="shared" si="3"/>
        <v>6.4364118073619888E-9</v>
      </c>
      <c r="DK5" s="97">
        <f t="shared" si="3"/>
        <v>2.1043232913170953E-9</v>
      </c>
      <c r="DL5" s="97">
        <f t="shared" si="3"/>
        <v>6.3191484552284372E-10</v>
      </c>
    </row>
    <row r="6" spans="1:116" x14ac:dyDescent="0.25">
      <c r="A6" s="60">
        <v>5</v>
      </c>
      <c r="B6" s="25">
        <v>3.6</v>
      </c>
      <c r="C6" s="25">
        <v>1.4</v>
      </c>
      <c r="D6" s="57">
        <v>0.2</v>
      </c>
      <c r="E6" s="82" t="s">
        <v>5</v>
      </c>
      <c r="G6" t="s">
        <v>43</v>
      </c>
      <c r="H6">
        <f>_xlfn.STDEV.S($C$2:$C$51)</f>
        <v>0.17366399648018002</v>
      </c>
      <c r="I6">
        <f>_xlfn.STDEV.S($C$52:$C$101)</f>
        <v>0.46991097723996639</v>
      </c>
      <c r="J6">
        <f>_xlfn.STDEV.S($C$102:$C$151)</f>
        <v>0.55189469566398353</v>
      </c>
      <c r="L6" s="97" cm="1">
        <f t="array" ref="L6">EstymacjaGaussowska($O6,$D$2:$D$51,H$9)</f>
        <v>0</v>
      </c>
      <c r="M6" s="97" cm="1">
        <f t="array" ref="M6">EstymacjaGaussowska($O6,$D$52:$D$101,I$9)</f>
        <v>3.7286598769852596E-34</v>
      </c>
      <c r="N6" s="97" cm="1">
        <f t="array" ref="N6">EstymacjaGaussowska($O6,$D$102:$D$151,J$9)</f>
        <v>3.739506112803729E-4</v>
      </c>
      <c r="O6" s="97">
        <v>2.97</v>
      </c>
      <c r="P6" s="97">
        <f t="shared" ref="P6:AE28" si="4">$H$2*$L6*P$1+$I$2*$M6*P$2+$J$2*$N6*P$3</f>
        <v>2.3006494501382361E-67</v>
      </c>
      <c r="Q6" s="97">
        <f t="shared" si="2"/>
        <v>3.3645392900910994E-65</v>
      </c>
      <c r="R6" s="97">
        <f t="shared" si="2"/>
        <v>4.4995113045133898E-63</v>
      </c>
      <c r="S6" s="97">
        <f t="shared" si="2"/>
        <v>5.502621936290406E-61</v>
      </c>
      <c r="T6" s="97">
        <f t="shared" si="2"/>
        <v>6.1537320823909219E-59</v>
      </c>
      <c r="U6" s="97">
        <f t="shared" si="2"/>
        <v>6.2932077933819877E-57</v>
      </c>
      <c r="V6" s="97">
        <f t="shared" si="2"/>
        <v>5.8853207373268421E-55</v>
      </c>
      <c r="W6" s="97">
        <f t="shared" si="2"/>
        <v>5.0330677408122975E-53</v>
      </c>
      <c r="X6" s="97">
        <f t="shared" si="2"/>
        <v>3.936044418925329E-51</v>
      </c>
      <c r="Y6" s="97">
        <f t="shared" si="2"/>
        <v>2.8148274801177E-49</v>
      </c>
      <c r="Z6" s="97">
        <f t="shared" si="2"/>
        <v>1.8408065512975548E-47</v>
      </c>
      <c r="AA6" s="97">
        <f t="shared" si="2"/>
        <v>1.1008524177017298E-45</v>
      </c>
      <c r="AB6" s="97">
        <f t="shared" si="2"/>
        <v>6.0202514892542855E-44</v>
      </c>
      <c r="AC6" s="97">
        <f t="shared" si="2"/>
        <v>3.0106811012186807E-42</v>
      </c>
      <c r="AD6" s="97">
        <f t="shared" si="2"/>
        <v>1.376827323144984E-40</v>
      </c>
      <c r="AE6" s="97">
        <f t="shared" si="2"/>
        <v>5.7578295367505771E-39</v>
      </c>
      <c r="AF6" s="97">
        <f t="shared" si="2"/>
        <v>2.2019261705346201E-37</v>
      </c>
      <c r="AG6" s="97">
        <f t="shared" si="2"/>
        <v>7.7003656308876984E-36</v>
      </c>
      <c r="AH6" s="97">
        <f t="shared" si="2"/>
        <v>2.4625474868884274E-34</v>
      </c>
      <c r="AI6" s="97">
        <f t="shared" si="2"/>
        <v>7.2014938790647941E-33</v>
      </c>
      <c r="AJ6" s="97">
        <f t="shared" si="2"/>
        <v>1.9258628279815494E-31</v>
      </c>
      <c r="AK6" s="97">
        <f t="shared" si="2"/>
        <v>4.7096969198547549E-30</v>
      </c>
      <c r="AL6" s="97">
        <f t="shared" si="2"/>
        <v>1.0532356212914876E-28</v>
      </c>
      <c r="AM6" s="97">
        <f t="shared" si="2"/>
        <v>2.1538886514798163E-27</v>
      </c>
      <c r="AN6" s="97">
        <f t="shared" si="2"/>
        <v>4.0279708055988662E-26</v>
      </c>
      <c r="AO6" s="97">
        <f t="shared" si="2"/>
        <v>6.8883476249907741E-25</v>
      </c>
      <c r="AP6" s="97">
        <f t="shared" si="2"/>
        <v>1.0772336769617802E-23</v>
      </c>
      <c r="AQ6" s="97">
        <f t="shared" si="2"/>
        <v>1.540534910956573E-22</v>
      </c>
      <c r="AR6" s="97">
        <f t="shared" si="2"/>
        <v>2.0146555973686025E-21</v>
      </c>
      <c r="AS6" s="97">
        <f t="shared" si="2"/>
        <v>2.4093449922290276E-20</v>
      </c>
      <c r="AT6" s="97">
        <f t="shared" si="2"/>
        <v>2.6349225249357306E-19</v>
      </c>
      <c r="AU6" s="97">
        <f t="shared" si="2"/>
        <v>2.635177706379614E-18</v>
      </c>
      <c r="AV6" s="97">
        <f t="shared" si="2"/>
        <v>2.4100648353506987E-17</v>
      </c>
      <c r="AW6" s="97">
        <f t="shared" si="2"/>
        <v>2.0157160758176915E-16</v>
      </c>
      <c r="AX6" s="97">
        <f t="shared" si="2"/>
        <v>1.5417678666585353E-15</v>
      </c>
      <c r="AY6" s="97">
        <f t="shared" si="2"/>
        <v>1.0784694372234363E-14</v>
      </c>
      <c r="AZ6" s="97">
        <f t="shared" si="2"/>
        <v>6.8993869137090213E-14</v>
      </c>
      <c r="BA6" s="97">
        <f t="shared" si="2"/>
        <v>4.0368983501089598E-13</v>
      </c>
      <c r="BB6" s="97">
        <f t="shared" si="2"/>
        <v>2.1604770343260967E-12</v>
      </c>
      <c r="BC6" s="97">
        <f t="shared" si="2"/>
        <v>1.0576912903867425E-11</v>
      </c>
      <c r="BD6" s="97">
        <f t="shared" si="2"/>
        <v>4.7373712876962498E-11</v>
      </c>
      <c r="BE6" s="97">
        <f t="shared" si="2"/>
        <v>1.9416652039724335E-10</v>
      </c>
      <c r="BF6" s="97">
        <f t="shared" si="2"/>
        <v>7.2844843700014987E-10</v>
      </c>
      <c r="BG6" s="97">
        <f t="shared" si="2"/>
        <v>2.5026384007764247E-9</v>
      </c>
      <c r="BH6" s="97">
        <f t="shared" si="2"/>
        <v>7.8785129352995166E-9</v>
      </c>
      <c r="BI6" s="97">
        <f t="shared" si="2"/>
        <v>2.2747440324843408E-8</v>
      </c>
      <c r="BJ6" s="97">
        <f t="shared" si="2"/>
        <v>6.0316520588459136E-8</v>
      </c>
      <c r="BK6" s="97">
        <f t="shared" si="2"/>
        <v>1.4715768409660759E-7</v>
      </c>
      <c r="BL6" s="97">
        <f t="shared" si="2"/>
        <v>3.3124914529834785E-7</v>
      </c>
      <c r="BM6" s="97">
        <f t="shared" si="2"/>
        <v>6.9057531679737112E-7</v>
      </c>
      <c r="BN6" s="97">
        <f t="shared" si="2"/>
        <v>1.3403343291120491E-6</v>
      </c>
      <c r="BO6" s="97">
        <f t="shared" si="2"/>
        <v>2.4383893564767133E-6</v>
      </c>
      <c r="BP6" s="97">
        <f t="shared" si="2"/>
        <v>4.1922413716112991E-6</v>
      </c>
      <c r="BQ6" s="97">
        <f t="shared" si="2"/>
        <v>6.8727070299484197E-6</v>
      </c>
      <c r="BR6" s="97">
        <f t="shared" si="2"/>
        <v>1.083306427964473E-5</v>
      </c>
      <c r="BS6" s="97">
        <f t="shared" si="2"/>
        <v>1.651493739585164E-5</v>
      </c>
      <c r="BT6" s="97">
        <f t="shared" si="2"/>
        <v>2.4403235561491008E-5</v>
      </c>
      <c r="BU6" s="97">
        <f t="shared" si="2"/>
        <v>3.4893805708358205E-5</v>
      </c>
      <c r="BV6" s="97">
        <f t="shared" si="2"/>
        <v>4.8077210901594475E-5</v>
      </c>
      <c r="BW6" s="97">
        <f t="shared" si="2"/>
        <v>6.3511914418202137E-5</v>
      </c>
      <c r="BX6" s="97">
        <f t="shared" si="2"/>
        <v>8.0117814899839304E-5</v>
      </c>
      <c r="BY6" s="97">
        <f t="shared" si="2"/>
        <v>9.6312327819251056E-5</v>
      </c>
      <c r="BZ6" s="97">
        <f t="shared" si="2"/>
        <v>1.1041170091772113E-4</v>
      </c>
      <c r="CA6" s="97">
        <f t="shared" si="2"/>
        <v>1.2116670366391495E-4</v>
      </c>
      <c r="CB6" s="97">
        <f t="shared" si="2"/>
        <v>1.2818466733504111E-4</v>
      </c>
      <c r="CC6" s="97">
        <f t="shared" si="3"/>
        <v>1.3200164721812065E-4</v>
      </c>
      <c r="CD6" s="97">
        <f t="shared" si="3"/>
        <v>1.3373369433842514E-4</v>
      </c>
      <c r="CE6" s="97">
        <f t="shared" si="3"/>
        <v>1.3447272152477521E-4</v>
      </c>
      <c r="CF6" s="97">
        <f t="shared" si="3"/>
        <v>1.3474915447150368E-4</v>
      </c>
      <c r="CG6" s="97">
        <f t="shared" si="3"/>
        <v>1.3434549811345531E-4</v>
      </c>
      <c r="CH6" s="97">
        <f t="shared" si="3"/>
        <v>1.3252895991475036E-4</v>
      </c>
      <c r="CI6" s="97">
        <f t="shared" si="3"/>
        <v>1.2852450263008602E-4</v>
      </c>
      <c r="CJ6" s="97">
        <f t="shared" si="3"/>
        <v>1.219395210308815E-4</v>
      </c>
      <c r="CK6" s="97">
        <f t="shared" si="3"/>
        <v>1.1293587988324203E-4</v>
      </c>
      <c r="CL6" s="97">
        <f t="shared" si="3"/>
        <v>1.0213623099851414E-4</v>
      </c>
      <c r="CM6" s="97">
        <f t="shared" si="3"/>
        <v>9.0399012086392528E-5</v>
      </c>
      <c r="CN6" s="97">
        <f t="shared" si="3"/>
        <v>7.8612146569291384E-5</v>
      </c>
      <c r="CO6" s="97">
        <f t="shared" si="3"/>
        <v>6.7568740753234198E-5</v>
      </c>
      <c r="CP6" s="97">
        <f t="shared" si="3"/>
        <v>5.7896922018089085E-5</v>
      </c>
      <c r="CQ6" s="97">
        <f t="shared" si="3"/>
        <v>4.9993039406549246E-5</v>
      </c>
      <c r="CR6" s="97">
        <f t="shared" si="3"/>
        <v>4.3949467058528601E-5</v>
      </c>
      <c r="CS6" s="97">
        <f t="shared" si="3"/>
        <v>3.9519208443237821E-5</v>
      </c>
      <c r="CT6" s="97">
        <f t="shared" si="3"/>
        <v>3.6168809427685146E-5</v>
      </c>
      <c r="CU6" s="97">
        <f t="shared" si="3"/>
        <v>3.3231001171203828E-5</v>
      </c>
      <c r="CV6" s="97">
        <f t="shared" si="3"/>
        <v>3.0110184493033923E-5</v>
      </c>
      <c r="CW6" s="97">
        <f t="shared" si="3"/>
        <v>2.6458650880580542E-5</v>
      </c>
      <c r="CX6" s="97">
        <f t="shared" si="3"/>
        <v>2.2252333375713123E-5</v>
      </c>
      <c r="CY6" s="97">
        <f t="shared" si="3"/>
        <v>1.7744097354824158E-5</v>
      </c>
      <c r="CZ6" s="97">
        <f t="shared" si="3"/>
        <v>1.3329310908133576E-5</v>
      </c>
      <c r="DA6" s="97">
        <f t="shared" si="3"/>
        <v>9.3906982911121721E-6</v>
      </c>
      <c r="DB6" s="97">
        <f t="shared" si="3"/>
        <v>6.184376598952229E-6</v>
      </c>
      <c r="DC6" s="97">
        <f t="shared" si="3"/>
        <v>3.7971146669266944E-6</v>
      </c>
      <c r="DD6" s="97">
        <f t="shared" si="3"/>
        <v>2.1685551680112434E-6</v>
      </c>
      <c r="DE6" s="97">
        <f t="shared" si="3"/>
        <v>1.149550013282087E-6</v>
      </c>
      <c r="DF6" s="97">
        <f t="shared" si="3"/>
        <v>5.6450411204642518E-7</v>
      </c>
      <c r="DG6" s="97">
        <f t="shared" si="3"/>
        <v>2.5632330945673551E-7</v>
      </c>
      <c r="DH6" s="97">
        <f t="shared" si="3"/>
        <v>1.0743776827813569E-7</v>
      </c>
      <c r="DI6" s="97">
        <f t="shared" si="3"/>
        <v>4.1506296495448354E-8</v>
      </c>
      <c r="DJ6" s="97">
        <f t="shared" si="3"/>
        <v>1.4759715344537447E-8</v>
      </c>
      <c r="DK6" s="97">
        <f t="shared" si="3"/>
        <v>4.8255477900271775E-9</v>
      </c>
      <c r="DL6" s="97">
        <f t="shared" si="3"/>
        <v>1.4490811839038028E-9</v>
      </c>
    </row>
    <row r="7" spans="1:116" x14ac:dyDescent="0.25">
      <c r="A7" s="60">
        <v>5.4</v>
      </c>
      <c r="B7" s="25">
        <v>3.9</v>
      </c>
      <c r="C7" s="25">
        <v>1.7</v>
      </c>
      <c r="D7" s="57">
        <v>0.4</v>
      </c>
      <c r="E7" s="82" t="s">
        <v>5</v>
      </c>
      <c r="G7" t="s">
        <v>46</v>
      </c>
      <c r="H7">
        <f>_xlfn.STDEV.S($D$2:$D$51)</f>
        <v>0.10538558938004595</v>
      </c>
      <c r="I7">
        <f>_xlfn.STDEV.S($D$52:$D$101)</f>
        <v>0.19775268000454274</v>
      </c>
      <c r="J7">
        <f>_xlfn.STDEV.S($D$102:$D$151)</f>
        <v>0.27465005563666967</v>
      </c>
      <c r="L7" s="97" cm="1">
        <f t="array" ref="L7">EstymacjaGaussowska($O7,$D$2:$D$51,H$9)</f>
        <v>0</v>
      </c>
      <c r="M7" s="97" cm="1">
        <f t="array" ref="M7">EstymacjaGaussowska($O7,$D$52:$D$101,I$9)</f>
        <v>1.6188083098442778E-32</v>
      </c>
      <c r="N7" s="97" cm="1">
        <f t="array" ref="N7">EstymacjaGaussowska($O7,$D$102:$D$151,J$9)</f>
        <v>8.1655893002242994E-4</v>
      </c>
      <c r="O7" s="97">
        <v>2.94</v>
      </c>
      <c r="P7" s="97">
        <f t="shared" si="4"/>
        <v>5.0237392390423761E-67</v>
      </c>
      <c r="Q7" s="97">
        <f t="shared" si="2"/>
        <v>7.3468485891109225E-65</v>
      </c>
      <c r="R7" s="97">
        <f t="shared" si="2"/>
        <v>9.8251689664036766E-63</v>
      </c>
      <c r="S7" s="97">
        <f t="shared" si="2"/>
        <v>1.2015554447806529E-60</v>
      </c>
      <c r="T7" s="97">
        <f t="shared" si="2"/>
        <v>1.3437311233957642E-58</v>
      </c>
      <c r="U7" s="97">
        <f t="shared" si="2"/>
        <v>1.3741864040322956E-56</v>
      </c>
      <c r="V7" s="97">
        <f t="shared" si="2"/>
        <v>1.2851197025334631E-54</v>
      </c>
      <c r="W7" s="97">
        <f t="shared" si="2"/>
        <v>1.0990213947009467E-52</v>
      </c>
      <c r="X7" s="97">
        <f t="shared" si="2"/>
        <v>8.5947514239098007E-51</v>
      </c>
      <c r="Y7" s="97">
        <f t="shared" si="2"/>
        <v>6.1464604252387432E-49</v>
      </c>
      <c r="Z7" s="97">
        <f t="shared" si="2"/>
        <v>4.0195871321742453E-47</v>
      </c>
      <c r="AA7" s="97">
        <f t="shared" si="2"/>
        <v>2.4038224717651105E-45</v>
      </c>
      <c r="AB7" s="97">
        <f t="shared" si="2"/>
        <v>1.3145827261599481E-43</v>
      </c>
      <c r="AC7" s="97">
        <f t="shared" si="2"/>
        <v>6.5741262886332786E-42</v>
      </c>
      <c r="AD7" s="97">
        <f t="shared" si="2"/>
        <v>3.0064415272600293E-40</v>
      </c>
      <c r="AE7" s="97">
        <f t="shared" si="2"/>
        <v>1.2572802358936107E-38</v>
      </c>
      <c r="AF7" s="97">
        <f t="shared" si="2"/>
        <v>4.8081281961891254E-37</v>
      </c>
      <c r="AG7" s="97">
        <f t="shared" si="2"/>
        <v>1.6814526119325071E-35</v>
      </c>
      <c r="AH7" s="97">
        <f t="shared" si="2"/>
        <v>5.3772211634634475E-34</v>
      </c>
      <c r="AI7" s="97">
        <f t="shared" si="2"/>
        <v>1.572518926059202E-32</v>
      </c>
      <c r="AJ7" s="97">
        <f t="shared" si="2"/>
        <v>4.2053160036466392E-31</v>
      </c>
      <c r="AK7" s="97">
        <f t="shared" si="2"/>
        <v>1.0284098920021762E-29</v>
      </c>
      <c r="AL7" s="97">
        <f t="shared" si="2"/>
        <v>2.2998463594934958E-28</v>
      </c>
      <c r="AM7" s="97">
        <f t="shared" si="2"/>
        <v>4.7032334206329495E-27</v>
      </c>
      <c r="AN7" s="97">
        <f t="shared" si="2"/>
        <v>8.7954810928640773E-26</v>
      </c>
      <c r="AO7" s="97">
        <f t="shared" si="2"/>
        <v>1.5041402785855738E-24</v>
      </c>
      <c r="AP7" s="97">
        <f t="shared" si="2"/>
        <v>2.3522485379346911E-23</v>
      </c>
      <c r="AQ7" s="97">
        <f t="shared" si="2"/>
        <v>3.3639135773727866E-22</v>
      </c>
      <c r="AR7" s="97">
        <f t="shared" si="2"/>
        <v>4.3992039839656476E-21</v>
      </c>
      <c r="AS7" s="97">
        <f t="shared" si="2"/>
        <v>5.2610481426232494E-20</v>
      </c>
      <c r="AT7" s="97">
        <f t="shared" si="2"/>
        <v>5.7536194693912694E-19</v>
      </c>
      <c r="AU7" s="97">
        <f t="shared" si="2"/>
        <v>5.7541766838481875E-18</v>
      </c>
      <c r="AV7" s="97">
        <f t="shared" si="2"/>
        <v>5.2626199927860375E-17</v>
      </c>
      <c r="AW7" s="97">
        <f t="shared" si="2"/>
        <v>4.4015196457711859E-16</v>
      </c>
      <c r="AX7" s="97">
        <f t="shared" si="2"/>
        <v>3.3666058606807653E-15</v>
      </c>
      <c r="AY7" s="97">
        <f t="shared" si="2"/>
        <v>2.3549469452820286E-14</v>
      </c>
      <c r="AZ7" s="97">
        <f t="shared" si="2"/>
        <v>1.5065508187777861E-13</v>
      </c>
      <c r="BA7" s="97">
        <f t="shared" si="2"/>
        <v>8.8149752880141838E-13</v>
      </c>
      <c r="BB7" s="97">
        <f t="shared" si="2"/>
        <v>4.7176198200266009E-12</v>
      </c>
      <c r="BC7" s="97">
        <f t="shared" si="2"/>
        <v>2.3095757630001553E-11</v>
      </c>
      <c r="BD7" s="97">
        <f t="shared" si="2"/>
        <v>1.0344528697400378E-10</v>
      </c>
      <c r="BE7" s="97">
        <f t="shared" si="2"/>
        <v>4.23982208770554E-10</v>
      </c>
      <c r="BF7" s="97">
        <f t="shared" si="2"/>
        <v>1.590640737975372E-9</v>
      </c>
      <c r="BG7" s="97">
        <f t="shared" si="2"/>
        <v>5.4647637231400885E-9</v>
      </c>
      <c r="BH7" s="97">
        <f t="shared" si="2"/>
        <v>1.720352875100034E-8</v>
      </c>
      <c r="BI7" s="97">
        <f t="shared" si="2"/>
        <v>4.9671333518630656E-8</v>
      </c>
      <c r="BJ7" s="97">
        <f t="shared" si="2"/>
        <v>1.3170721487993752E-7</v>
      </c>
      <c r="BK7" s="97">
        <f t="shared" si="2"/>
        <v>3.2133366665474285E-7</v>
      </c>
      <c r="BL7" s="97">
        <f t="shared" si="2"/>
        <v>7.2331596605645117E-7</v>
      </c>
      <c r="BM7" s="97">
        <f t="shared" si="2"/>
        <v>1.5079409546978282E-6</v>
      </c>
      <c r="BN7" s="97">
        <f t="shared" si="2"/>
        <v>2.9267553859712329E-6</v>
      </c>
      <c r="BO7" s="97">
        <f t="shared" si="2"/>
        <v>5.3244694455382763E-6</v>
      </c>
      <c r="BP7" s="97">
        <f t="shared" si="2"/>
        <v>9.1541824656414383E-6</v>
      </c>
      <c r="BQ7" s="97">
        <f t="shared" si="2"/>
        <v>1.5007249966827004E-5</v>
      </c>
      <c r="BR7" s="97">
        <f t="shared" si="2"/>
        <v>2.3655090031177036E-5</v>
      </c>
      <c r="BS7" s="97">
        <f t="shared" si="2"/>
        <v>3.6062033869048057E-5</v>
      </c>
      <c r="BT7" s="97">
        <f t="shared" si="2"/>
        <v>5.3286929658837214E-5</v>
      </c>
      <c r="BU7" s="97">
        <f t="shared" si="2"/>
        <v>7.6194149158014779E-5</v>
      </c>
      <c r="BV7" s="97">
        <f t="shared" si="2"/>
        <v>1.049814459664962E-4</v>
      </c>
      <c r="BW7" s="97">
        <f t="shared" si="2"/>
        <v>1.3868468005289567E-4</v>
      </c>
      <c r="BX7" s="97">
        <f t="shared" si="2"/>
        <v>1.7494534100733944E-4</v>
      </c>
      <c r="BY7" s="97">
        <f t="shared" si="2"/>
        <v>2.1030769566811214E-4</v>
      </c>
      <c r="BZ7" s="97">
        <f t="shared" si="2"/>
        <v>2.4109510091356525E-4</v>
      </c>
      <c r="CA7" s="97">
        <f t="shared" si="2"/>
        <v>2.6457973570197013E-4</v>
      </c>
      <c r="CB7" s="97">
        <f t="shared" si="2"/>
        <v>2.7990416821622674E-4</v>
      </c>
      <c r="CC7" s="97">
        <f t="shared" si="3"/>
        <v>2.8823892931896419E-4</v>
      </c>
      <c r="CD7" s="97">
        <f t="shared" si="3"/>
        <v>2.9202102914883683E-4</v>
      </c>
      <c r="CE7" s="97">
        <f t="shared" si="3"/>
        <v>2.9363476965450769E-4</v>
      </c>
      <c r="CF7" s="97">
        <f t="shared" si="3"/>
        <v>2.9423838891436311E-4</v>
      </c>
      <c r="CG7" s="97">
        <f t="shared" si="3"/>
        <v>2.9335696448589066E-4</v>
      </c>
      <c r="CH7" s="97">
        <f t="shared" si="3"/>
        <v>2.893903698524425E-4</v>
      </c>
      <c r="CI7" s="97">
        <f t="shared" si="3"/>
        <v>2.806462329074853E-4</v>
      </c>
      <c r="CJ7" s="97">
        <f t="shared" si="3"/>
        <v>2.6626726047994094E-4</v>
      </c>
      <c r="CK7" s="97">
        <f t="shared" si="3"/>
        <v>2.4660690063549567E-4</v>
      </c>
      <c r="CL7" s="97">
        <f t="shared" si="3"/>
        <v>2.2302477649418882E-4</v>
      </c>
      <c r="CM7" s="97">
        <f t="shared" si="3"/>
        <v>1.973953735002858E-4</v>
      </c>
      <c r="CN7" s="97">
        <f t="shared" si="3"/>
        <v>1.7165756212993293E-4</v>
      </c>
      <c r="CO7" s="97">
        <f t="shared" si="3"/>
        <v>1.4754317010878416E-4</v>
      </c>
      <c r="CP7" s="97">
        <f t="shared" si="3"/>
        <v>1.2642377701379686E-4</v>
      </c>
      <c r="CQ7" s="97">
        <f t="shared" si="3"/>
        <v>1.0916485101230163E-4</v>
      </c>
      <c r="CR7" s="97">
        <f t="shared" si="3"/>
        <v>9.5968100368904851E-5</v>
      </c>
      <c r="CS7" s="97">
        <f t="shared" si="3"/>
        <v>8.6294183211132935E-5</v>
      </c>
      <c r="CT7" s="97">
        <f t="shared" si="3"/>
        <v>7.8978248558905014E-5</v>
      </c>
      <c r="CU7" s="97">
        <f t="shared" si="3"/>
        <v>7.2563247502188316E-5</v>
      </c>
      <c r="CV7" s="97">
        <f t="shared" si="3"/>
        <v>6.5748629072237587E-5</v>
      </c>
      <c r="CW7" s="97">
        <f t="shared" si="3"/>
        <v>5.7775136612051927E-5</v>
      </c>
      <c r="CX7" s="97">
        <f t="shared" si="3"/>
        <v>4.8590217487708114E-5</v>
      </c>
      <c r="CY7" s="97">
        <f t="shared" si="3"/>
        <v>3.8746028788827704E-5</v>
      </c>
      <c r="CZ7" s="97">
        <f t="shared" si="3"/>
        <v>2.9105896673936314E-5</v>
      </c>
      <c r="DA7" s="97">
        <f t="shared" si="3"/>
        <v>2.0505538211314272E-5</v>
      </c>
      <c r="DB7" s="97">
        <f t="shared" si="3"/>
        <v>1.3504210947017203E-5</v>
      </c>
      <c r="DC7" s="97">
        <f t="shared" si="3"/>
        <v>8.2913833968129503E-6</v>
      </c>
      <c r="DD7" s="97">
        <f t="shared" si="3"/>
        <v>4.7352592408472716E-6</v>
      </c>
      <c r="DE7" s="97">
        <f t="shared" si="3"/>
        <v>2.5101585624875758E-6</v>
      </c>
      <c r="DF7" s="97">
        <f t="shared" si="3"/>
        <v>1.2326517455009286E-6</v>
      </c>
      <c r="DG7" s="97">
        <f t="shared" si="3"/>
        <v>5.5970783573040674E-7</v>
      </c>
      <c r="DH7" s="97">
        <f t="shared" si="3"/>
        <v>2.3460121861765435E-7</v>
      </c>
      <c r="DI7" s="97">
        <f t="shared" si="3"/>
        <v>9.0633190675829526E-8</v>
      </c>
      <c r="DJ7" s="97">
        <f t="shared" si="3"/>
        <v>3.2229329236568374E-8</v>
      </c>
      <c r="DK7" s="97">
        <f t="shared" si="3"/>
        <v>1.0537070996368513E-8</v>
      </c>
      <c r="DL7" s="97">
        <f t="shared" si="3"/>
        <v>3.1642151272135913E-9</v>
      </c>
    </row>
    <row r="8" spans="1:116" x14ac:dyDescent="0.25">
      <c r="A8" s="60">
        <v>4.5999999999999996</v>
      </c>
      <c r="B8" s="25">
        <v>3.4</v>
      </c>
      <c r="C8" s="25">
        <v>1.4</v>
      </c>
      <c r="D8" s="57">
        <v>0.3</v>
      </c>
      <c r="E8" s="82" t="s">
        <v>5</v>
      </c>
      <c r="G8" t="s">
        <v>44</v>
      </c>
      <c r="H8">
        <f>1.06*H6/H$3^(1/5)</f>
        <v>8.4182468303972288E-2</v>
      </c>
      <c r="I8">
        <f t="shared" ref="I8:J9" si="5">1.06*I6/I$3^(1/5)</f>
        <v>0.22778622367882012</v>
      </c>
      <c r="J8">
        <f t="shared" si="5"/>
        <v>0.26752728640657603</v>
      </c>
      <c r="L8" s="97" cm="1">
        <f t="array" ref="L8">EstymacjaGaussowska($O8,$D$2:$D$51,H$9)</f>
        <v>0</v>
      </c>
      <c r="M8" s="97" cm="1">
        <f t="array" ref="M8">EstymacjaGaussowska($O8,$D$52:$D$101,I$9)</f>
        <v>6.3723852877720263E-31</v>
      </c>
      <c r="N8" s="97" cm="1">
        <f t="array" ref="N8">EstymacjaGaussowska($O8,$D$102:$D$151,J$9)</f>
        <v>1.6985146414159836E-3</v>
      </c>
      <c r="O8" s="97">
        <v>2.91</v>
      </c>
      <c r="P8" s="97">
        <f t="shared" si="4"/>
        <v>1.0451343906139433E-66</v>
      </c>
      <c r="Q8" s="97">
        <f t="shared" si="2"/>
        <v>1.5283554669991471E-64</v>
      </c>
      <c r="R8" s="97">
        <f t="shared" si="2"/>
        <v>2.0438457880894872E-62</v>
      </c>
      <c r="S8" s="97">
        <f t="shared" si="2"/>
        <v>2.4994342824545999E-60</v>
      </c>
      <c r="T8" s="97">
        <f t="shared" si="2"/>
        <v>2.7951409044748046E-58</v>
      </c>
      <c r="U8" s="97">
        <f t="shared" si="2"/>
        <v>2.8584650729231788E-56</v>
      </c>
      <c r="V8" s="97">
        <f t="shared" si="2"/>
        <v>2.6731810808473244E-54</v>
      </c>
      <c r="W8" s="97">
        <f t="shared" si="2"/>
        <v>2.2860700473683506E-52</v>
      </c>
      <c r="X8" s="97">
        <f t="shared" si="2"/>
        <v>1.7877876104181707E-50</v>
      </c>
      <c r="Y8" s="97">
        <f t="shared" si="2"/>
        <v>1.278519252625523E-48</v>
      </c>
      <c r="Z8" s="97">
        <f t="shared" si="2"/>
        <v>8.3610999035781404E-47</v>
      </c>
      <c r="AA8" s="97">
        <f t="shared" si="2"/>
        <v>5.0001639886287135E-45</v>
      </c>
      <c r="AB8" s="97">
        <f t="shared" si="2"/>
        <v>2.734448361549097E-43</v>
      </c>
      <c r="AC8" s="97">
        <f t="shared" si="2"/>
        <v>1.3674763482340157E-41</v>
      </c>
      <c r="AD8" s="97">
        <f t="shared" si="2"/>
        <v>6.2536638298190804E-40</v>
      </c>
      <c r="AE8" s="97">
        <f t="shared" si="2"/>
        <v>2.6152538737607785E-38</v>
      </c>
      <c r="AF8" s="97">
        <f t="shared" si="2"/>
        <v>1.0001331027928793E-36</v>
      </c>
      <c r="AG8" s="97">
        <f t="shared" si="2"/>
        <v>3.497569836542299E-35</v>
      </c>
      <c r="AH8" s="97">
        <f t="shared" si="2"/>
        <v>1.1185094601543315E-33</v>
      </c>
      <c r="AI8" s="97">
        <f t="shared" si="2"/>
        <v>3.2709781523469676E-32</v>
      </c>
      <c r="AJ8" s="97">
        <f t="shared" si="2"/>
        <v>8.7474284362299578E-31</v>
      </c>
      <c r="AK8" s="97">
        <f t="shared" si="2"/>
        <v>2.1391833396814767E-29</v>
      </c>
      <c r="AL8" s="97">
        <f t="shared" si="2"/>
        <v>4.7838834051092933E-28</v>
      </c>
      <c r="AM8" s="97">
        <f t="shared" si="2"/>
        <v>9.7831406077894079E-27</v>
      </c>
      <c r="AN8" s="97">
        <f t="shared" si="2"/>
        <v>1.8295376935164128E-25</v>
      </c>
      <c r="AO8" s="97">
        <f t="shared" si="2"/>
        <v>3.1287445302341044E-24</v>
      </c>
      <c r="AP8" s="97">
        <f t="shared" si="2"/>
        <v>4.8928845610957096E-23</v>
      </c>
      <c r="AQ8" s="97">
        <f t="shared" si="2"/>
        <v>6.9972371295588102E-22</v>
      </c>
      <c r="AR8" s="97">
        <f t="shared" si="2"/>
        <v>9.1507325468058373E-21</v>
      </c>
      <c r="AS8" s="97">
        <f t="shared" si="2"/>
        <v>1.0943444460517382E-19</v>
      </c>
      <c r="AT8" s="97">
        <f t="shared" si="2"/>
        <v>1.1968036293018916E-18</v>
      </c>
      <c r="AU8" s="97">
        <f t="shared" si="2"/>
        <v>1.1969195348267331E-17</v>
      </c>
      <c r="AV8" s="97">
        <f t="shared" si="2"/>
        <v>1.0946714047582614E-16</v>
      </c>
      <c r="AW8" s="97">
        <f t="shared" si="2"/>
        <v>9.1555493277344893E-16</v>
      </c>
      <c r="AX8" s="97">
        <f t="shared" si="2"/>
        <v>7.0028373164519376E-15</v>
      </c>
      <c r="AY8" s="97">
        <f t="shared" si="2"/>
        <v>4.8984974865310669E-14</v>
      </c>
      <c r="AZ8" s="97">
        <f t="shared" si="2"/>
        <v>3.1337586665802768E-13</v>
      </c>
      <c r="BA8" s="97">
        <f t="shared" si="2"/>
        <v>1.8335926581564536E-12</v>
      </c>
      <c r="BB8" s="97">
        <f t="shared" si="2"/>
        <v>9.8130655882108993E-12</v>
      </c>
      <c r="BC8" s="97">
        <f t="shared" si="2"/>
        <v>4.8041214230643455E-11</v>
      </c>
      <c r="BD8" s="97">
        <f t="shared" si="2"/>
        <v>2.1517532666747908E-10</v>
      </c>
      <c r="BE8" s="97">
        <f t="shared" si="2"/>
        <v>8.8192041360308528E-10</v>
      </c>
      <c r="BF8" s="97">
        <f t="shared" si="2"/>
        <v>3.3086731200278236E-9</v>
      </c>
      <c r="BG8" s="97">
        <f t="shared" si="2"/>
        <v>1.1367190847300386E-8</v>
      </c>
      <c r="BH8" s="97">
        <f t="shared" si="2"/>
        <v>3.5784858132397444E-8</v>
      </c>
      <c r="BI8" s="97">
        <f t="shared" si="2"/>
        <v>1.0332075755724476E-7</v>
      </c>
      <c r="BJ8" s="97">
        <f t="shared" si="2"/>
        <v>2.7396263102229498E-7</v>
      </c>
      <c r="BK8" s="97">
        <f t="shared" si="2"/>
        <v>6.6840238655888738E-7</v>
      </c>
      <c r="BL8" s="97">
        <f t="shared" si="2"/>
        <v>1.5045610470307166E-6</v>
      </c>
      <c r="BM8" s="97">
        <f t="shared" si="2"/>
        <v>3.1366502719830674E-6</v>
      </c>
      <c r="BN8" s="97">
        <f t="shared" si="2"/>
        <v>6.0879095092116323E-6</v>
      </c>
      <c r="BO8" s="97">
        <f t="shared" si="2"/>
        <v>1.1075366367948955E-5</v>
      </c>
      <c r="BP8" s="97">
        <f t="shared" si="2"/>
        <v>1.9041507448407123E-5</v>
      </c>
      <c r="BQ8" s="97">
        <f t="shared" si="2"/>
        <v>3.1216404424534328E-5</v>
      </c>
      <c r="BR8" s="97">
        <f t="shared" si="2"/>
        <v>4.9204674990038762E-5</v>
      </c>
      <c r="BS8" s="97">
        <f t="shared" si="2"/>
        <v>7.5012213171356414E-5</v>
      </c>
      <c r="BT8" s="97">
        <f t="shared" si="2"/>
        <v>1.1084151663022344E-4</v>
      </c>
      <c r="BU8" s="97">
        <f t="shared" si="2"/>
        <v>1.5849055490895986E-4</v>
      </c>
      <c r="BV8" s="97">
        <f t="shared" si="2"/>
        <v>2.1837067294851173E-4</v>
      </c>
      <c r="BW8" s="97">
        <f t="shared" si="2"/>
        <v>2.8847637439157516E-4</v>
      </c>
      <c r="BX8" s="97">
        <f t="shared" si="2"/>
        <v>3.6390174943076774E-4</v>
      </c>
      <c r="BY8" s="97">
        <f t="shared" si="2"/>
        <v>4.3745856809738532E-4</v>
      </c>
      <c r="BZ8" s="97">
        <f t="shared" si="2"/>
        <v>5.0149908820923189E-4</v>
      </c>
      <c r="CA8" s="97">
        <f t="shared" si="2"/>
        <v>5.5034920125045131E-4</v>
      </c>
      <c r="CB8" s="97">
        <f t="shared" ref="Q8:CB12" si="6">$H$2*$L8*CB$1+$I$2*$M8*CB$2+$J$2*$N8*CB$3</f>
        <v>5.8222537336719124E-4</v>
      </c>
      <c r="CC8" s="97">
        <f t="shared" si="3"/>
        <v>5.9956241206115938E-4</v>
      </c>
      <c r="CD8" s="97">
        <f t="shared" si="3"/>
        <v>6.0742951350374488E-4</v>
      </c>
      <c r="CE8" s="97">
        <f t="shared" si="3"/>
        <v>6.1078623617929345E-4</v>
      </c>
      <c r="CF8" s="97">
        <f t="shared" si="3"/>
        <v>6.1204181751336442E-4</v>
      </c>
      <c r="CG8" s="97">
        <f t="shared" si="3"/>
        <v>6.1020837691034375E-4</v>
      </c>
      <c r="CH8" s="97">
        <f t="shared" si="3"/>
        <v>6.0195750999337964E-4</v>
      </c>
      <c r="CI8" s="97">
        <f t="shared" si="3"/>
        <v>5.8376893341734691E-4</v>
      </c>
      <c r="CJ8" s="97">
        <f t="shared" si="3"/>
        <v>5.5385940172435579E-4</v>
      </c>
      <c r="CK8" s="97">
        <f t="shared" si="3"/>
        <v>5.1296411808526821E-4</v>
      </c>
      <c r="CL8" s="97">
        <f t="shared" si="3"/>
        <v>4.6391121858590351E-4</v>
      </c>
      <c r="CM8" s="97">
        <f t="shared" si="3"/>
        <v>4.1059979838663002E-4</v>
      </c>
      <c r="CN8" s="97">
        <f t="shared" si="3"/>
        <v>3.5706287919655237E-4</v>
      </c>
      <c r="CO8" s="97">
        <f t="shared" si="3"/>
        <v>3.069028155307972E-4</v>
      </c>
      <c r="CP8" s="97">
        <f t="shared" si="3"/>
        <v>2.6297261396081355E-4</v>
      </c>
      <c r="CQ8" s="97">
        <f t="shared" si="3"/>
        <v>2.2707252465819651E-4</v>
      </c>
      <c r="CR8" s="97">
        <f t="shared" si="3"/>
        <v>1.9962211861547583E-4</v>
      </c>
      <c r="CS8" s="97">
        <f t="shared" si="3"/>
        <v>1.7949951713725851E-4</v>
      </c>
      <c r="CT8" s="97">
        <f t="shared" si="3"/>
        <v>1.6428172737882634E-4</v>
      </c>
      <c r="CU8" s="97">
        <f t="shared" si="3"/>
        <v>1.5093795901267423E-4</v>
      </c>
      <c r="CV8" s="97">
        <f t="shared" si="3"/>
        <v>1.3676295124120011E-4</v>
      </c>
      <c r="CW8" s="97">
        <f t="shared" si="3"/>
        <v>1.201773832081945E-4</v>
      </c>
      <c r="CX8" s="97">
        <f t="shared" si="3"/>
        <v>1.0107194079696386E-4</v>
      </c>
      <c r="CY8" s="97">
        <f t="shared" si="3"/>
        <v>8.0595159485600517E-5</v>
      </c>
      <c r="CZ8" s="97">
        <f t="shared" si="3"/>
        <v>6.0542833878338258E-5</v>
      </c>
      <c r="DA8" s="97">
        <f t="shared" si="3"/>
        <v>4.265332923500757E-5</v>
      </c>
      <c r="DB8" s="97">
        <f t="shared" si="3"/>
        <v>2.8089950609747991E-5</v>
      </c>
      <c r="DC8" s="97">
        <f t="shared" si="3"/>
        <v>1.7246809237262694E-5</v>
      </c>
      <c r="DD8" s="97">
        <f t="shared" si="3"/>
        <v>9.8497571403186979E-6</v>
      </c>
      <c r="DE8" s="97">
        <f t="shared" si="3"/>
        <v>5.2213513488165895E-6</v>
      </c>
      <c r="DF8" s="97">
        <f t="shared" si="3"/>
        <v>2.564024420678107E-6</v>
      </c>
      <c r="DG8" s="97">
        <f t="shared" si="3"/>
        <v>1.1642416964042438E-6</v>
      </c>
      <c r="DH8" s="97">
        <f t="shared" si="3"/>
        <v>4.8799123990374139E-7</v>
      </c>
      <c r="DI8" s="97">
        <f t="shared" si="3"/>
        <v>1.885250356112258E-7</v>
      </c>
      <c r="DJ8" s="97">
        <f t="shared" si="3"/>
        <v>6.7039849273124614E-8</v>
      </c>
      <c r="DK8" s="97">
        <f t="shared" si="3"/>
        <v>2.1918037641790293E-8</v>
      </c>
      <c r="DL8" s="97">
        <f t="shared" si="3"/>
        <v>6.5818467284591363E-9</v>
      </c>
    </row>
    <row r="9" spans="1:116" x14ac:dyDescent="0.25">
      <c r="A9" s="60">
        <v>5</v>
      </c>
      <c r="B9" s="25">
        <v>3.4</v>
      </c>
      <c r="C9" s="25">
        <v>1.5</v>
      </c>
      <c r="D9" s="57">
        <v>0.2</v>
      </c>
      <c r="E9" s="82" t="s">
        <v>5</v>
      </c>
      <c r="G9" t="s">
        <v>45</v>
      </c>
      <c r="H9">
        <f>1.06*H7/H$3^(1/5)</f>
        <v>5.1084964169263836E-2</v>
      </c>
      <c r="I9">
        <f t="shared" si="5"/>
        <v>9.5859297574140093E-2</v>
      </c>
      <c r="J9">
        <f t="shared" si="5"/>
        <v>0.13313478943205651</v>
      </c>
      <c r="L9" s="97" cm="1">
        <f t="array" ref="L9">EstymacjaGaussowska($O9,$D$2:$D$51,H$9)</f>
        <v>0</v>
      </c>
      <c r="M9" s="97" cm="1">
        <f t="array" ref="M9">EstymacjaGaussowska($O9,$D$52:$D$101,I$9)</f>
        <v>2.2744302132512727E-29</v>
      </c>
      <c r="N9" s="97" cm="1">
        <f t="array" ref="N9">EstymacjaGaussowska($O9,$D$102:$D$151,J$9)</f>
        <v>3.3671895387468306E-3</v>
      </c>
      <c r="O9" s="97">
        <v>2.88</v>
      </c>
      <c r="P9" s="97">
        <f t="shared" si="4"/>
        <v>2.0773277750098172E-66</v>
      </c>
      <c r="Q9" s="97">
        <f t="shared" si="6"/>
        <v>3.0350609880417743E-64</v>
      </c>
      <c r="R9" s="97">
        <f t="shared" si="6"/>
        <v>4.0561956677626196E-62</v>
      </c>
      <c r="S9" s="97">
        <f t="shared" si="6"/>
        <v>4.9582648976666765E-60</v>
      </c>
      <c r="T9" s="97">
        <f t="shared" si="6"/>
        <v>5.5433678193517606E-58</v>
      </c>
      <c r="U9" s="97">
        <f t="shared" si="6"/>
        <v>5.6679960060645887E-56</v>
      </c>
      <c r="V9" s="97">
        <f t="shared" si="6"/>
        <v>5.3000641253441732E-54</v>
      </c>
      <c r="W9" s="97">
        <f t="shared" si="6"/>
        <v>4.5322823962742855E-52</v>
      </c>
      <c r="X9" s="97">
        <f t="shared" si="6"/>
        <v>3.5442902453002213E-50</v>
      </c>
      <c r="Y9" s="97">
        <f t="shared" si="6"/>
        <v>2.5346213390254587E-48</v>
      </c>
      <c r="Z9" s="97">
        <f t="shared" si="6"/>
        <v>1.6575450068021569E-46</v>
      </c>
      <c r="AA9" s="97">
        <f t="shared" si="6"/>
        <v>9.9125233077794111E-45</v>
      </c>
      <c r="AB9" s="97">
        <f t="shared" si="6"/>
        <v>5.420867163527673E-43</v>
      </c>
      <c r="AC9" s="97">
        <f t="shared" si="6"/>
        <v>2.7109307791369071E-41</v>
      </c>
      <c r="AD9" s="97">
        <f t="shared" si="6"/>
        <v>1.239746646681073E-39</v>
      </c>
      <c r="AE9" s="97">
        <f t="shared" si="6"/>
        <v>5.1845632912469524E-38</v>
      </c>
      <c r="AF9" s="97">
        <f t="shared" si="6"/>
        <v>1.9826958309007667E-36</v>
      </c>
      <c r="AG9" s="97">
        <f t="shared" si="6"/>
        <v>6.9336940134175516E-35</v>
      </c>
      <c r="AH9" s="97">
        <f t="shared" si="6"/>
        <v>2.217368805208844E-33</v>
      </c>
      <c r="AI9" s="97">
        <f t="shared" si="6"/>
        <v>6.4844913175916261E-32</v>
      </c>
      <c r="AJ9" s="97">
        <f t="shared" si="6"/>
        <v>1.7341180835259814E-30</v>
      </c>
      <c r="AK9" s="97">
        <f t="shared" si="6"/>
        <v>4.2407852068956624E-29</v>
      </c>
      <c r="AL9" s="97">
        <f t="shared" si="6"/>
        <v>9.4837228747146693E-28</v>
      </c>
      <c r="AM9" s="97">
        <f t="shared" si="6"/>
        <v>1.9394409626149668E-26</v>
      </c>
      <c r="AN9" s="97">
        <f t="shared" si="6"/>
        <v>3.6269338115754233E-25</v>
      </c>
      <c r="AO9" s="97">
        <f t="shared" si="6"/>
        <v>6.2025228365772975E-24</v>
      </c>
      <c r="AP9" s="97">
        <f t="shared" si="6"/>
        <v>9.6998102381353939E-23</v>
      </c>
      <c r="AQ9" s="97">
        <f t="shared" si="6"/>
        <v>1.3871545813196068E-21</v>
      </c>
      <c r="AR9" s="97">
        <f t="shared" si="6"/>
        <v>1.8140703737348693E-20</v>
      </c>
      <c r="AS9" s="97">
        <f t="shared" si="6"/>
        <v>2.1694632949759175E-19</v>
      </c>
      <c r="AT9" s="97">
        <f t="shared" si="6"/>
        <v>2.3725816441358707E-18</v>
      </c>
      <c r="AU9" s="97">
        <f t="shared" si="6"/>
        <v>2.3728114189409875E-17</v>
      </c>
      <c r="AV9" s="97">
        <f t="shared" si="6"/>
        <v>2.1701114683323977E-16</v>
      </c>
      <c r="AW9" s="97">
        <f t="shared" si="6"/>
        <v>1.8150252677320283E-15</v>
      </c>
      <c r="AX9" s="97">
        <f t="shared" si="6"/>
        <v>1.3882647802108608E-14</v>
      </c>
      <c r="AY9" s="97">
        <f t="shared" si="6"/>
        <v>9.7109374803354806E-14</v>
      </c>
      <c r="AZ9" s="97">
        <f t="shared" si="6"/>
        <v>6.212463020200745E-13</v>
      </c>
      <c r="BA9" s="97">
        <f t="shared" si="6"/>
        <v>3.6349725026334434E-12</v>
      </c>
      <c r="BB9" s="97">
        <f t="shared" si="6"/>
        <v>1.9453733860141522E-11</v>
      </c>
      <c r="BC9" s="97">
        <f t="shared" si="6"/>
        <v>9.5238433653572727E-11</v>
      </c>
      <c r="BD9" s="97">
        <f t="shared" si="6"/>
        <v>4.2657042293562498E-10</v>
      </c>
      <c r="BE9" s="97">
        <f t="shared" si="6"/>
        <v>1.7483471253541603E-9</v>
      </c>
      <c r="BF9" s="97">
        <f t="shared" si="6"/>
        <v>6.5592190053791809E-9</v>
      </c>
      <c r="BG9" s="97">
        <f t="shared" si="6"/>
        <v>2.2534681287209775E-8</v>
      </c>
      <c r="BH9" s="97">
        <f t="shared" si="6"/>
        <v>7.0941042844644996E-8</v>
      </c>
      <c r="BI9" s="97">
        <f t="shared" si="6"/>
        <v>2.0482636151556595E-7</v>
      </c>
      <c r="BJ9" s="97">
        <f t="shared" si="6"/>
        <v>5.431122480150018E-7</v>
      </c>
      <c r="BK9" s="97">
        <f t="shared" si="6"/>
        <v>1.3250621859922472E-6</v>
      </c>
      <c r="BL9" s="97">
        <f t="shared" si="6"/>
        <v>2.9826897539984509E-6</v>
      </c>
      <c r="BM9" s="97">
        <f t="shared" si="6"/>
        <v>6.2181954308759589E-6</v>
      </c>
      <c r="BN9" s="97">
        <f t="shared" si="6"/>
        <v>1.2068865768013308E-5</v>
      </c>
      <c r="BO9" s="97">
        <f t="shared" si="6"/>
        <v>2.1956159141999886E-5</v>
      </c>
      <c r="BP9" s="97">
        <f t="shared" si="6"/>
        <v>3.7748491016123992E-5</v>
      </c>
      <c r="BQ9" s="97">
        <f t="shared" si="6"/>
        <v>6.1884394666127218E-5</v>
      </c>
      <c r="BR9" s="97">
        <f t="shared" si="6"/>
        <v>9.754491533012299E-5</v>
      </c>
      <c r="BS9" s="97">
        <f t="shared" si="6"/>
        <v>1.4870660123263491E-4</v>
      </c>
      <c r="BT9" s="97">
        <f t="shared" si="6"/>
        <v>2.1973575390847326E-4</v>
      </c>
      <c r="BU9" s="97">
        <f t="shared" si="6"/>
        <v>3.141967254605073E-4</v>
      </c>
      <c r="BV9" s="97">
        <f t="shared" si="6"/>
        <v>4.329049792048586E-4</v>
      </c>
      <c r="BW9" s="97">
        <f t="shared" si="6"/>
        <v>5.7188475526896048E-4</v>
      </c>
      <c r="BX9" s="97">
        <f t="shared" si="6"/>
        <v>7.2141042175147014E-4</v>
      </c>
      <c r="BY9" s="97">
        <f t="shared" si="6"/>
        <v>8.6723180254996094E-4</v>
      </c>
      <c r="BZ9" s="97">
        <f t="shared" si="6"/>
        <v>9.9418776991021186E-4</v>
      </c>
      <c r="CA9" s="97">
        <f t="shared" si="6"/>
        <v>1.0910297903368755E-3</v>
      </c>
      <c r="CB9" s="97">
        <f t="shared" si="6"/>
        <v>1.154222129495813E-3</v>
      </c>
      <c r="CC9" s="97">
        <f t="shared" si="3"/>
        <v>1.1885916273498391E-3</v>
      </c>
      <c r="CD9" s="97">
        <f t="shared" si="3"/>
        <v>1.2041876198905044E-3</v>
      </c>
      <c r="CE9" s="97">
        <f t="shared" si="3"/>
        <v>1.2108420938655763E-3</v>
      </c>
      <c r="CF9" s="97">
        <f t="shared" si="3"/>
        <v>1.2133311983042669E-3</v>
      </c>
      <c r="CG9" s="97">
        <f t="shared" si="3"/>
        <v>1.209696527240579E-3</v>
      </c>
      <c r="CH9" s="97">
        <f t="shared" si="3"/>
        <v>1.1933397457969802E-3</v>
      </c>
      <c r="CI9" s="97">
        <f t="shared" si="3"/>
        <v>1.1572821321160901E-3</v>
      </c>
      <c r="CJ9" s="97">
        <f t="shared" si="3"/>
        <v>1.0979885235891142E-3</v>
      </c>
      <c r="CK9" s="97">
        <f t="shared" si="3"/>
        <v>1.0169164104050774E-3</v>
      </c>
      <c r="CL9" s="97">
        <f t="shared" si="3"/>
        <v>9.1967237964313785E-4</v>
      </c>
      <c r="CM9" s="97">
        <f t="shared" si="3"/>
        <v>8.139861217719192E-4</v>
      </c>
      <c r="CN9" s="97">
        <f t="shared" si="3"/>
        <v>7.0785282751707485E-4</v>
      </c>
      <c r="CO9" s="97">
        <f t="shared" si="3"/>
        <v>6.0841391923813193E-4</v>
      </c>
      <c r="CP9" s="97">
        <f t="shared" si="3"/>
        <v>5.2132528805731812E-4</v>
      </c>
      <c r="CQ9" s="97">
        <f t="shared" si="3"/>
        <v>4.5015580726963757E-4</v>
      </c>
      <c r="CR9" s="97">
        <f t="shared" si="3"/>
        <v>3.9573724777794775E-4</v>
      </c>
      <c r="CS9" s="97">
        <f t="shared" si="3"/>
        <v>3.5584556151415503E-4</v>
      </c>
      <c r="CT9" s="97">
        <f t="shared" si="3"/>
        <v>3.2567733026786809E-4</v>
      </c>
      <c r="CU9" s="97">
        <f t="shared" si="3"/>
        <v>2.992242187347752E-4</v>
      </c>
      <c r="CV9" s="97">
        <f t="shared" si="3"/>
        <v>2.7112323172180956E-4</v>
      </c>
      <c r="CW9" s="97">
        <f t="shared" si="3"/>
        <v>2.3824347324745621E-4</v>
      </c>
      <c r="CX9" s="97">
        <f t="shared" si="3"/>
        <v>2.0036823552410334E-4</v>
      </c>
      <c r="CY9" s="97">
        <f t="shared" si="3"/>
        <v>1.5977441187513611E-4</v>
      </c>
      <c r="CZ9" s="97">
        <f t="shared" si="3"/>
        <v>1.2002204273686951E-4</v>
      </c>
      <c r="DA9" s="97">
        <f t="shared" si="3"/>
        <v>8.4557318783610874E-5</v>
      </c>
      <c r="DB9" s="97">
        <f t="shared" si="3"/>
        <v>5.5686413016850743E-5</v>
      </c>
      <c r="DC9" s="97">
        <f t="shared" si="3"/>
        <v>3.4190624104399707E-5</v>
      </c>
      <c r="DD9" s="97">
        <f t="shared" si="3"/>
        <v>1.9526472362009702E-5</v>
      </c>
      <c r="DE9" s="97">
        <f t="shared" si="3"/>
        <v>1.0350973262850455E-5</v>
      </c>
      <c r="DF9" s="97">
        <f t="shared" si="3"/>
        <v>5.083003699751022E-6</v>
      </c>
      <c r="DG9" s="97">
        <f t="shared" si="3"/>
        <v>2.3080298309569479E-6</v>
      </c>
      <c r="DH9" s="97">
        <f t="shared" si="3"/>
        <v>9.6740938107789112E-7</v>
      </c>
      <c r="DI9" s="97">
        <f t="shared" si="3"/>
        <v>3.7373803688426632E-7</v>
      </c>
      <c r="DJ9" s="97">
        <f t="shared" si="3"/>
        <v>1.3290193304630131E-7</v>
      </c>
      <c r="DK9" s="97">
        <f t="shared" si="3"/>
        <v>4.3451016115922092E-8</v>
      </c>
      <c r="DL9" s="97">
        <f t="shared" si="3"/>
        <v>1.3048062647977421E-8</v>
      </c>
    </row>
    <row r="10" spans="1:116" x14ac:dyDescent="0.25">
      <c r="A10" s="60">
        <v>4.4000000000000004</v>
      </c>
      <c r="B10" s="25">
        <v>2.9</v>
      </c>
      <c r="C10" s="25">
        <v>1.4</v>
      </c>
      <c r="D10" s="57">
        <v>0.2</v>
      </c>
      <c r="E10" s="82" t="s">
        <v>5</v>
      </c>
      <c r="L10" s="97" cm="1">
        <f t="array" ref="L10">EstymacjaGaussowska($O10,$D$2:$D$51,H$9)</f>
        <v>0</v>
      </c>
      <c r="M10" s="97" cm="1">
        <f t="array" ref="M10">EstymacjaGaussowska($O10,$D$52:$D$101,I$9)</f>
        <v>7.3604989170411788E-28</v>
      </c>
      <c r="N10" s="97" cm="1">
        <f t="array" ref="N10">EstymacjaGaussowska($O10,$D$102:$D$151,J$9)</f>
        <v>6.3655789850021747E-3</v>
      </c>
      <c r="O10" s="97">
        <v>2.85</v>
      </c>
      <c r="P10" s="97">
        <f t="shared" si="4"/>
        <v>4.1020009249137468E-66</v>
      </c>
      <c r="Q10" s="97">
        <f t="shared" si="6"/>
        <v>5.9054826816695187E-64</v>
      </c>
      <c r="R10" s="97">
        <f t="shared" si="6"/>
        <v>7.8104293643491501E-62</v>
      </c>
      <c r="S10" s="97">
        <f t="shared" si="6"/>
        <v>9.4801502001310739E-60</v>
      </c>
      <c r="T10" s="97">
        <f t="shared" si="6"/>
        <v>1.0550287464307227E-57</v>
      </c>
      <c r="U10" s="97">
        <f t="shared" si="6"/>
        <v>1.0756609273140602E-55</v>
      </c>
      <c r="V10" s="97">
        <f t="shared" si="6"/>
        <v>1.0041073368931269E-53</v>
      </c>
      <c r="W10" s="97">
        <f t="shared" si="6"/>
        <v>8.5779727376048795E-52</v>
      </c>
      <c r="X10" s="97">
        <f t="shared" si="6"/>
        <v>6.7043555454196056E-50</v>
      </c>
      <c r="Y10" s="97">
        <f t="shared" si="6"/>
        <v>4.7930526357242531E-48</v>
      </c>
      <c r="Z10" s="97">
        <f t="shared" si="6"/>
        <v>3.1339923706245665E-46</v>
      </c>
      <c r="AA10" s="97">
        <f t="shared" si="6"/>
        <v>1.8740607533701993E-44</v>
      </c>
      <c r="AB10" s="97">
        <f t="shared" si="6"/>
        <v>1.0248310086419653E-42</v>
      </c>
      <c r="AC10" s="97">
        <f t="shared" si="6"/>
        <v>5.1250076299479438E-41</v>
      </c>
      <c r="AD10" s="97">
        <f t="shared" si="6"/>
        <v>2.3437199297814459E-39</v>
      </c>
      <c r="AE10" s="97">
        <f t="shared" si="6"/>
        <v>9.8012962689863549E-38</v>
      </c>
      <c r="AF10" s="97">
        <f t="shared" si="6"/>
        <v>3.748235168264294E-36</v>
      </c>
      <c r="AG10" s="97">
        <f t="shared" si="6"/>
        <v>1.3107961848510944E-34</v>
      </c>
      <c r="AH10" s="97">
        <f t="shared" si="6"/>
        <v>4.1918751192950866E-33</v>
      </c>
      <c r="AI10" s="97">
        <f t="shared" si="6"/>
        <v>1.2258752600742459E-31</v>
      </c>
      <c r="AJ10" s="97">
        <f t="shared" si="6"/>
        <v>3.2783024756667941E-30</v>
      </c>
      <c r="AK10" s="97">
        <f t="shared" si="6"/>
        <v>8.0170875507419937E-29</v>
      </c>
      <c r="AL10" s="97">
        <f t="shared" si="6"/>
        <v>1.7928716645245715E-27</v>
      </c>
      <c r="AM10" s="97">
        <f t="shared" si="6"/>
        <v>3.6664596686893121E-26</v>
      </c>
      <c r="AN10" s="97">
        <f t="shared" si="6"/>
        <v>6.8566183723464608E-25</v>
      </c>
      <c r="AO10" s="97">
        <f t="shared" si="6"/>
        <v>1.1725698411082287E-23</v>
      </c>
      <c r="AP10" s="97">
        <f t="shared" si="6"/>
        <v>1.8337223818457309E-22</v>
      </c>
      <c r="AQ10" s="97">
        <f t="shared" si="6"/>
        <v>2.6223774902539126E-21</v>
      </c>
      <c r="AR10" s="97">
        <f t="shared" si="6"/>
        <v>3.4294500251595401E-20</v>
      </c>
      <c r="AS10" s="97">
        <f t="shared" si="6"/>
        <v>4.1013105440970004E-19</v>
      </c>
      <c r="AT10" s="97">
        <f t="shared" si="6"/>
        <v>4.4853001829338421E-18</v>
      </c>
      <c r="AU10" s="97">
        <f t="shared" si="6"/>
        <v>4.4857345658675141E-17</v>
      </c>
      <c r="AV10" s="97">
        <f t="shared" si="6"/>
        <v>4.1025358979554629E-16</v>
      </c>
      <c r="AW10" s="97">
        <f t="shared" si="6"/>
        <v>3.4312552259303164E-15</v>
      </c>
      <c r="AX10" s="97">
        <f t="shared" si="6"/>
        <v>2.6244762906390573E-14</v>
      </c>
      <c r="AY10" s="97">
        <f t="shared" si="6"/>
        <v>1.8358259562810209E-13</v>
      </c>
      <c r="AZ10" s="97">
        <f t="shared" si="6"/>
        <v>1.1744490053628176E-12</v>
      </c>
      <c r="BA10" s="97">
        <f t="shared" si="6"/>
        <v>6.8718152950890196E-12</v>
      </c>
      <c r="BB10" s="97">
        <f t="shared" si="6"/>
        <v>3.6776747496676299E-11</v>
      </c>
      <c r="BC10" s="97">
        <f t="shared" si="6"/>
        <v>1.8004563296883315E-10</v>
      </c>
      <c r="BD10" s="97">
        <f t="shared" si="6"/>
        <v>8.0641962343262817E-10</v>
      </c>
      <c r="BE10" s="97">
        <f t="shared" si="6"/>
        <v>3.3052020361720957E-9</v>
      </c>
      <c r="BF10" s="97">
        <f t="shared" si="6"/>
        <v>1.2400022683073526E-8</v>
      </c>
      <c r="BG10" s="97">
        <f t="shared" si="6"/>
        <v>4.2601193661634744E-8</v>
      </c>
      <c r="BH10" s="97">
        <f t="shared" si="6"/>
        <v>1.3411208555669136E-7</v>
      </c>
      <c r="BI10" s="97">
        <f t="shared" si="6"/>
        <v>3.8721858910359865E-7</v>
      </c>
      <c r="BJ10" s="97">
        <f t="shared" si="6"/>
        <v>1.026738730528446E-6</v>
      </c>
      <c r="BK10" s="97">
        <f t="shared" si="6"/>
        <v>2.504993528850316E-6</v>
      </c>
      <c r="BL10" s="97">
        <f t="shared" si="6"/>
        <v>5.6386927431177761E-6</v>
      </c>
      <c r="BM10" s="97">
        <f t="shared" si="6"/>
        <v>1.1755327017959304E-5</v>
      </c>
      <c r="BN10" s="97">
        <f t="shared" si="6"/>
        <v>2.2815857979372845E-5</v>
      </c>
      <c r="BO10" s="97">
        <f t="shared" si="6"/>
        <v>4.1507513496758427E-5</v>
      </c>
      <c r="BP10" s="97">
        <f t="shared" si="6"/>
        <v>7.1362481488705133E-5</v>
      </c>
      <c r="BQ10" s="97">
        <f t="shared" si="6"/>
        <v>1.169907418793209E-4</v>
      </c>
      <c r="BR10" s="97">
        <f t="shared" si="6"/>
        <v>1.8440597298551221E-4</v>
      </c>
      <c r="BS10" s="97">
        <f t="shared" si="6"/>
        <v>2.8112572958689379E-4</v>
      </c>
      <c r="BT10" s="97">
        <f t="shared" si="6"/>
        <v>4.1540438435014825E-4</v>
      </c>
      <c r="BU10" s="97">
        <f t="shared" si="6"/>
        <v>5.9398024665171091E-4</v>
      </c>
      <c r="BV10" s="97">
        <f t="shared" si="6"/>
        <v>8.1839492740727593E-4</v>
      </c>
      <c r="BW10" s="97">
        <f t="shared" si="6"/>
        <v>1.0811323621948675E-3</v>
      </c>
      <c r="BX10" s="97">
        <f t="shared" si="6"/>
        <v>1.3638065120539055E-3</v>
      </c>
      <c r="BY10" s="97">
        <f t="shared" si="6"/>
        <v>1.6394778119595045E-3</v>
      </c>
      <c r="BZ10" s="97">
        <f t="shared" si="6"/>
        <v>1.8794845679052372E-3</v>
      </c>
      <c r="CA10" s="97">
        <f t="shared" si="6"/>
        <v>2.062561737455529E-3</v>
      </c>
      <c r="CB10" s="97">
        <f t="shared" si="6"/>
        <v>2.1820251123366979E-3</v>
      </c>
      <c r="CC10" s="97">
        <f t="shared" si="3"/>
        <v>2.2469997004158975E-3</v>
      </c>
      <c r="CD10" s="97">
        <f t="shared" si="3"/>
        <v>2.2764834943112826E-3</v>
      </c>
      <c r="CE10" s="97">
        <f t="shared" si="3"/>
        <v>2.2890635938882511E-3</v>
      </c>
      <c r="CF10" s="97">
        <f t="shared" si="3"/>
        <v>2.2937691772015986E-3</v>
      </c>
      <c r="CG10" s="97">
        <f t="shared" si="3"/>
        <v>2.2868979317685252E-3</v>
      </c>
      <c r="CH10" s="97">
        <f t="shared" si="3"/>
        <v>2.2559758874281292E-3</v>
      </c>
      <c r="CI10" s="97">
        <f t="shared" si="3"/>
        <v>2.1878099629218943E-3</v>
      </c>
      <c r="CJ10" s="97">
        <f t="shared" si="3"/>
        <v>2.0757170308071385E-3</v>
      </c>
      <c r="CK10" s="97">
        <f t="shared" si="3"/>
        <v>1.9224524361012259E-3</v>
      </c>
      <c r="CL10" s="97">
        <f t="shared" si="3"/>
        <v>1.7386152770960674E-3</v>
      </c>
      <c r="CM10" s="97">
        <f t="shared" si="3"/>
        <v>1.538818320504509E-3</v>
      </c>
      <c r="CN10" s="97">
        <f t="shared" si="3"/>
        <v>1.3381762539551078E-3</v>
      </c>
      <c r="CO10" s="97">
        <f t="shared" si="3"/>
        <v>1.150189739519815E-3</v>
      </c>
      <c r="CP10" s="97">
        <f t="shared" si="3"/>
        <v>9.8555108342458569E-4</v>
      </c>
      <c r="CQ10" s="97">
        <f t="shared" si="3"/>
        <v>8.5100714223493052E-4</v>
      </c>
      <c r="CR10" s="97">
        <f t="shared" si="3"/>
        <v>7.4813035590964589E-4</v>
      </c>
      <c r="CS10" s="97">
        <f t="shared" si="3"/>
        <v>6.7271622289603319E-4</v>
      </c>
      <c r="CT10" s="97">
        <f t="shared" si="3"/>
        <v>6.1568401350412558E-4</v>
      </c>
      <c r="CU10" s="97">
        <f t="shared" si="3"/>
        <v>5.6567513549910409E-4</v>
      </c>
      <c r="CV10" s="97">
        <f t="shared" si="3"/>
        <v>5.1255099433355307E-4</v>
      </c>
      <c r="CW10" s="97">
        <f t="shared" si="3"/>
        <v>4.503927174774823E-4</v>
      </c>
      <c r="CX10" s="97">
        <f t="shared" si="3"/>
        <v>3.7879062483334018E-4</v>
      </c>
      <c r="CY10" s="97">
        <f t="shared" si="3"/>
        <v>3.0204912045193844E-4</v>
      </c>
      <c r="CZ10" s="97">
        <f t="shared" si="3"/>
        <v>2.2689836262297002E-4</v>
      </c>
      <c r="DA10" s="97">
        <f t="shared" si="3"/>
        <v>1.5985327980004544E-4</v>
      </c>
      <c r="DB10" s="97">
        <f t="shared" si="3"/>
        <v>1.0527362845815396E-4</v>
      </c>
      <c r="DC10" s="97">
        <f t="shared" si="3"/>
        <v>6.463643218732378E-5</v>
      </c>
      <c r="DD10" s="97">
        <f t="shared" si="3"/>
        <v>3.6914257628958585E-5</v>
      </c>
      <c r="DE10" s="97">
        <f t="shared" si="3"/>
        <v>1.9568229562997084E-5</v>
      </c>
      <c r="DF10" s="97">
        <f t="shared" si="3"/>
        <v>9.6092783490487634E-6</v>
      </c>
      <c r="DG10" s="97">
        <f t="shared" si="3"/>
        <v>4.3632667599001813E-6</v>
      </c>
      <c r="DH10" s="97">
        <f t="shared" si="3"/>
        <v>1.8288607621343635E-6</v>
      </c>
      <c r="DI10" s="97">
        <f t="shared" si="3"/>
        <v>7.0654145426332894E-7</v>
      </c>
      <c r="DJ10" s="97">
        <f t="shared" si="3"/>
        <v>2.51247440136844E-7</v>
      </c>
      <c r="DK10" s="97">
        <f t="shared" si="3"/>
        <v>8.214294796349466E-8</v>
      </c>
      <c r="DL10" s="97">
        <f t="shared" si="3"/>
        <v>2.4667002683154223E-8</v>
      </c>
    </row>
    <row r="11" spans="1:116" x14ac:dyDescent="0.25">
      <c r="A11" s="60">
        <v>4.9000000000000004</v>
      </c>
      <c r="B11" s="25">
        <v>3.1</v>
      </c>
      <c r="C11" s="25">
        <v>1.5</v>
      </c>
      <c r="D11" s="57">
        <v>0.1</v>
      </c>
      <c r="E11" s="82" t="s">
        <v>5</v>
      </c>
      <c r="L11" s="97" cm="1">
        <f t="array" ref="L11">EstymacjaGaussowska($O11,$D$2:$D$51,H$9)</f>
        <v>0</v>
      </c>
      <c r="M11" s="97" cm="1">
        <f t="array" ref="M11">EstymacjaGaussowska($O11,$D$52:$D$101,I$9)</f>
        <v>2.1597626205655115E-26</v>
      </c>
      <c r="N11" s="97" cm="1">
        <f t="array" ref="N11">EstymacjaGaussowska($O11,$D$102:$D$151,J$9)</f>
        <v>1.1484018760804862E-2</v>
      </c>
      <c r="O11" s="97">
        <v>2.82</v>
      </c>
      <c r="P11" s="97">
        <f t="shared" si="4"/>
        <v>1.2514772407316595E-65</v>
      </c>
      <c r="Q11" s="97">
        <f t="shared" si="6"/>
        <v>1.5561140727636769E-63</v>
      </c>
      <c r="R11" s="97">
        <f t="shared" si="6"/>
        <v>1.8252595775833275E-61</v>
      </c>
      <c r="S11" s="97">
        <f t="shared" si="6"/>
        <v>2.0223239398014394E-59</v>
      </c>
      <c r="T11" s="97">
        <f t="shared" si="6"/>
        <v>2.1101437379769148E-57</v>
      </c>
      <c r="U11" s="97">
        <f t="shared" si="6"/>
        <v>2.0617178227457891E-55</v>
      </c>
      <c r="V11" s="97">
        <f t="shared" si="6"/>
        <v>1.8742206011270517E-53</v>
      </c>
      <c r="W11" s="97">
        <f t="shared" si="6"/>
        <v>1.576249827005984E-51</v>
      </c>
      <c r="X11" s="97">
        <f t="shared" si="6"/>
        <v>1.2211384601810397E-49</v>
      </c>
      <c r="Y11" s="97">
        <f t="shared" si="6"/>
        <v>8.6886106391560675E-48</v>
      </c>
      <c r="Z11" s="97">
        <f t="shared" si="6"/>
        <v>5.6671142552447747E-46</v>
      </c>
      <c r="AA11" s="97">
        <f t="shared" si="6"/>
        <v>3.384629034192181E-44</v>
      </c>
      <c r="AB11" s="97">
        <f t="shared" si="6"/>
        <v>1.8497851036812029E-42</v>
      </c>
      <c r="AC11" s="97">
        <f t="shared" si="6"/>
        <v>9.2479088899657956E-41</v>
      </c>
      <c r="AD11" s="97">
        <f t="shared" si="6"/>
        <v>4.2286425277724218E-39</v>
      </c>
      <c r="AE11" s="97">
        <f t="shared" si="6"/>
        <v>1.7682982881195621E-37</v>
      </c>
      <c r="AF11" s="97">
        <f t="shared" si="6"/>
        <v>6.7622174944851112E-36</v>
      </c>
      <c r="AG11" s="97">
        <f t="shared" si="6"/>
        <v>2.3647953407102884E-34</v>
      </c>
      <c r="AH11" s="97">
        <f t="shared" si="6"/>
        <v>7.5624968441057584E-33</v>
      </c>
      <c r="AI11" s="97">
        <f t="shared" si="6"/>
        <v>2.21157961877452E-31</v>
      </c>
      <c r="AJ11" s="97">
        <f t="shared" si="6"/>
        <v>5.9143240029650898E-30</v>
      </c>
      <c r="AK11" s="97">
        <f t="shared" si="6"/>
        <v>1.4463474846595104E-28</v>
      </c>
      <c r="AL11" s="97">
        <f t="shared" si="6"/>
        <v>3.2344854149818307E-27</v>
      </c>
      <c r="AM11" s="97">
        <f t="shared" si="6"/>
        <v>6.6145895090718129E-26</v>
      </c>
      <c r="AN11" s="97">
        <f t="shared" si="6"/>
        <v>1.2369893517541535E-24</v>
      </c>
      <c r="AO11" s="97">
        <f t="shared" si="6"/>
        <v>2.1154107262248688E-23</v>
      </c>
      <c r="AP11" s="97">
        <f t="shared" si="6"/>
        <v>3.3081833230222047E-22</v>
      </c>
      <c r="AQ11" s="97">
        <f t="shared" si="6"/>
        <v>4.7309808532158112E-21</v>
      </c>
      <c r="AR11" s="97">
        <f t="shared" si="6"/>
        <v>6.1870049089876835E-20</v>
      </c>
      <c r="AS11" s="97">
        <f t="shared" si="6"/>
        <v>7.3990955643539939E-19</v>
      </c>
      <c r="AT11" s="97">
        <f t="shared" si="6"/>
        <v>8.0918438951212389E-18</v>
      </c>
      <c r="AU11" s="97">
        <f t="shared" si="6"/>
        <v>8.0926275570214124E-17</v>
      </c>
      <c r="AV11" s="97">
        <f t="shared" si="6"/>
        <v>7.4013062016828232E-16</v>
      </c>
      <c r="AW11" s="97">
        <f t="shared" si="6"/>
        <v>6.1902616369279873E-15</v>
      </c>
      <c r="AX11" s="97">
        <f t="shared" si="6"/>
        <v>4.734767258406153E-14</v>
      </c>
      <c r="AY11" s="97">
        <f t="shared" si="6"/>
        <v>3.3119783405682744E-13</v>
      </c>
      <c r="AZ11" s="97">
        <f t="shared" si="6"/>
        <v>2.1188008888072264E-12</v>
      </c>
      <c r="BA11" s="97">
        <f t="shared" si="6"/>
        <v>1.2397309962773344E-11</v>
      </c>
      <c r="BB11" s="97">
        <f t="shared" si="6"/>
        <v>6.6348223658569458E-11</v>
      </c>
      <c r="BC11" s="97">
        <f t="shared" si="6"/>
        <v>3.2481686767010713E-10</v>
      </c>
      <c r="BD11" s="97">
        <f t="shared" si="6"/>
        <v>1.4548461509001808E-9</v>
      </c>
      <c r="BE11" s="97">
        <f t="shared" si="6"/>
        <v>5.9628514988315412E-9</v>
      </c>
      <c r="BF11" s="97">
        <f t="shared" si="6"/>
        <v>2.2370642711736544E-8</v>
      </c>
      <c r="BG11" s="97">
        <f t="shared" si="6"/>
        <v>7.685599509417248E-8</v>
      </c>
      <c r="BH11" s="97">
        <f t="shared" si="6"/>
        <v>2.4194903719086979E-7</v>
      </c>
      <c r="BI11" s="97">
        <f t="shared" si="6"/>
        <v>6.9857361793407964E-7</v>
      </c>
      <c r="BJ11" s="97">
        <f t="shared" si="6"/>
        <v>1.8523196195686847E-6</v>
      </c>
      <c r="BK11" s="97">
        <f t="shared" si="6"/>
        <v>4.5192107031882161E-6</v>
      </c>
      <c r="BL11" s="97">
        <f t="shared" si="6"/>
        <v>1.0172657255678786E-5</v>
      </c>
      <c r="BM11" s="97">
        <f t="shared" si="6"/>
        <v>2.1207559647238405E-5</v>
      </c>
      <c r="BN11" s="97">
        <f t="shared" si="6"/>
        <v>4.1161651076251243E-5</v>
      </c>
      <c r="BO11" s="97">
        <f t="shared" si="6"/>
        <v>7.488290771887609E-5</v>
      </c>
      <c r="BP11" s="97">
        <f t="shared" si="6"/>
        <v>1.2874368194389776E-4</v>
      </c>
      <c r="BQ11" s="97">
        <f t="shared" si="6"/>
        <v>2.1106074997232028E-4</v>
      </c>
      <c r="BR11" s="97">
        <f t="shared" si="6"/>
        <v>3.3268327332982943E-4</v>
      </c>
      <c r="BS11" s="97">
        <f t="shared" si="6"/>
        <v>5.0717352817824472E-4</v>
      </c>
      <c r="BT11" s="97">
        <f t="shared" si="6"/>
        <v>7.4942306967479505E-4</v>
      </c>
      <c r="BU11" s="97">
        <f t="shared" si="6"/>
        <v>1.0715883523191279E-3</v>
      </c>
      <c r="BV11" s="97">
        <f t="shared" si="6"/>
        <v>1.4764505667491108E-3</v>
      </c>
      <c r="BW11" s="97">
        <f t="shared" si="6"/>
        <v>1.9504501255285095E-3</v>
      </c>
      <c r="BX11" s="97">
        <f t="shared" si="6"/>
        <v>2.4604171289737821E-3</v>
      </c>
      <c r="BY11" s="97">
        <f t="shared" si="6"/>
        <v>2.9577504253463947E-3</v>
      </c>
      <c r="BZ11" s="97">
        <f t="shared" si="6"/>
        <v>3.3907420030951968E-3</v>
      </c>
      <c r="CA11" s="97">
        <f t="shared" si="6"/>
        <v>3.7210280076745406E-3</v>
      </c>
      <c r="CB11" s="97">
        <f t="shared" si="6"/>
        <v>3.9365495873449462E-3</v>
      </c>
      <c r="CC11" s="97">
        <f t="shared" si="3"/>
        <v>4.0537689935034645E-3</v>
      </c>
      <c r="CD11" s="97">
        <f t="shared" si="3"/>
        <v>4.1069601396713246E-3</v>
      </c>
      <c r="CE11" s="97">
        <f t="shared" si="3"/>
        <v>4.1296556556479668E-3</v>
      </c>
      <c r="CF11" s="97">
        <f t="shared" si="3"/>
        <v>4.1381449081069081E-3</v>
      </c>
      <c r="CG11" s="97">
        <f t="shared" si="3"/>
        <v>4.1257486262212496E-3</v>
      </c>
      <c r="CH11" s="97">
        <f t="shared" si="3"/>
        <v>4.0699627600550752E-3</v>
      </c>
      <c r="CI11" s="97">
        <f t="shared" si="3"/>
        <v>3.9469859251557524E-3</v>
      </c>
      <c r="CJ11" s="97">
        <f t="shared" si="3"/>
        <v>3.7447612196902461E-3</v>
      </c>
      <c r="CK11" s="97">
        <f t="shared" si="3"/>
        <v>3.4682595086727914E-3</v>
      </c>
      <c r="CL11" s="97">
        <f t="shared" si="3"/>
        <v>3.1366024217177099E-3</v>
      </c>
      <c r="CM11" s="97">
        <f t="shared" si="3"/>
        <v>2.7761525705329022E-3</v>
      </c>
      <c r="CN11" s="97">
        <f t="shared" si="3"/>
        <v>2.4141780727081463E-3</v>
      </c>
      <c r="CO11" s="97">
        <f t="shared" si="3"/>
        <v>2.0750352133328057E-3</v>
      </c>
      <c r="CP11" s="97">
        <f t="shared" si="3"/>
        <v>1.7780137766644384E-3</v>
      </c>
      <c r="CQ11" s="97">
        <f t="shared" si="3"/>
        <v>1.5352856370223068E-3</v>
      </c>
      <c r="CR11" s="97">
        <f t="shared" si="3"/>
        <v>1.3496876031286974E-3</v>
      </c>
      <c r="CS11" s="97">
        <f t="shared" si="3"/>
        <v>1.213634414503018E-3</v>
      </c>
      <c r="CT11" s="97">
        <f t="shared" si="3"/>
        <v>1.1107437011570749E-3</v>
      </c>
      <c r="CU11" s="97">
        <f t="shared" si="3"/>
        <v>1.0205236450444145E-3</v>
      </c>
      <c r="CV11" s="97">
        <f t="shared" si="3"/>
        <v>9.2468340250964598E-4</v>
      </c>
      <c r="CW11" s="97">
        <f t="shared" si="3"/>
        <v>8.1254484932599159E-4</v>
      </c>
      <c r="CX11" s="97">
        <f t="shared" si="3"/>
        <v>6.8336888949962322E-4</v>
      </c>
      <c r="CY11" s="97">
        <f t="shared" si="3"/>
        <v>5.4492101568880038E-4</v>
      </c>
      <c r="CZ11" s="97">
        <f t="shared" si="3"/>
        <v>4.0934297717416541E-4</v>
      </c>
      <c r="DA11" s="97">
        <f t="shared" si="3"/>
        <v>2.8838823122375937E-4</v>
      </c>
      <c r="DB11" s="97">
        <f t="shared" si="3"/>
        <v>1.8992213074095216E-4</v>
      </c>
      <c r="DC11" s="97">
        <f t="shared" si="3"/>
        <v>1.166093456101329E-4</v>
      </c>
      <c r="DD11" s="97">
        <f t="shared" si="3"/>
        <v>6.6596303046579758E-5</v>
      </c>
      <c r="DE11" s="97">
        <f t="shared" si="3"/>
        <v>3.5302667038875498E-5</v>
      </c>
      <c r="DF11" s="97">
        <f t="shared" si="3"/>
        <v>1.7335914470352655E-5</v>
      </c>
      <c r="DG11" s="97">
        <f t="shared" si="3"/>
        <v>7.8716857409432973E-6</v>
      </c>
      <c r="DH11" s="97">
        <f t="shared" si="3"/>
        <v>3.2994125676132401E-6</v>
      </c>
      <c r="DI11" s="97">
        <f t="shared" si="3"/>
        <v>1.2746578646127109E-6</v>
      </c>
      <c r="DJ11" s="97">
        <f t="shared" si="3"/>
        <v>4.5327068015867644E-7</v>
      </c>
      <c r="DK11" s="97">
        <f t="shared" si="3"/>
        <v>1.4819251441277463E-7</v>
      </c>
      <c r="DL11" s="97">
        <f t="shared" si="3"/>
        <v>4.4501265674903912E-8</v>
      </c>
    </row>
    <row r="12" spans="1:116" x14ac:dyDescent="0.25">
      <c r="A12" s="60">
        <v>5.4</v>
      </c>
      <c r="B12" s="25">
        <v>3.7</v>
      </c>
      <c r="C12" s="25">
        <v>1.5</v>
      </c>
      <c r="D12" s="57">
        <v>0.2</v>
      </c>
      <c r="E12" s="82" t="s">
        <v>5</v>
      </c>
      <c r="L12" s="97" cm="1">
        <f t="array" ref="L12">EstymacjaGaussowska($O12,$D$2:$D$51,H$9)</f>
        <v>0</v>
      </c>
      <c r="M12" s="97" cm="1">
        <f t="array" ref="M12">EstymacjaGaussowska($O12,$D$52:$D$101,I$9)</f>
        <v>5.7460451204179441E-25</v>
      </c>
      <c r="N12" s="97" cm="1">
        <f t="array" ref="N12">EstymacjaGaussowska($O12,$D$102:$D$151,J$9)</f>
        <v>1.9788775220178509E-2</v>
      </c>
      <c r="O12" s="97">
        <v>2.79</v>
      </c>
      <c r="P12" s="97">
        <f t="shared" si="4"/>
        <v>1.571580341137241E-64</v>
      </c>
      <c r="Q12" s="97">
        <f t="shared" si="6"/>
        <v>1.5691259871649052E-62</v>
      </c>
      <c r="R12" s="97">
        <f t="shared" si="6"/>
        <v>1.4179315822231213E-60</v>
      </c>
      <c r="S12" s="97">
        <f t="shared" si="6"/>
        <v>1.1757233661937083E-58</v>
      </c>
      <c r="T12" s="97">
        <f t="shared" si="6"/>
        <v>9.1184097807462495E-57</v>
      </c>
      <c r="U12" s="97">
        <f t="shared" si="6"/>
        <v>6.7642752046200553E-55</v>
      </c>
      <c r="V12" s="97">
        <f t="shared" si="6"/>
        <v>4.8926627289614649E-53</v>
      </c>
      <c r="W12" s="97">
        <f t="shared" si="6"/>
        <v>3.4773951418659592E-51</v>
      </c>
      <c r="X12" s="97">
        <f t="shared" si="6"/>
        <v>2.4122436925128694E-49</v>
      </c>
      <c r="Y12" s="97">
        <f t="shared" si="6"/>
        <v>1.607358533195889E-47</v>
      </c>
      <c r="Z12" s="97">
        <f t="shared" si="6"/>
        <v>1.0113666240144579E-45</v>
      </c>
      <c r="AA12" s="97">
        <f t="shared" si="6"/>
        <v>5.929601920731957E-44</v>
      </c>
      <c r="AB12" s="97">
        <f t="shared" si="6"/>
        <v>3.2115221514599808E-42</v>
      </c>
      <c r="AC12" s="97">
        <f t="shared" si="6"/>
        <v>1.5988127396033051E-40</v>
      </c>
      <c r="AD12" s="97">
        <f t="shared" si="6"/>
        <v>7.296756722526263E-39</v>
      </c>
      <c r="AE12" s="97">
        <f t="shared" si="6"/>
        <v>3.0487868757261581E-37</v>
      </c>
      <c r="AF12" s="97">
        <f t="shared" si="6"/>
        <v>1.1654976706235539E-35</v>
      </c>
      <c r="AG12" s="97">
        <f t="shared" si="6"/>
        <v>4.0752632325134763E-34</v>
      </c>
      <c r="AH12" s="97">
        <f t="shared" si="6"/>
        <v>1.3031784703743486E-32</v>
      </c>
      <c r="AI12" s="97">
        <f t="shared" si="6"/>
        <v>3.8109431543138376E-31</v>
      </c>
      <c r="AJ12" s="97">
        <f t="shared" si="6"/>
        <v>1.0191352233275603E-29</v>
      </c>
      <c r="AK12" s="97">
        <f t="shared" si="6"/>
        <v>2.4922879925319931E-28</v>
      </c>
      <c r="AL12" s="97">
        <f t="shared" si="6"/>
        <v>5.573530716959514E-27</v>
      </c>
      <c r="AM12" s="97">
        <f t="shared" si="6"/>
        <v>1.1397982235164524E-25</v>
      </c>
      <c r="AN12" s="97">
        <f t="shared" si="6"/>
        <v>2.1315277943888303E-24</v>
      </c>
      <c r="AO12" s="97">
        <f t="shared" si="6"/>
        <v>3.6451862978750046E-23</v>
      </c>
      <c r="AP12" s="97">
        <f t="shared" si="6"/>
        <v>5.7005215454257098E-22</v>
      </c>
      <c r="AQ12" s="97">
        <f t="shared" si="6"/>
        <v>8.1522260374227105E-21</v>
      </c>
      <c r="AR12" s="97">
        <f t="shared" si="6"/>
        <v>1.0661185078852508E-19</v>
      </c>
      <c r="AS12" s="97">
        <f t="shared" si="6"/>
        <v>1.2749808408869682E-18</v>
      </c>
      <c r="AT12" s="97">
        <f t="shared" si="6"/>
        <v>1.3943523020543161E-17</v>
      </c>
      <c r="AU12" s="97">
        <f t="shared" si="6"/>
        <v>1.3944873393419146E-16</v>
      </c>
      <c r="AV12" s="97">
        <f t="shared" si="6"/>
        <v>1.2753617684848583E-15</v>
      </c>
      <c r="AW12" s="97">
        <f t="shared" si="6"/>
        <v>1.0666796932217817E-14</v>
      </c>
      <c r="AX12" s="97">
        <f t="shared" si="6"/>
        <v>8.1587506035994616E-14</v>
      </c>
      <c r="AY12" s="97">
        <f t="shared" si="6"/>
        <v>5.7070609410091771E-13</v>
      </c>
      <c r="AZ12" s="97">
        <f t="shared" si="6"/>
        <v>3.6510280415095877E-12</v>
      </c>
      <c r="BA12" s="97">
        <f t="shared" si="6"/>
        <v>2.1362519976500595E-11</v>
      </c>
      <c r="BB12" s="97">
        <f t="shared" si="6"/>
        <v>1.1432845170182762E-10</v>
      </c>
      <c r="BC12" s="97">
        <f t="shared" si="6"/>
        <v>5.5971068281289783E-10</v>
      </c>
      <c r="BD12" s="97">
        <f t="shared" si="6"/>
        <v>2.5069293302066887E-9</v>
      </c>
      <c r="BE12" s="97">
        <f t="shared" si="6"/>
        <v>1.0274933404359223E-8</v>
      </c>
      <c r="BF12" s="97">
        <f t="shared" si="6"/>
        <v>3.854814498077789E-8</v>
      </c>
      <c r="BG12" s="97">
        <f t="shared" si="6"/>
        <v>1.3243499883790937E-7</v>
      </c>
      <c r="BH12" s="97">
        <f t="shared" si="6"/>
        <v>4.1691634361046382E-7</v>
      </c>
      <c r="BI12" s="97">
        <f t="shared" si="6"/>
        <v>1.2037525005815568E-6</v>
      </c>
      <c r="BJ12" s="97">
        <f t="shared" si="6"/>
        <v>3.1918387936351893E-6</v>
      </c>
      <c r="BK12" s="97">
        <f t="shared" si="6"/>
        <v>7.7873126682134351E-6</v>
      </c>
      <c r="BL12" s="97">
        <f t="shared" si="6"/>
        <v>1.7529092560489422E-5</v>
      </c>
      <c r="BM12" s="97">
        <f t="shared" si="6"/>
        <v>3.654396945606489E-5</v>
      </c>
      <c r="BN12" s="97">
        <f t="shared" si="6"/>
        <v>7.0928015514863831E-5</v>
      </c>
      <c r="BO12" s="97">
        <f t="shared" si="6"/>
        <v>1.2903505815749415E-4</v>
      </c>
      <c r="BP12" s="97">
        <f t="shared" si="6"/>
        <v>2.2184566536073754E-4</v>
      </c>
      <c r="BQ12" s="97">
        <f t="shared" si="6"/>
        <v>3.6369095401162708E-4</v>
      </c>
      <c r="BR12" s="97">
        <f t="shared" si="6"/>
        <v>5.7326574020467749E-4</v>
      </c>
      <c r="BS12" s="97">
        <f t="shared" si="6"/>
        <v>8.73939964378877E-4</v>
      </c>
      <c r="BT12" s="97">
        <f t="shared" si="6"/>
        <v>1.2913741242940393E-3</v>
      </c>
      <c r="BU12" s="97">
        <f t="shared" si="6"/>
        <v>1.8465157079836122E-3</v>
      </c>
      <c r="BV12" s="97">
        <f t="shared" si="6"/>
        <v>2.5441571454778451E-3</v>
      </c>
      <c r="BW12" s="97">
        <f t="shared" si="6"/>
        <v>3.3609331294359138E-3</v>
      </c>
      <c r="BX12" s="97">
        <f t="shared" si="6"/>
        <v>4.2396866921982253E-3</v>
      </c>
      <c r="BY12" s="97">
        <f t="shared" si="6"/>
        <v>5.0966703854866454E-3</v>
      </c>
      <c r="BZ12" s="97">
        <f t="shared" si="6"/>
        <v>5.8427831516504802E-3</v>
      </c>
      <c r="CA12" s="97">
        <f t="shared" ref="CA12:CP37" si="7">$H$2*$L12*CA$1+$I$2*$M12*CA$2+$J$2*$N12*CA$3</f>
        <v>6.4119180197768546E-3</v>
      </c>
      <c r="CB12" s="97">
        <f t="shared" si="7"/>
        <v>6.7832956867789019E-3</v>
      </c>
      <c r="CC12" s="97">
        <f t="shared" si="3"/>
        <v>6.9852832077180573E-3</v>
      </c>
      <c r="CD12" s="97">
        <f t="shared" si="3"/>
        <v>7.0769399401863055E-3</v>
      </c>
      <c r="CE12" s="97">
        <f t="shared" si="3"/>
        <v>7.1160478930312274E-3</v>
      </c>
      <c r="CF12" s="97">
        <f t="shared" ref="CF12:CU12" si="8">$H$2*$L12*CF$1+$I$2*$M12*CF$2+$J$2*$N12*CF$3</f>
        <v>7.1306762136737088E-3</v>
      </c>
      <c r="CG12" s="97">
        <f t="shared" si="8"/>
        <v>7.1093154652361939E-3</v>
      </c>
      <c r="CH12" s="97">
        <f t="shared" si="8"/>
        <v>7.0131876210538817E-3</v>
      </c>
      <c r="CI12" s="97">
        <f t="shared" si="8"/>
        <v>6.8012791425152127E-3</v>
      </c>
      <c r="CJ12" s="97">
        <f t="shared" si="8"/>
        <v>6.452814086529598E-3</v>
      </c>
      <c r="CK12" s="97">
        <f t="shared" si="8"/>
        <v>5.9763580373637841E-3</v>
      </c>
      <c r="CL12" s="97">
        <f t="shared" si="8"/>
        <v>5.4048605781003749E-3</v>
      </c>
      <c r="CM12" s="97">
        <f t="shared" si="8"/>
        <v>4.7837486457873142E-3</v>
      </c>
      <c r="CN12" s="97">
        <f t="shared" si="8"/>
        <v>4.1600095068946965E-3</v>
      </c>
      <c r="CO12" s="97">
        <f t="shared" si="8"/>
        <v>3.575612881332508E-3</v>
      </c>
      <c r="CP12" s="97">
        <f t="shared" si="8"/>
        <v>3.0637981091496676E-3</v>
      </c>
      <c r="CQ12" s="97">
        <f t="shared" si="8"/>
        <v>2.6455392491603444E-3</v>
      </c>
      <c r="CR12" s="97">
        <f t="shared" si="8"/>
        <v>2.3257245701245621E-3</v>
      </c>
      <c r="CS12" s="97">
        <f t="shared" si="8"/>
        <v>2.0912834721274857E-3</v>
      </c>
      <c r="CT12" s="97">
        <f t="shared" si="8"/>
        <v>1.9139865483715033E-3</v>
      </c>
      <c r="CU12" s="97">
        <f t="shared" si="8"/>
        <v>1.7585231650427736E-3</v>
      </c>
      <c r="CV12" s="97">
        <f t="shared" ref="CV12:DK12" si="9">$H$2*$L12*CV$1+$I$2*$M12*CV$2+$J$2*$N12*CV$3</f>
        <v>1.5933753142711503E-3</v>
      </c>
      <c r="CW12" s="97">
        <f t="shared" si="9"/>
        <v>1.4001429041987162E-3</v>
      </c>
      <c r="CX12" s="97">
        <f t="shared" si="9"/>
        <v>1.1775523558813206E-3</v>
      </c>
      <c r="CY12" s="97">
        <f t="shared" si="9"/>
        <v>9.3898483769642375E-4</v>
      </c>
      <c r="CZ12" s="97">
        <f t="shared" si="9"/>
        <v>7.0536249826628659E-4</v>
      </c>
      <c r="DA12" s="97">
        <f t="shared" si="9"/>
        <v>4.96938397846354E-4</v>
      </c>
      <c r="DB12" s="97">
        <f t="shared" si="9"/>
        <v>3.2726577976320315E-4</v>
      </c>
      <c r="DC12" s="97">
        <f t="shared" si="9"/>
        <v>2.0093629041488116E-4</v>
      </c>
      <c r="DD12" s="97">
        <f t="shared" si="9"/>
        <v>1.147559316065845E-4</v>
      </c>
      <c r="DE12" s="97">
        <f t="shared" si="9"/>
        <v>6.0832062125275623E-5</v>
      </c>
      <c r="DF12" s="97">
        <f t="shared" si="9"/>
        <v>2.9872514303172855E-5</v>
      </c>
      <c r="DG12" s="97">
        <f t="shared" si="9"/>
        <v>1.3564155804330466E-5</v>
      </c>
      <c r="DH12" s="97">
        <f t="shared" si="9"/>
        <v>5.6854081327323143E-6</v>
      </c>
      <c r="DI12" s="97">
        <f t="shared" si="9"/>
        <v>2.1964364993501488E-6</v>
      </c>
      <c r="DJ12" s="97">
        <f t="shared" si="9"/>
        <v>7.8105685739308492E-7</v>
      </c>
      <c r="DK12" s="97">
        <f t="shared" si="9"/>
        <v>2.5535907055779946E-7</v>
      </c>
      <c r="DL12" s="97">
        <f t="shared" ref="CC12:DL20" si="10">$H$2*$L12*DL$1+$I$2*$M12*DL$2+$J$2*$N12*DL$3</f>
        <v>7.6682698086466727E-8</v>
      </c>
    </row>
    <row r="13" spans="1:116" x14ac:dyDescent="0.25">
      <c r="A13" s="60">
        <v>4.8</v>
      </c>
      <c r="B13" s="25">
        <v>3.4</v>
      </c>
      <c r="C13" s="25">
        <v>1.6</v>
      </c>
      <c r="D13" s="57">
        <v>0.2</v>
      </c>
      <c r="E13" s="82" t="s">
        <v>5</v>
      </c>
      <c r="L13" s="97" cm="1">
        <f t="array" ref="L13">EstymacjaGaussowska($O13,$D$2:$D$51,H$9)</f>
        <v>0</v>
      </c>
      <c r="M13" s="97" cm="1">
        <f t="array" ref="M13">EstymacjaGaussowska($O13,$D$52:$D$101,I$9)</f>
        <v>1.3861060069042307E-23</v>
      </c>
      <c r="N13" s="97" cm="1">
        <f t="array" ref="N13">EstymacjaGaussowska($O13,$D$102:$D$151,J$9)</f>
        <v>3.2604610944478661E-2</v>
      </c>
      <c r="O13" s="97">
        <v>2.76</v>
      </c>
      <c r="P13" s="97">
        <f t="shared" si="4"/>
        <v>3.5174630531544872E-63</v>
      </c>
      <c r="Q13" s="97">
        <f t="shared" si="4"/>
        <v>3.3850094186890274E-61</v>
      </c>
      <c r="R13" s="97">
        <f t="shared" si="4"/>
        <v>2.885299260087532E-59</v>
      </c>
      <c r="S13" s="97">
        <f t="shared" si="4"/>
        <v>2.1817212993490295E-57</v>
      </c>
      <c r="T13" s="97">
        <f t="shared" si="4"/>
        <v>1.4677241513987713E-55</v>
      </c>
      <c r="U13" s="97">
        <f t="shared" si="4"/>
        <v>8.8325289982670868E-54</v>
      </c>
      <c r="V13" s="97">
        <f t="shared" si="4"/>
        <v>4.802796485208163E-52</v>
      </c>
      <c r="W13" s="97">
        <f t="shared" si="4"/>
        <v>2.4023986430936112E-50</v>
      </c>
      <c r="X13" s="97">
        <f t="shared" si="4"/>
        <v>1.1376943984628331E-48</v>
      </c>
      <c r="Y13" s="97">
        <f t="shared" si="4"/>
        <v>5.29599424434486E-47</v>
      </c>
      <c r="Z13" s="97">
        <f t="shared" si="4"/>
        <v>2.5034650340315453E-45</v>
      </c>
      <c r="AA13" s="97">
        <f t="shared" si="4"/>
        <v>1.2109336509515855E-43</v>
      </c>
      <c r="AB13" s="97">
        <f t="shared" si="4"/>
        <v>5.8693837136024647E-42</v>
      </c>
      <c r="AC13" s="97">
        <f t="shared" si="4"/>
        <v>2.760473547792075E-40</v>
      </c>
      <c r="AD13" s="97">
        <f t="shared" si="4"/>
        <v>1.2266019722682877E-38</v>
      </c>
      <c r="AE13" s="97">
        <f t="shared" si="4"/>
        <v>5.0648543167404887E-37</v>
      </c>
      <c r="AF13" s="97">
        <f t="shared" ref="AF13:AU29" si="11">$H$2*$L13*AF$1+$I$2*$M13*AF$2+$J$2*$N13*AF$3</f>
        <v>1.9265821604444093E-35</v>
      </c>
      <c r="AG13" s="97">
        <f t="shared" si="11"/>
        <v>6.7228944380662578E-34</v>
      </c>
      <c r="AH13" s="97">
        <f t="shared" si="11"/>
        <v>2.1481435951551497E-32</v>
      </c>
      <c r="AI13" s="97">
        <f t="shared" si="11"/>
        <v>6.280057178108589E-31</v>
      </c>
      <c r="AJ13" s="97">
        <f t="shared" si="11"/>
        <v>1.6792539564440845E-29</v>
      </c>
      <c r="AK13" s="97">
        <f t="shared" si="11"/>
        <v>4.1064494051257436E-28</v>
      </c>
      <c r="AL13" s="97">
        <f t="shared" si="11"/>
        <v>9.1831806387972384E-27</v>
      </c>
      <c r="AM13" s="97">
        <f t="shared" si="11"/>
        <v>1.8779710728567009E-25</v>
      </c>
      <c r="AN13" s="97">
        <f t="shared" si="11"/>
        <v>3.5119744880818049E-24</v>
      </c>
      <c r="AO13" s="97">
        <f t="shared" si="11"/>
        <v>6.005925039708026E-23</v>
      </c>
      <c r="AP13" s="97">
        <f t="shared" si="11"/>
        <v>9.392359744273523E-22</v>
      </c>
      <c r="AQ13" s="97">
        <f t="shared" si="11"/>
        <v>1.34318652201226E-20</v>
      </c>
      <c r="AR13" s="97">
        <f t="shared" si="11"/>
        <v>1.7565705254066278E-19</v>
      </c>
      <c r="AS13" s="97">
        <f t="shared" si="11"/>
        <v>2.1006986966842912E-18</v>
      </c>
      <c r="AT13" s="97">
        <f t="shared" si="11"/>
        <v>2.2973788843284952E-17</v>
      </c>
      <c r="AU13" s="97">
        <f t="shared" si="11"/>
        <v>2.2976013756617048E-16</v>
      </c>
      <c r="AV13" s="97">
        <f t="shared" ref="AV13:BK28" si="12">$H$2*$L13*AV$1+$I$2*$M13*AV$2+$J$2*$N13*AV$3</f>
        <v>2.1013263232685131E-15</v>
      </c>
      <c r="AW13" s="97">
        <f t="shared" si="12"/>
        <v>1.757495146263701E-14</v>
      </c>
      <c r="AX13" s="97">
        <f t="shared" si="12"/>
        <v>1.3442615132254592E-13</v>
      </c>
      <c r="AY13" s="97">
        <f t="shared" si="12"/>
        <v>9.4031338244885188E-13</v>
      </c>
      <c r="AZ13" s="97">
        <f t="shared" si="12"/>
        <v>6.0155490936812021E-12</v>
      </c>
      <c r="BA13" s="97">
        <f t="shared" si="12"/>
        <v>3.5197562500847773E-11</v>
      </c>
      <c r="BB13" s="97">
        <f t="shared" si="12"/>
        <v>1.8837116729799766E-10</v>
      </c>
      <c r="BC13" s="97">
        <f t="shared" si="12"/>
        <v>9.2219699559649766E-10</v>
      </c>
      <c r="BD13" s="97">
        <f t="shared" si="12"/>
        <v>4.1304959284869907E-9</v>
      </c>
      <c r="BE13" s="97">
        <f t="shared" si="12"/>
        <v>1.6929304739787634E-8</v>
      </c>
      <c r="BF13" s="97">
        <f t="shared" si="12"/>
        <v>6.3513140947097144E-8</v>
      </c>
      <c r="BG13" s="97">
        <f t="shared" si="12"/>
        <v>2.1820408612956934E-7</v>
      </c>
      <c r="BH13" s="97">
        <f t="shared" si="12"/>
        <v>6.8692453315416115E-7</v>
      </c>
      <c r="BI13" s="97">
        <f t="shared" si="12"/>
        <v>1.9833406321622235E-6</v>
      </c>
      <c r="BJ13" s="97">
        <f t="shared" si="12"/>
        <v>5.2589743885640382E-6</v>
      </c>
      <c r="BK13" s="97">
        <f t="shared" si="12"/>
        <v>1.2830622260603893E-5</v>
      </c>
      <c r="BL13" s="97">
        <f t="shared" ref="BL13:CA42" si="13">$H$2*$L13*BL$1+$I$2*$M13*BL$2+$J$2*$N13*BL$3</f>
        <v>2.8881486437913933E-5</v>
      </c>
      <c r="BM13" s="97">
        <f t="shared" si="13"/>
        <v>6.0210998064546158E-5</v>
      </c>
      <c r="BN13" s="97">
        <f t="shared" si="13"/>
        <v>1.1686323813350286E-4</v>
      </c>
      <c r="BO13" s="97">
        <f t="shared" si="13"/>
        <v>2.1260223650088652E-4</v>
      </c>
      <c r="BP13" s="97">
        <f t="shared" si="13"/>
        <v>3.6551992371059968E-4</v>
      </c>
      <c r="BQ13" s="97">
        <f t="shared" si="13"/>
        <v>5.9922870049500785E-4</v>
      </c>
      <c r="BR13" s="97">
        <f t="shared" si="13"/>
        <v>9.4453073619800724E-4</v>
      </c>
      <c r="BS13" s="97">
        <f t="shared" si="13"/>
        <v>1.4399310826649424E-3</v>
      </c>
      <c r="BT13" s="97">
        <f t="shared" si="13"/>
        <v>2.1277087863143746E-3</v>
      </c>
      <c r="BU13" s="97">
        <f t="shared" si="13"/>
        <v>3.0423775899118609E-3</v>
      </c>
      <c r="BV13" s="97">
        <f t="shared" si="13"/>
        <v>4.1918336525110251E-3</v>
      </c>
      <c r="BW13" s="97">
        <f t="shared" si="13"/>
        <v>5.5375795559053607E-3</v>
      </c>
      <c r="BX13" s="97">
        <f t="shared" si="13"/>
        <v>6.9854416752710901E-3</v>
      </c>
      <c r="BY13" s="97">
        <f t="shared" si="13"/>
        <v>8.3974350702407507E-3</v>
      </c>
      <c r="BZ13" s="97">
        <f t="shared" si="13"/>
        <v>9.6267540245879007E-3</v>
      </c>
      <c r="CA13" s="97">
        <f t="shared" si="13"/>
        <v>1.0564478605504647E-2</v>
      </c>
      <c r="CB13" s="97">
        <f t="shared" si="7"/>
        <v>1.1176372177054382E-2</v>
      </c>
      <c r="CC13" s="97">
        <f t="shared" si="10"/>
        <v>1.1509173194933723E-2</v>
      </c>
      <c r="CD13" s="97">
        <f t="shared" si="10"/>
        <v>1.16601897216929E-2</v>
      </c>
      <c r="CE13" s="97">
        <f t="shared" si="10"/>
        <v>1.1724625219754623E-2</v>
      </c>
      <c r="CF13" s="97">
        <f t="shared" si="10"/>
        <v>1.1748727302779592E-2</v>
      </c>
      <c r="CG13" s="97">
        <f t="shared" si="10"/>
        <v>1.1713532659122318E-2</v>
      </c>
      <c r="CH13" s="97">
        <f t="shared" si="10"/>
        <v>1.1555149387513886E-2</v>
      </c>
      <c r="CI13" s="97">
        <f t="shared" si="10"/>
        <v>1.12060022866087E-2</v>
      </c>
      <c r="CJ13" s="97">
        <f t="shared" si="10"/>
        <v>1.0631860256506118E-2</v>
      </c>
      <c r="CK13" s="97">
        <f t="shared" si="10"/>
        <v>9.8468362243288188E-3</v>
      </c>
      <c r="CL13" s="97">
        <f t="shared" si="10"/>
        <v>8.9052189636485788E-3</v>
      </c>
      <c r="CM13" s="97">
        <f t="shared" si="10"/>
        <v>7.8818553304414694E-3</v>
      </c>
      <c r="CN13" s="97">
        <f t="shared" si="10"/>
        <v>6.854163028711717E-3</v>
      </c>
      <c r="CO13" s="97">
        <f t="shared" si="10"/>
        <v>5.8912926943065821E-3</v>
      </c>
      <c r="CP13" s="97">
        <f t="shared" si="10"/>
        <v>5.0480105135255141E-3</v>
      </c>
      <c r="CQ13" s="97">
        <f t="shared" si="10"/>
        <v>4.3588740079914421E-3</v>
      </c>
      <c r="CR13" s="97">
        <f t="shared" si="10"/>
        <v>3.8319372436755685E-3</v>
      </c>
      <c r="CS13" s="97">
        <f t="shared" si="10"/>
        <v>3.4456646874136392E-3</v>
      </c>
      <c r="CT13" s="97">
        <f t="shared" si="10"/>
        <v>3.1535446771351785E-3</v>
      </c>
      <c r="CU13" s="97">
        <f t="shared" si="10"/>
        <v>2.8973982975261498E-3</v>
      </c>
      <c r="CV13" s="97">
        <f t="shared" si="10"/>
        <v>2.6252954835412311E-3</v>
      </c>
      <c r="CW13" s="97">
        <f t="shared" si="10"/>
        <v>2.3069196627955734E-3</v>
      </c>
      <c r="CX13" s="97">
        <f t="shared" si="10"/>
        <v>1.9401724464036031E-3</v>
      </c>
      <c r="CY13" s="97">
        <f t="shared" si="10"/>
        <v>1.5471010699357555E-3</v>
      </c>
      <c r="CZ13" s="97">
        <f t="shared" si="10"/>
        <v>1.1621775261435466E-3</v>
      </c>
      <c r="DA13" s="97">
        <f t="shared" si="10"/>
        <v>8.1877139665679458E-4</v>
      </c>
      <c r="DB13" s="97">
        <f t="shared" si="10"/>
        <v>5.3921343316589668E-4</v>
      </c>
      <c r="DC13" s="97">
        <f t="shared" si="10"/>
        <v>3.3106897727169587E-4</v>
      </c>
      <c r="DD13" s="97">
        <f t="shared" si="10"/>
        <v>1.8907549668807335E-4</v>
      </c>
      <c r="DE13" s="97">
        <f t="shared" si="10"/>
        <v>1.0022882651789886E-4</v>
      </c>
      <c r="DF13" s="97">
        <f t="shared" si="10"/>
        <v>4.9218897882834159E-5</v>
      </c>
      <c r="DG13" s="97">
        <f t="shared" si="10"/>
        <v>2.2348731433339179E-5</v>
      </c>
      <c r="DH13" s="97">
        <f t="shared" si="10"/>
        <v>9.3674579738159176E-6</v>
      </c>
      <c r="DI13" s="97">
        <f t="shared" si="10"/>
        <v>3.6189181355973912E-6</v>
      </c>
      <c r="DJ13" s="97">
        <f t="shared" si="10"/>
        <v>1.2868939425240974E-6</v>
      </c>
      <c r="DK13" s="97">
        <f t="shared" si="10"/>
        <v>4.2073766840258349E-7</v>
      </c>
      <c r="DL13" s="97">
        <f t="shared" si="10"/>
        <v>1.2634483486035637E-7</v>
      </c>
    </row>
    <row r="14" spans="1:116" x14ac:dyDescent="0.25">
      <c r="A14" s="60">
        <v>4.8</v>
      </c>
      <c r="B14" s="25">
        <v>3</v>
      </c>
      <c r="C14" s="25">
        <v>1.4</v>
      </c>
      <c r="D14" s="57">
        <v>0.1</v>
      </c>
      <c r="E14" s="82" t="s">
        <v>5</v>
      </c>
      <c r="L14" s="97" cm="1">
        <f t="array" ref="L14">EstymacjaGaussowska($O14,$D$2:$D$51,H$9)</f>
        <v>0</v>
      </c>
      <c r="M14" s="97" cm="1">
        <f t="array" ref="M14">EstymacjaGaussowska($O14,$D$52:$D$101,I$9)</f>
        <v>3.0317157549935123E-22</v>
      </c>
      <c r="N14" s="97" cm="1">
        <f t="array" ref="N14">EstymacjaGaussowska($O14,$D$102:$D$151,J$9)</f>
        <v>5.143224828410474E-2</v>
      </c>
      <c r="O14" s="97">
        <v>2.73</v>
      </c>
      <c r="P14" s="97">
        <f t="shared" si="4"/>
        <v>7.6527481320371077E-62</v>
      </c>
      <c r="Q14" s="97">
        <f t="shared" si="4"/>
        <v>7.3442177650336524E-60</v>
      </c>
      <c r="R14" s="97">
        <f t="shared" si="4"/>
        <v>6.231159591679042E-58</v>
      </c>
      <c r="S14" s="97">
        <f t="shared" si="4"/>
        <v>4.6745314012263221E-56</v>
      </c>
      <c r="T14" s="97">
        <f t="shared" si="4"/>
        <v>3.1013427898151751E-54</v>
      </c>
      <c r="U14" s="97">
        <f t="shared" si="4"/>
        <v>1.8205088440731966E-52</v>
      </c>
      <c r="V14" s="97">
        <f t="shared" si="4"/>
        <v>9.4633608489316144E-51</v>
      </c>
      <c r="W14" s="97">
        <f t="shared" si="4"/>
        <v>4.3639731661621648E-49</v>
      </c>
      <c r="X14" s="97">
        <f t="shared" si="4"/>
        <v>1.7919066079059188E-47</v>
      </c>
      <c r="Y14" s="97">
        <f t="shared" si="4"/>
        <v>6.6026858313034834E-46</v>
      </c>
      <c r="Z14" s="97">
        <f t="shared" si="4"/>
        <v>2.2183358054722751E-44</v>
      </c>
      <c r="AA14" s="97">
        <f t="shared" si="4"/>
        <v>7.0062906597591655E-43</v>
      </c>
      <c r="AB14" s="97">
        <f t="shared" si="4"/>
        <v>2.1848499451181755E-41</v>
      </c>
      <c r="AC14" s="97">
        <f t="shared" si="4"/>
        <v>7.1038888460395547E-40</v>
      </c>
      <c r="AD14" s="97">
        <f t="shared" si="4"/>
        <v>2.4656444965129623E-38</v>
      </c>
      <c r="AE14" s="97">
        <f t="shared" si="4"/>
        <v>8.895217523761036E-37</v>
      </c>
      <c r="AF14" s="97">
        <f t="shared" si="11"/>
        <v>3.1756999339156349E-35</v>
      </c>
      <c r="AG14" s="97">
        <f t="shared" si="11"/>
        <v>1.0787197818992289E-33</v>
      </c>
      <c r="AH14" s="97">
        <f t="shared" si="11"/>
        <v>3.4100647605316173E-32</v>
      </c>
      <c r="AI14" s="97">
        <f t="shared" si="11"/>
        <v>9.9288647186630026E-31</v>
      </c>
      <c r="AJ14" s="97">
        <f t="shared" si="11"/>
        <v>2.6510047417126301E-29</v>
      </c>
      <c r="AK14" s="97">
        <f t="shared" si="11"/>
        <v>6.4794092115169772E-28</v>
      </c>
      <c r="AL14" s="97">
        <f t="shared" si="11"/>
        <v>1.4487245164602563E-26</v>
      </c>
      <c r="AM14" s="97">
        <f t="shared" si="11"/>
        <v>2.9624883322732492E-25</v>
      </c>
      <c r="AN14" s="97">
        <f t="shared" si="11"/>
        <v>5.5400186660172885E-24</v>
      </c>
      <c r="AO14" s="97">
        <f t="shared" si="11"/>
        <v>9.4740872553907346E-23</v>
      </c>
      <c r="AP14" s="97">
        <f t="shared" si="11"/>
        <v>1.4816017517138426E-21</v>
      </c>
      <c r="AQ14" s="97">
        <f t="shared" si="11"/>
        <v>2.1188142628756695E-20</v>
      </c>
      <c r="AR14" s="97">
        <f t="shared" si="11"/>
        <v>2.7709079456635955E-19</v>
      </c>
      <c r="AS14" s="97">
        <f t="shared" si="11"/>
        <v>3.3137539468298823E-18</v>
      </c>
      <c r="AT14" s="97">
        <f t="shared" si="11"/>
        <v>3.6240077124400344E-17</v>
      </c>
      <c r="AU14" s="97">
        <f t="shared" si="11"/>
        <v>3.6243586741347654E-16</v>
      </c>
      <c r="AV14" s="97">
        <f t="shared" si="12"/>
        <v>3.3147439601726446E-15</v>
      </c>
      <c r="AW14" s="97">
        <f t="shared" si="12"/>
        <v>2.7723663649316852E-14</v>
      </c>
      <c r="AX14" s="97">
        <f t="shared" si="12"/>
        <v>2.1205096428019135E-13</v>
      </c>
      <c r="AY14" s="97">
        <f t="shared" si="12"/>
        <v>1.4833003661176877E-12</v>
      </c>
      <c r="AZ14" s="97">
        <f t="shared" si="12"/>
        <v>9.4892472441528923E-12</v>
      </c>
      <c r="BA14" s="97">
        <f t="shared" si="12"/>
        <v>5.5522508047152358E-11</v>
      </c>
      <c r="BB14" s="97">
        <f t="shared" si="12"/>
        <v>2.9714670303950198E-10</v>
      </c>
      <c r="BC14" s="97">
        <f t="shared" si="12"/>
        <v>1.4547226134715415E-9</v>
      </c>
      <c r="BD14" s="97">
        <f t="shared" si="12"/>
        <v>6.5156640725505175E-9</v>
      </c>
      <c r="BE14" s="97">
        <f t="shared" si="12"/>
        <v>2.6705186151024373E-8</v>
      </c>
      <c r="BF14" s="97">
        <f t="shared" si="12"/>
        <v>1.0018900823742593E-7</v>
      </c>
      <c r="BG14" s="97">
        <f t="shared" si="12"/>
        <v>3.4420673669540188E-7</v>
      </c>
      <c r="BH14" s="97">
        <f t="shared" si="12"/>
        <v>1.08359131172551E-6</v>
      </c>
      <c r="BI14" s="97">
        <f t="shared" si="12"/>
        <v>3.1286270521376957E-6</v>
      </c>
      <c r="BJ14" s="97">
        <f t="shared" si="12"/>
        <v>8.2957860448930557E-6</v>
      </c>
      <c r="BK14" s="97">
        <f t="shared" si="12"/>
        <v>2.0239706306285215E-5</v>
      </c>
      <c r="BL14" s="97">
        <f t="shared" si="13"/>
        <v>4.5559193569838959E-5</v>
      </c>
      <c r="BM14" s="97">
        <f t="shared" si="13"/>
        <v>9.4980032338459928E-5</v>
      </c>
      <c r="BN14" s="97">
        <f t="shared" si="13"/>
        <v>1.8434629044345688E-4</v>
      </c>
      <c r="BO14" s="97">
        <f t="shared" si="13"/>
        <v>3.3537008100141866E-4</v>
      </c>
      <c r="BP14" s="97">
        <f t="shared" si="13"/>
        <v>5.7659057797327089E-4</v>
      </c>
      <c r="BQ14" s="97">
        <f t="shared" si="13"/>
        <v>9.452552387544975E-4</v>
      </c>
      <c r="BR14" s="97">
        <f t="shared" si="13"/>
        <v>1.4899530443356103E-3</v>
      </c>
      <c r="BS14" s="97">
        <f t="shared" si="13"/>
        <v>2.2714239124562953E-3</v>
      </c>
      <c r="BT14" s="97">
        <f t="shared" si="13"/>
        <v>3.3563610607205744E-3</v>
      </c>
      <c r="BU14" s="97">
        <f t="shared" si="13"/>
        <v>4.7992083035372354E-3</v>
      </c>
      <c r="BV14" s="97">
        <f t="shared" si="13"/>
        <v>6.612421462373624E-3</v>
      </c>
      <c r="BW14" s="97">
        <f t="shared" si="13"/>
        <v>8.7352726611981662E-3</v>
      </c>
      <c r="BX14" s="97">
        <f t="shared" si="13"/>
        <v>1.1019207412978379E-2</v>
      </c>
      <c r="BY14" s="97">
        <f t="shared" si="13"/>
        <v>1.3246560930223569E-2</v>
      </c>
      <c r="BZ14" s="97">
        <f t="shared" si="13"/>
        <v>1.5185754064225541E-2</v>
      </c>
      <c r="CA14" s="97">
        <f t="shared" si="13"/>
        <v>1.6664970717046403E-2</v>
      </c>
      <c r="CB14" s="97">
        <f t="shared" si="7"/>
        <v>1.7630204197334964E-2</v>
      </c>
      <c r="CC14" s="97">
        <f t="shared" si="10"/>
        <v>1.8155182232187778E-2</v>
      </c>
      <c r="CD14" s="97">
        <f t="shared" si="10"/>
        <v>1.8393403737499019E-2</v>
      </c>
      <c r="CE14" s="97">
        <f t="shared" si="10"/>
        <v>1.8495047720930195E-2</v>
      </c>
      <c r="CF14" s="97">
        <f t="shared" si="10"/>
        <v>1.8533067629231365E-2</v>
      </c>
      <c r="CG14" s="97">
        <f t="shared" si="10"/>
        <v>1.8477549725523391E-2</v>
      </c>
      <c r="CH14" s="97">
        <f t="shared" si="10"/>
        <v>1.8227707524882345E-2</v>
      </c>
      <c r="CI14" s="97">
        <f t="shared" si="10"/>
        <v>1.7676944308844894E-2</v>
      </c>
      <c r="CJ14" s="97">
        <f t="shared" si="10"/>
        <v>1.6771262118897571E-2</v>
      </c>
      <c r="CK14" s="97">
        <f t="shared" si="10"/>
        <v>1.5532923437271034E-2</v>
      </c>
      <c r="CL14" s="97">
        <f t="shared" si="10"/>
        <v>1.4047566264251129E-2</v>
      </c>
      <c r="CM14" s="97">
        <f t="shared" si="10"/>
        <v>1.2433258013259877E-2</v>
      </c>
      <c r="CN14" s="97">
        <f t="shared" si="10"/>
        <v>1.0812121490200751E-2</v>
      </c>
      <c r="CO14" s="97">
        <f t="shared" si="10"/>
        <v>9.2932385877531713E-3</v>
      </c>
      <c r="CP14" s="97">
        <f t="shared" si="10"/>
        <v>7.9630004024440499E-3</v>
      </c>
      <c r="CQ14" s="97">
        <f t="shared" si="10"/>
        <v>6.8759198077813855E-3</v>
      </c>
      <c r="CR14" s="97">
        <f t="shared" si="10"/>
        <v>6.0447017160069703E-3</v>
      </c>
      <c r="CS14" s="97">
        <f t="shared" si="10"/>
        <v>5.4353748311430465E-3</v>
      </c>
      <c r="CT14" s="97">
        <f t="shared" si="10"/>
        <v>4.9745691824272381E-3</v>
      </c>
      <c r="CU14" s="97">
        <f t="shared" si="10"/>
        <v>4.5705102529844067E-3</v>
      </c>
      <c r="CV14" s="97">
        <f t="shared" si="10"/>
        <v>4.1412807948716475E-3</v>
      </c>
      <c r="CW14" s="97">
        <f t="shared" si="10"/>
        <v>3.6390578335815894E-3</v>
      </c>
      <c r="CX14" s="97">
        <f t="shared" si="10"/>
        <v>3.0605312588251336E-3</v>
      </c>
      <c r="CY14" s="97">
        <f t="shared" si="10"/>
        <v>2.4404795531846263E-3</v>
      </c>
      <c r="CZ14" s="97">
        <f t="shared" si="10"/>
        <v>1.8332806723750734E-3</v>
      </c>
      <c r="DA14" s="97">
        <f t="shared" si="10"/>
        <v>1.2915735701458102E-3</v>
      </c>
      <c r="DB14" s="97">
        <f t="shared" si="10"/>
        <v>8.5058396249347904E-4</v>
      </c>
      <c r="DC14" s="97">
        <f t="shared" si="10"/>
        <v>5.2224582183171202E-4</v>
      </c>
      <c r="DD14" s="97">
        <f t="shared" si="10"/>
        <v>2.9825774969868775E-4</v>
      </c>
      <c r="DE14" s="97">
        <f t="shared" si="10"/>
        <v>1.5810628439858729E-4</v>
      </c>
      <c r="DF14" s="97">
        <f t="shared" si="10"/>
        <v>7.7640508592193542E-5</v>
      </c>
      <c r="DG14" s="97">
        <f t="shared" si="10"/>
        <v>3.5254078199909518E-5</v>
      </c>
      <c r="DH14" s="97">
        <f t="shared" si="10"/>
        <v>1.477672667588767E-5</v>
      </c>
      <c r="DI14" s="97">
        <f t="shared" si="10"/>
        <v>5.7086740395966589E-6</v>
      </c>
      <c r="DJ14" s="97">
        <f t="shared" si="10"/>
        <v>2.030014984074459E-6</v>
      </c>
      <c r="DK14" s="97">
        <f t="shared" si="10"/>
        <v>6.6369398673721893E-7</v>
      </c>
      <c r="DL14" s="97">
        <f t="shared" si="10"/>
        <v>1.993030656620204E-7</v>
      </c>
    </row>
    <row r="15" spans="1:116" x14ac:dyDescent="0.25">
      <c r="A15" s="60">
        <v>4.3</v>
      </c>
      <c r="B15" s="25">
        <v>3</v>
      </c>
      <c r="C15" s="25">
        <v>1.1000000000000001</v>
      </c>
      <c r="D15" s="57">
        <v>0.1</v>
      </c>
      <c r="E15" s="82" t="s">
        <v>5</v>
      </c>
      <c r="L15" s="97" cm="1">
        <f t="array" ref="L15">EstymacjaGaussowska($O15,$D$2:$D$51,H$9)</f>
        <v>0</v>
      </c>
      <c r="M15" s="97" cm="1">
        <f t="array" ref="M15">EstymacjaGaussowska($O15,$D$52:$D$101,I$9)</f>
        <v>6.0123664244948867E-21</v>
      </c>
      <c r="N15" s="97" cm="1">
        <f t="array" ref="N15">EstymacjaGaussowska($O15,$D$102:$D$151,J$9)</f>
        <v>7.7795672539148708E-2</v>
      </c>
      <c r="O15" s="97">
        <v>2.7</v>
      </c>
      <c r="P15" s="97">
        <f t="shared" si="4"/>
        <v>1.5170799646098009E-60</v>
      </c>
      <c r="Q15" s="97">
        <f t="shared" si="4"/>
        <v>1.4556255161292331E-58</v>
      </c>
      <c r="R15" s="97">
        <f t="shared" si="4"/>
        <v>1.234602713389545E-56</v>
      </c>
      <c r="S15" s="97">
        <f t="shared" si="4"/>
        <v>9.2564626305025548E-55</v>
      </c>
      <c r="T15" s="97">
        <f t="shared" si="4"/>
        <v>6.1349431045792889E-53</v>
      </c>
      <c r="U15" s="97">
        <f t="shared" si="4"/>
        <v>3.5944976846553806E-51</v>
      </c>
      <c r="V15" s="97">
        <f t="shared" si="4"/>
        <v>1.8619040955163875E-49</v>
      </c>
      <c r="W15" s="97">
        <f t="shared" si="4"/>
        <v>8.527630682636613E-48</v>
      </c>
      <c r="X15" s="97">
        <f t="shared" si="4"/>
        <v>3.4544605128273918E-46</v>
      </c>
      <c r="Y15" s="97">
        <f t="shared" si="4"/>
        <v>1.2384949409314901E-44</v>
      </c>
      <c r="Z15" s="97">
        <f t="shared" si="4"/>
        <v>3.9355068833969791E-43</v>
      </c>
      <c r="AA15" s="97">
        <f t="shared" si="4"/>
        <v>1.1120920291767205E-41</v>
      </c>
      <c r="AB15" s="97">
        <f t="shared" si="4"/>
        <v>2.8160682819467881E-40</v>
      </c>
      <c r="AC15" s="97">
        <f t="shared" si="4"/>
        <v>6.502569131071875E-39</v>
      </c>
      <c r="AD15" s="97">
        <f t="shared" si="4"/>
        <v>1.4207770916637923E-37</v>
      </c>
      <c r="AE15" s="97">
        <f t="shared" si="4"/>
        <v>3.1334837046569661E-36</v>
      </c>
      <c r="AF15" s="97">
        <f t="shared" si="11"/>
        <v>7.5005251877038895E-35</v>
      </c>
      <c r="AG15" s="97">
        <f t="shared" si="11"/>
        <v>1.9912649949639653E-33</v>
      </c>
      <c r="AH15" s="97">
        <f t="shared" si="11"/>
        <v>5.581868952247373E-32</v>
      </c>
      <c r="AI15" s="97">
        <f t="shared" si="11"/>
        <v>1.5459871907561831E-30</v>
      </c>
      <c r="AJ15" s="97">
        <f t="shared" si="11"/>
        <v>4.0505454186144698E-29</v>
      </c>
      <c r="AK15" s="97">
        <f t="shared" si="11"/>
        <v>9.8337771311781601E-28</v>
      </c>
      <c r="AL15" s="97">
        <f t="shared" si="11"/>
        <v>2.1937033643498926E-26</v>
      </c>
      <c r="AM15" s="97">
        <f t="shared" si="11"/>
        <v>4.4825337133371056E-25</v>
      </c>
      <c r="AN15" s="97">
        <f t="shared" si="11"/>
        <v>8.3806052759697831E-24</v>
      </c>
      <c r="AO15" s="97">
        <f t="shared" si="11"/>
        <v>1.4330791517751061E-22</v>
      </c>
      <c r="AP15" s="97">
        <f t="shared" si="11"/>
        <v>2.241067997056282E-21</v>
      </c>
      <c r="AQ15" s="97">
        <f t="shared" si="11"/>
        <v>3.2048949867307541E-20</v>
      </c>
      <c r="AR15" s="97">
        <f t="shared" si="11"/>
        <v>4.1912376632324958E-19</v>
      </c>
      <c r="AS15" s="97">
        <f t="shared" si="11"/>
        <v>5.0123369071689745E-18</v>
      </c>
      <c r="AT15" s="97">
        <f t="shared" si="11"/>
        <v>5.4816216935374403E-17</v>
      </c>
      <c r="AU15" s="97">
        <f t="shared" si="11"/>
        <v>5.4821523956823259E-16</v>
      </c>
      <c r="AV15" s="97">
        <f t="shared" si="12"/>
        <v>5.0138336322392817E-15</v>
      </c>
      <c r="AW15" s="97">
        <f t="shared" si="12"/>
        <v>4.1934411422124922E-14</v>
      </c>
      <c r="AX15" s="97">
        <f t="shared" si="12"/>
        <v>3.207452120209891E-13</v>
      </c>
      <c r="AY15" s="97">
        <f t="shared" si="12"/>
        <v>2.2436186130772344E-12</v>
      </c>
      <c r="AZ15" s="97">
        <f t="shared" si="12"/>
        <v>1.435329770488766E-11</v>
      </c>
      <c r="BA15" s="97">
        <f t="shared" si="12"/>
        <v>8.398254011247261E-11</v>
      </c>
      <c r="BB15" s="97">
        <f t="shared" si="12"/>
        <v>4.4945979180344147E-10</v>
      </c>
      <c r="BC15" s="97">
        <f t="shared" si="12"/>
        <v>2.2003923189940054E-9</v>
      </c>
      <c r="BD15" s="97">
        <f t="shared" si="12"/>
        <v>9.8554989422833419E-9</v>
      </c>
      <c r="BE15" s="97">
        <f t="shared" si="12"/>
        <v>4.0393877114335427E-8</v>
      </c>
      <c r="BF15" s="97">
        <f t="shared" si="12"/>
        <v>1.5154444024702914E-7</v>
      </c>
      <c r="BG15" s="97">
        <f t="shared" si="12"/>
        <v>5.2064211593099321E-7</v>
      </c>
      <c r="BH15" s="97">
        <f t="shared" si="12"/>
        <v>1.6390244966078436E-6</v>
      </c>
      <c r="BI15" s="97">
        <f t="shared" si="12"/>
        <v>4.7323158867322496E-6</v>
      </c>
      <c r="BJ15" s="97">
        <f t="shared" si="12"/>
        <v>1.2548085610381432E-5</v>
      </c>
      <c r="BK15" s="97">
        <f t="shared" si="12"/>
        <v>3.0614286106931273E-5</v>
      </c>
      <c r="BL15" s="97">
        <f t="shared" si="13"/>
        <v>6.8912175188776606E-5</v>
      </c>
      <c r="BM15" s="97">
        <f t="shared" si="13"/>
        <v>1.436654188777546E-4</v>
      </c>
      <c r="BN15" s="97">
        <f t="shared" si="13"/>
        <v>2.7883952429857506E-4</v>
      </c>
      <c r="BO15" s="97">
        <f t="shared" si="13"/>
        <v>5.0727591873671654E-4</v>
      </c>
      <c r="BP15" s="97">
        <f t="shared" si="13"/>
        <v>8.7214254265897994E-4</v>
      </c>
      <c r="BQ15" s="97">
        <f t="shared" si="13"/>
        <v>1.4297793597093525E-3</v>
      </c>
      <c r="BR15" s="97">
        <f t="shared" si="13"/>
        <v>2.2536813575708241E-3</v>
      </c>
      <c r="BS15" s="97">
        <f t="shared" si="13"/>
        <v>3.4357228545588122E-3</v>
      </c>
      <c r="BT15" s="97">
        <f t="shared" si="13"/>
        <v>5.0767830439888513E-3</v>
      </c>
      <c r="BU15" s="97">
        <f t="shared" si="13"/>
        <v>7.2592128496263546E-3</v>
      </c>
      <c r="BV15" s="97">
        <f t="shared" si="13"/>
        <v>1.0001852766304975E-2</v>
      </c>
      <c r="BW15" s="97">
        <f t="shared" si="13"/>
        <v>1.3212846689822273E-2</v>
      </c>
      <c r="BX15" s="97">
        <f t="shared" si="13"/>
        <v>1.6667493258426348E-2</v>
      </c>
      <c r="BY15" s="97">
        <f t="shared" si="13"/>
        <v>2.0036555872593266E-2</v>
      </c>
      <c r="BZ15" s="97">
        <f t="shared" si="13"/>
        <v>2.296975127190088E-2</v>
      </c>
      <c r="CA15" s="97">
        <f t="shared" si="13"/>
        <v>2.5207192919437651E-2</v>
      </c>
      <c r="CB15" s="97">
        <f t="shared" si="7"/>
        <v>2.6667191077432983E-2</v>
      </c>
      <c r="CC15" s="97">
        <f t="shared" si="10"/>
        <v>2.7461265236199198E-2</v>
      </c>
      <c r="CD15" s="97">
        <f t="shared" si="10"/>
        <v>2.7821595628847111E-2</v>
      </c>
      <c r="CE15" s="97">
        <f t="shared" si="10"/>
        <v>2.7975340843462398E-2</v>
      </c>
      <c r="CF15" s="97">
        <f t="shared" si="10"/>
        <v>2.8032849205139057E-2</v>
      </c>
      <c r="CG15" s="97">
        <f t="shared" si="10"/>
        <v>2.794887362948334E-2</v>
      </c>
      <c r="CH15" s="97">
        <f t="shared" si="10"/>
        <v>2.7570965941680823E-2</v>
      </c>
      <c r="CI15" s="97">
        <f t="shared" si="10"/>
        <v>2.6737889491964352E-2</v>
      </c>
      <c r="CJ15" s="97">
        <f t="shared" si="10"/>
        <v>2.5367967751726988E-2</v>
      </c>
      <c r="CK15" s="97">
        <f t="shared" si="10"/>
        <v>2.3494874628591001E-2</v>
      </c>
      <c r="CL15" s="97">
        <f t="shared" si="10"/>
        <v>2.1248144919292167E-2</v>
      </c>
      <c r="CM15" s="97">
        <f t="shared" si="10"/>
        <v>1.8806365680367199E-2</v>
      </c>
      <c r="CN15" s="97">
        <f t="shared" si="10"/>
        <v>1.6354258096181754E-2</v>
      </c>
      <c r="CO15" s="97">
        <f t="shared" si="10"/>
        <v>1.4056817854965582E-2</v>
      </c>
      <c r="CP15" s="97">
        <f t="shared" si="10"/>
        <v>1.2044718875902236E-2</v>
      </c>
      <c r="CQ15" s="97">
        <f t="shared" si="10"/>
        <v>1.0400416540548633E-2</v>
      </c>
      <c r="CR15" s="97">
        <f t="shared" si="10"/>
        <v>9.1431281148298717E-3</v>
      </c>
      <c r="CS15" s="97">
        <f t="shared" si="10"/>
        <v>8.2214691093295544E-3</v>
      </c>
      <c r="CT15" s="97">
        <f t="shared" si="10"/>
        <v>7.5244611707758731E-3</v>
      </c>
      <c r="CU15" s="97">
        <f t="shared" si="10"/>
        <v>6.9132874964730074E-3</v>
      </c>
      <c r="CV15" s="97">
        <f t="shared" si="10"/>
        <v>6.2640412456958193E-3</v>
      </c>
      <c r="CW15" s="97">
        <f t="shared" si="10"/>
        <v>5.5043860810539543E-3</v>
      </c>
      <c r="CX15" s="97">
        <f t="shared" si="10"/>
        <v>4.6293151777495375E-3</v>
      </c>
      <c r="CY15" s="97">
        <f t="shared" si="10"/>
        <v>3.6914339639458351E-3</v>
      </c>
      <c r="CZ15" s="97">
        <f t="shared" si="10"/>
        <v>2.772993746503573E-3</v>
      </c>
      <c r="DA15" s="97">
        <f t="shared" si="10"/>
        <v>1.9536154431408726E-3</v>
      </c>
      <c r="DB15" s="97">
        <f t="shared" si="10"/>
        <v>1.2865809607946845E-3</v>
      </c>
      <c r="DC15" s="97">
        <f t="shared" si="10"/>
        <v>7.8994145299136746E-4</v>
      </c>
      <c r="DD15" s="97">
        <f t="shared" si="10"/>
        <v>4.5114034486012315E-4</v>
      </c>
      <c r="DE15" s="97">
        <f t="shared" si="10"/>
        <v>2.3914927186364807E-4</v>
      </c>
      <c r="DF15" s="97">
        <f t="shared" si="10"/>
        <v>1.1743790683321065E-4</v>
      </c>
      <c r="DG15" s="97">
        <f t="shared" si="10"/>
        <v>5.3324807194114318E-5</v>
      </c>
      <c r="DH15" s="97">
        <f t="shared" si="10"/>
        <v>2.2351062378759293E-5</v>
      </c>
      <c r="DI15" s="97">
        <f t="shared" si="10"/>
        <v>8.6348575268185231E-6</v>
      </c>
      <c r="DJ15" s="97">
        <f t="shared" si="10"/>
        <v>3.0705712120197033E-6</v>
      </c>
      <c r="DK15" s="97">
        <f t="shared" si="10"/>
        <v>1.0038938949975466E-6</v>
      </c>
      <c r="DL15" s="97">
        <f t="shared" si="10"/>
        <v>3.0146292549071443E-7</v>
      </c>
    </row>
    <row r="16" spans="1:116" x14ac:dyDescent="0.25">
      <c r="A16" s="60">
        <v>5.8</v>
      </c>
      <c r="B16" s="25">
        <v>4</v>
      </c>
      <c r="C16" s="25">
        <v>1.2</v>
      </c>
      <c r="D16" s="57">
        <v>0.2</v>
      </c>
      <c r="E16" s="82" t="s">
        <v>5</v>
      </c>
      <c r="L16" s="97" cm="1">
        <f t="array" ref="L16">EstymacjaGaussowska($O16,$D$2:$D$51,H$9)</f>
        <v>0</v>
      </c>
      <c r="M16" s="97" cm="1">
        <f t="array" ref="M16">EstymacjaGaussowska($O16,$D$52:$D$101,I$9)</f>
        <v>1.0811046797597868E-19</v>
      </c>
      <c r="N16" s="97" cm="1">
        <f t="array" ref="N16">EstymacjaGaussowska($O16,$D$102:$D$151,J$9)</f>
        <v>0.11303609888203303</v>
      </c>
      <c r="O16" s="97">
        <v>2.67</v>
      </c>
      <c r="P16" s="97">
        <f t="shared" si="4"/>
        <v>2.7278355489097316E-59</v>
      </c>
      <c r="Q16" s="97">
        <f t="shared" si="4"/>
        <v>2.6172955691329632E-57</v>
      </c>
      <c r="R16" s="97">
        <f t="shared" si="4"/>
        <v>2.2198276946156987E-55</v>
      </c>
      <c r="S16" s="97">
        <f t="shared" si="4"/>
        <v>1.6642477804026398E-53</v>
      </c>
      <c r="T16" s="97">
        <f t="shared" si="4"/>
        <v>1.102934025180936E-51</v>
      </c>
      <c r="U16" s="97">
        <f t="shared" si="4"/>
        <v>6.4612283422076855E-50</v>
      </c>
      <c r="V16" s="97">
        <f t="shared" si="4"/>
        <v>3.3459313358257656E-48</v>
      </c>
      <c r="W16" s="97">
        <f t="shared" si="4"/>
        <v>1.5316525334896137E-46</v>
      </c>
      <c r="X16" s="97">
        <f t="shared" si="4"/>
        <v>6.1980523732190603E-45</v>
      </c>
      <c r="Y16" s="97">
        <f t="shared" si="4"/>
        <v>2.2173023324982504E-43</v>
      </c>
      <c r="Z16" s="97">
        <f t="shared" si="4"/>
        <v>7.0132764366032052E-42</v>
      </c>
      <c r="AA16" s="97">
        <f t="shared" si="4"/>
        <v>1.9618386694248382E-40</v>
      </c>
      <c r="AB16" s="97">
        <f t="shared" si="4"/>
        <v>4.8566637692425643E-39</v>
      </c>
      <c r="AC16" s="97">
        <f t="shared" si="4"/>
        <v>1.0657269955319257E-37</v>
      </c>
      <c r="AD16" s="97">
        <f t="shared" si="4"/>
        <v>2.0813248094422774E-36</v>
      </c>
      <c r="AE16" s="97">
        <f t="shared" si="4"/>
        <v>3.6545879836995359E-35</v>
      </c>
      <c r="AF16" s="97">
        <f t="shared" si="11"/>
        <v>5.9155988850756277E-34</v>
      </c>
      <c r="AG16" s="97">
        <f t="shared" si="11"/>
        <v>9.3278034584050477E-33</v>
      </c>
      <c r="AH16" s="97">
        <f t="shared" si="11"/>
        <v>1.5694452970081852E-31</v>
      </c>
      <c r="AI16" s="97">
        <f t="shared" si="11"/>
        <v>3.0364856888155339E-30</v>
      </c>
      <c r="AJ16" s="97">
        <f t="shared" si="11"/>
        <v>6.613175598806364E-29</v>
      </c>
      <c r="AK16" s="97">
        <f t="shared" si="11"/>
        <v>1.4880911655851541E-27</v>
      </c>
      <c r="AL16" s="97">
        <f t="shared" si="11"/>
        <v>3.2300738349399256E-26</v>
      </c>
      <c r="AM16" s="97">
        <f t="shared" si="11"/>
        <v>6.5402041356226349E-25</v>
      </c>
      <c r="AN16" s="97">
        <f t="shared" si="11"/>
        <v>1.2192180638790357E-23</v>
      </c>
      <c r="AO16" s="97">
        <f t="shared" si="11"/>
        <v>2.0830050678157735E-22</v>
      </c>
      <c r="AP16" s="97">
        <f t="shared" si="11"/>
        <v>3.2565769153957167E-21</v>
      </c>
      <c r="AQ16" s="97">
        <f t="shared" si="11"/>
        <v>4.6568008244494597E-20</v>
      </c>
      <c r="AR16" s="97">
        <f t="shared" si="11"/>
        <v>6.0898585886752106E-19</v>
      </c>
      <c r="AS16" s="97">
        <f t="shared" si="11"/>
        <v>7.2828739353355065E-18</v>
      </c>
      <c r="AT16" s="97">
        <f t="shared" si="11"/>
        <v>7.9647286309560495E-17</v>
      </c>
      <c r="AU16" s="97">
        <f t="shared" si="11"/>
        <v>7.9654969174824292E-16</v>
      </c>
      <c r="AV16" s="97">
        <f t="shared" si="12"/>
        <v>7.285035152583924E-15</v>
      </c>
      <c r="AW16" s="97">
        <f t="shared" si="12"/>
        <v>6.093015395489505E-14</v>
      </c>
      <c r="AX16" s="97">
        <f t="shared" si="12"/>
        <v>4.6603861588492577E-13</v>
      </c>
      <c r="AY16" s="97">
        <f t="shared" si="12"/>
        <v>3.2599486218620819E-12</v>
      </c>
      <c r="AZ16" s="97">
        <f t="shared" si="12"/>
        <v>2.0855154609702442E-11</v>
      </c>
      <c r="BA16" s="97">
        <f t="shared" si="12"/>
        <v>1.2202553688191337E-10</v>
      </c>
      <c r="BB16" s="97">
        <f t="shared" si="12"/>
        <v>6.5305922311344822E-10</v>
      </c>
      <c r="BC16" s="97">
        <f t="shared" si="12"/>
        <v>3.1971413785796299E-9</v>
      </c>
      <c r="BD16" s="97">
        <f t="shared" si="12"/>
        <v>1.4319911591630509E-8</v>
      </c>
      <c r="BE16" s="97">
        <f t="shared" si="12"/>
        <v>5.8691777301975324E-8</v>
      </c>
      <c r="BF16" s="97">
        <f t="shared" si="12"/>
        <v>2.2019209775666851E-7</v>
      </c>
      <c r="BG16" s="97">
        <f t="shared" si="12"/>
        <v>7.5648621289200557E-7</v>
      </c>
      <c r="BH16" s="97">
        <f t="shared" si="12"/>
        <v>2.3814812446721555E-6</v>
      </c>
      <c r="BI16" s="97">
        <f t="shared" si="12"/>
        <v>6.8759933432607938E-6</v>
      </c>
      <c r="BJ16" s="97">
        <f t="shared" si="12"/>
        <v>1.8232204948437528E-5</v>
      </c>
      <c r="BK16" s="97">
        <f t="shared" si="12"/>
        <v>4.448215895099455E-5</v>
      </c>
      <c r="BL16" s="97">
        <f t="shared" si="13"/>
        <v>1.0012849294277437E-4</v>
      </c>
      <c r="BM16" s="97">
        <f t="shared" si="13"/>
        <v>2.0874398233426816E-4</v>
      </c>
      <c r="BN16" s="97">
        <f t="shared" si="13"/>
        <v>4.0515019681810295E-4</v>
      </c>
      <c r="BO16" s="97">
        <f t="shared" si="13"/>
        <v>7.3706530246836661E-4</v>
      </c>
      <c r="BP16" s="97">
        <f t="shared" si="13"/>
        <v>1.2672117545049627E-3</v>
      </c>
      <c r="BQ16" s="97">
        <f t="shared" si="13"/>
        <v>2.0774507862537819E-3</v>
      </c>
      <c r="BR16" s="97">
        <f t="shared" si="13"/>
        <v>3.2745696575188672E-3</v>
      </c>
      <c r="BS16" s="97">
        <f t="shared" si="13"/>
        <v>4.9920605561156114E-3</v>
      </c>
      <c r="BT16" s="97">
        <f t="shared" si="13"/>
        <v>7.3764996359427576E-3</v>
      </c>
      <c r="BU16" s="97">
        <f t="shared" si="13"/>
        <v>1.0547541716580275E-2</v>
      </c>
      <c r="BV16" s="97">
        <f t="shared" si="13"/>
        <v>1.4532561791617056E-2</v>
      </c>
      <c r="BW16" s="97">
        <f t="shared" si="13"/>
        <v>1.9198094138106626E-2</v>
      </c>
      <c r="BX16" s="97">
        <f t="shared" si="13"/>
        <v>2.4217650604241643E-2</v>
      </c>
      <c r="BY16" s="97">
        <f t="shared" si="13"/>
        <v>2.9112854699342071E-2</v>
      </c>
      <c r="BZ16" s="97">
        <f t="shared" si="13"/>
        <v>3.3374749408583287E-2</v>
      </c>
      <c r="CA16" s="97">
        <f t="shared" si="13"/>
        <v>3.6625722978950885E-2</v>
      </c>
      <c r="CB16" s="97">
        <f t="shared" si="7"/>
        <v>3.87470812855032E-2</v>
      </c>
      <c r="CC16" s="97">
        <f t="shared" si="10"/>
        <v>3.9900860695081489E-2</v>
      </c>
      <c r="CD16" s="97">
        <f t="shared" si="10"/>
        <v>4.0424416062162537E-2</v>
      </c>
      <c r="CE16" s="97">
        <f t="shared" si="10"/>
        <v>4.0647805856410382E-2</v>
      </c>
      <c r="CF16" s="97">
        <f t="shared" si="10"/>
        <v>4.0731364756858929E-2</v>
      </c>
      <c r="CG16" s="97">
        <f t="shared" si="10"/>
        <v>4.0609349339244045E-2</v>
      </c>
      <c r="CH16" s="97">
        <f t="shared" si="10"/>
        <v>4.0060254391254109E-2</v>
      </c>
      <c r="CI16" s="97">
        <f t="shared" si="10"/>
        <v>3.8849805160944335E-2</v>
      </c>
      <c r="CJ16" s="97">
        <f t="shared" si="10"/>
        <v>3.6859326716115762E-2</v>
      </c>
      <c r="CK16" s="97">
        <f t="shared" si="10"/>
        <v>3.413774680592848E-2</v>
      </c>
      <c r="CL16" s="97">
        <f t="shared" si="10"/>
        <v>3.0873277802801028E-2</v>
      </c>
      <c r="CM16" s="97">
        <f t="shared" si="10"/>
        <v>2.7325404373718921E-2</v>
      </c>
      <c r="CN16" s="97">
        <f t="shared" si="10"/>
        <v>2.3762523993503856E-2</v>
      </c>
      <c r="CO16" s="97">
        <f t="shared" si="10"/>
        <v>2.042437324802391E-2</v>
      </c>
      <c r="CP16" s="97">
        <f t="shared" si="10"/>
        <v>1.7500819639776757E-2</v>
      </c>
      <c r="CQ16" s="97">
        <f t="shared" si="10"/>
        <v>1.5111669764152819E-2</v>
      </c>
      <c r="CR16" s="97">
        <f t="shared" si="10"/>
        <v>1.3284846058229282E-2</v>
      </c>
      <c r="CS16" s="97">
        <f t="shared" si="10"/>
        <v>1.1945687528186063E-2</v>
      </c>
      <c r="CT16" s="97">
        <f t="shared" si="10"/>
        <v>1.0932944072253235E-2</v>
      </c>
      <c r="CU16" s="97">
        <f t="shared" si="10"/>
        <v>1.004491668425387E-2</v>
      </c>
      <c r="CV16" s="97">
        <f t="shared" si="10"/>
        <v>9.1015703385466766E-3</v>
      </c>
      <c r="CW16" s="97">
        <f t="shared" si="10"/>
        <v>7.9978012791109623E-3</v>
      </c>
      <c r="CX16" s="97">
        <f t="shared" si="10"/>
        <v>6.7263346547311578E-3</v>
      </c>
      <c r="CY16" s="97">
        <f t="shared" si="10"/>
        <v>5.3636054673233706E-3</v>
      </c>
      <c r="CZ16" s="97">
        <f t="shared" si="10"/>
        <v>4.0291237944026018E-3</v>
      </c>
      <c r="DA16" s="97">
        <f t="shared" si="10"/>
        <v>2.8385777923214403E-3</v>
      </c>
      <c r="DB16" s="97">
        <f t="shared" si="10"/>
        <v>1.8693853778427715E-3</v>
      </c>
      <c r="DC16" s="97">
        <f t="shared" si="10"/>
        <v>1.1477746419174559E-3</v>
      </c>
      <c r="DD16" s="97">
        <f t="shared" si="10"/>
        <v>6.5550104481224643E-4</v>
      </c>
      <c r="DE16" s="97">
        <f t="shared" si="10"/>
        <v>3.4748077701034208E-4</v>
      </c>
      <c r="DF16" s="97">
        <f t="shared" si="10"/>
        <v>1.7063574895657098E-4</v>
      </c>
      <c r="DG16" s="97">
        <f t="shared" si="10"/>
        <v>7.7480250277751645E-5</v>
      </c>
      <c r="DH16" s="97">
        <f t="shared" si="10"/>
        <v>3.2475802505499753E-5</v>
      </c>
      <c r="DI16" s="97">
        <f t="shared" si="10"/>
        <v>1.254633551426081E-5</v>
      </c>
      <c r="DJ16" s="97">
        <f t="shared" si="10"/>
        <v>4.4614999757412123E-6</v>
      </c>
      <c r="DK16" s="97">
        <f t="shared" si="10"/>
        <v>1.4586447533429049E-6</v>
      </c>
      <c r="DL16" s="97">
        <f t="shared" si="10"/>
        <v>4.380217040721304E-7</v>
      </c>
    </row>
    <row r="17" spans="1:116" x14ac:dyDescent="0.25">
      <c r="A17" s="60">
        <v>5.7</v>
      </c>
      <c r="B17" s="25">
        <v>4.4000000000000004</v>
      </c>
      <c r="C17" s="25">
        <v>1.5</v>
      </c>
      <c r="D17" s="57">
        <v>0.4</v>
      </c>
      <c r="E17" s="82" t="s">
        <v>5</v>
      </c>
      <c r="L17" s="97" cm="1">
        <f t="array" ref="L17">EstymacjaGaussowska($O17,$D$2:$D$51,H$9)</f>
        <v>0</v>
      </c>
      <c r="M17" s="97" cm="1">
        <f t="array" ref="M17">EstymacjaGaussowska($O17,$D$52:$D$101,I$9)</f>
        <v>1.7626090009769846E-18</v>
      </c>
      <c r="N17" s="97" cm="1">
        <f t="array" ref="N17">EstymacjaGaussowska($O17,$D$102:$D$151,J$9)</f>
        <v>0.15809094650921221</v>
      </c>
      <c r="O17" s="97">
        <v>2.64</v>
      </c>
      <c r="P17" s="97">
        <f t="shared" si="4"/>
        <v>4.4473919829485054E-58</v>
      </c>
      <c r="Q17" s="97">
        <f t="shared" si="4"/>
        <v>4.2671652675723299E-56</v>
      </c>
      <c r="R17" s="97">
        <f t="shared" si="4"/>
        <v>3.6191373802993248E-54</v>
      </c>
      <c r="S17" s="97">
        <f t="shared" si="4"/>
        <v>2.7133277376917819E-52</v>
      </c>
      <c r="T17" s="97">
        <f t="shared" si="4"/>
        <v>1.7981713542864115E-50</v>
      </c>
      <c r="U17" s="97">
        <f t="shared" si="4"/>
        <v>1.0533959302417543E-48</v>
      </c>
      <c r="V17" s="97">
        <f t="shared" si="4"/>
        <v>5.4548667970844271E-47</v>
      </c>
      <c r="W17" s="97">
        <f t="shared" si="4"/>
        <v>2.4969454275246939E-45</v>
      </c>
      <c r="X17" s="97">
        <f t="shared" si="4"/>
        <v>1.0103393226268156E-43</v>
      </c>
      <c r="Y17" s="97">
        <f t="shared" si="4"/>
        <v>3.6137721455856627E-42</v>
      </c>
      <c r="Z17" s="97">
        <f t="shared" si="4"/>
        <v>1.1425996059405851E-40</v>
      </c>
      <c r="AA17" s="97">
        <f t="shared" si="4"/>
        <v>3.1935782287026814E-39</v>
      </c>
      <c r="AB17" s="97">
        <f t="shared" si="4"/>
        <v>7.8910724027313726E-38</v>
      </c>
      <c r="AC17" s="97">
        <f t="shared" si="4"/>
        <v>1.7239730240608669E-36</v>
      </c>
      <c r="AD17" s="97">
        <f t="shared" si="4"/>
        <v>3.331313046691525E-35</v>
      </c>
      <c r="AE17" s="97">
        <f t="shared" si="4"/>
        <v>5.6989414209604721E-34</v>
      </c>
      <c r="AF17" s="97">
        <f t="shared" si="11"/>
        <v>8.6525887945178669E-33</v>
      </c>
      <c r="AG17" s="97">
        <f t="shared" si="11"/>
        <v>1.1738464020321446E-31</v>
      </c>
      <c r="AH17" s="97">
        <f t="shared" si="11"/>
        <v>1.4492945093225402E-30</v>
      </c>
      <c r="AI17" s="97">
        <f t="shared" si="11"/>
        <v>1.7060049230120918E-29</v>
      </c>
      <c r="AJ17" s="97">
        <f t="shared" si="11"/>
        <v>2.1050509745970961E-28</v>
      </c>
      <c r="AK17" s="97">
        <f t="shared" si="11"/>
        <v>3.0420939786180762E-27</v>
      </c>
      <c r="AL17" s="97">
        <f t="shared" si="11"/>
        <v>5.2091564040772819E-26</v>
      </c>
      <c r="AM17" s="97">
        <f t="shared" si="11"/>
        <v>9.5871569690732876E-25</v>
      </c>
      <c r="AN17" s="97">
        <f t="shared" si="11"/>
        <v>1.7299455019418389E-23</v>
      </c>
      <c r="AO17" s="97">
        <f t="shared" si="11"/>
        <v>2.9255855055454033E-22</v>
      </c>
      <c r="AP17" s="97">
        <f t="shared" si="11"/>
        <v>4.5600307690369089E-21</v>
      </c>
      <c r="AQ17" s="97">
        <f t="shared" si="11"/>
        <v>6.5150568762111199E-20</v>
      </c>
      <c r="AR17" s="97">
        <f t="shared" si="11"/>
        <v>8.5179313229693656E-19</v>
      </c>
      <c r="AS17" s="97">
        <f t="shared" si="11"/>
        <v>1.0185963160443998E-17</v>
      </c>
      <c r="AT17" s="97">
        <f t="shared" si="11"/>
        <v>1.1139435112485728E-16</v>
      </c>
      <c r="AU17" s="97">
        <f t="shared" si="11"/>
        <v>1.1140463953490069E-15</v>
      </c>
      <c r="AV17" s="97">
        <f t="shared" si="12"/>
        <v>1.0188766826628087E-14</v>
      </c>
      <c r="AW17" s="97">
        <f t="shared" si="12"/>
        <v>8.5216196265176406E-14</v>
      </c>
      <c r="AX17" s="97">
        <f t="shared" si="12"/>
        <v>6.5179608817653839E-13</v>
      </c>
      <c r="AY17" s="97">
        <f t="shared" si="12"/>
        <v>4.5593254736405892E-12</v>
      </c>
      <c r="AZ17" s="97">
        <f t="shared" si="12"/>
        <v>2.9167771775601637E-11</v>
      </c>
      <c r="BA17" s="97">
        <f t="shared" si="12"/>
        <v>1.7066346785279235E-10</v>
      </c>
      <c r="BB17" s="97">
        <f t="shared" si="12"/>
        <v>9.1336087970744476E-10</v>
      </c>
      <c r="BC17" s="97">
        <f t="shared" si="12"/>
        <v>4.4714839920059011E-9</v>
      </c>
      <c r="BD17" s="97">
        <f t="shared" si="12"/>
        <v>2.0027658419277189E-8</v>
      </c>
      <c r="BE17" s="97">
        <f t="shared" si="12"/>
        <v>8.2085623245632812E-8</v>
      </c>
      <c r="BF17" s="97">
        <f t="shared" si="12"/>
        <v>3.0795805492668946E-7</v>
      </c>
      <c r="BG17" s="97">
        <f t="shared" si="12"/>
        <v>1.0580126402105398E-6</v>
      </c>
      <c r="BH17" s="97">
        <f t="shared" si="12"/>
        <v>3.3307114080174197E-6</v>
      </c>
      <c r="BI17" s="97">
        <f t="shared" si="12"/>
        <v>9.6166826932129851E-6</v>
      </c>
      <c r="BJ17" s="97">
        <f t="shared" si="12"/>
        <v>2.5499345481274364E-5</v>
      </c>
      <c r="BK17" s="97">
        <f t="shared" si="12"/>
        <v>6.2212219643876471E-5</v>
      </c>
      <c r="BL17" s="97">
        <f t="shared" si="13"/>
        <v>1.4003852201573345E-4</v>
      </c>
      <c r="BM17" s="97">
        <f t="shared" si="13"/>
        <v>2.9194685655037372E-4</v>
      </c>
      <c r="BN17" s="97">
        <f t="shared" si="13"/>
        <v>5.6663825739609213E-4</v>
      </c>
      <c r="BO17" s="97">
        <f t="shared" si="13"/>
        <v>1.0308507853577756E-3</v>
      </c>
      <c r="BP17" s="97">
        <f t="shared" si="13"/>
        <v>1.7723073219853666E-3</v>
      </c>
      <c r="BQ17" s="97">
        <f t="shared" si="13"/>
        <v>2.9054980167700262E-3</v>
      </c>
      <c r="BR17" s="97">
        <f t="shared" si="13"/>
        <v>4.5797742640407892E-3</v>
      </c>
      <c r="BS17" s="97">
        <f t="shared" si="13"/>
        <v>6.9818366535388627E-3</v>
      </c>
      <c r="BT17" s="97">
        <f t="shared" si="13"/>
        <v>1.0316684854703611E-2</v>
      </c>
      <c r="BU17" s="97">
        <f t="shared" si="13"/>
        <v>1.4751666678268735E-2</v>
      </c>
      <c r="BV17" s="97">
        <f t="shared" si="13"/>
        <v>2.0325068465411569E-2</v>
      </c>
      <c r="BW17" s="97">
        <f t="shared" si="13"/>
        <v>2.6850226639842507E-2</v>
      </c>
      <c r="BX17" s="97">
        <f t="shared" si="13"/>
        <v>3.3870518746843513E-2</v>
      </c>
      <c r="BY17" s="97">
        <f t="shared" si="13"/>
        <v>4.0716893103391716E-2</v>
      </c>
      <c r="BZ17" s="97">
        <f t="shared" si="13"/>
        <v>4.6677528468291429E-2</v>
      </c>
      <c r="CA17" s="97">
        <f t="shared" si="13"/>
        <v>5.122430152485468E-2</v>
      </c>
      <c r="CB17" s="97">
        <f t="shared" si="7"/>
        <v>5.4191208078468424E-2</v>
      </c>
      <c r="CC17" s="97">
        <f t="shared" si="10"/>
        <v>5.5804870268928747E-2</v>
      </c>
      <c r="CD17" s="97">
        <f t="shared" si="10"/>
        <v>5.6537108592353211E-2</v>
      </c>
      <c r="CE17" s="97">
        <f t="shared" si="10"/>
        <v>5.6849538907645637E-2</v>
      </c>
      <c r="CF17" s="97">
        <f t="shared" si="10"/>
        <v>5.6966403394228517E-2</v>
      </c>
      <c r="CG17" s="97">
        <f t="shared" si="10"/>
        <v>5.6795754079096143E-2</v>
      </c>
      <c r="CH17" s="97">
        <f t="shared" si="10"/>
        <v>5.6027796400887966E-2</v>
      </c>
      <c r="CI17" s="97">
        <f t="shared" si="10"/>
        <v>5.4334876471647239E-2</v>
      </c>
      <c r="CJ17" s="97">
        <f t="shared" si="10"/>
        <v>5.1551016939503112E-2</v>
      </c>
      <c r="CK17" s="97">
        <f t="shared" si="10"/>
        <v>4.7744647573810563E-2</v>
      </c>
      <c r="CL17" s="97">
        <f t="shared" si="10"/>
        <v>4.3178999965138229E-2</v>
      </c>
      <c r="CM17" s="97">
        <f t="shared" si="10"/>
        <v>3.8216986289455489E-2</v>
      </c>
      <c r="CN17" s="97">
        <f t="shared" si="10"/>
        <v>3.3233984070004066E-2</v>
      </c>
      <c r="CO17" s="97">
        <f t="shared" si="10"/>
        <v>2.8565286050850826E-2</v>
      </c>
      <c r="CP17" s="97">
        <f t="shared" si="10"/>
        <v>2.4476438667851843E-2</v>
      </c>
      <c r="CQ17" s="97">
        <f t="shared" si="10"/>
        <v>2.1135002003588206E-2</v>
      </c>
      <c r="CR17" s="97">
        <f t="shared" si="10"/>
        <v>1.8580028047203521E-2</v>
      </c>
      <c r="CS17" s="97">
        <f t="shared" si="10"/>
        <v>1.6707096818734977E-2</v>
      </c>
      <c r="CT17" s="97">
        <f t="shared" si="10"/>
        <v>1.5290685839384734E-2</v>
      </c>
      <c r="CU17" s="97">
        <f t="shared" si="10"/>
        <v>1.4048701272654097E-2</v>
      </c>
      <c r="CV17" s="97">
        <f t="shared" si="10"/>
        <v>1.2729348268137399E-2</v>
      </c>
      <c r="CW17" s="97">
        <f t="shared" si="10"/>
        <v>1.1185629959919043E-2</v>
      </c>
      <c r="CX17" s="97">
        <f t="shared" si="10"/>
        <v>9.4073718274188048E-3</v>
      </c>
      <c r="CY17" s="97">
        <f t="shared" si="10"/>
        <v>7.5014749572706275E-3</v>
      </c>
      <c r="CZ17" s="97">
        <f t="shared" si="10"/>
        <v>5.6350847256737844E-3</v>
      </c>
      <c r="DA17" s="97">
        <f t="shared" si="10"/>
        <v>3.970001215244128E-3</v>
      </c>
      <c r="DB17" s="97">
        <f t="shared" si="10"/>
        <v>2.6145002056561571E-3</v>
      </c>
      <c r="DC17" s="97">
        <f t="shared" si="10"/>
        <v>1.6052639936678182E-3</v>
      </c>
      <c r="DD17" s="97">
        <f t="shared" si="10"/>
        <v>9.1677598251417765E-4</v>
      </c>
      <c r="DE17" s="97">
        <f t="shared" si="10"/>
        <v>4.8598249120974501E-4</v>
      </c>
      <c r="DF17" s="97">
        <f t="shared" si="10"/>
        <v>2.386491335746233E-4</v>
      </c>
      <c r="DG17" s="97">
        <f t="shared" si="10"/>
        <v>1.0836295858868643E-4</v>
      </c>
      <c r="DH17" s="97">
        <f t="shared" si="10"/>
        <v>4.5420271997344788E-5</v>
      </c>
      <c r="DI17" s="97">
        <f t="shared" si="10"/>
        <v>1.7547155964234223E-5</v>
      </c>
      <c r="DJ17" s="97">
        <f t="shared" si="10"/>
        <v>6.2398009219324344E-6</v>
      </c>
      <c r="DK17" s="97">
        <f t="shared" si="10"/>
        <v>2.0400432424453529E-6</v>
      </c>
      <c r="DL17" s="97">
        <f t="shared" si="10"/>
        <v>6.1261195735894179E-7</v>
      </c>
    </row>
    <row r="18" spans="1:116" x14ac:dyDescent="0.25">
      <c r="A18" s="60">
        <v>5.4</v>
      </c>
      <c r="B18" s="25">
        <v>3.9</v>
      </c>
      <c r="C18" s="25">
        <v>1.3</v>
      </c>
      <c r="D18" s="57">
        <v>0.4</v>
      </c>
      <c r="E18" s="82" t="s">
        <v>5</v>
      </c>
      <c r="L18" s="97" cm="1">
        <f t="array" ref="L18">EstymacjaGaussowska($O18,$D$2:$D$51,H$9)</f>
        <v>0</v>
      </c>
      <c r="M18" s="97" cm="1">
        <f t="array" ref="M18">EstymacjaGaussowska($O18,$D$52:$D$101,I$9)</f>
        <v>2.6056192782162024E-17</v>
      </c>
      <c r="N18" s="97" cm="1">
        <f t="array" ref="N18">EstymacjaGaussowska($O18,$D$102:$D$151,J$9)</f>
        <v>0.21330597533892592</v>
      </c>
      <c r="O18" s="97">
        <v>2.61</v>
      </c>
      <c r="P18" s="97">
        <f t="shared" si="4"/>
        <v>6.5744631844984161E-57</v>
      </c>
      <c r="Q18" s="97">
        <f t="shared" si="4"/>
        <v>6.3080380903708727E-55</v>
      </c>
      <c r="R18" s="97">
        <f t="shared" si="4"/>
        <v>5.3500745879265853E-53</v>
      </c>
      <c r="S18" s="97">
        <f t="shared" si="4"/>
        <v>4.0110390616212945E-51</v>
      </c>
      <c r="T18" s="97">
        <f t="shared" si="4"/>
        <v>2.6581866901491313E-49</v>
      </c>
      <c r="U18" s="97">
        <f t="shared" si="4"/>
        <v>1.5572043728154886E-47</v>
      </c>
      <c r="V18" s="97">
        <f t="shared" si="4"/>
        <v>8.0637550166904947E-46</v>
      </c>
      <c r="W18" s="97">
        <f t="shared" si="4"/>
        <v>3.6911412330402756E-44</v>
      </c>
      <c r="X18" s="97">
        <f t="shared" si="4"/>
        <v>1.4935361245874707E-42</v>
      </c>
      <c r="Y18" s="97">
        <f t="shared" si="4"/>
        <v>5.3419859980844123E-41</v>
      </c>
      <c r="Z18" s="97">
        <f t="shared" si="4"/>
        <v>1.6889708907535789E-39</v>
      </c>
      <c r="AA18" s="97">
        <f t="shared" si="4"/>
        <v>4.7203588732465246E-38</v>
      </c>
      <c r="AB18" s="97">
        <f t="shared" si="4"/>
        <v>1.1661749174607784E-36</v>
      </c>
      <c r="AC18" s="97">
        <f t="shared" si="4"/>
        <v>2.546794910376856E-35</v>
      </c>
      <c r="AD18" s="97">
        <f t="shared" si="4"/>
        <v>4.916774706455008E-34</v>
      </c>
      <c r="AE18" s="97">
        <f t="shared" si="4"/>
        <v>8.391898218014779E-33</v>
      </c>
      <c r="AF18" s="97">
        <f t="shared" si="11"/>
        <v>1.2665848027829107E-31</v>
      </c>
      <c r="AG18" s="97">
        <f t="shared" si="11"/>
        <v>1.691535437706418E-30</v>
      </c>
      <c r="AH18" s="97">
        <f t="shared" si="11"/>
        <v>2.0026034674209535E-29</v>
      </c>
      <c r="AI18" s="97">
        <f t="shared" si="11"/>
        <v>2.1129612270214708E-28</v>
      </c>
      <c r="AJ18" s="97">
        <f t="shared" si="11"/>
        <v>2.0181211664252757E-27</v>
      </c>
      <c r="AK18" s="97">
        <f t="shared" si="11"/>
        <v>1.8223539241418984E-26</v>
      </c>
      <c r="AL18" s="97">
        <f t="shared" si="11"/>
        <v>1.719106304935096E-25</v>
      </c>
      <c r="AM18" s="97">
        <f t="shared" si="11"/>
        <v>1.9402471338426667E-24</v>
      </c>
      <c r="AN18" s="97">
        <f t="shared" si="11"/>
        <v>2.6979944024843085E-23</v>
      </c>
      <c r="AO18" s="97">
        <f t="shared" si="11"/>
        <v>4.1283989346378782E-22</v>
      </c>
      <c r="AP18" s="97">
        <f t="shared" si="11"/>
        <v>6.2323276097281476E-21</v>
      </c>
      <c r="AQ18" s="97">
        <f t="shared" si="11"/>
        <v>8.8215249634304552E-20</v>
      </c>
      <c r="AR18" s="97">
        <f t="shared" si="11"/>
        <v>1.1503601911370453E-18</v>
      </c>
      <c r="AS18" s="97">
        <f t="shared" si="11"/>
        <v>1.3746788089353341E-17</v>
      </c>
      <c r="AT18" s="97">
        <f t="shared" si="11"/>
        <v>1.5030891319763138E-16</v>
      </c>
      <c r="AU18" s="97">
        <f t="shared" si="11"/>
        <v>1.5031608341613277E-15</v>
      </c>
      <c r="AV18" s="97">
        <f t="shared" si="12"/>
        <v>1.3747353183595812E-14</v>
      </c>
      <c r="AW18" s="97">
        <f t="shared" si="12"/>
        <v>1.1497899271065269E-13</v>
      </c>
      <c r="AX18" s="97">
        <f t="shared" si="12"/>
        <v>8.7944330531899866E-13</v>
      </c>
      <c r="AY18" s="97">
        <f t="shared" si="12"/>
        <v>6.1517210630510668E-12</v>
      </c>
      <c r="AZ18" s="97">
        <f t="shared" si="12"/>
        <v>3.9354942208814115E-11</v>
      </c>
      <c r="BA18" s="97">
        <f t="shared" si="12"/>
        <v>2.3026959068200039E-10</v>
      </c>
      <c r="BB18" s="97">
        <f t="shared" si="12"/>
        <v>1.2323623691767662E-9</v>
      </c>
      <c r="BC18" s="97">
        <f t="shared" si="12"/>
        <v>6.0331997202816556E-9</v>
      </c>
      <c r="BD18" s="97">
        <f t="shared" si="12"/>
        <v>2.702254181767454E-8</v>
      </c>
      <c r="BE18" s="97">
        <f t="shared" si="12"/>
        <v>1.1075494400236213E-7</v>
      </c>
      <c r="BF18" s="97">
        <f t="shared" si="12"/>
        <v>4.1551584527970888E-7</v>
      </c>
      <c r="BG18" s="97">
        <f t="shared" si="12"/>
        <v>1.4275353720406373E-6</v>
      </c>
      <c r="BH18" s="97">
        <f t="shared" si="12"/>
        <v>4.4939995689034976E-6</v>
      </c>
      <c r="BI18" s="97">
        <f t="shared" si="12"/>
        <v>1.2975416535200407E-5</v>
      </c>
      <c r="BJ18" s="97">
        <f t="shared" si="12"/>
        <v>3.4405276699832568E-5</v>
      </c>
      <c r="BK18" s="97">
        <f t="shared" si="12"/>
        <v>8.3940532219938164E-5</v>
      </c>
      <c r="BL18" s="97">
        <f t="shared" si="13"/>
        <v>1.8894853995859667E-4</v>
      </c>
      <c r="BM18" s="97">
        <f t="shared" si="13"/>
        <v>3.9391255703553413E-4</v>
      </c>
      <c r="BN18" s="97">
        <f t="shared" si="13"/>
        <v>7.6454299773061579E-4</v>
      </c>
      <c r="BO18" s="97">
        <f t="shared" si="13"/>
        <v>1.3908869360006377E-3</v>
      </c>
      <c r="BP18" s="97">
        <f t="shared" si="13"/>
        <v>2.391305449577912E-3</v>
      </c>
      <c r="BQ18" s="97">
        <f t="shared" si="13"/>
        <v>3.9202756514354342E-3</v>
      </c>
      <c r="BR18" s="97">
        <f t="shared" si="13"/>
        <v>6.1793115785185584E-3</v>
      </c>
      <c r="BS18" s="97">
        <f t="shared" si="13"/>
        <v>9.4203210868459737E-3</v>
      </c>
      <c r="BT18" s="97">
        <f t="shared" si="13"/>
        <v>1.3919902270106574E-2</v>
      </c>
      <c r="BU18" s="97">
        <f t="shared" si="13"/>
        <v>1.9903851031086644E-2</v>
      </c>
      <c r="BV18" s="97">
        <f t="shared" si="13"/>
        <v>2.7423825643250403E-2</v>
      </c>
      <c r="BW18" s="97">
        <f t="shared" si="13"/>
        <v>3.6227968191392151E-2</v>
      </c>
      <c r="BX18" s="97">
        <f t="shared" si="13"/>
        <v>4.570017572834148E-2</v>
      </c>
      <c r="BY18" s="97">
        <f t="shared" si="13"/>
        <v>5.4937722797957056E-2</v>
      </c>
      <c r="BZ18" s="97">
        <f t="shared" si="13"/>
        <v>6.2980176640027891E-2</v>
      </c>
      <c r="CA18" s="97">
        <f t="shared" si="13"/>
        <v>6.9114960970757783E-2</v>
      </c>
      <c r="CB18" s="97">
        <f t="shared" si="7"/>
        <v>7.3118092776418467E-2</v>
      </c>
      <c r="CC18" s="97">
        <f t="shared" si="10"/>
        <v>7.5295344510334997E-2</v>
      </c>
      <c r="CD18" s="97">
        <f t="shared" si="10"/>
        <v>7.6283325246787187E-2</v>
      </c>
      <c r="CE18" s="97">
        <f t="shared" si="10"/>
        <v>7.6704875339315831E-2</v>
      </c>
      <c r="CF18" s="97">
        <f t="shared" si="10"/>
        <v>7.6862556053129458E-2</v>
      </c>
      <c r="CG18" s="97">
        <f t="shared" si="10"/>
        <v>7.663230555865784E-2</v>
      </c>
      <c r="CH18" s="97">
        <f t="shared" si="10"/>
        <v>7.5596130083804405E-2</v>
      </c>
      <c r="CI18" s="97">
        <f t="shared" si="10"/>
        <v>7.3311938960586881E-2</v>
      </c>
      <c r="CJ18" s="97">
        <f t="shared" si="10"/>
        <v>6.9555785393146718E-2</v>
      </c>
      <c r="CK18" s="97">
        <f t="shared" si="10"/>
        <v>6.4419999012097093E-2</v>
      </c>
      <c r="CL18" s="97">
        <f t="shared" si="10"/>
        <v>5.8259747981118944E-2</v>
      </c>
      <c r="CM18" s="97">
        <f t="shared" si="10"/>
        <v>5.1564695607105103E-2</v>
      </c>
      <c r="CN18" s="97">
        <f t="shared" si="10"/>
        <v>4.484132420598453E-2</v>
      </c>
      <c r="CO18" s="97">
        <f t="shared" si="10"/>
        <v>3.8542031257666573E-2</v>
      </c>
      <c r="CP18" s="97">
        <f t="shared" si="10"/>
        <v>3.3025108256691367E-2</v>
      </c>
      <c r="CQ18" s="97">
        <f t="shared" si="10"/>
        <v>2.8516637516006235E-2</v>
      </c>
      <c r="CR18" s="97">
        <f t="shared" si="10"/>
        <v>2.5069310368145605E-2</v>
      </c>
      <c r="CS18" s="97">
        <f t="shared" si="10"/>
        <v>2.2542236988849117E-2</v>
      </c>
      <c r="CT18" s="97">
        <f t="shared" si="10"/>
        <v>2.0631128654676031E-2</v>
      </c>
      <c r="CU18" s="97">
        <f t="shared" si="10"/>
        <v>1.8955367105946648E-2</v>
      </c>
      <c r="CV18" s="97">
        <f t="shared" si="10"/>
        <v>1.7175215328385007E-2</v>
      </c>
      <c r="CW18" s="97">
        <f t="shared" si="10"/>
        <v>1.5092336158805959E-2</v>
      </c>
      <c r="CX18" s="97">
        <f t="shared" si="10"/>
        <v>1.269300151167462E-2</v>
      </c>
      <c r="CY18" s="97">
        <f t="shared" si="10"/>
        <v>1.0121448872139543E-2</v>
      </c>
      <c r="CZ18" s="97">
        <f t="shared" si="10"/>
        <v>7.6032010059303946E-3</v>
      </c>
      <c r="DA18" s="97">
        <f t="shared" si="10"/>
        <v>5.3565684817063449E-3</v>
      </c>
      <c r="DB18" s="97">
        <f t="shared" si="10"/>
        <v>3.5276436045552527E-3</v>
      </c>
      <c r="DC18" s="97">
        <f t="shared" si="10"/>
        <v>2.1659203730924619E-3</v>
      </c>
      <c r="DD18" s="97">
        <f t="shared" si="10"/>
        <v>1.2369702341309817E-3</v>
      </c>
      <c r="DE18" s="97">
        <f t="shared" si="10"/>
        <v>6.5571730433719086E-4</v>
      </c>
      <c r="DF18" s="97">
        <f t="shared" si="10"/>
        <v>3.2200000901353516E-4</v>
      </c>
      <c r="DG18" s="97">
        <f t="shared" si="10"/>
        <v>1.4620993221154812E-4</v>
      </c>
      <c r="DH18" s="97">
        <f t="shared" si="10"/>
        <v>6.1283809303958948E-5</v>
      </c>
      <c r="DI18" s="97">
        <f t="shared" si="10"/>
        <v>2.3675696173766197E-5</v>
      </c>
      <c r="DJ18" s="97">
        <f t="shared" si="10"/>
        <v>8.4191210879743102E-6</v>
      </c>
      <c r="DK18" s="97">
        <f t="shared" si="10"/>
        <v>2.7525511306748605E-6</v>
      </c>
      <c r="DL18" s="97">
        <f t="shared" si="10"/>
        <v>8.2657352589841698E-7</v>
      </c>
    </row>
    <row r="19" spans="1:116" x14ac:dyDescent="0.25">
      <c r="A19" s="60">
        <v>5.0999999999999996</v>
      </c>
      <c r="B19" s="25">
        <v>3.5</v>
      </c>
      <c r="C19" s="25">
        <v>1.4</v>
      </c>
      <c r="D19" s="57">
        <v>0.3</v>
      </c>
      <c r="E19" s="82" t="s">
        <v>5</v>
      </c>
      <c r="L19" s="97" cm="1">
        <f t="array" ref="L19">EstymacjaGaussowska($O19,$D$2:$D$51,H$9)</f>
        <v>0</v>
      </c>
      <c r="M19" s="97" cm="1">
        <f t="array" ref="M19">EstymacjaGaussowska($O19,$D$52:$D$101,I$9)</f>
        <v>3.4924789276999755E-16</v>
      </c>
      <c r="N19" s="97" cm="1">
        <f t="array" ref="N19">EstymacjaGaussowska($O19,$D$102:$D$151,J$9)</f>
        <v>0.27831898176969266</v>
      </c>
      <c r="O19" s="97">
        <v>2.58</v>
      </c>
      <c r="P19" s="97">
        <f t="shared" si="4"/>
        <v>8.8121752517930356E-56</v>
      </c>
      <c r="Q19" s="97">
        <f t="shared" si="4"/>
        <v>8.4550685070965291E-54</v>
      </c>
      <c r="R19" s="97">
        <f t="shared" si="4"/>
        <v>7.1710483979974423E-52</v>
      </c>
      <c r="S19" s="97">
        <f t="shared" si="4"/>
        <v>5.3762529808226386E-50</v>
      </c>
      <c r="T19" s="97">
        <f t="shared" si="4"/>
        <v>3.5629379826413472E-48</v>
      </c>
      <c r="U19" s="97">
        <f t="shared" si="4"/>
        <v>2.0872206357957582E-46</v>
      </c>
      <c r="V19" s="97">
        <f t="shared" si="4"/>
        <v>1.0808364877495255E-44</v>
      </c>
      <c r="W19" s="97">
        <f t="shared" si="4"/>
        <v>4.9474702742433676E-43</v>
      </c>
      <c r="X19" s="97">
        <f t="shared" si="4"/>
        <v>2.0018797099775856E-41</v>
      </c>
      <c r="Y19" s="97">
        <f t="shared" si="4"/>
        <v>7.1601876258078952E-40</v>
      </c>
      <c r="Z19" s="97">
        <f t="shared" si="4"/>
        <v>2.2638234959837863E-38</v>
      </c>
      <c r="AA19" s="97">
        <f t="shared" si="4"/>
        <v>6.3269243038685003E-37</v>
      </c>
      <c r="AB19" s="97">
        <f t="shared" si="4"/>
        <v>1.5630576199804748E-35</v>
      </c>
      <c r="AC19" s="97">
        <f t="shared" si="4"/>
        <v>3.4134250709056203E-34</v>
      </c>
      <c r="AD19" s="97">
        <f t="shared" si="4"/>
        <v>6.5893188436749463E-33</v>
      </c>
      <c r="AE19" s="97">
        <f t="shared" si="4"/>
        <v>1.1244226684391865E-31</v>
      </c>
      <c r="AF19" s="97">
        <f t="shared" si="11"/>
        <v>1.6961653655185324E-30</v>
      </c>
      <c r="AG19" s="97">
        <f t="shared" si="11"/>
        <v>2.2619593475719581E-29</v>
      </c>
      <c r="AH19" s="97">
        <f t="shared" si="11"/>
        <v>2.6672232305715773E-28</v>
      </c>
      <c r="AI19" s="97">
        <f t="shared" si="11"/>
        <v>2.7824377744947322E-27</v>
      </c>
      <c r="AJ19" s="97">
        <f t="shared" si="11"/>
        <v>2.5721072367669994E-26</v>
      </c>
      <c r="AK19" s="97">
        <f t="shared" si="11"/>
        <v>2.1175861364460057E-25</v>
      </c>
      <c r="AL19" s="97">
        <f t="shared" si="11"/>
        <v>1.577355555639822E-24</v>
      </c>
      <c r="AM19" s="97">
        <f t="shared" si="11"/>
        <v>1.114167403154499E-23</v>
      </c>
      <c r="AN19" s="97">
        <f t="shared" si="11"/>
        <v>8.3645807050286523E-23</v>
      </c>
      <c r="AO19" s="97">
        <f t="shared" si="11"/>
        <v>7.7967959900895227E-22</v>
      </c>
      <c r="AP19" s="97">
        <f t="shared" si="11"/>
        <v>9.1923975945948153E-21</v>
      </c>
      <c r="AQ19" s="97">
        <f t="shared" si="11"/>
        <v>1.1923107864941734E-19</v>
      </c>
      <c r="AR19" s="97">
        <f t="shared" si="11"/>
        <v>1.5152056467288481E-18</v>
      </c>
      <c r="AS19" s="97">
        <f t="shared" si="11"/>
        <v>1.7980088795005619E-17</v>
      </c>
      <c r="AT19" s="97">
        <f t="shared" si="11"/>
        <v>1.9623890546886748E-16</v>
      </c>
      <c r="AU19" s="97">
        <f t="shared" si="11"/>
        <v>1.9615890327777593E-15</v>
      </c>
      <c r="AV19" s="97">
        <f t="shared" si="12"/>
        <v>1.7937984338387607E-14</v>
      </c>
      <c r="AW19" s="97">
        <f t="shared" si="12"/>
        <v>1.5002433156022459E-13</v>
      </c>
      <c r="AX19" s="97">
        <f t="shared" si="12"/>
        <v>1.1474887195058929E-12</v>
      </c>
      <c r="AY19" s="97">
        <f t="shared" si="12"/>
        <v>8.0266923177643585E-12</v>
      </c>
      <c r="AZ19" s="97">
        <f t="shared" si="12"/>
        <v>5.1349843536314017E-11</v>
      </c>
      <c r="BA19" s="97">
        <f t="shared" si="12"/>
        <v>3.0045290251752205E-10</v>
      </c>
      <c r="BB19" s="97">
        <f t="shared" si="12"/>
        <v>1.6079710897325906E-9</v>
      </c>
      <c r="BC19" s="97">
        <f t="shared" si="12"/>
        <v>7.8720439155600548E-9</v>
      </c>
      <c r="BD19" s="97">
        <f t="shared" si="12"/>
        <v>3.5258676248929127E-8</v>
      </c>
      <c r="BE19" s="97">
        <f t="shared" si="12"/>
        <v>1.4451167247058767E-7</v>
      </c>
      <c r="BF19" s="97">
        <f t="shared" si="12"/>
        <v>5.4215990333967556E-7</v>
      </c>
      <c r="BG19" s="97">
        <f t="shared" si="12"/>
        <v>1.8626303860452534E-6</v>
      </c>
      <c r="BH19" s="97">
        <f t="shared" si="12"/>
        <v>5.8637147042352222E-6</v>
      </c>
      <c r="BI19" s="97">
        <f t="shared" si="12"/>
        <v>1.6930162000304233E-5</v>
      </c>
      <c r="BJ19" s="97">
        <f t="shared" si="12"/>
        <v>4.4891576822423459E-5</v>
      </c>
      <c r="BK19" s="97">
        <f t="shared" si="12"/>
        <v>1.0952456169850553E-4</v>
      </c>
      <c r="BL19" s="97">
        <f t="shared" si="13"/>
        <v>2.4653770324342347E-4</v>
      </c>
      <c r="BM19" s="97">
        <f t="shared" si="13"/>
        <v>5.1397220169870713E-4</v>
      </c>
      <c r="BN19" s="97">
        <f t="shared" si="13"/>
        <v>9.9756618777062335E-4</v>
      </c>
      <c r="BO19" s="97">
        <f t="shared" si="13"/>
        <v>1.8148119628125421E-3</v>
      </c>
      <c r="BP19" s="97">
        <f t="shared" si="13"/>
        <v>3.1201455879018816E-3</v>
      </c>
      <c r="BQ19" s="97">
        <f t="shared" si="13"/>
        <v>5.1151268773900783E-3</v>
      </c>
      <c r="BR19" s="97">
        <f t="shared" si="13"/>
        <v>8.0626888385959203E-3</v>
      </c>
      <c r="BS19" s="97">
        <f t="shared" si="13"/>
        <v>1.2291517706752655E-2</v>
      </c>
      <c r="BT19" s="97">
        <f t="shared" si="13"/>
        <v>1.8162515231905554E-2</v>
      </c>
      <c r="BU19" s="97">
        <f t="shared" si="13"/>
        <v>2.5970297097705271E-2</v>
      </c>
      <c r="BV19" s="97">
        <f t="shared" si="13"/>
        <v>3.5782266376417814E-2</v>
      </c>
      <c r="BW19" s="97">
        <f t="shared" si="13"/>
        <v>4.7269801994961148E-2</v>
      </c>
      <c r="BX19" s="97">
        <f t="shared" si="13"/>
        <v>5.9629020496018523E-2</v>
      </c>
      <c r="BY19" s="97">
        <f t="shared" si="13"/>
        <v>7.1682056939934014E-2</v>
      </c>
      <c r="BZ19" s="97">
        <f t="shared" si="13"/>
        <v>8.217575061493923E-2</v>
      </c>
      <c r="CA19" s="97">
        <f t="shared" si="13"/>
        <v>9.0180340854816216E-2</v>
      </c>
      <c r="CB19" s="97">
        <f t="shared" si="7"/>
        <v>9.5403577410993631E-2</v>
      </c>
      <c r="CC19" s="97">
        <f t="shared" si="10"/>
        <v>9.8244428374859527E-2</v>
      </c>
      <c r="CD19" s="97">
        <f t="shared" si="10"/>
        <v>9.9533533343159328E-2</v>
      </c>
      <c r="CE19" s="97">
        <f t="shared" si="10"/>
        <v>0.1000835666571866</v>
      </c>
      <c r="CF19" s="97">
        <f t="shared" si="10"/>
        <v>0.10028930649004217</v>
      </c>
      <c r="CG19" s="97">
        <f t="shared" si="10"/>
        <v>9.9988878510603327E-2</v>
      </c>
      <c r="CH19" s="97">
        <f t="shared" si="10"/>
        <v>9.863688964747977E-2</v>
      </c>
      <c r="CI19" s="97">
        <f t="shared" si="10"/>
        <v>9.5656505499444794E-2</v>
      </c>
      <c r="CJ19" s="97">
        <f t="shared" si="10"/>
        <v>9.0755523074552688E-2</v>
      </c>
      <c r="CK19" s="97">
        <f t="shared" si="10"/>
        <v>8.4054412925672867E-2</v>
      </c>
      <c r="CL19" s="97">
        <f t="shared" si="10"/>
        <v>7.6016594052276024E-2</v>
      </c>
      <c r="CM19" s="97">
        <f t="shared" si="10"/>
        <v>6.728097304274E-2</v>
      </c>
      <c r="CN19" s="97">
        <f t="shared" si="10"/>
        <v>5.8508401719099871E-2</v>
      </c>
      <c r="CO19" s="97">
        <f t="shared" si="10"/>
        <v>5.0289162682503982E-2</v>
      </c>
      <c r="CP19" s="97">
        <f t="shared" si="10"/>
        <v>4.3090750215654484E-2</v>
      </c>
      <c r="CQ19" s="97">
        <f t="shared" si="10"/>
        <v>3.720815370661542E-2</v>
      </c>
      <c r="CR19" s="97">
        <f t="shared" si="10"/>
        <v>3.2710124150269936E-2</v>
      </c>
      <c r="CS19" s="97">
        <f t="shared" si="10"/>
        <v>2.9412830257468495E-2</v>
      </c>
      <c r="CT19" s="97">
        <f t="shared" si="10"/>
        <v>2.6919239889109221E-2</v>
      </c>
      <c r="CU19" s="97">
        <f t="shared" si="10"/>
        <v>2.4732727077219636E-2</v>
      </c>
      <c r="CV19" s="97">
        <f t="shared" si="10"/>
        <v>2.2410007194013204E-2</v>
      </c>
      <c r="CW19" s="97">
        <f t="shared" si="10"/>
        <v>1.9692292377513389E-2</v>
      </c>
      <c r="CX19" s="97">
        <f t="shared" si="10"/>
        <v>1.6561670392577006E-2</v>
      </c>
      <c r="CY19" s="97">
        <f t="shared" si="10"/>
        <v>1.3206340514614797E-2</v>
      </c>
      <c r="CZ19" s="97">
        <f t="shared" si="10"/>
        <v>9.9205620414454625E-3</v>
      </c>
      <c r="DA19" s="97">
        <f t="shared" si="10"/>
        <v>6.9891838859146961E-3</v>
      </c>
      <c r="DB19" s="97">
        <f t="shared" si="10"/>
        <v>4.6028254694045461E-3</v>
      </c>
      <c r="DC19" s="97">
        <f t="shared" si="10"/>
        <v>2.8260659452952496E-3</v>
      </c>
      <c r="DD19" s="97">
        <f t="shared" si="10"/>
        <v>1.6139833658936765E-3</v>
      </c>
      <c r="DE19" s="97">
        <f t="shared" si="10"/>
        <v>8.5557177749905587E-4</v>
      </c>
      <c r="DF19" s="97">
        <f t="shared" si="10"/>
        <v>4.2014160407875161E-4</v>
      </c>
      <c r="DG19" s="97">
        <f t="shared" si="10"/>
        <v>1.9077289978902833E-4</v>
      </c>
      <c r="DH19" s="97">
        <f t="shared" si="10"/>
        <v>7.9962351628193052E-5</v>
      </c>
      <c r="DI19" s="97">
        <f t="shared" si="10"/>
        <v>3.089175369466889E-5</v>
      </c>
      <c r="DJ19" s="97">
        <f t="shared" si="10"/>
        <v>1.0985164409377657E-5</v>
      </c>
      <c r="DK19" s="97">
        <f t="shared" si="10"/>
        <v>3.5914944564548313E-6</v>
      </c>
      <c r="DL19" s="97">
        <f t="shared" si="10"/>
        <v>1.0785028488784692E-6</v>
      </c>
    </row>
    <row r="20" spans="1:116" x14ac:dyDescent="0.25">
      <c r="A20" s="60">
        <v>5.7</v>
      </c>
      <c r="B20" s="25">
        <v>3.8</v>
      </c>
      <c r="C20" s="25">
        <v>1.7</v>
      </c>
      <c r="D20" s="57">
        <v>0.3</v>
      </c>
      <c r="E20" s="82" t="s">
        <v>5</v>
      </c>
      <c r="L20" s="97" cm="1">
        <f t="array" ref="L20">EstymacjaGaussowska($O20,$D$2:$D$51,H$9)</f>
        <v>0</v>
      </c>
      <c r="M20" s="97" cm="1">
        <f t="array" ref="M20">EstymacjaGaussowska($O20,$D$52:$D$101,I$9)</f>
        <v>4.2444951840444302E-15</v>
      </c>
      <c r="N20" s="97" cm="1">
        <f t="array" ref="N20">EstymacjaGaussowska($O20,$D$102:$D$151,J$9)</f>
        <v>0.35202673347799396</v>
      </c>
      <c r="O20" s="97">
        <v>2.5499999999999998</v>
      </c>
      <c r="P20" s="97">
        <f t="shared" si="4"/>
        <v>1.0709652406323634E-54</v>
      </c>
      <c r="Q20" s="97">
        <f t="shared" si="4"/>
        <v>1.0275651824060076E-52</v>
      </c>
      <c r="R20" s="97">
        <f t="shared" si="4"/>
        <v>8.7151507260622751E-51</v>
      </c>
      <c r="S20" s="97">
        <f t="shared" si="4"/>
        <v>6.5338918865276018E-49</v>
      </c>
      <c r="T20" s="97">
        <f t="shared" si="4"/>
        <v>4.3301257494380109E-47</v>
      </c>
      <c r="U20" s="97">
        <f t="shared" si="4"/>
        <v>2.5366503111282085E-45</v>
      </c>
      <c r="V20" s="97">
        <f t="shared" si="4"/>
        <v>1.3135670093916584E-43</v>
      </c>
      <c r="W20" s="97">
        <f t="shared" si="4"/>
        <v>6.0127813975294121E-42</v>
      </c>
      <c r="X20" s="97">
        <f t="shared" si="4"/>
        <v>2.43293312570605E-40</v>
      </c>
      <c r="Y20" s="97">
        <f t="shared" si="4"/>
        <v>8.7019491189616847E-39</v>
      </c>
      <c r="Z20" s="97">
        <f t="shared" si="4"/>
        <v>2.7512786519771963E-37</v>
      </c>
      <c r="AA20" s="97">
        <f t="shared" si="4"/>
        <v>7.6892571541551023E-36</v>
      </c>
      <c r="AB20" s="97">
        <f t="shared" si="4"/>
        <v>1.8996173316523634E-34</v>
      </c>
      <c r="AC20" s="97">
        <f t="shared" si="4"/>
        <v>4.1483946973650219E-33</v>
      </c>
      <c r="AD20" s="97">
        <f t="shared" si="4"/>
        <v>8.0080490100590269E-32</v>
      </c>
      <c r="AE20" s="97">
        <f t="shared" si="4"/>
        <v>1.3664917492808763E-30</v>
      </c>
      <c r="AF20" s="97">
        <f t="shared" si="11"/>
        <v>2.0612128723057012E-29</v>
      </c>
      <c r="AG20" s="97">
        <f t="shared" si="11"/>
        <v>2.7483905698952527E-28</v>
      </c>
      <c r="AH20" s="97">
        <f t="shared" si="11"/>
        <v>3.2395461021966847E-27</v>
      </c>
      <c r="AI20" s="97">
        <f t="shared" si="11"/>
        <v>3.3757287727031782E-26</v>
      </c>
      <c r="AJ20" s="97">
        <f t="shared" si="11"/>
        <v>3.1103379577446779E-25</v>
      </c>
      <c r="AK20" s="97">
        <f t="shared" si="11"/>
        <v>2.535387465763705E-24</v>
      </c>
      <c r="AL20" s="97">
        <f t="shared" si="11"/>
        <v>1.8316458587644729E-23</v>
      </c>
      <c r="AM20" s="97">
        <f t="shared" si="11"/>
        <v>1.1795263175183983E-22</v>
      </c>
      <c r="AN20" s="97">
        <f t="shared" si="11"/>
        <v>6.9014593733429503E-22</v>
      </c>
      <c r="AO20" s="97">
        <f t="shared" si="11"/>
        <v>3.893400778448306E-21</v>
      </c>
      <c r="AP20" s="97">
        <f t="shared" si="11"/>
        <v>2.4419702101387442E-20</v>
      </c>
      <c r="AQ20" s="97">
        <f t="shared" si="11"/>
        <v>2.0061302669406034E-19</v>
      </c>
      <c r="AR20" s="97">
        <f t="shared" si="11"/>
        <v>2.0881319951391595E-18</v>
      </c>
      <c r="AS20" s="97">
        <f t="shared" si="11"/>
        <v>2.3265922525608327E-17</v>
      </c>
      <c r="AT20" s="97">
        <f t="shared" si="11"/>
        <v>2.4962908392680719E-16</v>
      </c>
      <c r="AU20" s="97">
        <f t="shared" si="11"/>
        <v>2.4845000164518974E-15</v>
      </c>
      <c r="AV20" s="97">
        <f t="shared" si="12"/>
        <v>2.2695881506693176E-14</v>
      </c>
      <c r="AW20" s="97">
        <f t="shared" si="12"/>
        <v>1.8976971268175685E-13</v>
      </c>
      <c r="AX20" s="97">
        <f t="shared" si="12"/>
        <v>1.4514049794954747E-12</v>
      </c>
      <c r="AY20" s="97">
        <f t="shared" si="12"/>
        <v>1.0152455783005596E-11</v>
      </c>
      <c r="AZ20" s="97">
        <f t="shared" si="12"/>
        <v>6.4948978896340961E-11</v>
      </c>
      <c r="BA20" s="97">
        <f t="shared" si="12"/>
        <v>3.8002250245018209E-10</v>
      </c>
      <c r="BB20" s="97">
        <f t="shared" si="12"/>
        <v>2.0338132734956693E-9</v>
      </c>
      <c r="BC20" s="97">
        <f t="shared" si="12"/>
        <v>9.9568125927782377E-9</v>
      </c>
      <c r="BD20" s="97">
        <f t="shared" si="12"/>
        <v>4.4596299517903145E-8</v>
      </c>
      <c r="BE20" s="97">
        <f t="shared" si="12"/>
        <v>1.827829770750868E-7</v>
      </c>
      <c r="BF20" s="97">
        <f t="shared" si="12"/>
        <v>6.8574115443538071E-7</v>
      </c>
      <c r="BG20" s="97">
        <f t="shared" si="12"/>
        <v>2.3559143770274652E-6</v>
      </c>
      <c r="BH20" s="97">
        <f t="shared" si="12"/>
        <v>7.4166135573622855E-6</v>
      </c>
      <c r="BI20" s="97">
        <f t="shared" si="12"/>
        <v>2.1413809393896615E-5</v>
      </c>
      <c r="BJ20" s="97">
        <f t="shared" si="12"/>
        <v>5.6780299529364956E-5</v>
      </c>
      <c r="BK20" s="97">
        <f t="shared" si="12"/>
        <v>1.3853016220926408E-4</v>
      </c>
      <c r="BL20" s="97">
        <f t="shared" si="13"/>
        <v>3.1182875778098981E-4</v>
      </c>
      <c r="BM20" s="97">
        <f t="shared" si="13"/>
        <v>6.5008844927579447E-4</v>
      </c>
      <c r="BN20" s="97">
        <f t="shared" si="13"/>
        <v>1.2617535616014531E-3</v>
      </c>
      <c r="BO20" s="97">
        <f t="shared" si="13"/>
        <v>2.2954321084523487E-3</v>
      </c>
      <c r="BP20" s="97">
        <f t="shared" si="13"/>
        <v>3.9464597502516675E-3</v>
      </c>
      <c r="BQ20" s="97">
        <f t="shared" si="13"/>
        <v>6.4697757749897751E-3</v>
      </c>
      <c r="BR20" s="97">
        <f t="shared" si="13"/>
        <v>1.0197946244461804E-2</v>
      </c>
      <c r="BS20" s="97">
        <f t="shared" si="13"/>
        <v>1.5546704002301417E-2</v>
      </c>
      <c r="BT20" s="97">
        <f t="shared" si="13"/>
        <v>2.2972529103757074E-2</v>
      </c>
      <c r="BU20" s="97">
        <f t="shared" si="13"/>
        <v>3.2848060871118134E-2</v>
      </c>
      <c r="BV20" s="97">
        <f t="shared" si="13"/>
        <v>4.5258552862030246E-2</v>
      </c>
      <c r="BW20" s="97">
        <f t="shared" si="13"/>
        <v>5.9788354652028926E-2</v>
      </c>
      <c r="BX20" s="97">
        <f t="shared" si="13"/>
        <v>7.5420688780314243E-2</v>
      </c>
      <c r="BY20" s="97">
        <f t="shared" si="13"/>
        <v>9.0665754067861898E-2</v>
      </c>
      <c r="BZ20" s="97">
        <f t="shared" si="13"/>
        <v>0.10393851283926164</v>
      </c>
      <c r="CA20" s="97">
        <f t="shared" si="13"/>
        <v>0.11406297412126444</v>
      </c>
      <c r="CB20" s="97">
        <f t="shared" si="7"/>
        <v>0.12066949046938576</v>
      </c>
      <c r="CC20" s="97">
        <f t="shared" si="10"/>
        <v>0.12426268946267269</v>
      </c>
      <c r="CD20" s="97">
        <f t="shared" si="10"/>
        <v>0.12589319058126447</v>
      </c>
      <c r="CE20" s="97">
        <f t="shared" ref="CE20:CT36" si="14">$H$2*$L20*CE$1+$I$2*$M20*CE$2+$J$2*$N20*CE$3</f>
        <v>0.12658889027666403</v>
      </c>
      <c r="CF20" s="97">
        <f t="shared" si="14"/>
        <v>0.12684911658550552</v>
      </c>
      <c r="CG20" s="97">
        <f t="shared" si="14"/>
        <v>0.12646912568594565</v>
      </c>
      <c r="CH20" s="97">
        <f t="shared" si="14"/>
        <v>0.12475908700961184</v>
      </c>
      <c r="CI20" s="97">
        <f t="shared" si="14"/>
        <v>0.12098940199038978</v>
      </c>
      <c r="CJ20" s="97">
        <f t="shared" si="14"/>
        <v>0.11479048295548372</v>
      </c>
      <c r="CK20" s="97">
        <f t="shared" si="14"/>
        <v>0.10631470490618619</v>
      </c>
      <c r="CL20" s="97">
        <f t="shared" si="14"/>
        <v>9.6148214987682973E-2</v>
      </c>
      <c r="CM20" s="97">
        <f t="shared" si="14"/>
        <v>8.5099122650052234E-2</v>
      </c>
      <c r="CN20" s="97">
        <f t="shared" si="14"/>
        <v>7.4003294375503542E-2</v>
      </c>
      <c r="CO20" s="97">
        <f t="shared" si="14"/>
        <v>6.3607338442746034E-2</v>
      </c>
      <c r="CP20" s="97">
        <f t="shared" si="14"/>
        <v>5.4502556545300056E-2</v>
      </c>
      <c r="CQ20" s="97">
        <f t="shared" si="14"/>
        <v>4.7062060678727528E-2</v>
      </c>
      <c r="CR20" s="97">
        <f t="shared" si="14"/>
        <v>4.1372809296232729E-2</v>
      </c>
      <c r="CS20" s="97">
        <f t="shared" si="14"/>
        <v>3.7202286714483945E-2</v>
      </c>
      <c r="CT20" s="97">
        <f t="shared" si="14"/>
        <v>3.4048314008690975E-2</v>
      </c>
      <c r="CU20" s="97">
        <f t="shared" ref="CU20:DJ35" si="15">$H$2*$L20*CU$1+$I$2*$M20*CU$2+$J$2*$N20*CU$3</f>
        <v>3.1282742799774277E-2</v>
      </c>
      <c r="CV20" s="97">
        <f t="shared" si="15"/>
        <v>2.8344892538644199E-2</v>
      </c>
      <c r="CW20" s="97">
        <f t="shared" si="15"/>
        <v>2.4907440075668294E-2</v>
      </c>
      <c r="CX20" s="97">
        <f t="shared" si="15"/>
        <v>2.0947729443989215E-2</v>
      </c>
      <c r="CY20" s="97">
        <f t="shared" si="15"/>
        <v>1.6703801095409813E-2</v>
      </c>
      <c r="CZ20" s="97">
        <f t="shared" si="15"/>
        <v>1.2547843584041585E-2</v>
      </c>
      <c r="DA20" s="97">
        <f t="shared" si="15"/>
        <v>8.8401429086555523E-3</v>
      </c>
      <c r="DB20" s="97">
        <f t="shared" si="15"/>
        <v>5.8218005989422597E-3</v>
      </c>
      <c r="DC20" s="97">
        <f t="shared" si="15"/>
        <v>3.5744984297870095E-3</v>
      </c>
      <c r="DD20" s="97">
        <f t="shared" si="15"/>
        <v>2.0414176876139994E-3</v>
      </c>
      <c r="DE20" s="97">
        <f t="shared" si="15"/>
        <v>1.0821544983165459E-3</v>
      </c>
      <c r="DF20" s="97">
        <f t="shared" si="15"/>
        <v>5.3140851386282667E-4</v>
      </c>
      <c r="DG20" s="97">
        <f t="shared" si="15"/>
        <v>2.4129565407949243E-4</v>
      </c>
      <c r="DH20" s="97">
        <f t="shared" si="15"/>
        <v>1.0113893513804455E-4</v>
      </c>
      <c r="DI20" s="97">
        <f t="shared" si="15"/>
        <v>3.9072876292497401E-5</v>
      </c>
      <c r="DJ20" s="97">
        <f t="shared" si="15"/>
        <v>1.3894386646441211E-5</v>
      </c>
      <c r="DK20" s="97">
        <f t="shared" ref="DK20:DL34" si="16">$H$2*$L20*DK$1+$I$2*$M20*DK$2+$J$2*$N20*DK$3</f>
        <v>4.5426368470129002E-6</v>
      </c>
      <c r="DL20" s="97">
        <f t="shared" si="16"/>
        <v>1.3641248344734388E-6</v>
      </c>
    </row>
    <row r="21" spans="1:116" x14ac:dyDescent="0.25">
      <c r="A21" s="60">
        <v>5.0999999999999996</v>
      </c>
      <c r="B21" s="25">
        <v>3.8</v>
      </c>
      <c r="C21" s="25">
        <v>1.5</v>
      </c>
      <c r="D21" s="57">
        <v>0.3</v>
      </c>
      <c r="E21" s="82" t="s">
        <v>5</v>
      </c>
      <c r="L21" s="97" cm="1">
        <f t="array" ref="L21">EstymacjaGaussowska($O21,$D$2:$D$51,H$9)</f>
        <v>2.8413475514634989E-308</v>
      </c>
      <c r="M21" s="97" cm="1">
        <f t="array" ref="M21">EstymacjaGaussowska($O21,$D$52:$D$101,I$9)</f>
        <v>4.6772422732860425E-14</v>
      </c>
      <c r="N21" s="97" cm="1">
        <f t="array" ref="N21">EstymacjaGaussowska($O21,$D$102:$D$151,J$9)</f>
        <v>0.43261801269143174</v>
      </c>
      <c r="O21" s="97">
        <v>2.52</v>
      </c>
      <c r="P21" s="97">
        <f t="shared" si="4"/>
        <v>1.1801553962496389E-53</v>
      </c>
      <c r="Q21" s="97">
        <f t="shared" si="4"/>
        <v>1.1323304892551266E-51</v>
      </c>
      <c r="R21" s="97">
        <f t="shared" si="4"/>
        <v>9.6037030574633582E-50</v>
      </c>
      <c r="S21" s="97">
        <f t="shared" si="4"/>
        <v>7.2000541864442148E-48</v>
      </c>
      <c r="T21" s="97">
        <f t="shared" si="4"/>
        <v>4.7716032888849073E-46</v>
      </c>
      <c r="U21" s="97">
        <f t="shared" si="4"/>
        <v>2.7952742384381301E-44</v>
      </c>
      <c r="V21" s="97">
        <f t="shared" si="4"/>
        <v>1.4474915992820172E-42</v>
      </c>
      <c r="W21" s="97">
        <f t="shared" si="4"/>
        <v>6.6258138874507846E-41</v>
      </c>
      <c r="X21" s="97">
        <f t="shared" si="4"/>
        <v>2.6809825470952011E-39</v>
      </c>
      <c r="Y21" s="97">
        <f t="shared" si="4"/>
        <v>9.5891552265238737E-38</v>
      </c>
      <c r="Z21" s="97">
        <f t="shared" si="4"/>
        <v>3.0317848268199158E-36</v>
      </c>
      <c r="AA21" s="97">
        <f t="shared" si="4"/>
        <v>8.4732135968150763E-35</v>
      </c>
      <c r="AB21" s="97">
        <f t="shared" si="4"/>
        <v>2.0932920750991944E-33</v>
      </c>
      <c r="AC21" s="97">
        <f t="shared" si="4"/>
        <v>4.5713410961061547E-32</v>
      </c>
      <c r="AD21" s="97">
        <f t="shared" si="4"/>
        <v>8.8244961699786688E-31</v>
      </c>
      <c r="AE21" s="97">
        <f t="shared" si="4"/>
        <v>1.5058069744799418E-29</v>
      </c>
      <c r="AF21" s="97">
        <f t="shared" si="11"/>
        <v>2.2713433337777255E-28</v>
      </c>
      <c r="AG21" s="97">
        <f t="shared" si="11"/>
        <v>3.0285314889880422E-27</v>
      </c>
      <c r="AH21" s="97">
        <f t="shared" si="11"/>
        <v>3.5696067431318085E-26</v>
      </c>
      <c r="AI21" s="97">
        <f t="shared" si="11"/>
        <v>3.7192371341028923E-25</v>
      </c>
      <c r="AJ21" s="97">
        <f t="shared" si="11"/>
        <v>3.4256771653526365E-24</v>
      </c>
      <c r="AK21" s="97">
        <f t="shared" si="11"/>
        <v>2.7895419005066932E-23</v>
      </c>
      <c r="AL21" s="97">
        <f t="shared" si="11"/>
        <v>2.0086838677754401E-22</v>
      </c>
      <c r="AM21" s="97">
        <f t="shared" si="11"/>
        <v>1.2799332504667447E-21</v>
      </c>
      <c r="AN21" s="97">
        <f t="shared" si="11"/>
        <v>7.2338545295228805E-21</v>
      </c>
      <c r="AO21" s="97">
        <f t="shared" si="11"/>
        <v>3.6554797723350736E-20</v>
      </c>
      <c r="AP21" s="97">
        <f t="shared" si="11"/>
        <v>1.698096518905542E-19</v>
      </c>
      <c r="AQ21" s="97">
        <f t="shared" si="11"/>
        <v>7.9081376841149439E-19</v>
      </c>
      <c r="AR21" s="97">
        <f t="shared" si="11"/>
        <v>4.4419731611023897E-18</v>
      </c>
      <c r="AS21" s="97">
        <f t="shared" si="11"/>
        <v>3.4319984947880211E-17</v>
      </c>
      <c r="AT21" s="97">
        <f t="shared" si="11"/>
        <v>3.2229397092980213E-16</v>
      </c>
      <c r="AU21" s="97">
        <f t="shared" si="11"/>
        <v>3.0906582508708369E-15</v>
      </c>
      <c r="AV21" s="97">
        <f t="shared" si="12"/>
        <v>2.7972044848018753E-14</v>
      </c>
      <c r="AW21" s="97">
        <f t="shared" si="12"/>
        <v>2.3336927762938914E-13</v>
      </c>
      <c r="AX21" s="97">
        <f t="shared" si="12"/>
        <v>1.7839515133794515E-12</v>
      </c>
      <c r="AY21" s="97">
        <f t="shared" si="12"/>
        <v>1.2477136514774638E-11</v>
      </c>
      <c r="AZ21" s="97">
        <f t="shared" si="12"/>
        <v>7.9818708353920437E-11</v>
      </c>
      <c r="BA21" s="97">
        <f t="shared" si="12"/>
        <v>4.6702386364385937E-10</v>
      </c>
      <c r="BB21" s="97">
        <f t="shared" si="12"/>
        <v>2.4994256847813849E-9</v>
      </c>
      <c r="BC21" s="97">
        <f t="shared" si="12"/>
        <v>1.2236278043200805E-8</v>
      </c>
      <c r="BD21" s="97">
        <f t="shared" si="12"/>
        <v>5.4805960087052807E-8</v>
      </c>
      <c r="BE21" s="97">
        <f t="shared" si="12"/>
        <v>2.246284203375704E-7</v>
      </c>
      <c r="BF21" s="97">
        <f t="shared" si="12"/>
        <v>8.4273138410453913E-7</v>
      </c>
      <c r="BG21" s="97">
        <f t="shared" si="12"/>
        <v>2.8952658987594368E-6</v>
      </c>
      <c r="BH21" s="97">
        <f t="shared" si="12"/>
        <v>9.1145368068178955E-6</v>
      </c>
      <c r="BI21" s="97">
        <f t="shared" si="12"/>
        <v>2.6316182222823412E-5</v>
      </c>
      <c r="BJ21" s="97">
        <f t="shared" si="12"/>
        <v>6.9779303694754617E-5</v>
      </c>
      <c r="BK21" s="97">
        <f t="shared" si="12"/>
        <v>1.702445802414004E-4</v>
      </c>
      <c r="BL21" s="97">
        <f t="shared" si="13"/>
        <v>3.8321730898300383E-4</v>
      </c>
      <c r="BM21" s="97">
        <f t="shared" si="13"/>
        <v>7.9891652041120924E-4</v>
      </c>
      <c r="BN21" s="97">
        <f t="shared" si="13"/>
        <v>1.5506132529659389E-3</v>
      </c>
      <c r="BO21" s="97">
        <f t="shared" si="13"/>
        <v>2.8209371124140025E-3</v>
      </c>
      <c r="BP21" s="97">
        <f t="shared" si="13"/>
        <v>4.8499429502297242E-3</v>
      </c>
      <c r="BQ21" s="97">
        <f t="shared" si="13"/>
        <v>7.9509346085324447E-3</v>
      </c>
      <c r="BR21" s="97">
        <f t="shared" si="13"/>
        <v>1.2532614197303907E-2</v>
      </c>
      <c r="BS21" s="97">
        <f t="shared" si="13"/>
        <v>1.9105890404774686E-2</v>
      </c>
      <c r="BT21" s="97">
        <f t="shared" si="13"/>
        <v>2.8231747598193614E-2</v>
      </c>
      <c r="BU21" s="97">
        <f t="shared" si="13"/>
        <v>4.036813532436561E-2</v>
      </c>
      <c r="BV21" s="97">
        <f t="shared" si="13"/>
        <v>5.5619824673597149E-2</v>
      </c>
      <c r="BW21" s="97">
        <f t="shared" si="13"/>
        <v>7.3476008245468433E-2</v>
      </c>
      <c r="BX21" s="97">
        <f t="shared" si="13"/>
        <v>9.2687132518589982E-2</v>
      </c>
      <c r="BY21" s="97">
        <f t="shared" si="13"/>
        <v>0.11142232851603202</v>
      </c>
      <c r="BZ21" s="97">
        <f t="shared" si="13"/>
        <v>0.12773368778663183</v>
      </c>
      <c r="CA21" s="97">
        <f t="shared" si="13"/>
        <v>0.14017599373344644</v>
      </c>
      <c r="CB21" s="97">
        <f t="shared" si="7"/>
        <v>0.1482949736333522</v>
      </c>
      <c r="CC21" s="97">
        <f t="shared" si="7"/>
        <v>0.15271078203608968</v>
      </c>
      <c r="CD21" s="97">
        <f t="shared" si="7"/>
        <v>0.15471456210883297</v>
      </c>
      <c r="CE21" s="97">
        <f t="shared" si="7"/>
        <v>0.15556953189104256</v>
      </c>
      <c r="CF21" s="97">
        <f t="shared" si="7"/>
        <v>0.15588933313871675</v>
      </c>
      <c r="CG21" s="97">
        <f t="shared" si="7"/>
        <v>0.15542234898048443</v>
      </c>
      <c r="CH21" s="97">
        <f t="shared" si="7"/>
        <v>0.15332082241040851</v>
      </c>
      <c r="CI21" s="97">
        <f t="shared" si="7"/>
        <v>0.14868812413384291</v>
      </c>
      <c r="CJ21" s="97">
        <f t="shared" si="7"/>
        <v>0.14107005488319094</v>
      </c>
      <c r="CK21" s="97">
        <f t="shared" si="7"/>
        <v>0.13065387364754061</v>
      </c>
      <c r="CL21" s="97">
        <f t="shared" si="7"/>
        <v>0.11815991723367276</v>
      </c>
      <c r="CM21" s="97">
        <f t="shared" si="7"/>
        <v>0.10458129971811196</v>
      </c>
      <c r="CN21" s="97">
        <f t="shared" si="7"/>
        <v>9.0945246768739232E-2</v>
      </c>
      <c r="CO21" s="97">
        <f t="shared" si="7"/>
        <v>7.8169291513231903E-2</v>
      </c>
      <c r="CP21" s="97">
        <f t="shared" si="7"/>
        <v>6.6980105363799211E-2</v>
      </c>
      <c r="CQ21" s="97">
        <f t="shared" si="14"/>
        <v>5.7836218752026755E-2</v>
      </c>
      <c r="CR21" s="97">
        <f t="shared" si="14"/>
        <v>5.084449797423321E-2</v>
      </c>
      <c r="CS21" s="97">
        <f t="shared" si="14"/>
        <v>4.5719196343373729E-2</v>
      </c>
      <c r="CT21" s="97">
        <f t="shared" si="14"/>
        <v>4.1843168546898242E-2</v>
      </c>
      <c r="CU21" s="97">
        <f t="shared" si="15"/>
        <v>3.8444460986999308E-2</v>
      </c>
      <c r="CV21" s="97">
        <f t="shared" si="15"/>
        <v>3.4834033650989762E-2</v>
      </c>
      <c r="CW21" s="97">
        <f t="shared" si="15"/>
        <v>3.0609627627727141E-2</v>
      </c>
      <c r="CX21" s="97">
        <f t="shared" si="15"/>
        <v>2.5743400204072613E-2</v>
      </c>
      <c r="CY21" s="97">
        <f t="shared" si="15"/>
        <v>2.052788764902394E-2</v>
      </c>
      <c r="CZ21" s="97">
        <f t="shared" si="15"/>
        <v>1.5420485544545575E-2</v>
      </c>
      <c r="DA21" s="97">
        <f t="shared" si="15"/>
        <v>1.0863962004436494E-2</v>
      </c>
      <c r="DB21" s="97">
        <f t="shared" si="15"/>
        <v>7.1546151637873609E-3</v>
      </c>
      <c r="DC21" s="97">
        <f t="shared" si="15"/>
        <v>4.3928266236625694E-3</v>
      </c>
      <c r="DD21" s="97">
        <f t="shared" si="15"/>
        <v>2.5087698720015379E-3</v>
      </c>
      <c r="DE21" s="97">
        <f t="shared" si="15"/>
        <v>1.3298976582301618E-3</v>
      </c>
      <c r="DF21" s="97">
        <f t="shared" si="15"/>
        <v>6.5306658083402259E-4</v>
      </c>
      <c r="DG21" s="97">
        <f t="shared" si="15"/>
        <v>2.9653670136809307E-4</v>
      </c>
      <c r="DH21" s="97">
        <f t="shared" si="15"/>
        <v>1.2429318845434689E-4</v>
      </c>
      <c r="DI21" s="97">
        <f t="shared" si="15"/>
        <v>4.8018029553585226E-5</v>
      </c>
      <c r="DJ21" s="97">
        <f t="shared" si="15"/>
        <v>1.7075299592056477E-5</v>
      </c>
      <c r="DK21" s="97">
        <f t="shared" si="16"/>
        <v>5.5826059166510537E-6</v>
      </c>
      <c r="DL21" s="97">
        <f t="shared" si="16"/>
        <v>1.6764209045214995E-6</v>
      </c>
    </row>
    <row r="22" spans="1:116" x14ac:dyDescent="0.25">
      <c r="A22" s="60">
        <v>5.4</v>
      </c>
      <c r="B22" s="25">
        <v>3.4</v>
      </c>
      <c r="C22" s="25">
        <v>1.7</v>
      </c>
      <c r="D22" s="57">
        <v>0.2</v>
      </c>
      <c r="E22" s="82" t="s">
        <v>5</v>
      </c>
      <c r="L22" s="97" cm="1">
        <f t="array" ref="L22">EstymacjaGaussowska($O22,$D$2:$D$51,H$9)</f>
        <v>9.210123755806749E-299</v>
      </c>
      <c r="M22" s="97" cm="1">
        <f t="array" ref="M22">EstymacjaGaussowska($O22,$D$52:$D$101,I$9)</f>
        <v>4.6733493316731884E-13</v>
      </c>
      <c r="N22" s="97" cm="1">
        <f t="array" ref="N22">EstymacjaGaussowska($O22,$D$102:$D$151,J$9)</f>
        <v>0.51764458746131026</v>
      </c>
      <c r="O22" s="97">
        <v>2.4900000000000002</v>
      </c>
      <c r="P22" s="97">
        <f t="shared" si="4"/>
        <v>1.1791731345037755E-52</v>
      </c>
      <c r="Q22" s="97">
        <f t="shared" si="4"/>
        <v>1.1313880329136148E-50</v>
      </c>
      <c r="R22" s="97">
        <f t="shared" si="4"/>
        <v>9.5957097453305291E-49</v>
      </c>
      <c r="S22" s="97">
        <f t="shared" si="4"/>
        <v>7.1940614686121614E-47</v>
      </c>
      <c r="T22" s="97">
        <f t="shared" si="4"/>
        <v>4.7676318085025391E-45</v>
      </c>
      <c r="U22" s="97">
        <f t="shared" si="4"/>
        <v>2.792947687500349E-43</v>
      </c>
      <c r="V22" s="97">
        <f t="shared" si="4"/>
        <v>1.4462868288740023E-41</v>
      </c>
      <c r="W22" s="97">
        <f t="shared" si="4"/>
        <v>6.6202991142046842E-40</v>
      </c>
      <c r="X22" s="97">
        <f t="shared" si="4"/>
        <v>2.6787511195481446E-38</v>
      </c>
      <c r="Y22" s="97">
        <f t="shared" si="4"/>
        <v>9.5811739945944329E-37</v>
      </c>
      <c r="Z22" s="97">
        <f t="shared" si="4"/>
        <v>3.0292614063449108E-35</v>
      </c>
      <c r="AA22" s="97">
        <f t="shared" si="4"/>
        <v>8.4661610971191954E-34</v>
      </c>
      <c r="AB22" s="97">
        <f t="shared" si="4"/>
        <v>2.0915497342369237E-32</v>
      </c>
      <c r="AC22" s="97">
        <f t="shared" si="4"/>
        <v>4.5675359913571665E-31</v>
      </c>
      <c r="AD22" s="97">
        <f t="shared" si="4"/>
        <v>8.8171500034185852E-30</v>
      </c>
      <c r="AE22" s="97">
        <f t="shared" si="4"/>
        <v>1.504553082018255E-28</v>
      </c>
      <c r="AF22" s="97">
        <f t="shared" si="11"/>
        <v>2.2694506188823598E-27</v>
      </c>
      <c r="AG22" s="97">
        <f t="shared" si="11"/>
        <v>3.0260029599510199E-26</v>
      </c>
      <c r="AH22" s="97">
        <f t="shared" si="11"/>
        <v>3.5666106474898435E-25</v>
      </c>
      <c r="AI22" s="97">
        <f t="shared" si="11"/>
        <v>3.7160682801364817E-24</v>
      </c>
      <c r="AJ22" s="97">
        <f t="shared" si="11"/>
        <v>3.4226299649879413E-23</v>
      </c>
      <c r="AK22" s="97">
        <f t="shared" si="11"/>
        <v>2.7867409112584686E-22</v>
      </c>
      <c r="AL22" s="97">
        <f t="shared" si="11"/>
        <v>2.0059403452240788E-21</v>
      </c>
      <c r="AM22" s="97">
        <f t="shared" si="11"/>
        <v>1.2766763676808429E-20</v>
      </c>
      <c r="AN22" s="97">
        <f t="shared" si="11"/>
        <v>7.1868492133054047E-20</v>
      </c>
      <c r="AO22" s="97">
        <f t="shared" si="11"/>
        <v>3.5823485560104927E-19</v>
      </c>
      <c r="AP22" s="97">
        <f t="shared" si="11"/>
        <v>1.5870750052837515E-18</v>
      </c>
      <c r="AQ22" s="97">
        <f t="shared" si="11"/>
        <v>6.3340665686446178E-18</v>
      </c>
      <c r="AR22" s="97">
        <f t="shared" si="11"/>
        <v>2.3883707972760375E-17</v>
      </c>
      <c r="AS22" s="97">
        <f t="shared" si="11"/>
        <v>9.7764162739253205E-17</v>
      </c>
      <c r="AT22" s="97">
        <f t="shared" si="11"/>
        <v>5.3923246999673484E-16</v>
      </c>
      <c r="AU22" s="97">
        <f t="shared" si="11"/>
        <v>4.0680146523421891E-15</v>
      </c>
      <c r="AV22" s="97">
        <f t="shared" si="12"/>
        <v>3.4264352841469808E-14</v>
      </c>
      <c r="AW22" s="97">
        <f t="shared" si="12"/>
        <v>2.8076613385085574E-13</v>
      </c>
      <c r="AX22" s="97">
        <f t="shared" si="12"/>
        <v>2.1372312522354125E-12</v>
      </c>
      <c r="AY22" s="97">
        <f t="shared" si="12"/>
        <v>1.4933616375264127E-11</v>
      </c>
      <c r="AZ22" s="97">
        <f t="shared" si="12"/>
        <v>9.5512460512138019E-11</v>
      </c>
      <c r="BA22" s="97">
        <f t="shared" si="12"/>
        <v>5.5882113847068951E-10</v>
      </c>
      <c r="BB22" s="97">
        <f t="shared" si="12"/>
        <v>2.9906731573399451E-9</v>
      </c>
      <c r="BC22" s="97">
        <f t="shared" si="12"/>
        <v>1.4641205758663018E-8</v>
      </c>
      <c r="BD22" s="97">
        <f t="shared" si="12"/>
        <v>6.5577519837677557E-8</v>
      </c>
      <c r="BE22" s="97">
        <f t="shared" si="12"/>
        <v>2.6877682350951887E-7</v>
      </c>
      <c r="BF22" s="97">
        <f t="shared" si="12"/>
        <v>1.0083615053775124E-6</v>
      </c>
      <c r="BG22" s="97">
        <f t="shared" si="12"/>
        <v>3.4643003534621902E-6</v>
      </c>
      <c r="BH22" s="97">
        <f t="shared" si="12"/>
        <v>1.0905904334174677E-5</v>
      </c>
      <c r="BI22" s="97">
        <f t="shared" si="12"/>
        <v>3.1488354408144719E-5</v>
      </c>
      <c r="BJ22" s="97">
        <f t="shared" si="12"/>
        <v>8.3493700757722854E-5</v>
      </c>
      <c r="BK22" s="97">
        <f t="shared" si="12"/>
        <v>2.0370438341591772E-4</v>
      </c>
      <c r="BL22" s="97">
        <f t="shared" si="13"/>
        <v>4.5853468885858896E-4</v>
      </c>
      <c r="BM22" s="97">
        <f t="shared" si="13"/>
        <v>9.5593526049286381E-4</v>
      </c>
      <c r="BN22" s="97">
        <f t="shared" si="13"/>
        <v>1.8553701744539652E-3</v>
      </c>
      <c r="BO22" s="97">
        <f t="shared" si="13"/>
        <v>3.3753629876945457E-3</v>
      </c>
      <c r="BP22" s="97">
        <f t="shared" si="13"/>
        <v>5.8031488381749628E-3</v>
      </c>
      <c r="BQ22" s="97">
        <f t="shared" si="13"/>
        <v>9.5136081824327545E-3</v>
      </c>
      <c r="BR22" s="97">
        <f t="shared" si="13"/>
        <v>1.4995769283068425E-2</v>
      </c>
      <c r="BS22" s="97">
        <f t="shared" si="13"/>
        <v>2.2860954621788145E-2</v>
      </c>
      <c r="BT22" s="97">
        <f t="shared" si="13"/>
        <v>3.3780404213656703E-2</v>
      </c>
      <c r="BU22" s="97">
        <f t="shared" si="13"/>
        <v>4.8302072830040753E-2</v>
      </c>
      <c r="BV22" s="97">
        <f t="shared" si="13"/>
        <v>6.6551323230299123E-2</v>
      </c>
      <c r="BW22" s="97">
        <f t="shared" si="13"/>
        <v>8.7916954127603003E-2</v>
      </c>
      <c r="BX22" s="97">
        <f t="shared" si="13"/>
        <v>0.11090382524088564</v>
      </c>
      <c r="BY22" s="97">
        <f t="shared" si="13"/>
        <v>0.13332122932159363</v>
      </c>
      <c r="BZ22" s="97">
        <f t="shared" si="13"/>
        <v>0.15283841675451584</v>
      </c>
      <c r="CA22" s="97">
        <f t="shared" si="13"/>
        <v>0.16772612863879843</v>
      </c>
      <c r="CB22" s="97">
        <f t="shared" si="7"/>
        <v>0.17744080966824166</v>
      </c>
      <c r="CC22" s="97">
        <f t="shared" si="7"/>
        <v>0.18272449932489496</v>
      </c>
      <c r="CD22" s="97">
        <f t="shared" si="7"/>
        <v>0.18512210154830377</v>
      </c>
      <c r="CE22" s="97">
        <f t="shared" si="7"/>
        <v>0.18614510675663648</v>
      </c>
      <c r="CF22" s="97">
        <f t="shared" si="7"/>
        <v>0.18652776161626847</v>
      </c>
      <c r="CG22" s="97">
        <f t="shared" si="7"/>
        <v>0.18596899657448032</v>
      </c>
      <c r="CH22" s="97">
        <f t="shared" si="7"/>
        <v>0.18345443679543053</v>
      </c>
      <c r="CI22" s="97">
        <f t="shared" si="7"/>
        <v>0.17791122981408791</v>
      </c>
      <c r="CJ22" s="97">
        <f t="shared" si="7"/>
        <v>0.1687959082166994</v>
      </c>
      <c r="CK22" s="97">
        <f t="shared" si="7"/>
        <v>0.15633253480072404</v>
      </c>
      <c r="CL22" s="97">
        <f t="shared" si="7"/>
        <v>0.14138302108681131</v>
      </c>
      <c r="CM22" s="97">
        <f t="shared" si="7"/>
        <v>0.12513566740311066</v>
      </c>
      <c r="CN22" s="97">
        <f t="shared" si="7"/>
        <v>0.10881958994793253</v>
      </c>
      <c r="CO22" s="97">
        <f t="shared" si="7"/>
        <v>9.3532653450495676E-2</v>
      </c>
      <c r="CP22" s="97">
        <f t="shared" si="7"/>
        <v>8.014434903774785E-2</v>
      </c>
      <c r="CQ22" s="97">
        <f t="shared" si="14"/>
        <v>6.9203326532704806E-2</v>
      </c>
      <c r="CR22" s="97">
        <f t="shared" si="14"/>
        <v>6.0837455691707128E-2</v>
      </c>
      <c r="CS22" s="97">
        <f t="shared" si="14"/>
        <v>5.4704829285757255E-2</v>
      </c>
      <c r="CT22" s="97">
        <f t="shared" si="14"/>
        <v>5.006700850429522E-2</v>
      </c>
      <c r="CU22" s="97">
        <f t="shared" si="15"/>
        <v>4.600032029175339E-2</v>
      </c>
      <c r="CV22" s="97">
        <f t="shared" si="15"/>
        <v>4.1680300981228928E-2</v>
      </c>
      <c r="CW22" s="97">
        <f t="shared" si="15"/>
        <v>3.6625631852737137E-2</v>
      </c>
      <c r="CX22" s="97">
        <f t="shared" si="15"/>
        <v>3.0802997997204071E-2</v>
      </c>
      <c r="CY22" s="97">
        <f t="shared" si="15"/>
        <v>2.4562430647357972E-2</v>
      </c>
      <c r="CZ22" s="97">
        <f t="shared" si="15"/>
        <v>1.8451221733693398E-2</v>
      </c>
      <c r="DA22" s="97">
        <f t="shared" si="15"/>
        <v>1.2999160841675369E-2</v>
      </c>
      <c r="DB22" s="97">
        <f t="shared" si="15"/>
        <v>8.5607804258134943E-3</v>
      </c>
      <c r="DC22" s="97">
        <f t="shared" si="15"/>
        <v>5.2561910477286686E-3</v>
      </c>
      <c r="DD22" s="97">
        <f t="shared" si="15"/>
        <v>3.0018425200290344E-3</v>
      </c>
      <c r="DE22" s="97">
        <f t="shared" si="15"/>
        <v>1.5912752230946327E-3</v>
      </c>
      <c r="DF22" s="97">
        <f t="shared" si="15"/>
        <v>7.8142003084304633E-4</v>
      </c>
      <c r="DG22" s="97">
        <f t="shared" si="15"/>
        <v>3.5481790850976384E-4</v>
      </c>
      <c r="DH22" s="97">
        <f t="shared" si="15"/>
        <v>1.4872172303096424E-4</v>
      </c>
      <c r="DI22" s="97">
        <f t="shared" si="15"/>
        <v>5.7455474274714402E-5</v>
      </c>
      <c r="DJ22" s="97">
        <f t="shared" si="15"/>
        <v>2.0431272285957254E-5</v>
      </c>
      <c r="DK22" s="97">
        <f t="shared" si="16"/>
        <v>6.6798090969575072E-6</v>
      </c>
      <c r="DL22" s="97">
        <f t="shared" si="16"/>
        <v>2.00590401248851E-6</v>
      </c>
    </row>
    <row r="23" spans="1:116" x14ac:dyDescent="0.25">
      <c r="A23" s="60">
        <v>5.0999999999999996</v>
      </c>
      <c r="B23" s="25">
        <v>3.7</v>
      </c>
      <c r="C23" s="25">
        <v>1.5</v>
      </c>
      <c r="D23" s="57">
        <v>0.4</v>
      </c>
      <c r="E23" s="82" t="s">
        <v>5</v>
      </c>
      <c r="L23" s="97" cm="1">
        <f t="array" ref="L23">EstymacjaGaussowska($O23,$D$2:$D$51,H$9)</f>
        <v>2.1146140897916387E-289</v>
      </c>
      <c r="M23" s="97" cm="1">
        <f t="array" ref="M23">EstymacjaGaussowska($O23,$D$52:$D$101,I$9)</f>
        <v>4.2339461138630369E-12</v>
      </c>
      <c r="N23" s="97" cm="1">
        <f t="array" ref="N23">EstymacjaGaussowska($O23,$D$102:$D$151,J$9)</f>
        <v>0.60411949258214193</v>
      </c>
      <c r="O23" s="97">
        <v>2.46</v>
      </c>
      <c r="P23" s="97">
        <f t="shared" si="4"/>
        <v>1.0683035134043224E-51</v>
      </c>
      <c r="Q23" s="97">
        <f t="shared" si="4"/>
        <v>1.0250113195568731E-49</v>
      </c>
      <c r="R23" s="97">
        <f t="shared" si="4"/>
        <v>8.6934904930858823E-48</v>
      </c>
      <c r="S23" s="97">
        <f t="shared" si="4"/>
        <v>6.5176528515012703E-46</v>
      </c>
      <c r="T23" s="97">
        <f t="shared" si="4"/>
        <v>4.3193638512783322E-44</v>
      </c>
      <c r="U23" s="97">
        <f t="shared" si="4"/>
        <v>2.5303458329659658E-42</v>
      </c>
      <c r="V23" s="97">
        <f t="shared" si="4"/>
        <v>1.3103023257517741E-40</v>
      </c>
      <c r="W23" s="97">
        <f t="shared" si="4"/>
        <v>5.9978374641624493E-39</v>
      </c>
      <c r="X23" s="97">
        <f t="shared" si="4"/>
        <v>2.4268863903967534E-37</v>
      </c>
      <c r="Y23" s="97">
        <f t="shared" si="4"/>
        <v>8.6803214369944507E-36</v>
      </c>
      <c r="Z23" s="97">
        <f t="shared" si="4"/>
        <v>2.7444405798952714E-34</v>
      </c>
      <c r="AA23" s="97">
        <f t="shared" si="4"/>
        <v>7.6701456014297687E-33</v>
      </c>
      <c r="AB23" s="97">
        <f t="shared" si="4"/>
        <v>1.8948955470688925E-31</v>
      </c>
      <c r="AC23" s="97">
        <f t="shared" si="4"/>
        <v>4.1380816485828967E-30</v>
      </c>
      <c r="AD23" s="97">
        <f t="shared" si="4"/>
        <v>7.9881332722803632E-29</v>
      </c>
      <c r="AE23" s="97">
        <f t="shared" si="4"/>
        <v>1.3630901369922453E-27</v>
      </c>
      <c r="AF23" s="97">
        <f t="shared" si="11"/>
        <v>2.0560693888252751E-26</v>
      </c>
      <c r="AG23" s="97">
        <f t="shared" si="11"/>
        <v>2.7414876637327236E-25</v>
      </c>
      <c r="AH23" s="97">
        <f t="shared" si="11"/>
        <v>3.2312638421324372E-24</v>
      </c>
      <c r="AI23" s="97">
        <f t="shared" si="11"/>
        <v>3.3666638136416672E-23</v>
      </c>
      <c r="AJ23" s="97">
        <f t="shared" si="11"/>
        <v>3.1008023322107199E-22</v>
      </c>
      <c r="AK23" s="97">
        <f t="shared" si="11"/>
        <v>2.5246711816186399E-21</v>
      </c>
      <c r="AL23" s="97">
        <f t="shared" si="11"/>
        <v>1.8172203606800518E-20</v>
      </c>
      <c r="AM23" s="97">
        <f t="shared" si="11"/>
        <v>1.1564038570167283E-19</v>
      </c>
      <c r="AN23" s="97">
        <f t="shared" si="11"/>
        <v>6.5067179312169072E-19</v>
      </c>
      <c r="AO23" s="97">
        <f t="shared" si="11"/>
        <v>3.2379988061440532E-18</v>
      </c>
      <c r="AP23" s="97">
        <f t="shared" si="11"/>
        <v>1.4260837657490493E-17</v>
      </c>
      <c r="AQ23" s="97">
        <f t="shared" si="11"/>
        <v>5.5702053265542717E-17</v>
      </c>
      <c r="AR23" s="97">
        <f t="shared" si="11"/>
        <v>1.9436961157245408E-16</v>
      </c>
      <c r="AS23" s="97">
        <f t="shared" si="11"/>
        <v>6.2248617154537771E-16</v>
      </c>
      <c r="AT23" s="97">
        <f t="shared" si="11"/>
        <v>2.0065202999602194E-15</v>
      </c>
      <c r="AU23" s="97">
        <f t="shared" si="11"/>
        <v>8.064473091089985E-15</v>
      </c>
      <c r="AV23" s="97">
        <f t="shared" si="12"/>
        <v>4.7113973343338594E-14</v>
      </c>
      <c r="AW23" s="97">
        <f t="shared" si="12"/>
        <v>3.4139305341158377E-13</v>
      </c>
      <c r="AX23" s="97">
        <f t="shared" si="12"/>
        <v>2.5181397660012401E-12</v>
      </c>
      <c r="AY23" s="97">
        <f t="shared" si="12"/>
        <v>1.7466258866490368E-11</v>
      </c>
      <c r="AZ23" s="97">
        <f t="shared" si="12"/>
        <v>1.11523977625058E-10</v>
      </c>
      <c r="BA23" s="97">
        <f t="shared" si="12"/>
        <v>6.5225177594478155E-10</v>
      </c>
      <c r="BB23" s="97">
        <f t="shared" si="12"/>
        <v>3.490380407244838E-9</v>
      </c>
      <c r="BC23" s="97">
        <f t="shared" si="12"/>
        <v>1.7087215716109369E-8</v>
      </c>
      <c r="BD23" s="97">
        <f t="shared" si="12"/>
        <v>7.6532705420824302E-8</v>
      </c>
      <c r="BE23" s="97">
        <f t="shared" si="12"/>
        <v>3.1367741803398311E-7</v>
      </c>
      <c r="BF23" s="97">
        <f t="shared" si="12"/>
        <v>1.1768131499809169E-6</v>
      </c>
      <c r="BG23" s="97">
        <f t="shared" si="12"/>
        <v>4.0430278936128694E-6</v>
      </c>
      <c r="BH23" s="97">
        <f t="shared" si="12"/>
        <v>1.2727786026279389E-5</v>
      </c>
      <c r="BI23" s="97">
        <f t="shared" si="12"/>
        <v>3.6748628937853303E-5</v>
      </c>
      <c r="BJ23" s="97">
        <f t="shared" si="12"/>
        <v>9.74417072411776E-5</v>
      </c>
      <c r="BK23" s="97">
        <f t="shared" si="12"/>
        <v>2.3773413646604324E-4</v>
      </c>
      <c r="BL23" s="97">
        <f t="shared" si="13"/>
        <v>5.3513501458334501E-4</v>
      </c>
      <c r="BM23" s="97">
        <f t="shared" si="13"/>
        <v>1.1156286356315789E-3</v>
      </c>
      <c r="BN23" s="97">
        <f t="shared" si="13"/>
        <v>2.1653182818399909E-3</v>
      </c>
      <c r="BO23" s="97">
        <f t="shared" si="13"/>
        <v>3.9392328737042166E-3</v>
      </c>
      <c r="BP23" s="97">
        <f t="shared" si="13"/>
        <v>6.7725914978332604E-3</v>
      </c>
      <c r="BQ23" s="97">
        <f t="shared" si="13"/>
        <v>1.110290011231204E-2</v>
      </c>
      <c r="BR23" s="97">
        <f t="shared" si="13"/>
        <v>1.7500881396403163E-2</v>
      </c>
      <c r="BS23" s="97">
        <f t="shared" si="13"/>
        <v>2.667998205928885E-2</v>
      </c>
      <c r="BT23" s="97">
        <f t="shared" si="13"/>
        <v>3.9423575842565582E-2</v>
      </c>
      <c r="BU23" s="97">
        <f t="shared" si="13"/>
        <v>5.6371155878102389E-2</v>
      </c>
      <c r="BV23" s="97">
        <f t="shared" si="13"/>
        <v>7.7669027349812098E-2</v>
      </c>
      <c r="BW23" s="97">
        <f t="shared" si="13"/>
        <v>0.10260388498954968</v>
      </c>
      <c r="BX23" s="97">
        <f t="shared" si="13"/>
        <v>0.12943081846731108</v>
      </c>
      <c r="BY23" s="97">
        <f t="shared" si="13"/>
        <v>0.15559315282996683</v>
      </c>
      <c r="BZ23" s="97">
        <f t="shared" si="13"/>
        <v>0.17837077603736853</v>
      </c>
      <c r="CA23" s="97">
        <f t="shared" si="13"/>
        <v>0.19574554854932333</v>
      </c>
      <c r="CB23" s="97">
        <f t="shared" si="7"/>
        <v>0.20708311164998056</v>
      </c>
      <c r="CC23" s="97">
        <f t="shared" si="7"/>
        <v>0.21324946592397129</v>
      </c>
      <c r="CD23" s="97">
        <f t="shared" si="7"/>
        <v>0.21604759860742911</v>
      </c>
      <c r="CE23" s="97">
        <f t="shared" si="7"/>
        <v>0.21724150153294311</v>
      </c>
      <c r="CF23" s="97">
        <f t="shared" si="7"/>
        <v>0.21768808064382617</v>
      </c>
      <c r="CG23" s="97">
        <f t="shared" si="7"/>
        <v>0.21703597133620087</v>
      </c>
      <c r="CH23" s="97">
        <f t="shared" si="7"/>
        <v>0.21410134280035312</v>
      </c>
      <c r="CI23" s="97">
        <f t="shared" si="7"/>
        <v>0.20763211764092127</v>
      </c>
      <c r="CJ23" s="97">
        <f t="shared" si="7"/>
        <v>0.19699403971733087</v>
      </c>
      <c r="CK23" s="97">
        <f t="shared" si="7"/>
        <v>0.1824486025461485</v>
      </c>
      <c r="CL23" s="97">
        <f t="shared" si="7"/>
        <v>0.16500170392504807</v>
      </c>
      <c r="CM23" s="97">
        <f t="shared" si="7"/>
        <v>0.14604015520812366</v>
      </c>
      <c r="CN23" s="97">
        <f t="shared" si="7"/>
        <v>0.12699840209814864</v>
      </c>
      <c r="CO23" s="97">
        <f t="shared" si="7"/>
        <v>0.10915771266824664</v>
      </c>
      <c r="CP23" s="97">
        <f t="shared" si="7"/>
        <v>9.3532830530424632E-2</v>
      </c>
      <c r="CQ23" s="97">
        <f t="shared" si="14"/>
        <v>8.0764059979780339E-2</v>
      </c>
      <c r="CR23" s="97">
        <f t="shared" si="14"/>
        <v>7.1000632002570008E-2</v>
      </c>
      <c r="CS23" s="97">
        <f t="shared" si="14"/>
        <v>6.3843522197311597E-2</v>
      </c>
      <c r="CT23" s="97">
        <f t="shared" si="14"/>
        <v>5.8430932159570376E-2</v>
      </c>
      <c r="CU23" s="97">
        <f t="shared" si="15"/>
        <v>5.3684885008765053E-2</v>
      </c>
      <c r="CV23" s="97">
        <f t="shared" si="15"/>
        <v>4.8643186636879436E-2</v>
      </c>
      <c r="CW23" s="97">
        <f t="shared" si="15"/>
        <v>4.2744111821761584E-2</v>
      </c>
      <c r="CX23" s="97">
        <f t="shared" si="15"/>
        <v>3.594878024581008E-2</v>
      </c>
      <c r="CY23" s="97">
        <f t="shared" si="15"/>
        <v>2.8665697466362512E-2</v>
      </c>
      <c r="CZ23" s="97">
        <f t="shared" si="15"/>
        <v>2.1533583043814929E-2</v>
      </c>
      <c r="DA23" s="97">
        <f t="shared" si="15"/>
        <v>1.5170730346433932E-2</v>
      </c>
      <c r="DB23" s="97">
        <f t="shared" si="15"/>
        <v>9.9908981031046271E-3</v>
      </c>
      <c r="DC23" s="97">
        <f t="shared" si="15"/>
        <v>6.134261896259029E-3</v>
      </c>
      <c r="DD23" s="97">
        <f t="shared" si="15"/>
        <v>3.5033140960775153E-3</v>
      </c>
      <c r="DE23" s="97">
        <f t="shared" si="15"/>
        <v>1.8571050555151705E-3</v>
      </c>
      <c r="DF23" s="97">
        <f t="shared" si="15"/>
        <v>9.1195983491608771E-4</v>
      </c>
      <c r="DG23" s="97">
        <f t="shared" si="15"/>
        <v>4.1409186928665899E-4</v>
      </c>
      <c r="DH23" s="97">
        <f t="shared" si="15"/>
        <v>1.735663697249094E-4</v>
      </c>
      <c r="DI23" s="97">
        <f t="shared" si="15"/>
        <v>6.705367506136836E-5</v>
      </c>
      <c r="DJ23" s="97">
        <f t="shared" si="15"/>
        <v>2.3844410132314209E-5</v>
      </c>
      <c r="DK23" s="97">
        <f t="shared" si="16"/>
        <v>7.7957018772096378E-6</v>
      </c>
      <c r="DL23" s="97">
        <f t="shared" si="16"/>
        <v>2.3409994879616391E-6</v>
      </c>
    </row>
    <row r="24" spans="1:116" x14ac:dyDescent="0.25">
      <c r="A24" s="60">
        <v>4.5999999999999996</v>
      </c>
      <c r="B24" s="25">
        <v>3.6</v>
      </c>
      <c r="C24" s="25">
        <v>1</v>
      </c>
      <c r="D24" s="57">
        <v>0.2</v>
      </c>
      <c r="E24" s="82" t="s">
        <v>5</v>
      </c>
      <c r="L24" s="97" cm="1">
        <f t="array" ref="L24">EstymacjaGaussowska($O24,$D$2:$D$51,H$9)</f>
        <v>3.4389140929339566E-280</v>
      </c>
      <c r="M24" s="97" cm="1">
        <f t="array" ref="M24">EstymacjaGaussowska($O24,$D$52:$D$101,I$9)</f>
        <v>3.4781383538060973E-11</v>
      </c>
      <c r="N24" s="97" cm="1">
        <f t="array" ref="N24">EstymacjaGaussowska($O24,$D$102:$D$151,J$9)</f>
        <v>0.68866835848256935</v>
      </c>
      <c r="O24" s="97">
        <v>2.4300000000000002</v>
      </c>
      <c r="P24" s="97">
        <f t="shared" si="4"/>
        <v>8.7759912940556276E-51</v>
      </c>
      <c r="Q24" s="97">
        <f t="shared" si="4"/>
        <v>8.420350868333838E-49</v>
      </c>
      <c r="R24" s="97">
        <f t="shared" si="4"/>
        <v>7.1416031048256858E-47</v>
      </c>
      <c r="S24" s="97">
        <f t="shared" si="4"/>
        <v>5.3541773442388549E-45</v>
      </c>
      <c r="T24" s="97">
        <f t="shared" si="4"/>
        <v>3.5483080490690888E-43</v>
      </c>
      <c r="U24" s="97">
        <f t="shared" si="4"/>
        <v>2.0786501890483454E-41</v>
      </c>
      <c r="V24" s="97">
        <f t="shared" si="4"/>
        <v>1.0763983885689867E-39</v>
      </c>
      <c r="W24" s="97">
        <f t="shared" si="4"/>
        <v>4.9271549431036988E-38</v>
      </c>
      <c r="X24" s="97">
        <f t="shared" si="4"/>
        <v>1.9936594391081966E-36</v>
      </c>
      <c r="Y24" s="97">
        <f t="shared" si="4"/>
        <v>7.1307848754048049E-35</v>
      </c>
      <c r="Z24" s="97">
        <f t="shared" si="4"/>
        <v>2.2545265771168408E-33</v>
      </c>
      <c r="AA24" s="97">
        <f t="shared" si="4"/>
        <v>6.3009369682180449E-32</v>
      </c>
      <c r="AB24" s="97">
        <f t="shared" si="4"/>
        <v>1.5566350394077231E-30</v>
      </c>
      <c r="AC24" s="97">
        <f t="shared" si="4"/>
        <v>3.3993867875224341E-29</v>
      </c>
      <c r="AD24" s="97">
        <f t="shared" si="4"/>
        <v>6.5621601918913502E-28</v>
      </c>
      <c r="AE24" s="97">
        <f t="shared" si="4"/>
        <v>1.1197629657545154E-26</v>
      </c>
      <c r="AF24" s="97">
        <f t="shared" si="11"/>
        <v>1.6890374842958932E-25</v>
      </c>
      <c r="AG24" s="97">
        <f t="shared" si="11"/>
        <v>2.2521007024288204E-24</v>
      </c>
      <c r="AH24" s="97">
        <f t="shared" si="11"/>
        <v>2.6544460431619179E-23</v>
      </c>
      <c r="AI24" s="97">
        <f t="shared" si="11"/>
        <v>2.7656750309810533E-22</v>
      </c>
      <c r="AJ24" s="97">
        <f t="shared" si="11"/>
        <v>2.5472714837416121E-21</v>
      </c>
      <c r="AK24" s="97">
        <f t="shared" si="11"/>
        <v>2.0739831448214093E-20</v>
      </c>
      <c r="AL24" s="97">
        <f t="shared" si="11"/>
        <v>1.4928137239674155E-19</v>
      </c>
      <c r="AM24" s="97">
        <f t="shared" si="11"/>
        <v>9.4994793693811037E-19</v>
      </c>
      <c r="AN24" s="97">
        <f t="shared" si="11"/>
        <v>5.3447340514061349E-18</v>
      </c>
      <c r="AO24" s="97">
        <f t="shared" si="11"/>
        <v>2.6591917103264602E-17</v>
      </c>
      <c r="AP24" s="97">
        <f t="shared" si="11"/>
        <v>1.17028028404478E-16</v>
      </c>
      <c r="AQ24" s="97">
        <f t="shared" si="11"/>
        <v>4.5582523374403199E-16</v>
      </c>
      <c r="AR24" s="97">
        <f t="shared" si="11"/>
        <v>1.5736974509739296E-15</v>
      </c>
      <c r="AS24" s="97">
        <f t="shared" si="11"/>
        <v>4.8382743834224285E-15</v>
      </c>
      <c r="AT24" s="97">
        <f t="shared" si="11"/>
        <v>1.3471725113729383E-14</v>
      </c>
      <c r="AU24" s="97">
        <f t="shared" si="11"/>
        <v>3.6129709568736062E-14</v>
      </c>
      <c r="AV24" s="97">
        <f t="shared" si="12"/>
        <v>1.1157524432403136E-13</v>
      </c>
      <c r="AW24" s="97">
        <f t="shared" si="12"/>
        <v>5.0062297508533152E-13</v>
      </c>
      <c r="AX24" s="97">
        <f t="shared" si="12"/>
        <v>3.0644472914789173E-12</v>
      </c>
      <c r="AY24" s="97">
        <f t="shared" si="12"/>
        <v>2.0218625979393336E-11</v>
      </c>
      <c r="AZ24" s="97">
        <f t="shared" si="12"/>
        <v>1.2758471309657025E-10</v>
      </c>
      <c r="BA24" s="97">
        <f t="shared" si="12"/>
        <v>7.4416226720042854E-10</v>
      </c>
      <c r="BB24" s="97">
        <f t="shared" si="12"/>
        <v>3.9796975154208736E-9</v>
      </c>
      <c r="BC24" s="97">
        <f t="shared" si="12"/>
        <v>1.9479687956971907E-8</v>
      </c>
      <c r="BD24" s="97">
        <f t="shared" si="12"/>
        <v>8.7245052041208141E-8</v>
      </c>
      <c r="BE24" s="97">
        <f t="shared" si="12"/>
        <v>3.575793489151567E-7</v>
      </c>
      <c r="BF24" s="97">
        <f t="shared" si="12"/>
        <v>1.3415145431246546E-6</v>
      </c>
      <c r="BG24" s="97">
        <f t="shared" si="12"/>
        <v>4.6088674356147957E-6</v>
      </c>
      <c r="BH24" s="97">
        <f t="shared" si="12"/>
        <v>1.4509091463570941E-5</v>
      </c>
      <c r="BI24" s="97">
        <f t="shared" si="12"/>
        <v>4.1891744885672433E-5</v>
      </c>
      <c r="BJ24" s="97">
        <f t="shared" si="12"/>
        <v>1.1107905537832467E-4</v>
      </c>
      <c r="BK24" s="97">
        <f t="shared" si="12"/>
        <v>2.7100595478105662E-4</v>
      </c>
      <c r="BL24" s="97">
        <f t="shared" si="13"/>
        <v>6.1002923988678621E-4</v>
      </c>
      <c r="BM24" s="97">
        <f t="shared" si="13"/>
        <v>1.2717651952042336E-3</v>
      </c>
      <c r="BN24" s="97">
        <f t="shared" si="13"/>
        <v>2.4683629789811266E-3</v>
      </c>
      <c r="BO24" s="97">
        <f t="shared" si="13"/>
        <v>4.4905437981527874E-3</v>
      </c>
      <c r="BP24" s="97">
        <f t="shared" si="13"/>
        <v>7.7204419505633214E-3</v>
      </c>
      <c r="BQ24" s="97">
        <f t="shared" si="13"/>
        <v>1.2656794049916084E-2</v>
      </c>
      <c r="BR24" s="97">
        <f t="shared" si="13"/>
        <v>1.995019762784779E-2</v>
      </c>
      <c r="BS24" s="97">
        <f t="shared" si="13"/>
        <v>3.0413949027366886E-2</v>
      </c>
      <c r="BT24" s="97">
        <f t="shared" si="13"/>
        <v>4.4941058183229791E-2</v>
      </c>
      <c r="BU24" s="97">
        <f t="shared" si="13"/>
        <v>6.4260517771127998E-2</v>
      </c>
      <c r="BV24" s="97">
        <f t="shared" si="13"/>
        <v>8.8539108952827905E-2</v>
      </c>
      <c r="BW24" s="97">
        <f t="shared" si="13"/>
        <v>0.11696369662157298</v>
      </c>
      <c r="BX24" s="97">
        <f t="shared" si="13"/>
        <v>0.1475451634795957</v>
      </c>
      <c r="BY24" s="97">
        <f t="shared" si="13"/>
        <v>0.17736901799881155</v>
      </c>
      <c r="BZ24" s="97">
        <f t="shared" si="13"/>
        <v>0.20333445790993432</v>
      </c>
      <c r="CA24" s="97">
        <f t="shared" si="13"/>
        <v>0.22314089721738534</v>
      </c>
      <c r="CB24" s="97">
        <f t="shared" si="7"/>
        <v>0.23606519624288366</v>
      </c>
      <c r="CC24" s="97">
        <f t="shared" si="7"/>
        <v>0.24309455571144495</v>
      </c>
      <c r="CD24" s="97">
        <f t="shared" si="7"/>
        <v>0.24628429791529574</v>
      </c>
      <c r="CE24" s="97">
        <f t="shared" si="7"/>
        <v>0.24764529218514567</v>
      </c>
      <c r="CF24" s="97">
        <f t="shared" si="7"/>
        <v>0.24815437177432767</v>
      </c>
      <c r="CG24" s="97">
        <f t="shared" si="7"/>
        <v>0.24741099723995075</v>
      </c>
      <c r="CH24" s="97">
        <f t="shared" si="7"/>
        <v>0.24406565605928651</v>
      </c>
      <c r="CI24" s="97">
        <f t="shared" si="7"/>
        <v>0.23669103774962699</v>
      </c>
      <c r="CJ24" s="97">
        <f t="shared" si="7"/>
        <v>0.22456411956371794</v>
      </c>
      <c r="CK24" s="97">
        <f t="shared" si="7"/>
        <v>0.20798299204989171</v>
      </c>
      <c r="CL24" s="97">
        <f t="shared" si="7"/>
        <v>0.18809433230370357</v>
      </c>
      <c r="CM24" s="97">
        <f t="shared" si="7"/>
        <v>0.16647904130662258</v>
      </c>
      <c r="CN24" s="97">
        <f t="shared" si="7"/>
        <v>0.14477232100063298</v>
      </c>
      <c r="CO24" s="97">
        <f t="shared" si="7"/>
        <v>0.1244347578947423</v>
      </c>
      <c r="CP24" s="97">
        <f t="shared" si="7"/>
        <v>0.10662311290486567</v>
      </c>
      <c r="CQ24" s="97">
        <f t="shared" si="14"/>
        <v>9.2067303395446248E-2</v>
      </c>
      <c r="CR24" s="97">
        <f t="shared" si="14"/>
        <v>8.0937445808018704E-2</v>
      </c>
      <c r="CS24" s="97">
        <f t="shared" si="14"/>
        <v>7.2778670728605707E-2</v>
      </c>
      <c r="CT24" s="97">
        <f t="shared" si="14"/>
        <v>6.6608567723820539E-2</v>
      </c>
      <c r="CU24" s="97">
        <f t="shared" si="15"/>
        <v>6.1198292868003726E-2</v>
      </c>
      <c r="CV24" s="97">
        <f t="shared" si="15"/>
        <v>5.5450989256113373E-2</v>
      </c>
      <c r="CW24" s="97">
        <f t="shared" si="15"/>
        <v>4.8726316042658507E-2</v>
      </c>
      <c r="CX24" s="97">
        <f t="shared" si="15"/>
        <v>4.0979951458802615E-2</v>
      </c>
      <c r="CY24" s="97">
        <f t="shared" si="15"/>
        <v>3.2677572998910678E-2</v>
      </c>
      <c r="CZ24" s="97">
        <f t="shared" si="15"/>
        <v>2.4547291502956686E-2</v>
      </c>
      <c r="DA24" s="97">
        <f t="shared" si="15"/>
        <v>1.729393289397925E-2</v>
      </c>
      <c r="DB24" s="97">
        <f t="shared" si="15"/>
        <v>1.1389163039621919E-2</v>
      </c>
      <c r="DC24" s="97">
        <f t="shared" si="15"/>
        <v>6.9927756387110438E-3</v>
      </c>
      <c r="DD24" s="97">
        <f t="shared" si="15"/>
        <v>3.9936164904768494E-3</v>
      </c>
      <c r="DE24" s="97">
        <f t="shared" si="15"/>
        <v>2.1170141103126509E-3</v>
      </c>
      <c r="DF24" s="97">
        <f t="shared" si="15"/>
        <v>1.0395921506014029E-3</v>
      </c>
      <c r="DG24" s="97">
        <f t="shared" si="15"/>
        <v>4.7204563233630038E-4</v>
      </c>
      <c r="DH24" s="97">
        <f t="shared" si="15"/>
        <v>1.9785765629798757E-4</v>
      </c>
      <c r="DI24" s="97">
        <f t="shared" si="15"/>
        <v>7.6438096935694188E-5</v>
      </c>
      <c r="DJ24" s="97">
        <f t="shared" si="15"/>
        <v>2.7181527804407384E-5</v>
      </c>
      <c r="DK24" s="97">
        <f t="shared" si="16"/>
        <v>8.8867405884399144E-6</v>
      </c>
      <c r="DL24" s="97">
        <f t="shared" si="16"/>
        <v>2.6686314452332803E-6</v>
      </c>
    </row>
    <row r="25" spans="1:116" x14ac:dyDescent="0.25">
      <c r="A25" s="60">
        <v>5.0999999999999996</v>
      </c>
      <c r="B25" s="25">
        <v>3.3</v>
      </c>
      <c r="C25" s="25">
        <v>1.7</v>
      </c>
      <c r="D25" s="57">
        <v>0.5</v>
      </c>
      <c r="E25" s="82" t="s">
        <v>5</v>
      </c>
      <c r="L25" s="97" cm="1">
        <f t="array" ref="L25">EstymacjaGaussowska($O25,$D$2:$D$51,H$9)</f>
        <v>3.9612849295312359E-271</v>
      </c>
      <c r="M25" s="97" cm="1">
        <f t="array" ref="M25">EstymacjaGaussowska($O25,$D$52:$D$101,I$9)</f>
        <v>2.5908411999706382E-10</v>
      </c>
      <c r="N25" s="97" cm="1">
        <f t="array" ref="N25">EstymacjaGaussowska($O25,$D$102:$D$151,J$9)</f>
        <v>0.76778540192247891</v>
      </c>
      <c r="O25" s="97">
        <v>2.4</v>
      </c>
      <c r="P25" s="97">
        <f t="shared" si="4"/>
        <v>6.5371752076339621E-50</v>
      </c>
      <c r="Q25" s="97">
        <f t="shared" si="4"/>
        <v>6.2722611146315226E-48</v>
      </c>
      <c r="R25" s="97">
        <f t="shared" si="4"/>
        <v>5.319730751242652E-46</v>
      </c>
      <c r="S25" s="97">
        <f t="shared" si="4"/>
        <v>3.988289666574462E-44</v>
      </c>
      <c r="T25" s="97">
        <f t="shared" si="4"/>
        <v>2.6431101205773489E-42</v>
      </c>
      <c r="U25" s="97">
        <f t="shared" si="4"/>
        <v>1.5483721469036447E-40</v>
      </c>
      <c r="V25" s="97">
        <f t="shared" si="4"/>
        <v>8.0180171373355842E-39</v>
      </c>
      <c r="W25" s="97">
        <f t="shared" si="4"/>
        <v>3.670203633861337E-37</v>
      </c>
      <c r="X25" s="97">
        <f t="shared" si="4"/>
        <v>1.4850631251869569E-35</v>
      </c>
      <c r="Y25" s="97">
        <f t="shared" si="4"/>
        <v>5.3116723269490757E-34</v>
      </c>
      <c r="Z25" s="97">
        <f t="shared" si="4"/>
        <v>1.679381251742478E-32</v>
      </c>
      <c r="AA25" s="97">
        <f t="shared" si="4"/>
        <v>4.6935243612051109E-31</v>
      </c>
      <c r="AB25" s="97">
        <f t="shared" si="4"/>
        <v>1.1595266728702505E-29</v>
      </c>
      <c r="AC25" s="97">
        <f t="shared" si="4"/>
        <v>2.5321797026532157E-28</v>
      </c>
      <c r="AD25" s="97">
        <f t="shared" si="4"/>
        <v>4.888107732048293E-27</v>
      </c>
      <c r="AE25" s="97">
        <f t="shared" si="4"/>
        <v>8.3410368663666741E-26</v>
      </c>
      <c r="AF25" s="97">
        <f t="shared" si="11"/>
        <v>1.258152335684492E-24</v>
      </c>
      <c r="AG25" s="97">
        <f t="shared" si="11"/>
        <v>1.677574225507344E-23</v>
      </c>
      <c r="AH25" s="97">
        <f t="shared" si="11"/>
        <v>1.977278466880796E-22</v>
      </c>
      <c r="AI25" s="97">
        <f t="shared" si="11"/>
        <v>2.0601321152096606E-21</v>
      </c>
      <c r="AJ25" s="97">
        <f t="shared" si="11"/>
        <v>1.8974446830182965E-20</v>
      </c>
      <c r="AK25" s="97">
        <f t="shared" si="11"/>
        <v>1.5448951485671531E-19</v>
      </c>
      <c r="AL25" s="97">
        <f t="shared" si="11"/>
        <v>1.1119853879706326E-18</v>
      </c>
      <c r="AM25" s="97">
        <f t="shared" si="11"/>
        <v>7.0760713455943288E-18</v>
      </c>
      <c r="AN25" s="97">
        <f t="shared" si="11"/>
        <v>3.9812084376099371E-17</v>
      </c>
      <c r="AO25" s="97">
        <f t="shared" si="11"/>
        <v>1.9807331590797299E-16</v>
      </c>
      <c r="AP25" s="97">
        <f t="shared" si="11"/>
        <v>8.7160803114277057E-16</v>
      </c>
      <c r="AQ25" s="97">
        <f t="shared" si="11"/>
        <v>3.3936136322332365E-15</v>
      </c>
      <c r="AR25" s="97">
        <f t="shared" si="11"/>
        <v>1.1698862906501999E-14</v>
      </c>
      <c r="AS25" s="97">
        <f t="shared" si="11"/>
        <v>3.5758926021664835E-14</v>
      </c>
      <c r="AT25" s="97">
        <f t="shared" si="11"/>
        <v>9.7276365124891267E-14</v>
      </c>
      <c r="AU25" s="97">
        <f t="shared" si="11"/>
        <v>2.3838889718970277E-13</v>
      </c>
      <c r="AV25" s="97">
        <f t="shared" si="12"/>
        <v>5.4998713240674123E-13</v>
      </c>
      <c r="AW25" s="97">
        <f t="shared" si="12"/>
        <v>1.3778142467967748E-12</v>
      </c>
      <c r="AX25" s="97">
        <f t="shared" si="12"/>
        <v>4.8424483828781038E-12</v>
      </c>
      <c r="AY25" s="97">
        <f t="shared" si="12"/>
        <v>2.4805887471102355E-11</v>
      </c>
      <c r="AZ25" s="97">
        <f t="shared" si="12"/>
        <v>1.4557029951576217E-10</v>
      </c>
      <c r="BA25" s="97">
        <f t="shared" si="12"/>
        <v>8.3425371377115278E-10</v>
      </c>
      <c r="BB25" s="97">
        <f t="shared" si="12"/>
        <v>4.4429678186605322E-9</v>
      </c>
      <c r="BC25" s="97">
        <f t="shared" si="12"/>
        <v>2.1725317680685572E-8</v>
      </c>
      <c r="BD25" s="97">
        <f t="shared" si="12"/>
        <v>9.7277665171574724E-8</v>
      </c>
      <c r="BE25" s="97">
        <f t="shared" si="12"/>
        <v>3.9867100112634512E-7</v>
      </c>
      <c r="BF25" s="97">
        <f t="shared" si="12"/>
        <v>1.4956466823917397E-6</v>
      </c>
      <c r="BG25" s="97">
        <f t="shared" si="12"/>
        <v>5.1383685227160806E-6</v>
      </c>
      <c r="BH25" s="97">
        <f t="shared" si="12"/>
        <v>1.6175973164842117E-5</v>
      </c>
      <c r="BI25" s="97">
        <f t="shared" si="12"/>
        <v>4.6704460880564268E-5</v>
      </c>
      <c r="BJ25" s="97">
        <f t="shared" si="12"/>
        <v>1.2384029682876142E-4</v>
      </c>
      <c r="BK25" s="97">
        <f t="shared" si="12"/>
        <v>3.0214025844693497E-4</v>
      </c>
      <c r="BL25" s="97">
        <f t="shared" si="13"/>
        <v>6.8011193319016724E-4</v>
      </c>
      <c r="BM25" s="97">
        <f t="shared" si="13"/>
        <v>1.4178708323624868E-3</v>
      </c>
      <c r="BN25" s="97">
        <f t="shared" si="13"/>
        <v>2.7519386783840406E-3</v>
      </c>
      <c r="BO25" s="97">
        <f t="shared" si="13"/>
        <v>5.0064359216010698E-3</v>
      </c>
      <c r="BP25" s="97">
        <f t="shared" si="13"/>
        <v>8.6073980141795851E-3</v>
      </c>
      <c r="BQ25" s="97">
        <f t="shared" si="13"/>
        <v>1.4110858476279017E-2</v>
      </c>
      <c r="BR25" s="97">
        <f t="shared" si="13"/>
        <v>2.2242158150493713E-2</v>
      </c>
      <c r="BS25" s="97">
        <f t="shared" si="13"/>
        <v>3.3908028196660694E-2</v>
      </c>
      <c r="BT25" s="97">
        <f t="shared" si="13"/>
        <v>5.0104071190144837E-2</v>
      </c>
      <c r="BU25" s="97">
        <f t="shared" si="13"/>
        <v>7.1643029472290315E-2</v>
      </c>
      <c r="BV25" s="97">
        <f t="shared" si="13"/>
        <v>9.8710844707963902E-2</v>
      </c>
      <c r="BW25" s="97">
        <f t="shared" si="13"/>
        <v>0.13040096549701063</v>
      </c>
      <c r="BX25" s="97">
        <f t="shared" si="13"/>
        <v>0.16449575659496024</v>
      </c>
      <c r="BY25" s="97">
        <f t="shared" si="13"/>
        <v>0.19774589774309562</v>
      </c>
      <c r="BZ25" s="97">
        <f t="shared" si="13"/>
        <v>0.22669435379991792</v>
      </c>
      <c r="CA25" s="97">
        <f t="shared" si="13"/>
        <v>0.24877623802254631</v>
      </c>
      <c r="CB25" s="97">
        <f t="shared" si="7"/>
        <v>0.26318533348306888</v>
      </c>
      <c r="CC25" s="97">
        <f t="shared" si="7"/>
        <v>0.27102225457182999</v>
      </c>
      <c r="CD25" s="97">
        <f t="shared" si="7"/>
        <v>0.27457844742945181</v>
      </c>
      <c r="CE25" s="97">
        <f t="shared" si="7"/>
        <v>0.27609579829653819</v>
      </c>
      <c r="CF25" s="97">
        <f t="shared" si="7"/>
        <v>0.27666336303381384</v>
      </c>
      <c r="CG25" s="97">
        <f t="shared" si="7"/>
        <v>0.27583458658541848</v>
      </c>
      <c r="CH25" s="97">
        <f t="shared" si="7"/>
        <v>0.27210491889900479</v>
      </c>
      <c r="CI25" s="97">
        <f t="shared" si="7"/>
        <v>0.26388307421379592</v>
      </c>
      <c r="CJ25" s="97">
        <f t="shared" si="7"/>
        <v>0.25036296596600166</v>
      </c>
      <c r="CK25" s="97">
        <f t="shared" si="7"/>
        <v>0.23187693056776251</v>
      </c>
      <c r="CL25" s="97">
        <f t="shared" si="7"/>
        <v>0.20970338007884246</v>
      </c>
      <c r="CM25" s="97">
        <f t="shared" si="7"/>
        <v>0.18560483586456264</v>
      </c>
      <c r="CN25" s="97">
        <f t="shared" si="7"/>
        <v>0.16140435856765833</v>
      </c>
      <c r="CO25" s="97">
        <f t="shared" si="7"/>
        <v>0.13873033286131334</v>
      </c>
      <c r="CP25" s="97">
        <f t="shared" si="7"/>
        <v>0.11887241309629616</v>
      </c>
      <c r="CQ25" s="97">
        <f t="shared" si="14"/>
        <v>0.1026443725353481</v>
      </c>
      <c r="CR25" s="97">
        <f t="shared" si="14"/>
        <v>9.0235871294007425E-2</v>
      </c>
      <c r="CS25" s="97">
        <f t="shared" si="14"/>
        <v>8.1139782695796095E-2</v>
      </c>
      <c r="CT25" s="97">
        <f t="shared" si="14"/>
        <v>7.426083297045892E-2</v>
      </c>
      <c r="CU25" s="97">
        <f t="shared" si="15"/>
        <v>6.8229003565900129E-2</v>
      </c>
      <c r="CV25" s="97">
        <f t="shared" si="15"/>
        <v>6.1821426160501687E-2</v>
      </c>
      <c r="CW25" s="97">
        <f t="shared" si="15"/>
        <v>5.4324194928089181E-2</v>
      </c>
      <c r="CX25" s="97">
        <f t="shared" si="15"/>
        <v>4.5687896233375172E-2</v>
      </c>
      <c r="CY25" s="97">
        <f t="shared" si="15"/>
        <v>3.6431706509795755E-2</v>
      </c>
      <c r="CZ25" s="97">
        <f t="shared" si="15"/>
        <v>2.7367384954688434E-2</v>
      </c>
      <c r="DA25" s="97">
        <f t="shared" si="15"/>
        <v>1.9280730781767598E-2</v>
      </c>
      <c r="DB25" s="97">
        <f t="shared" si="15"/>
        <v>1.2697596766612713E-2</v>
      </c>
      <c r="DC25" s="97">
        <f t="shared" si="15"/>
        <v>7.796134363064932E-3</v>
      </c>
      <c r="DD25" s="97">
        <f t="shared" si="15"/>
        <v>4.4524195202190579E-3</v>
      </c>
      <c r="DE25" s="97">
        <f t="shared" si="15"/>
        <v>2.3602253676115398E-3</v>
      </c>
      <c r="DF25" s="97">
        <f t="shared" si="15"/>
        <v>1.1590247574953087E-3</v>
      </c>
      <c r="DG25" s="97">
        <f t="shared" si="15"/>
        <v>5.2627616919654144E-4</v>
      </c>
      <c r="DH25" s="97">
        <f t="shared" si="15"/>
        <v>2.2058835474729461E-4</v>
      </c>
      <c r="DI25" s="97">
        <f t="shared" si="15"/>
        <v>8.5219618783235858E-5</v>
      </c>
      <c r="DJ25" s="97">
        <f t="shared" si="15"/>
        <v>3.0304253118523642E-5</v>
      </c>
      <c r="DK25" s="97">
        <f t="shared" si="16"/>
        <v>9.9076857683869383E-6</v>
      </c>
      <c r="DL25" s="97">
        <f t="shared" si="16"/>
        <v>2.9752147626995411E-6</v>
      </c>
    </row>
    <row r="26" spans="1:116" x14ac:dyDescent="0.25">
      <c r="A26" s="60">
        <v>4.8</v>
      </c>
      <c r="B26" s="25">
        <v>3.4</v>
      </c>
      <c r="C26" s="25">
        <v>1.9</v>
      </c>
      <c r="D26" s="57">
        <v>0.2</v>
      </c>
      <c r="E26" s="82" t="s">
        <v>5</v>
      </c>
      <c r="L26" s="97" cm="1">
        <f t="array" ref="L26">EstymacjaGaussowska($O26,$D$2:$D$51,H$9)</f>
        <v>3.2320300203351648E-262</v>
      </c>
      <c r="M26" s="97" cm="1">
        <f t="array" ref="M26">EstymacjaGaussowska($O26,$D$52:$D$101,I$9)</f>
        <v>1.7500006238581553E-9</v>
      </c>
      <c r="N26" s="97" cm="1">
        <f t="array" ref="N26">EstymacjaGaussowska($O26,$D$102:$D$151,J$9)</f>
        <v>0.83822981224420956</v>
      </c>
      <c r="O26" s="97">
        <v>2.37</v>
      </c>
      <c r="P26" s="97">
        <f t="shared" si="4"/>
        <v>4.4155777250103483E-49</v>
      </c>
      <c r="Q26" s="97">
        <f t="shared" si="4"/>
        <v>4.2366397692497354E-47</v>
      </c>
      <c r="R26" s="97">
        <f t="shared" si="4"/>
        <v>3.5932469089720443E-45</v>
      </c>
      <c r="S26" s="97">
        <f t="shared" si="4"/>
        <v>2.6939163252117789E-43</v>
      </c>
      <c r="T26" s="97">
        <f t="shared" si="4"/>
        <v>1.7853060079438288E-41</v>
      </c>
      <c r="U26" s="97">
        <f t="shared" si="4"/>
        <v>1.0458580877425016E-39</v>
      </c>
      <c r="V26" s="97">
        <f t="shared" si="4"/>
        <v>5.415822086123958E-38</v>
      </c>
      <c r="W26" s="97">
        <f t="shared" si="4"/>
        <v>2.4790630352084423E-36</v>
      </c>
      <c r="X26" s="97">
        <f t="shared" si="4"/>
        <v>1.0030955951967197E-34</v>
      </c>
      <c r="Y26" s="97">
        <f t="shared" si="4"/>
        <v>3.587803793604891E-33</v>
      </c>
      <c r="Z26" s="97">
        <f t="shared" si="4"/>
        <v>1.1343490439602352E-31</v>
      </c>
      <c r="AA26" s="97">
        <f t="shared" si="4"/>
        <v>3.1702717095367784E-30</v>
      </c>
      <c r="AB26" s="97">
        <f t="shared" si="4"/>
        <v>7.8320987056557982E-29</v>
      </c>
      <c r="AC26" s="97">
        <f t="shared" si="4"/>
        <v>1.7103773320123263E-27</v>
      </c>
      <c r="AD26" s="97">
        <f t="shared" si="4"/>
        <v>3.301704319142597E-26</v>
      </c>
      <c r="AE26" s="97">
        <f t="shared" si="4"/>
        <v>5.6340078728856651E-25</v>
      </c>
      <c r="AF26" s="97">
        <f t="shared" si="11"/>
        <v>8.4982721894268223E-24</v>
      </c>
      <c r="AG26" s="97">
        <f t="shared" si="11"/>
        <v>1.133128475384713E-22</v>
      </c>
      <c r="AH26" s="97">
        <f t="shared" si="11"/>
        <v>1.3355656623045686E-21</v>
      </c>
      <c r="AI26" s="97">
        <f t="shared" si="11"/>
        <v>1.3915296951410593E-20</v>
      </c>
      <c r="AJ26" s="97">
        <f t="shared" si="11"/>
        <v>1.2816413916233649E-19</v>
      </c>
      <c r="AK26" s="97">
        <f t="shared" si="11"/>
        <v>1.0435094717299575E-18</v>
      </c>
      <c r="AL26" s="97">
        <f t="shared" si="11"/>
        <v>7.5109767647095948E-18</v>
      </c>
      <c r="AM26" s="97">
        <f t="shared" si="11"/>
        <v>4.7795761396831112E-17</v>
      </c>
      <c r="AN26" s="97">
        <f t="shared" si="11"/>
        <v>2.6891285796031724E-16</v>
      </c>
      <c r="AO26" s="97">
        <f t="shared" si="11"/>
        <v>1.3378911506921636E-15</v>
      </c>
      <c r="AP26" s="97">
        <f t="shared" si="11"/>
        <v>5.8872081728684757E-15</v>
      </c>
      <c r="AQ26" s="97">
        <f t="shared" si="11"/>
        <v>2.2920593966434785E-14</v>
      </c>
      <c r="AR26" s="97">
        <f t="shared" si="11"/>
        <v>7.8997310333227654E-14</v>
      </c>
      <c r="AS26" s="97">
        <f t="shared" si="11"/>
        <v>2.4125587493757277E-13</v>
      </c>
      <c r="AT26" s="97">
        <f t="shared" si="11"/>
        <v>6.5399601066724348E-13</v>
      </c>
      <c r="AU26" s="97">
        <f t="shared" si="11"/>
        <v>1.5795748601821063E-12</v>
      </c>
      <c r="AV26" s="97">
        <f t="shared" si="12"/>
        <v>3.4347120421150103E-12</v>
      </c>
      <c r="AW26" s="97">
        <f t="shared" si="12"/>
        <v>6.9629155353312038E-12</v>
      </c>
      <c r="AX26" s="97">
        <f t="shared" si="12"/>
        <v>1.4782898598290094E-11</v>
      </c>
      <c r="AY26" s="97">
        <f t="shared" si="12"/>
        <v>4.2162141079768104E-11</v>
      </c>
      <c r="AZ26" s="97">
        <f t="shared" si="12"/>
        <v>1.8109026229589442E-10</v>
      </c>
      <c r="BA26" s="97">
        <f t="shared" si="12"/>
        <v>9.4142412008744291E-10</v>
      </c>
      <c r="BB26" s="97">
        <f t="shared" si="12"/>
        <v>4.8910098207691639E-9</v>
      </c>
      <c r="BC26" s="97">
        <f t="shared" si="12"/>
        <v>2.3770052364903587E-8</v>
      </c>
      <c r="BD26" s="97">
        <f t="shared" si="12"/>
        <v>1.0626646228428939E-7</v>
      </c>
      <c r="BE26" s="97">
        <f t="shared" si="12"/>
        <v>4.3532550974627587E-7</v>
      </c>
      <c r="BF26" s="97">
        <f t="shared" si="12"/>
        <v>1.6329620342270605E-6</v>
      </c>
      <c r="BG26" s="97">
        <f t="shared" si="12"/>
        <v>5.6099177732720325E-6</v>
      </c>
      <c r="BH26" s="97">
        <f t="shared" si="12"/>
        <v>1.766023941188352E-5</v>
      </c>
      <c r="BI26" s="97">
        <f t="shared" si="12"/>
        <v>5.098973878106113E-5</v>
      </c>
      <c r="BJ26" s="97">
        <f t="shared" si="12"/>
        <v>1.3520282214053451E-4</v>
      </c>
      <c r="BK26" s="97">
        <f t="shared" si="12"/>
        <v>3.2986185883999861E-4</v>
      </c>
      <c r="BL26" s="97">
        <f t="shared" si="13"/>
        <v>7.4251251846173922E-4</v>
      </c>
      <c r="BM26" s="97">
        <f t="shared" si="13"/>
        <v>1.5479609275221827E-3</v>
      </c>
      <c r="BN26" s="97">
        <f t="shared" si="13"/>
        <v>3.0044297032380649E-3</v>
      </c>
      <c r="BO26" s="97">
        <f t="shared" si="13"/>
        <v>5.4657773871985412E-3</v>
      </c>
      <c r="BP26" s="97">
        <f t="shared" si="13"/>
        <v>9.3971282400119489E-3</v>
      </c>
      <c r="BQ26" s="97">
        <f t="shared" si="13"/>
        <v>1.5405531931289469E-2</v>
      </c>
      <c r="BR26" s="97">
        <f t="shared" si="13"/>
        <v>2.4282879421010494E-2</v>
      </c>
      <c r="BS26" s="97">
        <f t="shared" si="13"/>
        <v>3.7019094569031283E-2</v>
      </c>
      <c r="BT26" s="97">
        <f t="shared" si="13"/>
        <v>5.4701126612413595E-2</v>
      </c>
      <c r="BU26" s="97">
        <f t="shared" si="13"/>
        <v>7.8216287103776136E-2</v>
      </c>
      <c r="BV26" s="97">
        <f t="shared" si="13"/>
        <v>0.10776757787792253</v>
      </c>
      <c r="BW26" s="97">
        <f t="shared" si="13"/>
        <v>0.14236527132731094</v>
      </c>
      <c r="BX26" s="97">
        <f t="shared" si="13"/>
        <v>0.17958826388984817</v>
      </c>
      <c r="BY26" s="97">
        <f t="shared" si="13"/>
        <v>0.21588910975633777</v>
      </c>
      <c r="BZ26" s="97">
        <f t="shared" si="13"/>
        <v>0.24749359036693158</v>
      </c>
      <c r="CA26" s="97">
        <f t="shared" si="13"/>
        <v>0.27160149029051711</v>
      </c>
      <c r="CB26" s="97">
        <f t="shared" si="7"/>
        <v>0.28733262209338295</v>
      </c>
      <c r="CC26" s="97">
        <f t="shared" si="7"/>
        <v>0.29588858167993509</v>
      </c>
      <c r="CD26" s="97">
        <f t="shared" si="7"/>
        <v>0.29977105567170093</v>
      </c>
      <c r="CE26" s="97">
        <f t="shared" si="7"/>
        <v>0.30142762366227471</v>
      </c>
      <c r="CF26" s="97">
        <f t="shared" si="7"/>
        <v>0.3020472625278508</v>
      </c>
      <c r="CG26" s="97">
        <f t="shared" si="7"/>
        <v>0.30114244572680227</v>
      </c>
      <c r="CH26" s="97">
        <f t="shared" si="7"/>
        <v>0.29707058054273777</v>
      </c>
      <c r="CI26" s="97">
        <f t="shared" si="7"/>
        <v>0.28809438053857678</v>
      </c>
      <c r="CJ26" s="97">
        <f t="shared" si="7"/>
        <v>0.27333380060285167</v>
      </c>
      <c r="CK26" s="97">
        <f t="shared" si="7"/>
        <v>0.25315166905620839</v>
      </c>
      <c r="CL26" s="97">
        <f t="shared" si="7"/>
        <v>0.22894369243065851</v>
      </c>
      <c r="CM26" s="97">
        <f t="shared" si="7"/>
        <v>0.20263410365554796</v>
      </c>
      <c r="CN26" s="97">
        <f t="shared" si="7"/>
        <v>0.1762132294242644</v>
      </c>
      <c r="CO26" s="97">
        <f t="shared" si="7"/>
        <v>0.15145885891518546</v>
      </c>
      <c r="CP26" s="97">
        <f t="shared" si="7"/>
        <v>0.12977897243321787</v>
      </c>
      <c r="CQ26" s="97">
        <f t="shared" si="14"/>
        <v>0.11206200704362536</v>
      </c>
      <c r="CR26" s="97">
        <f t="shared" si="14"/>
        <v>9.8515024202173493E-2</v>
      </c>
      <c r="CS26" s="97">
        <f t="shared" si="14"/>
        <v>8.8584368293968013E-2</v>
      </c>
      <c r="CT26" s="97">
        <f t="shared" si="14"/>
        <v>8.1074274038113792E-2</v>
      </c>
      <c r="CU26" s="97">
        <f t="shared" si="15"/>
        <v>7.4489023502466181E-2</v>
      </c>
      <c r="CV26" s="97">
        <f t="shared" si="15"/>
        <v>6.7493550038111777E-2</v>
      </c>
      <c r="CW26" s="97">
        <f t="shared" si="15"/>
        <v>5.9308446866625487E-2</v>
      </c>
      <c r="CX26" s="97">
        <f t="shared" si="15"/>
        <v>4.9879766645265985E-2</v>
      </c>
      <c r="CY26" s="97">
        <f t="shared" si="15"/>
        <v>3.9774320312651101E-2</v>
      </c>
      <c r="CZ26" s="97">
        <f t="shared" si="15"/>
        <v>2.9878346077879318E-2</v>
      </c>
      <c r="DA26" s="97">
        <f t="shared" si="15"/>
        <v>2.1049740334557709E-2</v>
      </c>
      <c r="DB26" s="97">
        <f t="shared" si="15"/>
        <v>1.3862602918706054E-2</v>
      </c>
      <c r="DC26" s="97">
        <f t="shared" si="15"/>
        <v>8.511430703188029E-3</v>
      </c>
      <c r="DD26" s="97">
        <f t="shared" si="15"/>
        <v>4.8609295893366038E-3</v>
      </c>
      <c r="DE26" s="97">
        <f t="shared" si="15"/>
        <v>2.5767763515602712E-3</v>
      </c>
      <c r="DF26" s="97">
        <f t="shared" si="15"/>
        <v>1.265365429492466E-3</v>
      </c>
      <c r="DG26" s="97">
        <f t="shared" si="15"/>
        <v>5.7456207605619404E-4</v>
      </c>
      <c r="DH26" s="97">
        <f t="shared" si="15"/>
        <v>2.4082736493829959E-4</v>
      </c>
      <c r="DI26" s="97">
        <f t="shared" si="15"/>
        <v>9.3038529872188619E-5</v>
      </c>
      <c r="DJ26" s="97">
        <f t="shared" si="15"/>
        <v>3.3084672277092648E-5</v>
      </c>
      <c r="DK26" s="97">
        <f t="shared" si="16"/>
        <v>1.0816717224128903E-5</v>
      </c>
      <c r="DL26" s="97">
        <f t="shared" si="16"/>
        <v>3.2481911035026947E-6</v>
      </c>
    </row>
    <row r="27" spans="1:116" x14ac:dyDescent="0.25">
      <c r="A27" s="60">
        <v>5</v>
      </c>
      <c r="B27" s="25">
        <v>3</v>
      </c>
      <c r="C27" s="25">
        <v>1.6</v>
      </c>
      <c r="D27" s="57">
        <v>0.2</v>
      </c>
      <c r="E27" s="82" t="s">
        <v>5</v>
      </c>
      <c r="L27" s="97" cm="1">
        <f t="array" ref="L27">EstymacjaGaussowska($O27,$D$2:$D$51,H$9)</f>
        <v>1.8678381428979926E-253</v>
      </c>
      <c r="M27" s="97" cm="1">
        <f t="array" ref="M27">EstymacjaGaussowska($O27,$D$52:$D$101,I$9)</f>
        <v>1.07190036513969E-8</v>
      </c>
      <c r="N27" s="97" cm="1">
        <f t="array" ref="N27">EstymacjaGaussowska($O27,$D$102:$D$151,J$9)</f>
        <v>0.89753194954970827</v>
      </c>
      <c r="O27" s="97">
        <v>2.34</v>
      </c>
      <c r="P27" s="97">
        <f t="shared" si="4"/>
        <v>2.7046043934010064E-48</v>
      </c>
      <c r="Q27" s="97">
        <f t="shared" si="4"/>
        <v>2.5950023409775671E-46</v>
      </c>
      <c r="R27" s="97">
        <f t="shared" si="4"/>
        <v>2.200915028974513E-44</v>
      </c>
      <c r="S27" s="97">
        <f t="shared" si="4"/>
        <v>1.650062207568858E-42</v>
      </c>
      <c r="T27" s="97">
        <f t="shared" si="4"/>
        <v>1.0935254169121775E-40</v>
      </c>
      <c r="U27" s="97">
        <f t="shared" si="4"/>
        <v>6.4060300942289215E-39</v>
      </c>
      <c r="V27" s="97">
        <f t="shared" si="4"/>
        <v>3.317268344081624E-37</v>
      </c>
      <c r="W27" s="97">
        <f t="shared" si="4"/>
        <v>1.5184615001940268E-35</v>
      </c>
      <c r="X27" s="97">
        <f t="shared" si="4"/>
        <v>6.1441037226078792E-34</v>
      </c>
      <c r="Y27" s="97">
        <f t="shared" si="4"/>
        <v>2.1975810431058477E-32</v>
      </c>
      <c r="Z27" s="97">
        <f t="shared" si="4"/>
        <v>6.9480498340383649E-31</v>
      </c>
      <c r="AA27" s="97">
        <f t="shared" si="4"/>
        <v>1.941836680920954E-29</v>
      </c>
      <c r="AB27" s="97">
        <f t="shared" si="4"/>
        <v>4.7972722683275302E-28</v>
      </c>
      <c r="AC27" s="97">
        <f t="shared" si="4"/>
        <v>1.0476305332181945E-26</v>
      </c>
      <c r="AD27" s="97">
        <f t="shared" si="4"/>
        <v>2.022341030623427E-25</v>
      </c>
      <c r="AE27" s="97">
        <f t="shared" si="4"/>
        <v>3.4509102532304958E-24</v>
      </c>
      <c r="AF27" s="97">
        <f t="shared" si="11"/>
        <v>5.2053130371940103E-23</v>
      </c>
      <c r="AG27" s="97">
        <f t="shared" si="11"/>
        <v>6.9405736763944575E-22</v>
      </c>
      <c r="AH27" s="97">
        <f t="shared" si="11"/>
        <v>8.1805303443142483E-21</v>
      </c>
      <c r="AI27" s="97">
        <f t="shared" si="11"/>
        <v>8.5233180294996495E-20</v>
      </c>
      <c r="AJ27" s="97">
        <f t="shared" si="11"/>
        <v>7.8502364691281066E-19</v>
      </c>
      <c r="AK27" s="97">
        <f t="shared" si="11"/>
        <v>6.3916444325040847E-18</v>
      </c>
      <c r="AL27" s="97">
        <f t="shared" si="11"/>
        <v>4.6005803758363779E-17</v>
      </c>
      <c r="AM27" s="97">
        <f t="shared" si="11"/>
        <v>2.9275583748041644E-16</v>
      </c>
      <c r="AN27" s="97">
        <f t="shared" si="11"/>
        <v>1.6471291886769948E-15</v>
      </c>
      <c r="AO27" s="97">
        <f t="shared" si="11"/>
        <v>8.1947664911793923E-15</v>
      </c>
      <c r="AP27" s="97">
        <f t="shared" si="11"/>
        <v>3.6059868469992742E-14</v>
      </c>
      <c r="AQ27" s="97">
        <f t="shared" si="11"/>
        <v>1.4039016481208786E-13</v>
      </c>
      <c r="AR27" s="97">
        <f t="shared" si="11"/>
        <v>4.8384697802724989E-13</v>
      </c>
      <c r="AS27" s="97">
        <f t="shared" si="11"/>
        <v>1.4774537043345236E-12</v>
      </c>
      <c r="AT27" s="97">
        <f t="shared" si="11"/>
        <v>4.0028336437608714E-12</v>
      </c>
      <c r="AU27" s="97">
        <f t="shared" si="11"/>
        <v>9.6452657666297773E-12</v>
      </c>
      <c r="AV27" s="97">
        <f t="shared" si="12"/>
        <v>2.0765048670615731E-11</v>
      </c>
      <c r="AW27" s="97">
        <f t="shared" si="12"/>
        <v>4.0365107414358762E-11</v>
      </c>
      <c r="AX27" s="97">
        <f t="shared" si="12"/>
        <v>7.3079608980823079E-11</v>
      </c>
      <c r="AY27" s="97">
        <f t="shared" si="12"/>
        <v>1.3606186569549706E-10</v>
      </c>
      <c r="AZ27" s="97">
        <f t="shared" si="12"/>
        <v>3.27524409416482E-10</v>
      </c>
      <c r="BA27" s="97">
        <f t="shared" si="12"/>
        <v>1.1926755665891478E-9</v>
      </c>
      <c r="BB27" s="97">
        <f t="shared" si="12"/>
        <v>5.4805936330328853E-9</v>
      </c>
      <c r="BC27" s="97">
        <f t="shared" si="12"/>
        <v>2.5761796737754852E-8</v>
      </c>
      <c r="BD27" s="97">
        <f t="shared" si="12"/>
        <v>1.1416766779650124E-7</v>
      </c>
      <c r="BE27" s="97">
        <f t="shared" si="12"/>
        <v>4.665839866047137E-7</v>
      </c>
      <c r="BF27" s="97">
        <f t="shared" si="12"/>
        <v>1.7490290214675576E-6</v>
      </c>
      <c r="BG27" s="97">
        <f t="shared" si="12"/>
        <v>6.0074245158157905E-6</v>
      </c>
      <c r="BH27" s="97">
        <f t="shared" si="12"/>
        <v>1.8910361184589754E-5</v>
      </c>
      <c r="BI27" s="97">
        <f t="shared" si="12"/>
        <v>5.4597932577598349E-5</v>
      </c>
      <c r="BJ27" s="97">
        <f t="shared" si="12"/>
        <v>1.4476897556130357E-4</v>
      </c>
      <c r="BK27" s="97">
        <f t="shared" si="12"/>
        <v>3.5319971381460384E-4</v>
      </c>
      <c r="BL27" s="97">
        <f t="shared" si="13"/>
        <v>7.9504432571999054E-4</v>
      </c>
      <c r="BM27" s="97">
        <f t="shared" si="13"/>
        <v>1.65747590191601E-3</v>
      </c>
      <c r="BN27" s="97">
        <f t="shared" si="13"/>
        <v>3.2169854782915768E-3</v>
      </c>
      <c r="BO27" s="97">
        <f t="shared" si="13"/>
        <v>5.8524659683754652E-3</v>
      </c>
      <c r="BP27" s="97">
        <f t="shared" si="13"/>
        <v>1.006194772167417E-2</v>
      </c>
      <c r="BQ27" s="97">
        <f t="shared" si="13"/>
        <v>1.6495427283839861E-2</v>
      </c>
      <c r="BR27" s="97">
        <f t="shared" si="13"/>
        <v>2.6000819428687445E-2</v>
      </c>
      <c r="BS27" s="97">
        <f t="shared" si="13"/>
        <v>3.9638082022916438E-2</v>
      </c>
      <c r="BT27" s="97">
        <f t="shared" si="13"/>
        <v>5.8571062538896566E-2</v>
      </c>
      <c r="BU27" s="97">
        <f t="shared" si="13"/>
        <v>8.3749847021582433E-2</v>
      </c>
      <c r="BV27" s="97">
        <f t="shared" si="13"/>
        <v>0.115391799038808</v>
      </c>
      <c r="BW27" s="97">
        <f t="shared" si="13"/>
        <v>0.15243717085836511</v>
      </c>
      <c r="BX27" s="97">
        <f t="shared" si="13"/>
        <v>0.19229357343833761</v>
      </c>
      <c r="BY27" s="97">
        <f t="shared" si="13"/>
        <v>0.23116259030583566</v>
      </c>
      <c r="BZ27" s="97">
        <f t="shared" si="13"/>
        <v>0.26500298877210299</v>
      </c>
      <c r="CA27" s="97">
        <f t="shared" si="13"/>
        <v>0.29081644694404624</v>
      </c>
      <c r="CB27" s="97">
        <f t="shared" si="7"/>
        <v>0.30766050689236057</v>
      </c>
      <c r="CC27" s="97">
        <f t="shared" si="7"/>
        <v>0.31682177367823372</v>
      </c>
      <c r="CD27" s="97">
        <f t="shared" si="7"/>
        <v>0.32097892042638632</v>
      </c>
      <c r="CE27" s="97">
        <f t="shared" si="7"/>
        <v>0.32275268532668516</v>
      </c>
      <c r="CF27" s="97">
        <f t="shared" si="7"/>
        <v>0.32341616164328374</v>
      </c>
      <c r="CG27" s="97">
        <f t="shared" si="7"/>
        <v>0.32244733184819191</v>
      </c>
      <c r="CH27" s="97">
        <f t="shared" si="7"/>
        <v>0.31808739491991267</v>
      </c>
      <c r="CI27" s="97">
        <f t="shared" si="7"/>
        <v>0.30847615683322749</v>
      </c>
      <c r="CJ27" s="97">
        <f t="shared" si="7"/>
        <v>0.29267131203303048</v>
      </c>
      <c r="CK27" s="97">
        <f t="shared" si="7"/>
        <v>0.27106135780597335</v>
      </c>
      <c r="CL27" s="97">
        <f t="shared" si="7"/>
        <v>0.2451407425541417</v>
      </c>
      <c r="CM27" s="97">
        <f t="shared" si="7"/>
        <v>0.2169698326671757</v>
      </c>
      <c r="CN27" s="97">
        <f t="shared" si="7"/>
        <v>0.18867976422621238</v>
      </c>
      <c r="CO27" s="97">
        <f t="shared" si="7"/>
        <v>0.16217409943314937</v>
      </c>
      <c r="CP27" s="97">
        <f t="shared" si="7"/>
        <v>0.13896042879540149</v>
      </c>
      <c r="CQ27" s="97">
        <f t="shared" si="14"/>
        <v>0.11999004352163932</v>
      </c>
      <c r="CR27" s="97">
        <f t="shared" si="14"/>
        <v>0.10548465401795219</v>
      </c>
      <c r="CS27" s="97">
        <f t="shared" si="14"/>
        <v>9.4851435266478976E-2</v>
      </c>
      <c r="CT27" s="97">
        <f t="shared" si="14"/>
        <v>8.6810025332952165E-2</v>
      </c>
      <c r="CU27" s="97">
        <f t="shared" si="15"/>
        <v>7.9758888920004947E-2</v>
      </c>
      <c r="CV27" s="97">
        <f t="shared" si="15"/>
        <v>7.2268507589286976E-2</v>
      </c>
      <c r="CW27" s="97">
        <f t="shared" si="15"/>
        <v>6.3504333970716975E-2</v>
      </c>
      <c r="CX27" s="97">
        <f t="shared" si="15"/>
        <v>5.3408604115797301E-2</v>
      </c>
      <c r="CY27" s="97">
        <f t="shared" si="15"/>
        <v>4.2588229064117147E-2</v>
      </c>
      <c r="CZ27" s="97">
        <f t="shared" si="15"/>
        <v>3.1992145605991784E-2</v>
      </c>
      <c r="DA27" s="97">
        <f t="shared" si="15"/>
        <v>2.2538943621449821E-2</v>
      </c>
      <c r="DB27" s="97">
        <f t="shared" si="15"/>
        <v>1.4843338714174528E-2</v>
      </c>
      <c r="DC27" s="97">
        <f t="shared" si="15"/>
        <v>9.1135878024151823E-3</v>
      </c>
      <c r="DD27" s="97">
        <f t="shared" si="15"/>
        <v>5.2048251532123705E-3</v>
      </c>
      <c r="DE27" s="97">
        <f t="shared" si="15"/>
        <v>2.7590752184982917E-3</v>
      </c>
      <c r="DF27" s="97">
        <f t="shared" si="15"/>
        <v>1.3548860756747946E-3</v>
      </c>
      <c r="DG27" s="97">
        <f t="shared" si="15"/>
        <v>6.1521054575639845E-4</v>
      </c>
      <c r="DH27" s="97">
        <f t="shared" si="15"/>
        <v>2.5786514772039383E-4</v>
      </c>
      <c r="DI27" s="97">
        <f t="shared" si="15"/>
        <v>9.9620714844124268E-5</v>
      </c>
      <c r="DJ27" s="97">
        <f t="shared" si="15"/>
        <v>3.5425309354686792E-5</v>
      </c>
      <c r="DK27" s="97">
        <f t="shared" si="16"/>
        <v>1.15819661339746E-5</v>
      </c>
      <c r="DL27" s="97">
        <f t="shared" si="16"/>
        <v>3.4779904640130283E-6</v>
      </c>
    </row>
    <row r="28" spans="1:116" x14ac:dyDescent="0.25">
      <c r="A28" s="60">
        <v>5</v>
      </c>
      <c r="B28" s="25">
        <v>3.4</v>
      </c>
      <c r="C28" s="25">
        <v>1.6</v>
      </c>
      <c r="D28" s="57">
        <v>0.4</v>
      </c>
      <c r="E28" s="82" t="s">
        <v>5</v>
      </c>
      <c r="L28" s="97" cm="1">
        <f t="array" ref="L28">EstymacjaGaussowska($O28,$D$2:$D$51,H$9)</f>
        <v>7.6458829146129692E-245</v>
      </c>
      <c r="M28" s="97" cm="1">
        <f t="array" ref="M28">EstymacjaGaussowska($O28,$D$52:$D$101,I$9)</f>
        <v>5.954026126996373E-8</v>
      </c>
      <c r="N28" s="97" cm="1">
        <f t="array" ref="N28">EstymacjaGaussowska($O28,$D$102:$D$151,J$9)</f>
        <v>0.94448997906532184</v>
      </c>
      <c r="O28" s="97">
        <v>2.31</v>
      </c>
      <c r="P28" s="97">
        <f t="shared" si="4"/>
        <v>1.5023117581828779E-47</v>
      </c>
      <c r="Q28" s="97">
        <f t="shared" si="4"/>
        <v>1.4414317076740285E-45</v>
      </c>
      <c r="R28" s="97">
        <f t="shared" si="4"/>
        <v>1.2225301914236658E-43</v>
      </c>
      <c r="S28" s="97">
        <f t="shared" si="4"/>
        <v>9.1655099807284385E-42</v>
      </c>
      <c r="T28" s="97">
        <f t="shared" si="4"/>
        <v>6.0741456151861672E-40</v>
      </c>
      <c r="U28" s="97">
        <f t="shared" si="4"/>
        <v>3.5583223769490307E-38</v>
      </c>
      <c r="V28" s="97">
        <f t="shared" si="4"/>
        <v>1.8426248402617113E-36</v>
      </c>
      <c r="W28" s="97">
        <f t="shared" si="4"/>
        <v>8.4345147543774446E-35</v>
      </c>
      <c r="X28" s="97">
        <f t="shared" ref="X28:AM43" si="17">$H$2*$L28*X$1+$I$2*$M28*X$2+$J$2*$N28*X$3</f>
        <v>3.4128315728873878E-33</v>
      </c>
      <c r="Y28" s="97">
        <f t="shared" si="17"/>
        <v>1.2206782805917476E-31</v>
      </c>
      <c r="Z28" s="97">
        <f t="shared" si="17"/>
        <v>3.8593951069457759E-30</v>
      </c>
      <c r="AA28" s="97">
        <f t="shared" si="17"/>
        <v>1.0786213633815935E-28</v>
      </c>
      <c r="AB28" s="97">
        <f t="shared" si="17"/>
        <v>2.664714497061297E-27</v>
      </c>
      <c r="AC28" s="97">
        <f t="shared" si="17"/>
        <v>5.8192158236683658E-26</v>
      </c>
      <c r="AD28" s="97">
        <f t="shared" si="17"/>
        <v>1.1233386726613827E-24</v>
      </c>
      <c r="AE28" s="97">
        <f t="shared" si="17"/>
        <v>1.9168581780368821E-23</v>
      </c>
      <c r="AF28" s="97">
        <f t="shared" si="17"/>
        <v>2.8913666633889036E-22</v>
      </c>
      <c r="AG28" s="97">
        <f t="shared" si="17"/>
        <v>3.8552423666091889E-21</v>
      </c>
      <c r="AH28" s="97">
        <f t="shared" si="17"/>
        <v>4.5439942912542762E-20</v>
      </c>
      <c r="AI28" s="97">
        <f t="shared" si="17"/>
        <v>4.7344006848421092E-19</v>
      </c>
      <c r="AJ28" s="97">
        <f t="shared" si="17"/>
        <v>4.3605277634073482E-18</v>
      </c>
      <c r="AK28" s="97">
        <f t="shared" si="17"/>
        <v>3.5503316472970504E-17</v>
      </c>
      <c r="AL28" s="97">
        <f t="shared" si="17"/>
        <v>2.5554591197017555E-16</v>
      </c>
      <c r="AM28" s="97">
        <f t="shared" si="17"/>
        <v>1.6261547592747674E-15</v>
      </c>
      <c r="AN28" s="97">
        <f t="shared" si="11"/>
        <v>9.1492176663983447E-15</v>
      </c>
      <c r="AO28" s="97">
        <f t="shared" si="11"/>
        <v>4.5519012215165276E-14</v>
      </c>
      <c r="AP28" s="97">
        <f t="shared" si="11"/>
        <v>2.0029965583668419E-13</v>
      </c>
      <c r="AQ28" s="97">
        <f t="shared" si="11"/>
        <v>7.7981587843701122E-13</v>
      </c>
      <c r="AR28" s="97">
        <f t="shared" si="11"/>
        <v>2.6875764821576618E-12</v>
      </c>
      <c r="AS28" s="97">
        <f t="shared" si="11"/>
        <v>8.2064706430237411E-12</v>
      </c>
      <c r="AT28" s="97">
        <f t="shared" si="11"/>
        <v>2.2231472998066851E-11</v>
      </c>
      <c r="AU28" s="97">
        <f t="shared" si="11"/>
        <v>5.3547552141692737E-11</v>
      </c>
      <c r="AV28" s="97">
        <f t="shared" si="12"/>
        <v>1.1508203996787873E-10</v>
      </c>
      <c r="AW28" s="97">
        <f t="shared" si="12"/>
        <v>2.2203562555891448E-10</v>
      </c>
      <c r="AX28" s="97">
        <f t="shared" si="12"/>
        <v>3.8927065601783412E-10</v>
      </c>
      <c r="AY28" s="97">
        <f t="shared" si="12"/>
        <v>6.3923391757107374E-10</v>
      </c>
      <c r="AZ28" s="97">
        <f t="shared" si="12"/>
        <v>1.0737209792110216E-9</v>
      </c>
      <c r="BA28" s="97">
        <f t="shared" si="12"/>
        <v>2.2625403177366516E-9</v>
      </c>
      <c r="BB28" s="97">
        <f t="shared" si="12"/>
        <v>7.0962266113758226E-9</v>
      </c>
      <c r="BC28" s="97">
        <f t="shared" si="12"/>
        <v>2.8801504444645346E-8</v>
      </c>
      <c r="BD28" s="97">
        <f t="shared" si="12"/>
        <v>1.2223152016091017E-7</v>
      </c>
      <c r="BE28" s="97">
        <f t="shared" si="12"/>
        <v>4.9350808652332461E-7</v>
      </c>
      <c r="BF28" s="97">
        <f t="shared" si="12"/>
        <v>1.8434830532178809E-6</v>
      </c>
      <c r="BG28" s="97">
        <f t="shared" si="12"/>
        <v>6.3251243509243504E-6</v>
      </c>
      <c r="BH28" s="97">
        <f t="shared" si="12"/>
        <v>1.9903635069237933E-5</v>
      </c>
      <c r="BI28" s="97">
        <f t="shared" si="12"/>
        <v>5.7458969777721137E-5</v>
      </c>
      <c r="BJ28" s="97">
        <f t="shared" si="12"/>
        <v>1.5234848129550035E-4</v>
      </c>
      <c r="BK28" s="97">
        <f t="shared" ref="BK28:BZ43" si="18">$H$2*$L28*BK$1+$I$2*$M28*BK$2+$J$2*$N28*BK$3</f>
        <v>3.7168512187650646E-4</v>
      </c>
      <c r="BL28" s="97">
        <f t="shared" si="18"/>
        <v>8.3664776884527752E-4</v>
      </c>
      <c r="BM28" s="97">
        <f t="shared" si="18"/>
        <v>1.7442021102949338E-3</v>
      </c>
      <c r="BN28" s="97">
        <f t="shared" si="18"/>
        <v>3.3853048038584984E-3</v>
      </c>
      <c r="BO28" s="97">
        <f t="shared" si="18"/>
        <v>6.1586720136738273E-3</v>
      </c>
      <c r="BP28" s="97">
        <f t="shared" si="18"/>
        <v>1.058839058257648E-2</v>
      </c>
      <c r="BQ28" s="97">
        <f t="shared" si="18"/>
        <v>1.7358464324108928E-2</v>
      </c>
      <c r="BR28" s="97">
        <f t="shared" si="18"/>
        <v>2.7361170146893876E-2</v>
      </c>
      <c r="BS28" s="97">
        <f t="shared" si="18"/>
        <v>4.1711921865025328E-2</v>
      </c>
      <c r="BT28" s="97">
        <f t="shared" si="18"/>
        <v>6.1635458231385901E-2</v>
      </c>
      <c r="BU28" s="97">
        <f t="shared" si="18"/>
        <v>8.8131572767311317E-2</v>
      </c>
      <c r="BV28" s="97">
        <f t="shared" si="18"/>
        <v>0.12142900123413408</v>
      </c>
      <c r="BW28" s="97">
        <f t="shared" si="18"/>
        <v>0.16041255093504864</v>
      </c>
      <c r="BX28" s="97">
        <f t="shared" si="18"/>
        <v>0.20235420159769518</v>
      </c>
      <c r="BY28" s="97">
        <f t="shared" si="18"/>
        <v>0.24325680733332336</v>
      </c>
      <c r="BZ28" s="97">
        <f t="shared" si="18"/>
        <v>0.27886770210744999</v>
      </c>
      <c r="CA28" s="97">
        <f t="shared" si="13"/>
        <v>0.3060316947528649</v>
      </c>
      <c r="CB28" s="97">
        <f t="shared" si="7"/>
        <v>0.32375701889215253</v>
      </c>
      <c r="CC28" s="97">
        <f t="shared" si="7"/>
        <v>0.3333975935836454</v>
      </c>
      <c r="CD28" s="97">
        <f t="shared" si="7"/>
        <v>0.3377722376155608</v>
      </c>
      <c r="CE28" s="97">
        <f t="shared" si="7"/>
        <v>0.33963880371835004</v>
      </c>
      <c r="CF28" s="97">
        <f t="shared" si="7"/>
        <v>0.34033699216303159</v>
      </c>
      <c r="CG28" s="97">
        <f t="shared" si="7"/>
        <v>0.33931747390802858</v>
      </c>
      <c r="CH28" s="97">
        <f t="shared" si="7"/>
        <v>0.3347294290672071</v>
      </c>
      <c r="CI28" s="97">
        <f t="shared" si="7"/>
        <v>0.32461533997213932</v>
      </c>
      <c r="CJ28" s="97">
        <f t="shared" si="7"/>
        <v>0.30798360049948537</v>
      </c>
      <c r="CK28" s="97">
        <f t="shared" si="7"/>
        <v>0.28524303373424637</v>
      </c>
      <c r="CL28" s="97">
        <f t="shared" si="7"/>
        <v>0.25796627620905538</v>
      </c>
      <c r="CM28" s="97">
        <f t="shared" si="7"/>
        <v>0.22832149074658287</v>
      </c>
      <c r="CN28" s="97">
        <f t="shared" si="7"/>
        <v>0.19855131246695776</v>
      </c>
      <c r="CO28" s="97">
        <f t="shared" si="7"/>
        <v>0.17065889616008703</v>
      </c>
      <c r="CP28" s="97">
        <f t="shared" si="7"/>
        <v>0.14623070805415389</v>
      </c>
      <c r="CQ28" s="97">
        <f t="shared" si="14"/>
        <v>0.12626781002131215</v>
      </c>
      <c r="CR28" s="97">
        <f t="shared" si="14"/>
        <v>0.11100351214807717</v>
      </c>
      <c r="CS28" s="97">
        <f t="shared" si="14"/>
        <v>9.9813973367853789E-2</v>
      </c>
      <c r="CT28" s="97">
        <f t="shared" si="14"/>
        <v>9.135184441123799E-2</v>
      </c>
      <c r="CU28" s="97">
        <f t="shared" si="15"/>
        <v>8.3931799156701431E-2</v>
      </c>
      <c r="CV28" s="97">
        <f t="shared" si="15"/>
        <v>7.6049528102405908E-2</v>
      </c>
      <c r="CW28" s="97">
        <f t="shared" si="15"/>
        <v>6.6826821142858747E-2</v>
      </c>
      <c r="CX28" s="97">
        <f t="shared" si="15"/>
        <v>5.6202892173972362E-2</v>
      </c>
      <c r="CY28" s="97">
        <f t="shared" si="15"/>
        <v>4.4816405251509532E-2</v>
      </c>
      <c r="CZ28" s="97">
        <f t="shared" si="15"/>
        <v>3.3665944648340822E-2</v>
      </c>
      <c r="DA28" s="97">
        <f t="shared" si="15"/>
        <v>2.3718160005176084E-2</v>
      </c>
      <c r="DB28" s="97">
        <f t="shared" si="15"/>
        <v>1.5619928269343174E-2</v>
      </c>
      <c r="DC28" s="97">
        <f t="shared" si="15"/>
        <v>9.5904021656628112E-3</v>
      </c>
      <c r="DD28" s="97">
        <f t="shared" si="15"/>
        <v>5.4771367219434604E-3</v>
      </c>
      <c r="DE28" s="97">
        <f t="shared" si="15"/>
        <v>2.9034274453031885E-3</v>
      </c>
      <c r="DF28" s="97">
        <f t="shared" si="15"/>
        <v>1.4257724439692607E-3</v>
      </c>
      <c r="DG28" s="97">
        <f t="shared" si="15"/>
        <v>6.4739778430588887E-4</v>
      </c>
      <c r="DH28" s="97">
        <f t="shared" si="15"/>
        <v>2.7135641031419603E-4</v>
      </c>
      <c r="DI28" s="97">
        <f t="shared" si="15"/>
        <v>1.0483277717835523E-4</v>
      </c>
      <c r="DJ28" s="97">
        <f t="shared" si="15"/>
        <v>3.7278728303295477E-5</v>
      </c>
      <c r="DK28" s="97">
        <f t="shared" si="16"/>
        <v>1.2187923735640897E-5</v>
      </c>
      <c r="DL28" s="97">
        <f t="shared" si="16"/>
        <v>3.659955661960671E-6</v>
      </c>
    </row>
    <row r="29" spans="1:116" x14ac:dyDescent="0.25">
      <c r="A29" s="60">
        <v>5.2</v>
      </c>
      <c r="B29" s="25">
        <v>3.5</v>
      </c>
      <c r="C29" s="25">
        <v>1.5</v>
      </c>
      <c r="D29" s="57">
        <v>0.2</v>
      </c>
      <c r="E29" s="82" t="s">
        <v>5</v>
      </c>
      <c r="L29" s="97" cm="1">
        <f t="array" ref="L29">EstymacjaGaussowska($O29,$D$2:$D$51,H$9)</f>
        <v>2.2168718870945984E-236</v>
      </c>
      <c r="M29" s="97" cm="1">
        <f t="array" ref="M29">EstymacjaGaussowska($O29,$D$52:$D$101,I$9)</f>
        <v>2.9994162368168972E-7</v>
      </c>
      <c r="N29" s="97" cm="1">
        <f t="array" ref="N29">EstymacjaGaussowska($O29,$D$102:$D$151,J$9)</f>
        <v>0.97948058098277135</v>
      </c>
      <c r="O29" s="97">
        <v>2.28000000000001</v>
      </c>
      <c r="P29" s="97">
        <f t="shared" ref="P29:AE44" si="19">$H$2*$L29*P$1+$I$2*$M29*P$2+$J$2*$N29*P$3</f>
        <v>7.5680861725204342E-47</v>
      </c>
      <c r="Q29" s="97">
        <f t="shared" si="19"/>
        <v>7.2613951904864101E-45</v>
      </c>
      <c r="R29" s="97">
        <f t="shared" si="19"/>
        <v>6.158651016878963E-43</v>
      </c>
      <c r="S29" s="97">
        <f t="shared" si="19"/>
        <v>4.6172419919784055E-41</v>
      </c>
      <c r="T29" s="97">
        <f t="shared" si="19"/>
        <v>3.0599279536871014E-39</v>
      </c>
      <c r="U29" s="97">
        <f t="shared" si="19"/>
        <v>1.7925500637052072E-37</v>
      </c>
      <c r="V29" s="97">
        <f t="shared" si="19"/>
        <v>9.2824565199400946E-36</v>
      </c>
      <c r="W29" s="97">
        <f t="shared" si="19"/>
        <v>4.2489938680725537E-34</v>
      </c>
      <c r="X29" s="97">
        <f t="shared" si="19"/>
        <v>1.7192572244226556E-32</v>
      </c>
      <c r="Y29" s="97">
        <f t="shared" si="19"/>
        <v>6.1493217809973409E-31</v>
      </c>
      <c r="Z29" s="97">
        <f t="shared" si="19"/>
        <v>1.9442192730021572E-29</v>
      </c>
      <c r="AA29" s="97">
        <f t="shared" si="19"/>
        <v>5.4336920290545359E-28</v>
      </c>
      <c r="AB29" s="97">
        <f t="shared" si="19"/>
        <v>1.3423837515134795E-26</v>
      </c>
      <c r="AC29" s="97">
        <f t="shared" si="19"/>
        <v>2.931503835347805E-25</v>
      </c>
      <c r="AD29" s="97">
        <f t="shared" si="19"/>
        <v>5.6589611505850182E-24</v>
      </c>
      <c r="AE29" s="97">
        <f t="shared" si="19"/>
        <v>9.6564163815250877E-23</v>
      </c>
      <c r="AF29" s="97">
        <f t="shared" si="17"/>
        <v>1.4565626572286304E-21</v>
      </c>
      <c r="AG29" s="97">
        <f t="shared" si="17"/>
        <v>1.942127277338486E-20</v>
      </c>
      <c r="AH29" s="97">
        <f t="shared" si="17"/>
        <v>2.2890948017923466E-19</v>
      </c>
      <c r="AI29" s="97">
        <f t="shared" si="17"/>
        <v>2.3850144393711124E-18</v>
      </c>
      <c r="AJ29" s="97">
        <f t="shared" si="17"/>
        <v>2.1966712094517174E-17</v>
      </c>
      <c r="AK29" s="97">
        <f t="shared" si="17"/>
        <v>1.7885246317396165E-16</v>
      </c>
      <c r="AL29" s="97">
        <f t="shared" si="17"/>
        <v>1.2873449673096363E-15</v>
      </c>
      <c r="AM29" s="97">
        <f t="shared" si="17"/>
        <v>8.1919609883343073E-15</v>
      </c>
      <c r="AN29" s="97">
        <f t="shared" si="11"/>
        <v>4.6090344911340355E-14</v>
      </c>
      <c r="AO29" s="97">
        <f t="shared" si="11"/>
        <v>2.293077948698783E-13</v>
      </c>
      <c r="AP29" s="97">
        <f t="shared" si="11"/>
        <v>1.0090348317647519E-12</v>
      </c>
      <c r="AQ29" s="97">
        <f t="shared" si="11"/>
        <v>3.9284199142180031E-12</v>
      </c>
      <c r="AR29" s="97">
        <f t="shared" si="11"/>
        <v>1.3538987310288241E-11</v>
      </c>
      <c r="AS29" s="97">
        <f t="shared" si="11"/>
        <v>4.1340894076458051E-11</v>
      </c>
      <c r="AT29" s="97">
        <f t="shared" si="11"/>
        <v>1.1199120469816927E-10</v>
      </c>
      <c r="AU29" s="97">
        <f t="shared" ref="AU29:BJ46" si="20">$H$2*$L29*AU$1+$I$2*$M29*AU$2+$J$2*$N29*AU$3</f>
        <v>2.6972596416959692E-10</v>
      </c>
      <c r="AV29" s="97">
        <f t="shared" si="20"/>
        <v>5.7949686379447474E-10</v>
      </c>
      <c r="AW29" s="97">
        <f t="shared" si="20"/>
        <v>1.1164959079276632E-9</v>
      </c>
      <c r="AX29" s="97">
        <f t="shared" si="20"/>
        <v>1.9454218618852957E-9</v>
      </c>
      <c r="AY29" s="97">
        <f t="shared" si="20"/>
        <v>3.1112502571170554E-9</v>
      </c>
      <c r="AZ29" s="97">
        <f t="shared" si="20"/>
        <v>4.7118712627501096E-9</v>
      </c>
      <c r="BA29" s="97">
        <f t="shared" si="20"/>
        <v>7.3188325520440291E-9</v>
      </c>
      <c r="BB29" s="97">
        <f t="shared" si="20"/>
        <v>1.3918043363062668E-8</v>
      </c>
      <c r="BC29" s="97">
        <f t="shared" si="20"/>
        <v>3.82189783039478E-8</v>
      </c>
      <c r="BD29" s="97">
        <f t="shared" si="20"/>
        <v>1.3707879192599353E-7</v>
      </c>
      <c r="BE29" s="97">
        <f t="shared" si="20"/>
        <v>5.2419367979659197E-7</v>
      </c>
      <c r="BF29" s="97">
        <f t="shared" si="20"/>
        <v>1.9263214270372707E-6</v>
      </c>
      <c r="BG29" s="97">
        <f t="shared" si="20"/>
        <v>6.576218206381452E-6</v>
      </c>
      <c r="BH29" s="97">
        <f t="shared" si="20"/>
        <v>2.0660263252763449E-5</v>
      </c>
      <c r="BI29" s="97">
        <f t="shared" si="20"/>
        <v>5.9609988900185783E-5</v>
      </c>
      <c r="BJ29" s="97">
        <f t="shared" si="20"/>
        <v>1.5801884941728312E-4</v>
      </c>
      <c r="BK29" s="97">
        <f t="shared" si="18"/>
        <v>3.8548621729017748E-4</v>
      </c>
      <c r="BL29" s="97">
        <f t="shared" si="18"/>
        <v>8.6767999987437882E-4</v>
      </c>
      <c r="BM29" s="97">
        <f t="shared" si="18"/>
        <v>1.8088622828722847E-3</v>
      </c>
      <c r="BN29" s="97">
        <f t="shared" si="18"/>
        <v>3.5107681795103394E-3</v>
      </c>
      <c r="BO29" s="97">
        <f t="shared" si="18"/>
        <v>6.3868847750086855E-3</v>
      </c>
      <c r="BP29" s="97">
        <f t="shared" si="18"/>
        <v>1.0980714865496623E-2</v>
      </c>
      <c r="BQ29" s="97">
        <f t="shared" si="18"/>
        <v>1.8001602901490565E-2</v>
      </c>
      <c r="BR29" s="97">
        <f t="shared" si="18"/>
        <v>2.8374882196377918E-2</v>
      </c>
      <c r="BS29" s="97">
        <f t="shared" si="18"/>
        <v>4.3257289131149131E-2</v>
      </c>
      <c r="BT29" s="97">
        <f t="shared" si="18"/>
        <v>6.3918934832886104E-2</v>
      </c>
      <c r="BU29" s="97">
        <f t="shared" si="18"/>
        <v>9.1396651598093515E-2</v>
      </c>
      <c r="BV29" s="97">
        <f t="shared" si="18"/>
        <v>0.12592764886360314</v>
      </c>
      <c r="BW29" s="97">
        <f t="shared" si="18"/>
        <v>0.16635541950197674</v>
      </c>
      <c r="BX29" s="97">
        <f t="shared" si="18"/>
        <v>0.20985087868941163</v>
      </c>
      <c r="BY29" s="97">
        <f t="shared" si="18"/>
        <v>0.25226879876805791</v>
      </c>
      <c r="BZ29" s="97">
        <f t="shared" si="18"/>
        <v>0.28919896559191494</v>
      </c>
      <c r="CA29" s="97">
        <f t="shared" si="13"/>
        <v>0.31736929791762286</v>
      </c>
      <c r="CB29" s="97">
        <f t="shared" si="7"/>
        <v>0.33575128764132456</v>
      </c>
      <c r="CC29" s="97">
        <f t="shared" si="7"/>
        <v>0.34574901271332992</v>
      </c>
      <c r="CD29" s="97">
        <f t="shared" si="7"/>
        <v>0.35028572093931787</v>
      </c>
      <c r="CE29" s="97">
        <f t="shared" si="7"/>
        <v>0.35222143534638894</v>
      </c>
      <c r="CF29" s="97">
        <f t="shared" si="7"/>
        <v>0.35294548800844583</v>
      </c>
      <c r="CG29" s="97">
        <f t="shared" si="7"/>
        <v>0.35188819861493831</v>
      </c>
      <c r="CH29" s="97">
        <f t="shared" si="7"/>
        <v>0.34713017957160669</v>
      </c>
      <c r="CI29" s="97">
        <f t="shared" si="7"/>
        <v>0.33664139270066545</v>
      </c>
      <c r="CJ29" s="97">
        <f t="shared" si="7"/>
        <v>0.31939349563422353</v>
      </c>
      <c r="CK29" s="97">
        <f t="shared" si="7"/>
        <v>0.29581045708648152</v>
      </c>
      <c r="CL29" s="97">
        <f t="shared" si="7"/>
        <v>0.26752317515354745</v>
      </c>
      <c r="CM29" s="97">
        <f t="shared" si="7"/>
        <v>0.23678013675690032</v>
      </c>
      <c r="CN29" s="97">
        <f t="shared" si="7"/>
        <v>0.20590706010748663</v>
      </c>
      <c r="CO29" s="97">
        <f t="shared" si="7"/>
        <v>0.17698131104179701</v>
      </c>
      <c r="CP29" s="97">
        <f t="shared" si="7"/>
        <v>0.15164812973892805</v>
      </c>
      <c r="CQ29" s="97">
        <f t="shared" si="14"/>
        <v>0.13094566449661096</v>
      </c>
      <c r="CR29" s="97">
        <f t="shared" si="14"/>
        <v>0.11511586886027449</v>
      </c>
      <c r="CS29" s="97">
        <f t="shared" si="14"/>
        <v>0.10351179026938383</v>
      </c>
      <c r="CT29" s="97">
        <f t="shared" si="14"/>
        <v>9.4736164089654962E-2</v>
      </c>
      <c r="CU29" s="97">
        <f t="shared" si="15"/>
        <v>8.7041227777017532E-2</v>
      </c>
      <c r="CV29" s="97">
        <f t="shared" si="15"/>
        <v>7.8866941545452235E-2</v>
      </c>
      <c r="CW29" s="97">
        <f t="shared" si="15"/>
        <v>6.9302560163755911E-2</v>
      </c>
      <c r="CX29" s="97">
        <f t="shared" si="15"/>
        <v>5.8285045579787156E-2</v>
      </c>
      <c r="CY29" s="97">
        <f t="shared" si="15"/>
        <v>4.6476722491803096E-2</v>
      </c>
      <c r="CZ29" s="97">
        <f t="shared" si="15"/>
        <v>3.4913169810571486E-2</v>
      </c>
      <c r="DA29" s="97">
        <f t="shared" si="15"/>
        <v>2.4596848729620549E-2</v>
      </c>
      <c r="DB29" s="97">
        <f t="shared" si="15"/>
        <v>1.6198601102476434E-2</v>
      </c>
      <c r="DC29" s="97">
        <f t="shared" si="15"/>
        <v>9.9456986239047935E-3</v>
      </c>
      <c r="DD29" s="97">
        <f t="shared" si="15"/>
        <v>5.6800486796485328E-3</v>
      </c>
      <c r="DE29" s="97">
        <f t="shared" si="15"/>
        <v>3.0109909729070902E-3</v>
      </c>
      <c r="DF29" s="97">
        <f t="shared" si="15"/>
        <v>1.4785931589769178E-3</v>
      </c>
      <c r="DG29" s="97">
        <f t="shared" si="15"/>
        <v>6.7138198599673551E-4</v>
      </c>
      <c r="DH29" s="97">
        <f t="shared" si="15"/>
        <v>2.814093747092745E-4</v>
      </c>
      <c r="DI29" s="97">
        <f t="shared" si="15"/>
        <v>1.0871652613859148E-4</v>
      </c>
      <c r="DJ29" s="97">
        <f t="shared" si="15"/>
        <v>3.8659796573961751E-5</v>
      </c>
      <c r="DK29" s="97">
        <f t="shared" si="16"/>
        <v>1.2639450800074208E-5</v>
      </c>
      <c r="DL29" s="97">
        <f t="shared" si="16"/>
        <v>3.7955463558184444E-6</v>
      </c>
    </row>
    <row r="30" spans="1:116" x14ac:dyDescent="0.25">
      <c r="A30" s="60">
        <v>5.2</v>
      </c>
      <c r="B30" s="25">
        <v>3.4</v>
      </c>
      <c r="C30" s="25">
        <v>1.4</v>
      </c>
      <c r="D30" s="57">
        <v>0.2</v>
      </c>
      <c r="E30" s="82" t="s">
        <v>5</v>
      </c>
      <c r="L30" s="97" cm="1">
        <f t="array" ref="L30">EstymacjaGaussowska($O30,$D$2:$D$51,H$9)</f>
        <v>4.5527950280995003E-228</v>
      </c>
      <c r="M30" s="97" cm="1">
        <f t="array" ref="M30">EstymacjaGaussowska($O30,$D$52:$D$101,I$9)</f>
        <v>1.3704826948698888E-6</v>
      </c>
      <c r="N30" s="97" cm="1">
        <f t="array" ref="N30">EstymacjaGaussowska($O30,$D$102:$D$151,J$9)</f>
        <v>1.0044303050227998</v>
      </c>
      <c r="O30" s="97">
        <v>2.25</v>
      </c>
      <c r="P30" s="97">
        <f t="shared" si="19"/>
        <v>3.4579832586791829E-46</v>
      </c>
      <c r="Q30" s="97">
        <f t="shared" si="19"/>
        <v>3.3178510961633406E-44</v>
      </c>
      <c r="R30" s="97">
        <f t="shared" si="19"/>
        <v>2.8139891152061904E-42</v>
      </c>
      <c r="S30" s="97">
        <f t="shared" si="19"/>
        <v>2.1096939365602527E-40</v>
      </c>
      <c r="T30" s="97">
        <f t="shared" si="19"/>
        <v>1.39813149525629E-38</v>
      </c>
      <c r="U30" s="97">
        <f t="shared" si="19"/>
        <v>8.1904565689856025E-37</v>
      </c>
      <c r="V30" s="97">
        <f t="shared" si="19"/>
        <v>4.2413073151729639E-35</v>
      </c>
      <c r="W30" s="97">
        <f t="shared" si="19"/>
        <v>1.9414353017510807E-33</v>
      </c>
      <c r="X30" s="97">
        <f t="shared" si="19"/>
        <v>7.8555695110919101E-32</v>
      </c>
      <c r="Y30" s="97">
        <f t="shared" si="19"/>
        <v>2.8097264336299588E-30</v>
      </c>
      <c r="Z30" s="97">
        <f t="shared" si="19"/>
        <v>8.8834581742134697E-29</v>
      </c>
      <c r="AA30" s="97">
        <f t="shared" si="19"/>
        <v>2.4827434097557901E-27</v>
      </c>
      <c r="AB30" s="97">
        <f t="shared" si="19"/>
        <v>6.1335725223522395E-26</v>
      </c>
      <c r="AC30" s="97">
        <f t="shared" si="19"/>
        <v>1.3394523997617633E-24</v>
      </c>
      <c r="AD30" s="97">
        <f t="shared" si="19"/>
        <v>2.5856725827582504E-23</v>
      </c>
      <c r="AE30" s="97">
        <f t="shared" si="19"/>
        <v>4.4121757370297651E-22</v>
      </c>
      <c r="AF30" s="97">
        <f t="shared" si="17"/>
        <v>6.6552747538746693E-21</v>
      </c>
      <c r="AG30" s="97">
        <f t="shared" si="17"/>
        <v>8.8738995013565632E-20</v>
      </c>
      <c r="AH30" s="97">
        <f t="shared" si="17"/>
        <v>1.0459251284494813E-18</v>
      </c>
      <c r="AI30" s="97">
        <f t="shared" si="17"/>
        <v>1.0897523911591756E-17</v>
      </c>
      <c r="AJ30" s="97">
        <f t="shared" si="17"/>
        <v>1.0036952663874809E-16</v>
      </c>
      <c r="AK30" s="97">
        <f t="shared" si="17"/>
        <v>8.172063706695866E-16</v>
      </c>
      <c r="AL30" s="97">
        <f t="shared" si="17"/>
        <v>5.8820912485451005E-15</v>
      </c>
      <c r="AM30" s="97">
        <f t="shared" si="17"/>
        <v>3.7430419385471452E-14</v>
      </c>
      <c r="AN30" s="97">
        <f t="shared" ref="AN30:BC47" si="21">$H$2*$L30*AN$1+$I$2*$M30*AN$2+$J$2*$N30*AN$3</f>
        <v>2.1059437904647311E-13</v>
      </c>
      <c r="AO30" s="97">
        <f t="shared" si="21"/>
        <v>1.0477450875031335E-12</v>
      </c>
      <c r="AP30" s="97">
        <f t="shared" si="21"/>
        <v>4.6104462878135139E-12</v>
      </c>
      <c r="AQ30" s="97">
        <f t="shared" si="21"/>
        <v>1.7949596376932366E-11</v>
      </c>
      <c r="AR30" s="97">
        <f t="shared" si="21"/>
        <v>6.1861844908985542E-11</v>
      </c>
      <c r="AS30" s="97">
        <f t="shared" si="21"/>
        <v>1.8889313243636055E-10</v>
      </c>
      <c r="AT30" s="97">
        <f t="shared" si="21"/>
        <v>5.1170381943489798E-10</v>
      </c>
      <c r="AU30" s="97">
        <f t="shared" si="21"/>
        <v>1.2323979089441445E-9</v>
      </c>
      <c r="AV30" s="97">
        <f t="shared" si="21"/>
        <v>2.6475929443236336E-9</v>
      </c>
      <c r="AW30" s="97">
        <f t="shared" si="21"/>
        <v>5.0995827787624731E-9</v>
      </c>
      <c r="AX30" s="97">
        <f t="shared" si="21"/>
        <v>8.8746424424411469E-9</v>
      </c>
      <c r="AY30" s="97">
        <f t="shared" si="21"/>
        <v>1.4115712394422556E-8</v>
      </c>
      <c r="AZ30" s="97">
        <f t="shared" si="21"/>
        <v>2.0888920855450417E-8</v>
      </c>
      <c r="BA30" s="97">
        <f t="shared" si="21"/>
        <v>2.9693936936655876E-8</v>
      </c>
      <c r="BB30" s="97">
        <f t="shared" si="21"/>
        <v>4.3540468662244334E-8</v>
      </c>
      <c r="BC30" s="97">
        <f t="shared" si="21"/>
        <v>7.6454800505220591E-8</v>
      </c>
      <c r="BD30" s="97">
        <f t="shared" si="20"/>
        <v>1.8661680148390627E-7</v>
      </c>
      <c r="BE30" s="97">
        <f t="shared" si="20"/>
        <v>5.928901193900372E-7</v>
      </c>
      <c r="BF30" s="97">
        <f t="shared" si="20"/>
        <v>2.0402833885459103E-6</v>
      </c>
      <c r="BG30" s="97">
        <f t="shared" si="20"/>
        <v>6.8185471651786815E-6</v>
      </c>
      <c r="BH30" s="97">
        <f t="shared" si="20"/>
        <v>2.1272458117970983E-5</v>
      </c>
      <c r="BI30" s="97">
        <f t="shared" si="20"/>
        <v>6.1228049377113825E-5</v>
      </c>
      <c r="BJ30" s="97">
        <f t="shared" si="20"/>
        <v>1.6216133119973912E-4</v>
      </c>
      <c r="BK30" s="97">
        <f t="shared" si="18"/>
        <v>3.9544490027654407E-4</v>
      </c>
      <c r="BL30" s="97">
        <f t="shared" si="18"/>
        <v>8.8994641421558617E-4</v>
      </c>
      <c r="BM30" s="97">
        <f t="shared" si="18"/>
        <v>1.8551282950611731E-3</v>
      </c>
      <c r="BN30" s="97">
        <f t="shared" si="18"/>
        <v>3.6004087147217929E-3</v>
      </c>
      <c r="BO30" s="97">
        <f t="shared" si="18"/>
        <v>6.5498057012425654E-3</v>
      </c>
      <c r="BP30" s="97">
        <f t="shared" si="18"/>
        <v>1.1260666652825858E-2</v>
      </c>
      <c r="BQ30" s="97">
        <f t="shared" si="18"/>
        <v>1.846040601527224E-2</v>
      </c>
      <c r="BR30" s="97">
        <f t="shared" si="18"/>
        <v>2.9097928211945828E-2</v>
      </c>
      <c r="BS30" s="97">
        <f t="shared" si="18"/>
        <v>4.4359433296012815E-2</v>
      </c>
      <c r="BT30" s="97">
        <f t="shared" si="18"/>
        <v>6.5547382373431232E-2</v>
      </c>
      <c r="BU30" s="97">
        <f t="shared" si="18"/>
        <v>9.3725015397330316E-2</v>
      </c>
      <c r="BV30" s="97">
        <f t="shared" si="18"/>
        <v>0.12913558267976349</v>
      </c>
      <c r="BW30" s="97">
        <f t="shared" si="18"/>
        <v>0.17059311901315324</v>
      </c>
      <c r="BX30" s="97">
        <f t="shared" si="18"/>
        <v>0.21519647889209373</v>
      </c>
      <c r="BY30" s="97">
        <f t="shared" si="18"/>
        <v>0.2586948494989415</v>
      </c>
      <c r="BZ30" s="97">
        <f t="shared" si="18"/>
        <v>0.29656568139308292</v>
      </c>
      <c r="CA30" s="97">
        <f t="shared" si="13"/>
        <v>0.32545354807521382</v>
      </c>
      <c r="CB30" s="97">
        <f t="shared" si="7"/>
        <v>0.34430374433356303</v>
      </c>
      <c r="CC30" s="97">
        <f t="shared" si="7"/>
        <v>0.35455611396267295</v>
      </c>
      <c r="CD30" s="97">
        <f t="shared" si="7"/>
        <v>0.35920836688788815</v>
      </c>
      <c r="CE30" s="97">
        <f t="shared" si="7"/>
        <v>0.36119337729593837</v>
      </c>
      <c r="CF30" s="97">
        <f t="shared" si="7"/>
        <v>0.36193586604425865</v>
      </c>
      <c r="CG30" s="97">
        <f t="shared" si="7"/>
        <v>0.36085164067635678</v>
      </c>
      <c r="CH30" s="97">
        <f t="shared" si="7"/>
        <v>0.35597242118519257</v>
      </c>
      <c r="CI30" s="97">
        <f t="shared" si="7"/>
        <v>0.3452164586257182</v>
      </c>
      <c r="CJ30" s="97">
        <f t="shared" si="7"/>
        <v>0.32752921571322174</v>
      </c>
      <c r="CK30" s="97">
        <f t="shared" si="7"/>
        <v>0.30334546032925408</v>
      </c>
      <c r="CL30" s="97">
        <f t="shared" si="7"/>
        <v>0.27433763329327715</v>
      </c>
      <c r="CM30" s="97">
        <f t="shared" si="7"/>
        <v>0.24281149581692657</v>
      </c>
      <c r="CN30" s="97">
        <f t="shared" si="7"/>
        <v>0.21115200771408793</v>
      </c>
      <c r="CO30" s="97">
        <f t="shared" si="7"/>
        <v>0.1814894503114704</v>
      </c>
      <c r="CP30" s="97">
        <f t="shared" si="7"/>
        <v>0.15551097200623049</v>
      </c>
      <c r="CQ30" s="97">
        <f t="shared" si="14"/>
        <v>0.13428116522717007</v>
      </c>
      <c r="CR30" s="97">
        <f t="shared" si="14"/>
        <v>0.11804814665776928</v>
      </c>
      <c r="CS30" s="97">
        <f t="shared" si="14"/>
        <v>0.10614848430115249</v>
      </c>
      <c r="CT30" s="97">
        <f t="shared" si="14"/>
        <v>9.7149321835239041E-2</v>
      </c>
      <c r="CU30" s="97">
        <f t="shared" si="15"/>
        <v>8.925837700417516E-2</v>
      </c>
      <c r="CV30" s="97">
        <f t="shared" si="15"/>
        <v>8.087587205989466E-2</v>
      </c>
      <c r="CW30" s="97">
        <f t="shared" si="15"/>
        <v>7.1067862901680837E-2</v>
      </c>
      <c r="CX30" s="97">
        <f t="shared" si="15"/>
        <v>5.9769705746726957E-2</v>
      </c>
      <c r="CY30" s="97">
        <f t="shared" si="15"/>
        <v>4.7660596294887586E-2</v>
      </c>
      <c r="CZ30" s="97">
        <f t="shared" si="15"/>
        <v>3.5802492140231568E-2</v>
      </c>
      <c r="DA30" s="97">
        <f t="shared" si="15"/>
        <v>2.5223389571749969E-2</v>
      </c>
      <c r="DB30" s="97">
        <f t="shared" si="15"/>
        <v>1.661121839697734E-2</v>
      </c>
      <c r="DC30" s="97">
        <f t="shared" si="15"/>
        <v>1.0199039466867437E-2</v>
      </c>
      <c r="DD30" s="97">
        <f t="shared" si="15"/>
        <v>5.8247331683894607E-3</v>
      </c>
      <c r="DE30" s="97">
        <f t="shared" si="15"/>
        <v>3.0876881482463634E-3</v>
      </c>
      <c r="DF30" s="97">
        <f t="shared" si="15"/>
        <v>1.5162564797207897E-3</v>
      </c>
      <c r="DG30" s="97">
        <f t="shared" si="15"/>
        <v>6.8848369847709706E-4</v>
      </c>
      <c r="DH30" s="97">
        <f t="shared" si="15"/>
        <v>2.8857754769564316E-4</v>
      </c>
      <c r="DI30" s="97">
        <f t="shared" si="15"/>
        <v>1.1148579729966631E-4</v>
      </c>
      <c r="DJ30" s="97">
        <f t="shared" si="15"/>
        <v>3.9644554490240394E-5</v>
      </c>
      <c r="DK30" s="97">
        <f t="shared" si="16"/>
        <v>1.29614079839144E-5</v>
      </c>
      <c r="DL30" s="97">
        <f t="shared" si="16"/>
        <v>3.8922280420074552E-6</v>
      </c>
    </row>
    <row r="31" spans="1:116" x14ac:dyDescent="0.25">
      <c r="A31" s="60">
        <v>4.7</v>
      </c>
      <c r="B31" s="25">
        <v>3.2</v>
      </c>
      <c r="C31" s="25">
        <v>1.6</v>
      </c>
      <c r="D31" s="57">
        <v>0.2</v>
      </c>
      <c r="E31" s="82" t="s">
        <v>5</v>
      </c>
      <c r="L31" s="97" cm="1">
        <f t="array" ref="L31">EstymacjaGaussowska($O31,$D$2:$D$51,H$9)</f>
        <v>6.6227772790809816E-220</v>
      </c>
      <c r="M31" s="97" cm="1">
        <f t="array" ref="M31">EstymacjaGaussowska($O31,$D$52:$D$101,I$9)</f>
        <v>5.6803937765503073E-6</v>
      </c>
      <c r="N31" s="97" cm="1">
        <f t="array" ref="N31">EstymacjaGaussowska($O31,$D$102:$D$151,J$9)</f>
        <v>1.0224040418354952</v>
      </c>
      <c r="O31" s="97">
        <v>2.22000000000001</v>
      </c>
      <c r="P31" s="97">
        <f t="shared" si="19"/>
        <v>1.4332692164260582E-45</v>
      </c>
      <c r="Q31" s="97">
        <f t="shared" si="19"/>
        <v>1.3751870628294308E-43</v>
      </c>
      <c r="R31" s="97">
        <f t="shared" si="19"/>
        <v>1.1663457201708844E-41</v>
      </c>
      <c r="S31" s="97">
        <f t="shared" si="19"/>
        <v>8.7442857560492626E-40</v>
      </c>
      <c r="T31" s="97">
        <f t="shared" si="19"/>
        <v>5.7949928694333475E-38</v>
      </c>
      <c r="U31" s="97">
        <f t="shared" si="19"/>
        <v>3.39479065994251E-36</v>
      </c>
      <c r="V31" s="97">
        <f t="shared" si="19"/>
        <v>1.7579423489059872E-34</v>
      </c>
      <c r="W31" s="97">
        <f t="shared" si="19"/>
        <v>8.0468852667190343E-33</v>
      </c>
      <c r="X31" s="97">
        <f t="shared" si="19"/>
        <v>3.2559862542665102E-31</v>
      </c>
      <c r="Y31" s="97">
        <f t="shared" si="19"/>
        <v>1.1645789185915808E-29</v>
      </c>
      <c r="Z31" s="97">
        <f t="shared" si="19"/>
        <v>3.6820268301044005E-28</v>
      </c>
      <c r="AA31" s="97">
        <f t="shared" si="19"/>
        <v>1.0290505867997827E-26</v>
      </c>
      <c r="AB31" s="97">
        <f t="shared" si="19"/>
        <v>2.5422507934182502E-25</v>
      </c>
      <c r="AC31" s="97">
        <f t="shared" si="19"/>
        <v>5.5517790221454846E-24</v>
      </c>
      <c r="AD31" s="97">
        <f t="shared" si="19"/>
        <v>1.0717127988756532E-22</v>
      </c>
      <c r="AE31" s="97">
        <f t="shared" si="19"/>
        <v>1.8287641056313308E-21</v>
      </c>
      <c r="AF31" s="97">
        <f t="shared" si="17"/>
        <v>2.7584865853945432E-20</v>
      </c>
      <c r="AG31" s="97">
        <f t="shared" si="17"/>
        <v>3.6780649394493383E-19</v>
      </c>
      <c r="AH31" s="97">
        <f t="shared" si="17"/>
        <v>4.3351635249529608E-18</v>
      </c>
      <c r="AI31" s="97">
        <f t="shared" si="17"/>
        <v>4.516819310367722E-17</v>
      </c>
      <c r="AJ31" s="97">
        <f t="shared" si="17"/>
        <v>4.1601286656593362E-16</v>
      </c>
      <c r="AK31" s="97">
        <f t="shared" si="17"/>
        <v>3.3871671633878455E-15</v>
      </c>
      <c r="AL31" s="97">
        <f t="shared" si="17"/>
        <v>2.4380165211277197E-14</v>
      </c>
      <c r="AM31" s="97">
        <f t="shared" si="17"/>
        <v>1.5514206936140357E-13</v>
      </c>
      <c r="AN31" s="97">
        <f t="shared" si="21"/>
        <v>8.7287421003297815E-13</v>
      </c>
      <c r="AO31" s="97">
        <f t="shared" si="21"/>
        <v>4.3427069081672219E-12</v>
      </c>
      <c r="AP31" s="97">
        <f t="shared" si="21"/>
        <v>1.9109435219031577E-11</v>
      </c>
      <c r="AQ31" s="97">
        <f t="shared" si="21"/>
        <v>7.4397709770102577E-11</v>
      </c>
      <c r="AR31" s="97">
        <f t="shared" si="21"/>
        <v>2.5640572985893401E-10</v>
      </c>
      <c r="AS31" s="97">
        <f t="shared" si="21"/>
        <v>7.8292641024401946E-10</v>
      </c>
      <c r="AT31" s="97">
        <f t="shared" si="21"/>
        <v>2.1209141635264986E-9</v>
      </c>
      <c r="AU31" s="97">
        <f t="shared" si="21"/>
        <v>5.1080361000488376E-9</v>
      </c>
      <c r="AV31" s="97">
        <f t="shared" si="21"/>
        <v>1.0973573857334195E-8</v>
      </c>
      <c r="AW31" s="97">
        <f t="shared" si="21"/>
        <v>2.1135121362950242E-8</v>
      </c>
      <c r="AX31" s="97">
        <f t="shared" si="21"/>
        <v>3.6770779602430821E-8</v>
      </c>
      <c r="AY31" s="97">
        <f t="shared" si="21"/>
        <v>5.8416401393053884E-8</v>
      </c>
      <c r="AZ31" s="97">
        <f t="shared" si="21"/>
        <v>8.6001187709948321E-8</v>
      </c>
      <c r="BA31" s="97">
        <f t="shared" si="21"/>
        <v>1.1968525259557292E-7</v>
      </c>
      <c r="BB31" s="97">
        <f t="shared" si="21"/>
        <v>1.6232146214432509E-7</v>
      </c>
      <c r="BC31" s="97">
        <f t="shared" si="21"/>
        <v>2.2805645009077041E-7</v>
      </c>
      <c r="BD31" s="97">
        <f t="shared" si="20"/>
        <v>3.7560489589817438E-7</v>
      </c>
      <c r="BE31" s="97">
        <f t="shared" si="20"/>
        <v>8.266345109682569E-7</v>
      </c>
      <c r="BF31" s="97">
        <f t="shared" si="20"/>
        <v>2.3384314751995024E-6</v>
      </c>
      <c r="BG31" s="97">
        <f t="shared" si="20"/>
        <v>7.2422069033073841E-6</v>
      </c>
      <c r="BH31" s="97">
        <f t="shared" si="20"/>
        <v>2.199956168546878E-5</v>
      </c>
      <c r="BI31" s="97">
        <f t="shared" si="20"/>
        <v>6.2725462813174605E-5</v>
      </c>
      <c r="BJ31" s="97">
        <f t="shared" si="20"/>
        <v>1.655362986645391E-4</v>
      </c>
      <c r="BK31" s="97">
        <f t="shared" si="18"/>
        <v>4.0308329517511752E-4</v>
      </c>
      <c r="BL31" s="97">
        <f t="shared" si="18"/>
        <v>9.0653483192687143E-4</v>
      </c>
      <c r="BM31" s="97">
        <f t="shared" si="18"/>
        <v>1.889090622287336E-3</v>
      </c>
      <c r="BN31" s="97">
        <f t="shared" si="18"/>
        <v>3.6656941792071805E-3</v>
      </c>
      <c r="BO31" s="97">
        <f t="shared" si="18"/>
        <v>6.667944786810604E-3</v>
      </c>
      <c r="BP31" s="97">
        <f t="shared" si="18"/>
        <v>1.1463164401689197E-2</v>
      </c>
      <c r="BQ31" s="97">
        <f t="shared" si="18"/>
        <v>1.87917893489166E-2</v>
      </c>
      <c r="BR31" s="97">
        <f t="shared" si="18"/>
        <v>2.9619706791447386E-2</v>
      </c>
      <c r="BS31" s="97">
        <f t="shared" si="18"/>
        <v>4.5154338420837423E-2</v>
      </c>
      <c r="BT31" s="97">
        <f t="shared" si="18"/>
        <v>6.6721440876492843E-2</v>
      </c>
      <c r="BU31" s="97">
        <f t="shared" si="18"/>
        <v>9.5403268307621428E-2</v>
      </c>
      <c r="BV31" s="97">
        <f t="shared" si="18"/>
        <v>0.13144741813733513</v>
      </c>
      <c r="BW31" s="97">
        <f t="shared" si="18"/>
        <v>0.17364670672382165</v>
      </c>
      <c r="BX31" s="97">
        <f t="shared" si="18"/>
        <v>0.21904808585308738</v>
      </c>
      <c r="BY31" s="97">
        <f t="shared" si="18"/>
        <v>0.26332469182909829</v>
      </c>
      <c r="BZ31" s="97">
        <f t="shared" si="18"/>
        <v>0.30187306057486046</v>
      </c>
      <c r="CA31" s="97">
        <f t="shared" si="13"/>
        <v>0.33127773219333018</v>
      </c>
      <c r="CB31" s="97">
        <f t="shared" si="7"/>
        <v>0.35046513400001078</v>
      </c>
      <c r="CC31" s="97">
        <f t="shared" si="7"/>
        <v>0.36090087745391558</v>
      </c>
      <c r="CD31" s="97">
        <f t="shared" si="7"/>
        <v>0.36563631477116182</v>
      </c>
      <c r="CE31" s="97">
        <f t="shared" si="7"/>
        <v>0.36765680032175668</v>
      </c>
      <c r="CF31" s="97">
        <f t="shared" si="7"/>
        <v>0.36841254617363539</v>
      </c>
      <c r="CG31" s="97">
        <f t="shared" si="7"/>
        <v>0.3673089019519204</v>
      </c>
      <c r="CH31" s="97">
        <f t="shared" si="7"/>
        <v>0.36234236231788725</v>
      </c>
      <c r="CI31" s="97">
        <f t="shared" si="7"/>
        <v>0.35139392326240698</v>
      </c>
      <c r="CJ31" s="97">
        <f t="shared" si="7"/>
        <v>0.33339017484606365</v>
      </c>
      <c r="CK31" s="97">
        <f t="shared" si="7"/>
        <v>0.30877366353745916</v>
      </c>
      <c r="CL31" s="97">
        <f t="shared" si="7"/>
        <v>0.27924675689367751</v>
      </c>
      <c r="CM31" s="97">
        <f t="shared" si="7"/>
        <v>0.24715647617428199</v>
      </c>
      <c r="CN31" s="97">
        <f t="shared" si="7"/>
        <v>0.21493045864371513</v>
      </c>
      <c r="CO31" s="97">
        <f t="shared" si="7"/>
        <v>0.18473710582226754</v>
      </c>
      <c r="CP31" s="97">
        <f t="shared" si="7"/>
        <v>0.15829375670373888</v>
      </c>
      <c r="CQ31" s="97">
        <f t="shared" si="14"/>
        <v>0.13668405401961151</v>
      </c>
      <c r="CR31" s="97">
        <f t="shared" si="14"/>
        <v>0.12016055436654469</v>
      </c>
      <c r="CS31" s="97">
        <f t="shared" si="14"/>
        <v>0.10804795399094118</v>
      </c>
      <c r="CT31" s="97">
        <f t="shared" si="14"/>
        <v>9.8887756382132611E-2</v>
      </c>
      <c r="CU31" s="97">
        <f t="shared" si="15"/>
        <v>9.0855607363094851E-2</v>
      </c>
      <c r="CV31" s="97">
        <f t="shared" si="15"/>
        <v>8.2323102028596939E-2</v>
      </c>
      <c r="CW31" s="97">
        <f t="shared" si="15"/>
        <v>7.2339583853595499E-2</v>
      </c>
      <c r="CX31" s="97">
        <f t="shared" si="15"/>
        <v>6.0839252289769108E-2</v>
      </c>
      <c r="CY31" s="97">
        <f t="shared" si="15"/>
        <v>4.85134568765095E-2</v>
      </c>
      <c r="CZ31" s="97">
        <f t="shared" si="15"/>
        <v>3.6443158364407778E-2</v>
      </c>
      <c r="DA31" s="97">
        <f t="shared" si="15"/>
        <v>2.567474847979927E-2</v>
      </c>
      <c r="DB31" s="97">
        <f t="shared" si="15"/>
        <v>1.6908467161886615E-2</v>
      </c>
      <c r="DC31" s="97">
        <f t="shared" si="15"/>
        <v>1.0381545759442517E-2</v>
      </c>
      <c r="DD31" s="97">
        <f t="shared" si="15"/>
        <v>5.9289636166836631E-3</v>
      </c>
      <c r="DE31" s="97">
        <f t="shared" si="15"/>
        <v>3.1429406569159408E-3</v>
      </c>
      <c r="DF31" s="97">
        <f t="shared" si="15"/>
        <v>1.5433890689813524E-3</v>
      </c>
      <c r="DG31" s="97">
        <f t="shared" si="15"/>
        <v>7.0080374172387812E-4</v>
      </c>
      <c r="DH31" s="97">
        <f t="shared" si="15"/>
        <v>2.9374148676279102E-4</v>
      </c>
      <c r="DI31" s="97">
        <f t="shared" si="15"/>
        <v>1.13480775317551E-4</v>
      </c>
      <c r="DJ31" s="97">
        <f t="shared" si="15"/>
        <v>4.0353972341236002E-5</v>
      </c>
      <c r="DK31" s="97">
        <f t="shared" si="16"/>
        <v>1.3193345366388693E-5</v>
      </c>
      <c r="DL31" s="97">
        <f t="shared" si="16"/>
        <v>3.961877356740592E-6</v>
      </c>
    </row>
    <row r="32" spans="1:116" x14ac:dyDescent="0.25">
      <c r="A32" s="60">
        <v>4.8</v>
      </c>
      <c r="B32" s="25">
        <v>3.1</v>
      </c>
      <c r="C32" s="25">
        <v>1.6</v>
      </c>
      <c r="D32" s="57">
        <v>0.2</v>
      </c>
      <c r="E32" s="82" t="s">
        <v>5</v>
      </c>
      <c r="L32" s="97" cm="1">
        <f t="array" ref="L32">EstymacjaGaussowska($O32,$D$2:$D$51,H$9)</f>
        <v>6.8238072590909718E-212</v>
      </c>
      <c r="M32" s="97" cm="1">
        <f t="array" ref="M32">EstymacjaGaussowska($O32,$D$52:$D$101,I$9)</f>
        <v>2.1361474108349006E-5</v>
      </c>
      <c r="N32" s="97" cm="1">
        <f t="array" ref="N32">EstymacjaGaussowska($O32,$D$102:$D$151,J$9)</f>
        <v>1.0369176465658874</v>
      </c>
      <c r="O32" s="97">
        <v>2.19</v>
      </c>
      <c r="P32" s="97">
        <f t="shared" si="19"/>
        <v>5.3898980354795762E-45</v>
      </c>
      <c r="Q32" s="97">
        <f t="shared" si="19"/>
        <v>5.1714764842601128E-43</v>
      </c>
      <c r="R32" s="97">
        <f t="shared" si="19"/>
        <v>4.3861156255869244E-41</v>
      </c>
      <c r="S32" s="97">
        <f t="shared" si="19"/>
        <v>3.2883430466556329E-39</v>
      </c>
      <c r="T32" s="97">
        <f t="shared" si="19"/>
        <v>2.1792431125020487E-37</v>
      </c>
      <c r="U32" s="97">
        <f t="shared" si="19"/>
        <v>1.2766321427397037E-35</v>
      </c>
      <c r="V32" s="97">
        <f t="shared" si="19"/>
        <v>6.6108515443327048E-34</v>
      </c>
      <c r="W32" s="97">
        <f t="shared" si="19"/>
        <v>3.0260812549207506E-32</v>
      </c>
      <c r="X32" s="97">
        <f t="shared" si="19"/>
        <v>1.2244338826434939E-30</v>
      </c>
      <c r="Y32" s="97">
        <f t="shared" si="19"/>
        <v>4.3794714583556509E-29</v>
      </c>
      <c r="Z32" s="97">
        <f t="shared" si="19"/>
        <v>1.3846490910932526E-27</v>
      </c>
      <c r="AA32" s="97">
        <f t="shared" si="19"/>
        <v>3.8698087370017789E-26</v>
      </c>
      <c r="AB32" s="97">
        <f t="shared" si="19"/>
        <v>9.5602922326828046E-25</v>
      </c>
      <c r="AC32" s="97">
        <f t="shared" si="19"/>
        <v>2.0877810324772564E-23</v>
      </c>
      <c r="AD32" s="97">
        <f t="shared" si="19"/>
        <v>4.030242639036119E-22</v>
      </c>
      <c r="AE32" s="97">
        <f t="shared" si="19"/>
        <v>6.8771811655011038E-21</v>
      </c>
      <c r="AF32" s="97">
        <f t="shared" si="17"/>
        <v>1.0373460377938432E-19</v>
      </c>
      <c r="AG32" s="97">
        <f t="shared" si="17"/>
        <v>1.3831591974700169E-18</v>
      </c>
      <c r="AH32" s="97">
        <f t="shared" si="17"/>
        <v>1.6302652075992229E-17</v>
      </c>
      <c r="AI32" s="97">
        <f t="shared" si="17"/>
        <v>1.6985779955747348E-16</v>
      </c>
      <c r="AJ32" s="97">
        <f t="shared" si="17"/>
        <v>1.5644422600710742E-15</v>
      </c>
      <c r="AK32" s="97">
        <f t="shared" si="17"/>
        <v>1.2737652794398265E-14</v>
      </c>
      <c r="AL32" s="97">
        <f t="shared" si="17"/>
        <v>9.1683127684460509E-14</v>
      </c>
      <c r="AM32" s="97">
        <f t="shared" si="17"/>
        <v>5.8342140141208026E-13</v>
      </c>
      <c r="AN32" s="97">
        <f t="shared" si="21"/>
        <v>3.2824977579407587E-12</v>
      </c>
      <c r="AO32" s="97">
        <f t="shared" si="21"/>
        <v>1.6331019432585695E-11</v>
      </c>
      <c r="AP32" s="97">
        <f t="shared" si="21"/>
        <v>7.1862219637341815E-11</v>
      </c>
      <c r="AQ32" s="97">
        <f t="shared" si="21"/>
        <v>2.7977721385521227E-10</v>
      </c>
      <c r="AR32" s="97">
        <f t="shared" si="21"/>
        <v>9.6422968004341303E-10</v>
      </c>
      <c r="AS32" s="97">
        <f t="shared" si="21"/>
        <v>2.9442432816126493E-9</v>
      </c>
      <c r="AT32" s="97">
        <f t="shared" si="21"/>
        <v>7.9758276510000666E-9</v>
      </c>
      <c r="AU32" s="97">
        <f t="shared" si="21"/>
        <v>1.9209067679257421E-8</v>
      </c>
      <c r="AV32" s="97">
        <f t="shared" si="21"/>
        <v>4.1266626064279327E-8</v>
      </c>
      <c r="AW32" s="97">
        <f t="shared" si="21"/>
        <v>7.947842490900534E-8</v>
      </c>
      <c r="AX32" s="97">
        <f t="shared" si="21"/>
        <v>1.3826722705248524E-7</v>
      </c>
      <c r="AY32" s="97">
        <f t="shared" si="21"/>
        <v>2.1959753142682477E-7</v>
      </c>
      <c r="AZ32" s="97">
        <f t="shared" si="21"/>
        <v>3.2289475878737377E-7</v>
      </c>
      <c r="BA32" s="97">
        <f t="shared" si="21"/>
        <v>4.4705263630288766E-7</v>
      </c>
      <c r="BB32" s="97">
        <f t="shared" si="21"/>
        <v>5.9419750326921874E-7</v>
      </c>
      <c r="BC32" s="97">
        <f t="shared" si="21"/>
        <v>7.7820122068083301E-7</v>
      </c>
      <c r="BD32" s="97">
        <f t="shared" si="20"/>
        <v>1.0567688789090433E-6</v>
      </c>
      <c r="BE32" s="97">
        <f t="shared" si="20"/>
        <v>1.6506653897898922E-6</v>
      </c>
      <c r="BF32" s="97">
        <f t="shared" si="20"/>
        <v>3.3240901473619529E-6</v>
      </c>
      <c r="BG32" s="97">
        <f t="shared" si="20"/>
        <v>8.4431189438331631E-6</v>
      </c>
      <c r="BH32" s="97">
        <f t="shared" si="20"/>
        <v>2.3573047879273825E-5</v>
      </c>
      <c r="BI32" s="97">
        <f t="shared" si="20"/>
        <v>6.507848466701315E-5</v>
      </c>
      <c r="BJ32" s="97">
        <f t="shared" si="20"/>
        <v>1.6960872937608808E-4</v>
      </c>
      <c r="BK32" s="97">
        <f t="shared" si="18"/>
        <v>4.1085163091600168E-4</v>
      </c>
      <c r="BL32" s="97">
        <f t="shared" si="18"/>
        <v>9.2181830241933993E-4</v>
      </c>
      <c r="BM32" s="97">
        <f t="shared" si="18"/>
        <v>1.9186951754469786E-3</v>
      </c>
      <c r="BN32" s="97">
        <f t="shared" si="18"/>
        <v>3.7208545920078395E-3</v>
      </c>
      <c r="BO32" s="97">
        <f t="shared" si="18"/>
        <v>6.7659996359903055E-3</v>
      </c>
      <c r="BP32" s="97">
        <f t="shared" si="18"/>
        <v>1.1629509828002217E-2</v>
      </c>
      <c r="BQ32" s="97">
        <f t="shared" si="18"/>
        <v>1.9062351304889497E-2</v>
      </c>
      <c r="BR32" s="97">
        <f t="shared" si="18"/>
        <v>3.004413204073236E-2</v>
      </c>
      <c r="BS32" s="97">
        <f t="shared" si="18"/>
        <v>4.579939639863026E-2</v>
      </c>
      <c r="BT32" s="97">
        <f t="shared" si="18"/>
        <v>6.7672679736476143E-2</v>
      </c>
      <c r="BU32" s="97">
        <f t="shared" si="18"/>
        <v>9.6761556066316437E-2</v>
      </c>
      <c r="BV32" s="97">
        <f t="shared" si="18"/>
        <v>0.13331711676798663</v>
      </c>
      <c r="BW32" s="97">
        <f t="shared" si="18"/>
        <v>0.17611505527326249</v>
      </c>
      <c r="BX32" s="97">
        <f t="shared" si="18"/>
        <v>0.22216044584219868</v>
      </c>
      <c r="BY32" s="97">
        <f t="shared" si="18"/>
        <v>0.26706505752791571</v>
      </c>
      <c r="BZ32" s="97">
        <f t="shared" si="18"/>
        <v>0.30616012821448396</v>
      </c>
      <c r="CA32" s="97">
        <f t="shared" si="13"/>
        <v>0.33598175054369595</v>
      </c>
      <c r="CB32" s="97">
        <f t="shared" si="7"/>
        <v>0.35544113335977645</v>
      </c>
      <c r="CC32" s="97">
        <f t="shared" si="7"/>
        <v>0.36602470218530336</v>
      </c>
      <c r="CD32" s="97">
        <f t="shared" si="7"/>
        <v>0.37082712452326544</v>
      </c>
      <c r="CE32" s="97">
        <f t="shared" si="7"/>
        <v>0.37287612621138211</v>
      </c>
      <c r="CF32" s="97">
        <f t="shared" si="7"/>
        <v>0.37364249352845558</v>
      </c>
      <c r="CG32" s="97">
        <f t="shared" si="7"/>
        <v>0.37252311973684893</v>
      </c>
      <c r="CH32" s="97">
        <f t="shared" si="7"/>
        <v>0.36748604394810064</v>
      </c>
      <c r="CI32" s="97">
        <f t="shared" si="7"/>
        <v>0.35638216970212672</v>
      </c>
      <c r="CJ32" s="97">
        <f t="shared" si="7"/>
        <v>0.33812284109489804</v>
      </c>
      <c r="CK32" s="97">
        <f t="shared" si="7"/>
        <v>0.31315688188226604</v>
      </c>
      <c r="CL32" s="97">
        <f t="shared" si="7"/>
        <v>0.28321082319656277</v>
      </c>
      <c r="CM32" s="97">
        <f t="shared" si="7"/>
        <v>0.25066500249721024</v>
      </c>
      <c r="CN32" s="97">
        <f t="shared" si="7"/>
        <v>0.21798151831729903</v>
      </c>
      <c r="CO32" s="97">
        <f t="shared" si="7"/>
        <v>0.18735955372686625</v>
      </c>
      <c r="CP32" s="97">
        <f t="shared" si="7"/>
        <v>0.16054082627979521</v>
      </c>
      <c r="CQ32" s="97">
        <f t="shared" si="14"/>
        <v>0.13862436162006628</v>
      </c>
      <c r="CR32" s="97">
        <f t="shared" si="14"/>
        <v>0.12186630152609915</v>
      </c>
      <c r="CS32" s="97">
        <f t="shared" si="14"/>
        <v>0.10958175592441062</v>
      </c>
      <c r="CT32" s="97">
        <f t="shared" si="14"/>
        <v>0.10029152411981607</v>
      </c>
      <c r="CU32" s="97">
        <f t="shared" si="15"/>
        <v>9.2145354193946927E-2</v>
      </c>
      <c r="CV32" s="97">
        <f t="shared" si="15"/>
        <v>8.3491725111187451E-2</v>
      </c>
      <c r="CW32" s="97">
        <f t="shared" si="15"/>
        <v>7.3366485238421084E-2</v>
      </c>
      <c r="CX32" s="97">
        <f t="shared" si="15"/>
        <v>6.1702899951256336E-2</v>
      </c>
      <c r="CY32" s="97">
        <f t="shared" si="15"/>
        <v>4.9202132887557468E-2</v>
      </c>
      <c r="CZ32" s="97">
        <f t="shared" si="15"/>
        <v>3.6960489648308552E-2</v>
      </c>
      <c r="DA32" s="97">
        <f t="shared" si="15"/>
        <v>2.6039216083349689E-2</v>
      </c>
      <c r="DB32" s="97">
        <f t="shared" si="15"/>
        <v>1.7148492434619179E-2</v>
      </c>
      <c r="DC32" s="97">
        <f t="shared" si="15"/>
        <v>1.0528917684315317E-2</v>
      </c>
      <c r="DD32" s="97">
        <f t="shared" si="15"/>
        <v>6.0131286149351752E-3</v>
      </c>
      <c r="DE32" s="97">
        <f t="shared" si="15"/>
        <v>3.187556480522883E-3</v>
      </c>
      <c r="DF32" s="97">
        <f t="shared" si="15"/>
        <v>1.5652983513939971E-3</v>
      </c>
      <c r="DG32" s="97">
        <f t="shared" si="15"/>
        <v>7.1075204795582544E-4</v>
      </c>
      <c r="DH32" s="97">
        <f t="shared" si="15"/>
        <v>2.9791131361924514E-4</v>
      </c>
      <c r="DI32" s="97">
        <f t="shared" si="15"/>
        <v>1.1509169922831776E-4</v>
      </c>
      <c r="DJ32" s="97">
        <f t="shared" si="15"/>
        <v>4.0926819845643767E-5</v>
      </c>
      <c r="DK32" s="97">
        <f t="shared" si="16"/>
        <v>1.3380632380019383E-5</v>
      </c>
      <c r="DL32" s="97">
        <f t="shared" si="16"/>
        <v>4.0181184508610669E-6</v>
      </c>
    </row>
    <row r="33" spans="1:116" x14ac:dyDescent="0.25">
      <c r="A33" s="60">
        <v>5.4</v>
      </c>
      <c r="B33" s="25">
        <v>3.4</v>
      </c>
      <c r="C33" s="25">
        <v>1.5</v>
      </c>
      <c r="D33" s="57">
        <v>0.4</v>
      </c>
      <c r="E33" s="82" t="s">
        <v>5</v>
      </c>
      <c r="L33" s="97" cm="1">
        <f t="array" ref="L33">EstymacjaGaussowska($O33,$D$2:$D$51,H$9)</f>
        <v>4.9800981531259469E-204</v>
      </c>
      <c r="M33" s="97" cm="1">
        <f t="array" ref="M33">EstymacjaGaussowska($O33,$D$52:$D$101,I$9)</f>
        <v>7.290266508863426E-5</v>
      </c>
      <c r="N33" s="97" cm="1">
        <f t="array" ref="N33">EstymacjaGaussowska($O33,$D$102:$D$151,J$9)</f>
        <v>1.0511953305289157</v>
      </c>
      <c r="O33" s="97">
        <v>2.1600000000000099</v>
      </c>
      <c r="P33" s="97">
        <f t="shared" si="19"/>
        <v>1.8394701102995408E-44</v>
      </c>
      <c r="Q33" s="97">
        <f t="shared" si="19"/>
        <v>1.7649269719565322E-42</v>
      </c>
      <c r="R33" s="97">
        <f t="shared" si="19"/>
        <v>1.4968981862876821E-40</v>
      </c>
      <c r="S33" s="97">
        <f t="shared" si="19"/>
        <v>1.1222491978359217E-38</v>
      </c>
      <c r="T33" s="97">
        <f t="shared" si="19"/>
        <v>7.4373439759644365E-37</v>
      </c>
      <c r="U33" s="97">
        <f t="shared" si="19"/>
        <v>4.3569036982874851E-35</v>
      </c>
      <c r="V33" s="97">
        <f t="shared" si="19"/>
        <v>2.2561584169830345E-33</v>
      </c>
      <c r="W33" s="97">
        <f t="shared" si="19"/>
        <v>1.0327442157760904E-31</v>
      </c>
      <c r="X33" s="97">
        <f t="shared" si="19"/>
        <v>4.17876092336934E-30</v>
      </c>
      <c r="Y33" s="97">
        <f t="shared" si="19"/>
        <v>1.4946306578577733E-28</v>
      </c>
      <c r="Z33" s="97">
        <f t="shared" si="19"/>
        <v>4.7255450836981146E-27</v>
      </c>
      <c r="AA33" s="97">
        <f t="shared" si="19"/>
        <v>1.3206924245010164E-25</v>
      </c>
      <c r="AB33" s="97">
        <f t="shared" si="19"/>
        <v>3.2627466590254598E-24</v>
      </c>
      <c r="AC33" s="97">
        <f t="shared" si="19"/>
        <v>7.1252012205283189E-23</v>
      </c>
      <c r="AD33" s="97">
        <f t="shared" si="19"/>
        <v>1.3754454765120703E-21</v>
      </c>
      <c r="AE33" s="97">
        <f t="shared" si="19"/>
        <v>2.3470516721804048E-20</v>
      </c>
      <c r="AF33" s="97">
        <f t="shared" si="17"/>
        <v>3.5402655449114473E-19</v>
      </c>
      <c r="AG33" s="97">
        <f t="shared" si="17"/>
        <v>4.720460358960365E-18</v>
      </c>
      <c r="AH33" s="97">
        <f t="shared" si="17"/>
        <v>5.56378636757111E-17</v>
      </c>
      <c r="AI33" s="97">
        <f t="shared" si="17"/>
        <v>5.7969249739136577E-16</v>
      </c>
      <c r="AJ33" s="97">
        <f t="shared" si="17"/>
        <v>5.3391451150772248E-15</v>
      </c>
      <c r="AK33" s="97">
        <f t="shared" si="17"/>
        <v>4.3471196368499328E-14</v>
      </c>
      <c r="AL33" s="97">
        <f t="shared" si="17"/>
        <v>3.1289714922957353E-13</v>
      </c>
      <c r="AM33" s="97">
        <f t="shared" si="17"/>
        <v>1.9911067380765034E-12</v>
      </c>
      <c r="AN33" s="97">
        <f t="shared" si="21"/>
        <v>1.1202543114854329E-11</v>
      </c>
      <c r="AO33" s="97">
        <f t="shared" si="21"/>
        <v>5.5734676086167633E-11</v>
      </c>
      <c r="AP33" s="97">
        <f t="shared" si="21"/>
        <v>2.4525214424076798E-10</v>
      </c>
      <c r="AQ33" s="97">
        <f t="shared" si="21"/>
        <v>9.5482663770168572E-10</v>
      </c>
      <c r="AR33" s="97">
        <f t="shared" si="21"/>
        <v>3.2907332513614215E-9</v>
      </c>
      <c r="AS33" s="97">
        <f t="shared" si="21"/>
        <v>1.0048144495386617E-8</v>
      </c>
      <c r="AT33" s="97">
        <f t="shared" si="21"/>
        <v>2.7219987331098903E-8</v>
      </c>
      <c r="AU33" s="97">
        <f t="shared" si="21"/>
        <v>6.5556892100228444E-8</v>
      </c>
      <c r="AV33" s="97">
        <f t="shared" si="21"/>
        <v>1.4083501818751694E-7</v>
      </c>
      <c r="AW33" s="97">
        <f t="shared" si="21"/>
        <v>2.7124346942901067E-7</v>
      </c>
      <c r="AX33" s="97">
        <f t="shared" si="21"/>
        <v>4.718696007467878E-7</v>
      </c>
      <c r="AY33" s="97">
        <f t="shared" si="21"/>
        <v>7.4937303879132126E-7</v>
      </c>
      <c r="AZ33" s="97">
        <f t="shared" si="21"/>
        <v>1.1015196891655042E-6</v>
      </c>
      <c r="BA33" s="97">
        <f t="shared" si="21"/>
        <v>1.5230205315971759E-6</v>
      </c>
      <c r="BB33" s="97">
        <f t="shared" si="21"/>
        <v>2.0135115267800758E-6</v>
      </c>
      <c r="BC33" s="97">
        <f t="shared" si="21"/>
        <v>2.5854932340175216E-6</v>
      </c>
      <c r="BD33" s="97">
        <f t="shared" si="20"/>
        <v>3.2914108440193538E-6</v>
      </c>
      <c r="BE33" s="97">
        <f t="shared" si="20"/>
        <v>4.3417665604138166E-6</v>
      </c>
      <c r="BF33" s="97">
        <f t="shared" si="20"/>
        <v>6.4986782149982606E-6</v>
      </c>
      <c r="BG33" s="97">
        <f t="shared" si="20"/>
        <v>1.21666212959685E-5</v>
      </c>
      <c r="BH33" s="97">
        <f t="shared" si="20"/>
        <v>2.8040610039490043E-5</v>
      </c>
      <c r="BI33" s="97">
        <f t="shared" si="20"/>
        <v>7.0779171261100781E-5</v>
      </c>
      <c r="BJ33" s="97">
        <f t="shared" si="20"/>
        <v>1.7760266133726765E-4</v>
      </c>
      <c r="BK33" s="97">
        <f t="shared" si="18"/>
        <v>4.2323096575412269E-4</v>
      </c>
      <c r="BL33" s="97">
        <f t="shared" si="18"/>
        <v>9.4244335354708218E-4</v>
      </c>
      <c r="BM33" s="97">
        <f t="shared" si="18"/>
        <v>1.9542723515242502E-3</v>
      </c>
      <c r="BN33" s="97">
        <f t="shared" si="18"/>
        <v>3.7823499730298073E-3</v>
      </c>
      <c r="BO33" s="97">
        <f t="shared" si="18"/>
        <v>6.8703306463542965E-3</v>
      </c>
      <c r="BP33" s="97">
        <f t="shared" si="18"/>
        <v>1.1801529987781214E-2</v>
      </c>
      <c r="BQ33" s="97">
        <f t="shared" si="18"/>
        <v>1.9337316532445505E-2</v>
      </c>
      <c r="BR33" s="97">
        <f t="shared" si="18"/>
        <v>3.0470818013871807E-2</v>
      </c>
      <c r="BS33" s="97">
        <f t="shared" si="18"/>
        <v>4.6443382938536747E-2</v>
      </c>
      <c r="BT33" s="97">
        <f t="shared" si="18"/>
        <v>6.8617924873822775E-2</v>
      </c>
      <c r="BU33" s="97">
        <f t="shared" si="18"/>
        <v>9.810698831724983E-2</v>
      </c>
      <c r="BV33" s="97">
        <f t="shared" si="18"/>
        <v>0.1351650535914862</v>
      </c>
      <c r="BW33" s="97">
        <f t="shared" si="18"/>
        <v>0.17855100132122337</v>
      </c>
      <c r="BX33" s="97">
        <f t="shared" si="18"/>
        <v>0.22522880773951695</v>
      </c>
      <c r="BY33" s="97">
        <f t="shared" si="18"/>
        <v>0.2707499995794056</v>
      </c>
      <c r="BZ33" s="97">
        <f t="shared" si="18"/>
        <v>0.31038169558342321</v>
      </c>
      <c r="CA33" s="97">
        <f t="shared" si="13"/>
        <v>0.34061241393984243</v>
      </c>
      <c r="CB33" s="97">
        <f t="shared" si="7"/>
        <v>0.36033844217563854</v>
      </c>
      <c r="CC33" s="97">
        <f t="shared" si="7"/>
        <v>0.37106670209478931</v>
      </c>
      <c r="CD33" s="97">
        <f t="shared" si="7"/>
        <v>0.37593447149511677</v>
      </c>
      <c r="CE33" s="97">
        <f t="shared" si="7"/>
        <v>0.37801114196043367</v>
      </c>
      <c r="CF33" s="97">
        <f t="shared" si="7"/>
        <v>0.37878771090425284</v>
      </c>
      <c r="CG33" s="97">
        <f t="shared" si="7"/>
        <v>0.37765271804459111</v>
      </c>
      <c r="CH33" s="97">
        <f t="shared" si="7"/>
        <v>0.37254617556341324</v>
      </c>
      <c r="CI33" s="97">
        <f t="shared" si="7"/>
        <v>0.36128935595399786</v>
      </c>
      <c r="CJ33" s="97">
        <f t="shared" si="7"/>
        <v>0.34277858595335647</v>
      </c>
      <c r="CK33" s="97">
        <f t="shared" si="7"/>
        <v>0.31746885319822854</v>
      </c>
      <c r="CL33" s="97">
        <f t="shared" si="7"/>
        <v>0.28711045383344685</v>
      </c>
      <c r="CM33" s="97">
        <f t="shared" si="7"/>
        <v>0.25411649741930092</v>
      </c>
      <c r="CN33" s="97">
        <f t="shared" si="7"/>
        <v>0.22098298261697197</v>
      </c>
      <c r="CO33" s="97">
        <f t="shared" si="7"/>
        <v>0.18993937336683217</v>
      </c>
      <c r="CP33" s="97">
        <f t="shared" si="7"/>
        <v>0.1627513694129987</v>
      </c>
      <c r="CQ33" s="97">
        <f t="shared" si="14"/>
        <v>0.14053312923699851</v>
      </c>
      <c r="CR33" s="97">
        <f t="shared" si="14"/>
        <v>0.12354432151616504</v>
      </c>
      <c r="CS33" s="97">
        <f t="shared" si="14"/>
        <v>0.11109062568315298</v>
      </c>
      <c r="CT33" s="97">
        <f t="shared" si="14"/>
        <v>0.10167247340763684</v>
      </c>
      <c r="CU33" s="97">
        <f t="shared" si="15"/>
        <v>9.3414136001450848E-2</v>
      </c>
      <c r="CV33" s="97">
        <f t="shared" si="15"/>
        <v>8.4641352054670896E-2</v>
      </c>
      <c r="CW33" s="97">
        <f t="shared" si="15"/>
        <v>7.4376694191062145E-2</v>
      </c>
      <c r="CX33" s="97">
        <f t="shared" si="15"/>
        <v>6.2552508893706157E-2</v>
      </c>
      <c r="CY33" s="97">
        <f t="shared" si="15"/>
        <v>4.9879614369333788E-2</v>
      </c>
      <c r="CZ33" s="97">
        <f t="shared" si="15"/>
        <v>3.7469411636534937E-2</v>
      </c>
      <c r="DA33" s="97">
        <f t="shared" si="15"/>
        <v>2.6397759212704607E-2</v>
      </c>
      <c r="DB33" s="97">
        <f t="shared" si="15"/>
        <v>1.7384616061442149E-2</v>
      </c>
      <c r="DC33" s="97">
        <f t="shared" si="15"/>
        <v>1.0673894056997622E-2</v>
      </c>
      <c r="DD33" s="97">
        <f t="shared" si="15"/>
        <v>6.0959254988318095E-3</v>
      </c>
      <c r="DE33" s="97">
        <f t="shared" si="15"/>
        <v>3.2314470673924711E-3</v>
      </c>
      <c r="DF33" s="97">
        <f t="shared" si="15"/>
        <v>1.5868514952170083E-3</v>
      </c>
      <c r="DG33" s="97">
        <f t="shared" si="15"/>
        <v>7.20538643015131E-4</v>
      </c>
      <c r="DH33" s="97">
        <f t="shared" si="15"/>
        <v>3.0201335933035162E-4</v>
      </c>
      <c r="DI33" s="97">
        <f t="shared" si="15"/>
        <v>1.166764373353333E-4</v>
      </c>
      <c r="DJ33" s="97">
        <f t="shared" si="15"/>
        <v>4.1490355630094103E-5</v>
      </c>
      <c r="DK33" s="97">
        <f t="shared" si="16"/>
        <v>1.3564875015854632E-5</v>
      </c>
      <c r="DL33" s="97">
        <f t="shared" si="16"/>
        <v>4.073445337771909E-6</v>
      </c>
    </row>
    <row r="34" spans="1:116" x14ac:dyDescent="0.25">
      <c r="A34" s="60">
        <v>5.2</v>
      </c>
      <c r="B34" s="25">
        <v>4.0999999999999996</v>
      </c>
      <c r="C34" s="25">
        <v>1.5</v>
      </c>
      <c r="D34" s="57">
        <v>0.1</v>
      </c>
      <c r="E34" s="82" t="s">
        <v>5</v>
      </c>
      <c r="L34" s="97" cm="1">
        <f t="array" ref="L34">EstymacjaGaussowska($O34,$D$2:$D$51,H$9)</f>
        <v>2.5743856311144912E-196</v>
      </c>
      <c r="M34" s="97" cm="1">
        <f t="array" ref="M34">EstymacjaGaussowska($O34,$D$52:$D$101,I$9)</f>
        <v>2.2587660754317759E-4</v>
      </c>
      <c r="N34" s="97" cm="1">
        <f t="array" ref="N34">EstymacjaGaussowska($O34,$D$102:$D$151,J$9)</f>
        <v>1.0676050297115469</v>
      </c>
      <c r="O34" s="97">
        <v>2.1300000000000101</v>
      </c>
      <c r="P34" s="97">
        <f t="shared" si="19"/>
        <v>5.6992877789362402E-44</v>
      </c>
      <c r="Q34" s="97">
        <f t="shared" si="19"/>
        <v>5.4683284417971987E-42</v>
      </c>
      <c r="R34" s="97">
        <f t="shared" si="19"/>
        <v>4.6378864715730418E-40</v>
      </c>
      <c r="S34" s="97">
        <f t="shared" si="19"/>
        <v>3.4770997921274919E-38</v>
      </c>
      <c r="T34" s="97">
        <f t="shared" si="19"/>
        <v>2.3043355471025707E-36</v>
      </c>
      <c r="U34" s="97">
        <f t="shared" si="19"/>
        <v>1.3499131006596478E-34</v>
      </c>
      <c r="V34" s="97">
        <f t="shared" si="19"/>
        <v>6.9903261929935113E-33</v>
      </c>
      <c r="W34" s="97">
        <f t="shared" si="19"/>
        <v>3.1997837066139107E-31</v>
      </c>
      <c r="X34" s="97">
        <f t="shared" si="19"/>
        <v>1.294718567499691E-29</v>
      </c>
      <c r="Y34" s="97">
        <f t="shared" si="19"/>
        <v>4.6308609173133613E-28</v>
      </c>
      <c r="Z34" s="97">
        <f t="shared" si="19"/>
        <v>1.4641304141629804E-26</v>
      </c>
      <c r="AA34" s="97">
        <f t="shared" si="19"/>
        <v>4.0919426483459483E-25</v>
      </c>
      <c r="AB34" s="97">
        <f t="shared" si="19"/>
        <v>1.0109070028064101E-23</v>
      </c>
      <c r="AC34" s="97">
        <f t="shared" si="19"/>
        <v>2.2076233808444917E-22</v>
      </c>
      <c r="AD34" s="97">
        <f t="shared" si="19"/>
        <v>4.2615857419949357E-21</v>
      </c>
      <c r="AE34" s="97">
        <f t="shared" si="19"/>
        <v>7.2719436085924748E-20</v>
      </c>
      <c r="AF34" s="97">
        <f t="shared" si="17"/>
        <v>1.09689154726288E-18</v>
      </c>
      <c r="AG34" s="97">
        <f t="shared" si="17"/>
        <v>1.4625549979931314E-17</v>
      </c>
      <c r="AH34" s="97">
        <f t="shared" si="17"/>
        <v>1.7238453330533434E-16</v>
      </c>
      <c r="AI34" s="97">
        <f t="shared" si="17"/>
        <v>1.7960793966831908E-15</v>
      </c>
      <c r="AJ34" s="97">
        <f t="shared" si="17"/>
        <v>1.654244031144901E-14</v>
      </c>
      <c r="AK34" s="97">
        <f t="shared" si="17"/>
        <v>1.3468816743009236E-13</v>
      </c>
      <c r="AL34" s="97">
        <f t="shared" si="17"/>
        <v>9.6945902446687244E-13</v>
      </c>
      <c r="AM34" s="97">
        <f t="shared" si="17"/>
        <v>6.1691082857584027E-12</v>
      </c>
      <c r="AN34" s="97">
        <f t="shared" si="21"/>
        <v>3.4709189733267805E-11</v>
      </c>
      <c r="AO34" s="97">
        <f t="shared" si="21"/>
        <v>1.7268449022078465E-10</v>
      </c>
      <c r="AP34" s="97">
        <f t="shared" si="21"/>
        <v>7.5987238960120545E-10</v>
      </c>
      <c r="AQ34" s="97">
        <f t="shared" si="21"/>
        <v>2.9583692364051391E-9</v>
      </c>
      <c r="AR34" s="97">
        <f t="shared" si="21"/>
        <v>1.0195781750687164E-8</v>
      </c>
      <c r="AS34" s="97">
        <f t="shared" si="21"/>
        <v>3.1132480241684432E-8</v>
      </c>
      <c r="AT34" s="97">
        <f t="shared" si="21"/>
        <v>8.4336536610538404E-8</v>
      </c>
      <c r="AU34" s="97">
        <f t="shared" si="21"/>
        <v>2.0311695389910651E-7</v>
      </c>
      <c r="AV34" s="97">
        <f t="shared" si="21"/>
        <v>4.363534008830858E-7</v>
      </c>
      <c r="AW34" s="97">
        <f t="shared" si="21"/>
        <v>8.4040094534005426E-7</v>
      </c>
      <c r="AX34" s="97">
        <f t="shared" si="21"/>
        <v>1.4619993169551766E-6</v>
      </c>
      <c r="AY34" s="97">
        <f t="shared" si="21"/>
        <v>2.3217427849789252E-6</v>
      </c>
      <c r="AZ34" s="97">
        <f t="shared" si="21"/>
        <v>3.4124689727311847E-6</v>
      </c>
      <c r="BA34" s="97">
        <f t="shared" si="21"/>
        <v>4.7164586923153929E-6</v>
      </c>
      <c r="BB34" s="97">
        <f t="shared" si="21"/>
        <v>6.2258769273532718E-6</v>
      </c>
      <c r="BC34" s="97">
        <f t="shared" si="21"/>
        <v>7.9487905365581824E-6</v>
      </c>
      <c r="BD34" s="97">
        <f t="shared" si="20"/>
        <v>9.9205251174162672E-6</v>
      </c>
      <c r="BE34" s="97">
        <f t="shared" si="20"/>
        <v>1.2315455991237668E-5</v>
      </c>
      <c r="BF34" s="97">
        <f t="shared" si="20"/>
        <v>1.5870254361395366E-5</v>
      </c>
      <c r="BG34" s="97">
        <f t="shared" si="20"/>
        <v>2.3044175519974946E-5</v>
      </c>
      <c r="BH34" s="97">
        <f t="shared" si="20"/>
        <v>4.0753239320915076E-5</v>
      </c>
      <c r="BI34" s="97">
        <f t="shared" si="20"/>
        <v>8.6119237898423583E-5</v>
      </c>
      <c r="BJ34" s="97">
        <f t="shared" si="20"/>
        <v>1.9714034475708678E-4</v>
      </c>
      <c r="BK34" s="97">
        <f t="shared" si="18"/>
        <v>4.4975442214707746E-4</v>
      </c>
      <c r="BL34" s="97">
        <f t="shared" si="18"/>
        <v>9.8065710414209297E-4</v>
      </c>
      <c r="BM34" s="97">
        <f t="shared" si="18"/>
        <v>2.0119130298234455E-3</v>
      </c>
      <c r="BN34" s="97">
        <f t="shared" si="18"/>
        <v>3.8717977641508018E-3</v>
      </c>
      <c r="BO34" s="97">
        <f t="shared" si="18"/>
        <v>7.0106675873922424E-3</v>
      </c>
      <c r="BP34" s="97">
        <f t="shared" si="18"/>
        <v>1.2020983948408193E-2</v>
      </c>
      <c r="BQ34" s="97">
        <f t="shared" si="18"/>
        <v>1.9676184672125802E-2</v>
      </c>
      <c r="BR34" s="97">
        <f t="shared" si="18"/>
        <v>3.0984993144131778E-2</v>
      </c>
      <c r="BS34" s="97">
        <f t="shared" si="18"/>
        <v>4.72079669628514E-2</v>
      </c>
      <c r="BT34" s="97">
        <f t="shared" si="18"/>
        <v>6.9728894989133067E-2</v>
      </c>
      <c r="BU34" s="97">
        <f t="shared" si="18"/>
        <v>9.9677267213791707E-2</v>
      </c>
      <c r="BV34" s="97">
        <f t="shared" si="18"/>
        <v>0.13731133380371413</v>
      </c>
      <c r="BW34" s="97">
        <f t="shared" si="18"/>
        <v>0.18137073449836691</v>
      </c>
      <c r="BX34" s="97">
        <f t="shared" si="18"/>
        <v>0.22877246690735051</v>
      </c>
      <c r="BY34" s="97">
        <f t="shared" si="18"/>
        <v>0.27499915041765366</v>
      </c>
      <c r="BZ34" s="97">
        <f t="shared" si="18"/>
        <v>0.31524451492750521</v>
      </c>
      <c r="CA34" s="97">
        <f t="shared" si="13"/>
        <v>0.34594262199755271</v>
      </c>
      <c r="CB34" s="97">
        <f t="shared" si="7"/>
        <v>0.36597273890400994</v>
      </c>
      <c r="CC34" s="97">
        <f t="shared" si="7"/>
        <v>0.37686539768604604</v>
      </c>
      <c r="CD34" s="97">
        <f t="shared" si="7"/>
        <v>0.38180684689394928</v>
      </c>
      <c r="CE34" s="97">
        <f t="shared" si="7"/>
        <v>0.38391432155700339</v>
      </c>
      <c r="CF34" s="97">
        <f t="shared" si="7"/>
        <v>0.38470197391788991</v>
      </c>
      <c r="CG34" s="97">
        <f t="shared" si="7"/>
        <v>0.38354865284665468</v>
      </c>
      <c r="CH34" s="97">
        <f t="shared" si="7"/>
        <v>0.37836207041182968</v>
      </c>
      <c r="CI34" s="97">
        <f t="shared" si="7"/>
        <v>0.36692937137141579</v>
      </c>
      <c r="CJ34" s="97">
        <f t="shared" si="7"/>
        <v>0.34812957275153905</v>
      </c>
      <c r="CK34" s="97">
        <f t="shared" si="7"/>
        <v>0.32242471698540609</v>
      </c>
      <c r="CL34" s="97">
        <f t="shared" si="7"/>
        <v>0.29159239893820493</v>
      </c>
      <c r="CM34" s="97">
        <f t="shared" si="7"/>
        <v>0.25808338737447806</v>
      </c>
      <c r="CN34" s="97">
        <f t="shared" si="7"/>
        <v>0.22443264070888047</v>
      </c>
      <c r="CO34" s="97">
        <f t="shared" si="7"/>
        <v>0.19290442461052915</v>
      </c>
      <c r="CP34" s="97">
        <f t="shared" si="7"/>
        <v>0.16529200191359794</v>
      </c>
      <c r="CQ34" s="97">
        <f t="shared" si="14"/>
        <v>0.14272692358730457</v>
      </c>
      <c r="CR34" s="97">
        <f t="shared" si="14"/>
        <v>0.12547291184861384</v>
      </c>
      <c r="CS34" s="97">
        <f t="shared" si="14"/>
        <v>0.11282480742516564</v>
      </c>
      <c r="CT34" s="97">
        <f t="shared" si="14"/>
        <v>0.10325963295384248</v>
      </c>
      <c r="CU34" s="97">
        <f t="shared" si="15"/>
        <v>9.4872378657854348E-2</v>
      </c>
      <c r="CV34" s="97">
        <f t="shared" si="15"/>
        <v>8.5962647046467999E-2</v>
      </c>
      <c r="CW34" s="97">
        <f t="shared" si="15"/>
        <v>7.5537752599930633E-2</v>
      </c>
      <c r="CX34" s="97">
        <f t="shared" si="15"/>
        <v>6.3528985695166171E-2</v>
      </c>
      <c r="CY34" s="97">
        <f t="shared" si="15"/>
        <v>5.0658260776309909E-2</v>
      </c>
      <c r="CZ34" s="97">
        <f t="shared" si="15"/>
        <v>3.8054328402856899E-2</v>
      </c>
      <c r="DA34" s="97">
        <f t="shared" si="15"/>
        <v>2.6809841796402976E-2</v>
      </c>
      <c r="DB34" s="97">
        <f t="shared" si="15"/>
        <v>1.7655998849862894E-2</v>
      </c>
      <c r="DC34" s="97">
        <f t="shared" si="15"/>
        <v>1.0840519027158473E-2</v>
      </c>
      <c r="DD34" s="97">
        <f t="shared" si="15"/>
        <v>6.1910860277748269E-3</v>
      </c>
      <c r="DE34" s="97">
        <f t="shared" si="15"/>
        <v>3.2818916163364102E-3</v>
      </c>
      <c r="DF34" s="97">
        <f t="shared" si="15"/>
        <v>1.6116230623347176E-3</v>
      </c>
      <c r="DG34" s="97">
        <f t="shared" si="15"/>
        <v>7.3178662142404428E-4</v>
      </c>
      <c r="DH34" s="97">
        <f t="shared" si="15"/>
        <v>3.0672794303503132E-4</v>
      </c>
      <c r="DI34" s="97">
        <f t="shared" si="15"/>
        <v>1.18497816467041E-4</v>
      </c>
      <c r="DJ34" s="97">
        <f t="shared" si="15"/>
        <v>4.2138041397997642E-5</v>
      </c>
      <c r="DK34" s="97">
        <f t="shared" si="16"/>
        <v>1.3776629684083765E-5</v>
      </c>
      <c r="DL34" s="97">
        <f t="shared" si="16"/>
        <v>4.1370339123102831E-6</v>
      </c>
    </row>
    <row r="35" spans="1:116" x14ac:dyDescent="0.25">
      <c r="A35" s="60">
        <v>5.5</v>
      </c>
      <c r="B35" s="25">
        <v>4.2</v>
      </c>
      <c r="C35" s="25">
        <v>1.4</v>
      </c>
      <c r="D35" s="57">
        <v>0.2</v>
      </c>
      <c r="E35" s="82" t="s">
        <v>5</v>
      </c>
      <c r="L35" s="97" cm="1">
        <f t="array" ref="L35">EstymacjaGaussowska($O35,$D$2:$D$51,H$9)</f>
        <v>9.4261392811785273E-189</v>
      </c>
      <c r="M35" s="97" cm="1">
        <f t="array" ref="M35">EstymacjaGaussowska($O35,$D$52:$D$101,I$9)</f>
        <v>6.3567412796065794E-4</v>
      </c>
      <c r="N35" s="97" cm="1">
        <f t="array" ref="N35">EstymacjaGaussowska($O35,$D$102:$D$151,J$9)</f>
        <v>1.0874060546726001</v>
      </c>
      <c r="O35" s="97">
        <v>2.1000000000000099</v>
      </c>
      <c r="P35" s="97">
        <f t="shared" si="19"/>
        <v>1.6039242966669728E-43</v>
      </c>
      <c r="Q35" s="97">
        <f t="shared" si="19"/>
        <v>1.5389264747025326E-41</v>
      </c>
      <c r="R35" s="97">
        <f t="shared" si="19"/>
        <v>1.3052190177923421E-39</v>
      </c>
      <c r="S35" s="97">
        <f t="shared" si="19"/>
        <v>9.7854417163154747E-38</v>
      </c>
      <c r="T35" s="97">
        <f t="shared" si="19"/>
        <v>6.4849853438371922E-36</v>
      </c>
      <c r="U35" s="97">
        <f t="shared" si="19"/>
        <v>3.7989982336725941E-34</v>
      </c>
      <c r="V35" s="97">
        <f t="shared" si="19"/>
        <v>1.9672552882849025E-32</v>
      </c>
      <c r="W35" s="97">
        <f t="shared" si="19"/>
        <v>9.0050038358917056E-31</v>
      </c>
      <c r="X35" s="97">
        <f t="shared" si="19"/>
        <v>3.6436668024266901E-29</v>
      </c>
      <c r="Y35" s="97">
        <f t="shared" si="19"/>
        <v>1.3032418484315843E-27</v>
      </c>
      <c r="Z35" s="97">
        <f t="shared" si="19"/>
        <v>4.120434755802763E-26</v>
      </c>
      <c r="AA35" s="97">
        <f t="shared" si="19"/>
        <v>1.151576563392078E-24</v>
      </c>
      <c r="AB35" s="97">
        <f t="shared" si="19"/>
        <v>2.8449489942664782E-23</v>
      </c>
      <c r="AC35" s="97">
        <f t="shared" si="19"/>
        <v>6.2128127509424697E-22</v>
      </c>
      <c r="AD35" s="97">
        <f t="shared" si="19"/>
        <v>1.1993184375032579E-20</v>
      </c>
      <c r="AE35" s="97">
        <f t="shared" si="19"/>
        <v>2.0465095798321957E-19</v>
      </c>
      <c r="AF35" s="97">
        <f t="shared" si="17"/>
        <v>3.0869313354658097E-18</v>
      </c>
      <c r="AG35" s="97">
        <f t="shared" si="17"/>
        <v>4.1160011346729025E-17</v>
      </c>
      <c r="AH35" s="97">
        <f t="shared" si="17"/>
        <v>4.8513384840803487E-16</v>
      </c>
      <c r="AI35" s="97">
        <f t="shared" si="17"/>
        <v>5.0546234807269151E-15</v>
      </c>
      <c r="AJ35" s="97">
        <f t="shared" si="17"/>
        <v>4.6554627474256027E-14</v>
      </c>
      <c r="AK35" s="97">
        <f t="shared" si="17"/>
        <v>3.7904670301625306E-13</v>
      </c>
      <c r="AL35" s="97">
        <f t="shared" si="17"/>
        <v>2.7283038587944338E-12</v>
      </c>
      <c r="AM35" s="97">
        <f t="shared" si="17"/>
        <v>1.7361437169150959E-11</v>
      </c>
      <c r="AN35" s="97">
        <f t="shared" si="21"/>
        <v>9.7680473227630618E-11</v>
      </c>
      <c r="AO35" s="97">
        <f t="shared" si="21"/>
        <v>4.8597800332930456E-10</v>
      </c>
      <c r="AP35" s="97">
        <f t="shared" si="21"/>
        <v>2.1384738502251465E-9</v>
      </c>
      <c r="AQ35" s="97">
        <f t="shared" si="21"/>
        <v>8.3256022162436767E-9</v>
      </c>
      <c r="AR35" s="97">
        <f t="shared" si="21"/>
        <v>2.8693518737540781E-8</v>
      </c>
      <c r="AS35" s="97">
        <f t="shared" si="21"/>
        <v>8.7614704400951799E-8</v>
      </c>
      <c r="AT35" s="97">
        <f t="shared" si="21"/>
        <v>2.3734442730975576E-7</v>
      </c>
      <c r="AU35" s="97">
        <f t="shared" si="21"/>
        <v>5.7162266999100994E-7</v>
      </c>
      <c r="AV35" s="97">
        <f t="shared" si="21"/>
        <v>1.2280091448947597E-6</v>
      </c>
      <c r="AW35" s="97">
        <f t="shared" si="21"/>
        <v>2.3651006204672011E-6</v>
      </c>
      <c r="AX35" s="97">
        <f t="shared" si="21"/>
        <v>4.1144294030642551E-6</v>
      </c>
      <c r="AY35" s="97">
        <f t="shared" si="21"/>
        <v>6.5339184421339862E-6</v>
      </c>
      <c r="AZ35" s="97">
        <f t="shared" si="21"/>
        <v>9.6032004736646237E-6</v>
      </c>
      <c r="BA35" s="97">
        <f t="shared" si="21"/>
        <v>1.3271242790548432E-5</v>
      </c>
      <c r="BB35" s="97">
        <f t="shared" si="21"/>
        <v>1.7510122579704359E-5</v>
      </c>
      <c r="BC35" s="97">
        <f t="shared" si="21"/>
        <v>2.2315691022538645E-5</v>
      </c>
      <c r="BD35" s="97">
        <f t="shared" si="20"/>
        <v>2.767600929754376E-5</v>
      </c>
      <c r="BE35" s="97">
        <f t="shared" si="20"/>
        <v>3.3663400812886434E-5</v>
      </c>
      <c r="BF35" s="97">
        <f t="shared" si="20"/>
        <v>4.0928441552527484E-5</v>
      </c>
      <c r="BG35" s="97">
        <f t="shared" si="20"/>
        <v>5.2022065770060558E-5</v>
      </c>
      <c r="BH35" s="97">
        <f t="shared" si="20"/>
        <v>7.4299760357919735E-5</v>
      </c>
      <c r="BI35" s="97">
        <f t="shared" si="20"/>
        <v>1.2574374374774147E-4</v>
      </c>
      <c r="BJ35" s="97">
        <f t="shared" si="20"/>
        <v>2.4558263907127501E-4</v>
      </c>
      <c r="BK35" s="97">
        <f t="shared" si="18"/>
        <v>5.1130047692961983E-4</v>
      </c>
      <c r="BL35" s="97">
        <f t="shared" si="18"/>
        <v>1.0616270352220591E-3</v>
      </c>
      <c r="BM35" s="97">
        <f t="shared" si="18"/>
        <v>2.1217115403619853E-3</v>
      </c>
      <c r="BN35" s="97">
        <f t="shared" si="18"/>
        <v>4.0248268538942804E-3</v>
      </c>
      <c r="BO35" s="97">
        <f t="shared" si="18"/>
        <v>7.229084171418489E-3</v>
      </c>
      <c r="BP35" s="97">
        <f t="shared" si="18"/>
        <v>1.2338040200562925E-2</v>
      </c>
      <c r="BQ35" s="97">
        <f t="shared" si="18"/>
        <v>2.0139969187998256E-2</v>
      </c>
      <c r="BR35" s="97">
        <f t="shared" si="18"/>
        <v>3.1662550339275917E-2</v>
      </c>
      <c r="BS35" s="97">
        <f t="shared" si="18"/>
        <v>4.8189269548024501E-2</v>
      </c>
      <c r="BT35" s="97">
        <f t="shared" si="18"/>
        <v>7.1128511161385646E-2</v>
      </c>
      <c r="BU35" s="97">
        <f t="shared" si="18"/>
        <v>0.10162958694378084</v>
      </c>
      <c r="BV35" s="97">
        <f t="shared" si="18"/>
        <v>0.13995499531579639</v>
      </c>
      <c r="BW35" s="97">
        <f t="shared" si="18"/>
        <v>0.18482135689543736</v>
      </c>
      <c r="BX35" s="97">
        <f t="shared" si="18"/>
        <v>0.23308959772901799</v>
      </c>
      <c r="BY35" s="97">
        <f t="shared" si="18"/>
        <v>0.28015998349052013</v>
      </c>
      <c r="BZ35" s="97">
        <f t="shared" si="18"/>
        <v>0.32113842077841037</v>
      </c>
      <c r="CA35" s="97">
        <f t="shared" si="13"/>
        <v>0.35239379328366488</v>
      </c>
      <c r="CB35" s="97">
        <f t="shared" si="7"/>
        <v>0.37278514092041476</v>
      </c>
      <c r="CC35" s="97">
        <f t="shared" si="7"/>
        <v>0.38387161356345806</v>
      </c>
      <c r="CD35" s="97">
        <f t="shared" si="7"/>
        <v>0.38889854551617503</v>
      </c>
      <c r="CE35" s="97">
        <f t="shared" si="7"/>
        <v>0.39104079705796246</v>
      </c>
      <c r="CF35" s="97">
        <f t="shared" si="7"/>
        <v>0.39184028198330612</v>
      </c>
      <c r="CG35" s="97">
        <f t="shared" si="7"/>
        <v>0.39066393952882544</v>
      </c>
      <c r="CH35" s="97">
        <f t="shared" si="7"/>
        <v>0.38538029473944957</v>
      </c>
      <c r="CI35" s="97">
        <f t="shared" si="7"/>
        <v>0.37373513853392498</v>
      </c>
      <c r="CJ35" s="97">
        <f t="shared" si="7"/>
        <v>0.35458648104791063</v>
      </c>
      <c r="CK35" s="97">
        <f t="shared" si="7"/>
        <v>0.32840480660674692</v>
      </c>
      <c r="CL35" s="97">
        <f t="shared" si="7"/>
        <v>0.29700061446618936</v>
      </c>
      <c r="CM35" s="97">
        <f t="shared" si="7"/>
        <v>0.26287009963485974</v>
      </c>
      <c r="CN35" s="97">
        <f t="shared" si="7"/>
        <v>0.22859522590083922</v>
      </c>
      <c r="CO35" s="97">
        <f t="shared" si="7"/>
        <v>0.19648225099311273</v>
      </c>
      <c r="CP35" s="97">
        <f t="shared" si="7"/>
        <v>0.16835769660897945</v>
      </c>
      <c r="CQ35" s="97">
        <f t="shared" si="14"/>
        <v>0.14537410049374111</v>
      </c>
      <c r="CR35" s="97">
        <f t="shared" si="14"/>
        <v>0.12780007610015839</v>
      </c>
      <c r="CS35" s="97">
        <f t="shared" si="14"/>
        <v>0.11491738545349632</v>
      </c>
      <c r="CT35" s="97">
        <f t="shared" si="14"/>
        <v>0.10517480430719128</v>
      </c>
      <c r="CU35" s="97">
        <f t="shared" si="15"/>
        <v>9.663199039219289E-2</v>
      </c>
      <c r="CV35" s="97">
        <f t="shared" si="15"/>
        <v>8.7557008699433669E-2</v>
      </c>
      <c r="CW35" s="97">
        <f t="shared" si="15"/>
        <v>7.6938762227186888E-2</v>
      </c>
      <c r="CX35" s="97">
        <f t="shared" si="15"/>
        <v>6.4707266985055051E-2</v>
      </c>
      <c r="CY35" s="97">
        <f t="shared" si="15"/>
        <v>5.1597826868824734E-2</v>
      </c>
      <c r="CZ35" s="97">
        <f t="shared" si="15"/>
        <v>3.8760127537940281E-2</v>
      </c>
      <c r="DA35" s="97">
        <f t="shared" si="15"/>
        <v>2.7307087811397766E-2</v>
      </c>
      <c r="DB35" s="97">
        <f t="shared" si="15"/>
        <v>1.7983467215231048E-2</v>
      </c>
      <c r="DC35" s="97">
        <f t="shared" si="15"/>
        <v>1.1041579702102589E-2</v>
      </c>
      <c r="DD35" s="97">
        <f t="shared" si="15"/>
        <v>6.3059129961388844E-3</v>
      </c>
      <c r="DE35" s="97">
        <f t="shared" si="15"/>
        <v>3.3427613350114019E-3</v>
      </c>
      <c r="DF35" s="97">
        <f t="shared" si="15"/>
        <v>1.6415140684624433E-3</v>
      </c>
      <c r="DG35" s="97">
        <f t="shared" si="15"/>
        <v>7.4535917377601031E-4</v>
      </c>
      <c r="DH35" s="97">
        <f t="shared" si="15"/>
        <v>3.1241687057589359E-4</v>
      </c>
      <c r="DI35" s="97">
        <f t="shared" si="15"/>
        <v>1.2069561261486182E-4</v>
      </c>
      <c r="DJ35" s="97">
        <f t="shared" ref="DJ35:DL53" si="22">$H$2*$L35*DJ$1+$I$2*$M35*DJ$2+$J$2*$N35*DJ$3</f>
        <v>4.2919581748886653E-5</v>
      </c>
      <c r="DK35" s="97">
        <f t="shared" si="22"/>
        <v>1.4032146828216585E-5</v>
      </c>
      <c r="DL35" s="97">
        <f t="shared" si="22"/>
        <v>4.213764078881822E-6</v>
      </c>
    </row>
    <row r="36" spans="1:116" x14ac:dyDescent="0.25">
      <c r="A36" s="60">
        <v>4.9000000000000004</v>
      </c>
      <c r="B36" s="25">
        <v>3.1</v>
      </c>
      <c r="C36" s="25">
        <v>1.5</v>
      </c>
      <c r="D36" s="57">
        <v>0.2</v>
      </c>
      <c r="E36" s="82" t="s">
        <v>5</v>
      </c>
      <c r="L36" s="97" cm="1">
        <f t="array" ref="L36">EstymacjaGaussowska($O36,$D$2:$D$51,H$9)</f>
        <v>2.4446610438683982E-181</v>
      </c>
      <c r="M36" s="97" cm="1">
        <f t="array" ref="M36">EstymacjaGaussowska($O36,$D$52:$D$101,I$9)</f>
        <v>1.6260872167284804E-3</v>
      </c>
      <c r="N36" s="97" cm="1">
        <f t="array" ref="N36">EstymacjaGaussowska($O36,$D$102:$D$151,J$9)</f>
        <v>1.1107849637837997</v>
      </c>
      <c r="O36" s="97">
        <v>2.0700000000000101</v>
      </c>
      <c r="P36" s="97">
        <f t="shared" si="19"/>
        <v>4.1029211048397441E-43</v>
      </c>
      <c r="Q36" s="97">
        <f t="shared" si="19"/>
        <v>3.9366533227126867E-41</v>
      </c>
      <c r="R36" s="97">
        <f t="shared" si="19"/>
        <v>3.3388175898742675E-39</v>
      </c>
      <c r="S36" s="97">
        <f t="shared" si="19"/>
        <v>2.503166478709826E-37</v>
      </c>
      <c r="T36" s="97">
        <f t="shared" si="19"/>
        <v>1.6588927100298554E-35</v>
      </c>
      <c r="U36" s="97">
        <f t="shared" si="19"/>
        <v>9.7180334898440448E-34</v>
      </c>
      <c r="V36" s="97">
        <f t="shared" si="19"/>
        <v>5.0323405273457416E-32</v>
      </c>
      <c r="W36" s="97">
        <f t="shared" si="19"/>
        <v>2.3035264422529227E-30</v>
      </c>
      <c r="X36" s="97">
        <f t="shared" si="19"/>
        <v>9.3206876744410688E-29</v>
      </c>
      <c r="Y36" s="97">
        <f t="shared" si="19"/>
        <v>3.3337598886380226E-27</v>
      </c>
      <c r="Z36" s="97">
        <f t="shared" si="19"/>
        <v>1.0540284697868478E-25</v>
      </c>
      <c r="AA36" s="97">
        <f t="shared" si="19"/>
        <v>2.9457922643846632E-24</v>
      </c>
      <c r="AB36" s="97">
        <f t="shared" si="19"/>
        <v>7.2775263115751349E-23</v>
      </c>
      <c r="AC36" s="97">
        <f t="shared" si="19"/>
        <v>1.5892695565015203E-21</v>
      </c>
      <c r="AD36" s="97">
        <f t="shared" si="19"/>
        <v>3.067918441587922E-20</v>
      </c>
      <c r="AE36" s="97">
        <f t="shared" si="19"/>
        <v>5.2350770942237652E-19</v>
      </c>
      <c r="AF36" s="97">
        <f t="shared" si="17"/>
        <v>7.8965296253652078E-18</v>
      </c>
      <c r="AG36" s="97">
        <f t="shared" si="17"/>
        <v>1.0528943266267014E-16</v>
      </c>
      <c r="AH36" s="97">
        <f t="shared" si="17"/>
        <v>1.2409974145548688E-15</v>
      </c>
      <c r="AI36" s="97">
        <f t="shared" si="17"/>
        <v>1.2929987655395542E-14</v>
      </c>
      <c r="AJ36" s="97">
        <f t="shared" si="17"/>
        <v>1.1908913905039234E-13</v>
      </c>
      <c r="AK36" s="97">
        <f t="shared" si="17"/>
        <v>9.6962102311003513E-13</v>
      </c>
      <c r="AL36" s="97">
        <f t="shared" si="17"/>
        <v>6.9791420367683879E-12</v>
      </c>
      <c r="AM36" s="97">
        <f t="shared" si="17"/>
        <v>4.4411452036525539E-11</v>
      </c>
      <c r="AN36" s="97">
        <f t="shared" si="21"/>
        <v>2.4987169030914972E-10</v>
      </c>
      <c r="AO36" s="97">
        <f t="shared" si="21"/>
        <v>1.2431568063943056E-9</v>
      </c>
      <c r="AP36" s="97">
        <f t="shared" si="21"/>
        <v>5.4703264427081789E-9</v>
      </c>
      <c r="AQ36" s="97">
        <f t="shared" si="21"/>
        <v>2.1297320025270052E-8</v>
      </c>
      <c r="AR36" s="97">
        <f t="shared" si="21"/>
        <v>7.339950135463075E-8</v>
      </c>
      <c r="AS36" s="97">
        <f t="shared" si="21"/>
        <v>2.241229342028812E-7</v>
      </c>
      <c r="AT36" s="97">
        <f t="shared" si="21"/>
        <v>6.0713928959152724E-7</v>
      </c>
      <c r="AU36" s="97">
        <f t="shared" si="21"/>
        <v>1.4622402707531645E-6</v>
      </c>
      <c r="AV36" s="97">
        <f t="shared" si="21"/>
        <v>3.1413106436987713E-6</v>
      </c>
      <c r="AW36" s="97">
        <f t="shared" si="21"/>
        <v>6.0500485131259282E-6</v>
      </c>
      <c r="AX36" s="97">
        <f t="shared" si="21"/>
        <v>1.0524915806916817E-5</v>
      </c>
      <c r="AY36" s="97">
        <f t="shared" si="21"/>
        <v>1.6714052303131698E-5</v>
      </c>
      <c r="AZ36" s="97">
        <f t="shared" si="21"/>
        <v>2.4565174012901202E-5</v>
      </c>
      <c r="BA36" s="97">
        <f t="shared" si="21"/>
        <v>3.3946720049568754E-5</v>
      </c>
      <c r="BB36" s="97">
        <f t="shared" si="21"/>
        <v>4.4782143719637901E-5</v>
      </c>
      <c r="BC36" s="97">
        <f t="shared" si="21"/>
        <v>5.7037430101232349E-5</v>
      </c>
      <c r="BD36" s="97">
        <f t="shared" si="20"/>
        <v>7.0584988331802358E-5</v>
      </c>
      <c r="BE36" s="97">
        <f t="shared" si="20"/>
        <v>8.5245157014403515E-5</v>
      </c>
      <c r="BF36" s="97">
        <f t="shared" si="20"/>
        <v>1.0144227088506995E-4</v>
      </c>
      <c r="BG36" s="97">
        <f t="shared" si="20"/>
        <v>1.2189304213246949E-4</v>
      </c>
      <c r="BH36" s="97">
        <f t="shared" si="20"/>
        <v>1.5486048719094551E-4</v>
      </c>
      <c r="BI36" s="97">
        <f t="shared" si="20"/>
        <v>2.2002071407395825E-4</v>
      </c>
      <c r="BJ36" s="97">
        <f t="shared" si="20"/>
        <v>3.5871167031273333E-4</v>
      </c>
      <c r="BK36" s="97">
        <f t="shared" si="18"/>
        <v>6.5041495719887939E-4</v>
      </c>
      <c r="BL36" s="97">
        <f t="shared" si="18"/>
        <v>1.2356361331217873E-3</v>
      </c>
      <c r="BM36" s="97">
        <f t="shared" si="18"/>
        <v>2.341874900692935E-3</v>
      </c>
      <c r="BN36" s="97">
        <f t="shared" si="18"/>
        <v>4.306941480006609E-3</v>
      </c>
      <c r="BO36" s="97">
        <f t="shared" si="18"/>
        <v>7.5973564985291394E-3</v>
      </c>
      <c r="BP36" s="97">
        <f t="shared" si="18"/>
        <v>1.2829910117562659E-2</v>
      </c>
      <c r="BQ36" s="97">
        <f t="shared" si="18"/>
        <v>2.0811007489284342E-2</v>
      </c>
      <c r="BR36" s="97">
        <f t="shared" si="18"/>
        <v>3.2591017134562437E-2</v>
      </c>
      <c r="BS36" s="97">
        <f t="shared" si="18"/>
        <v>4.9479932379087446E-2</v>
      </c>
      <c r="BT36" s="97">
        <f t="shared" si="18"/>
        <v>7.2913841118243811E-2</v>
      </c>
      <c r="BU36" s="97">
        <f t="shared" si="18"/>
        <v>0.10406405094980414</v>
      </c>
      <c r="BV36" s="97">
        <f t="shared" si="18"/>
        <v>0.1431973998257936</v>
      </c>
      <c r="BW36" s="97">
        <f t="shared" si="18"/>
        <v>0.1890037756893353</v>
      </c>
      <c r="BX36" s="97">
        <f t="shared" si="18"/>
        <v>0.2382792868001784</v>
      </c>
      <c r="BY36" s="97">
        <f t="shared" si="18"/>
        <v>0.28632875141366221</v>
      </c>
      <c r="BZ36" s="97">
        <f t="shared" si="18"/>
        <v>0.32815603154494416</v>
      </c>
      <c r="CA36" s="97">
        <f t="shared" si="13"/>
        <v>0.36005425499204757</v>
      </c>
      <c r="CB36" s="97">
        <f t="shared" si="7"/>
        <v>0.38085927756582777</v>
      </c>
      <c r="CC36" s="97">
        <f t="shared" si="7"/>
        <v>0.39216432628100673</v>
      </c>
      <c r="CD36" s="97">
        <f t="shared" si="7"/>
        <v>0.39728448494524776</v>
      </c>
      <c r="CE36" s="97">
        <f t="shared" si="7"/>
        <v>0.3994624135107816</v>
      </c>
      <c r="CF36" s="97">
        <f t="shared" si="7"/>
        <v>0.40027240189961044</v>
      </c>
      <c r="CG36" s="97">
        <f t="shared" si="7"/>
        <v>0.39906684184778635</v>
      </c>
      <c r="CH36" s="97">
        <f t="shared" si="7"/>
        <v>0.39366751469443434</v>
      </c>
      <c r="CI36" s="97">
        <f t="shared" si="7"/>
        <v>0.38177099593997288</v>
      </c>
      <c r="CJ36" s="97">
        <f t="shared" si="7"/>
        <v>0.36221022346910542</v>
      </c>
      <c r="CK36" s="97">
        <f t="shared" si="7"/>
        <v>0.33546548942492549</v>
      </c>
      <c r="CL36" s="97">
        <f t="shared" si="7"/>
        <v>0.30338606193193129</v>
      </c>
      <c r="CM36" s="97">
        <f t="shared" si="7"/>
        <v>0.26852173477818453</v>
      </c>
      <c r="CN36" s="97">
        <f t="shared" si="7"/>
        <v>0.23350995704181451</v>
      </c>
      <c r="CO36" s="97">
        <f t="shared" si="7"/>
        <v>0.20070656163535411</v>
      </c>
      <c r="CP36" s="97">
        <f t="shared" si="7"/>
        <v>0.17197733742373819</v>
      </c>
      <c r="CQ36" s="97">
        <f t="shared" si="14"/>
        <v>0.14849960073903562</v>
      </c>
      <c r="CR36" s="97">
        <f t="shared" si="14"/>
        <v>0.13054774000348868</v>
      </c>
      <c r="CS36" s="97">
        <f t="shared" si="14"/>
        <v>0.11738807531071359</v>
      </c>
      <c r="CT36" s="97">
        <f t="shared" si="14"/>
        <v>0.10743603154621205</v>
      </c>
      <c r="CU36" s="97">
        <f t="shared" ref="CU36:DJ54" si="23">$H$2*$L36*CU$1+$I$2*$M36*CU$2+$J$2*$N36*CU$3</f>
        <v>9.8709549654353815E-2</v>
      </c>
      <c r="CV36" s="97">
        <f t="shared" si="23"/>
        <v>8.9439458534650948E-2</v>
      </c>
      <c r="CW36" s="97">
        <f t="shared" si="23"/>
        <v>7.8592922898362463E-2</v>
      </c>
      <c r="CX36" s="97">
        <f t="shared" si="23"/>
        <v>6.6098454119959502E-2</v>
      </c>
      <c r="CY36" s="97">
        <f t="shared" si="23"/>
        <v>5.2707164911884333E-2</v>
      </c>
      <c r="CZ36" s="97">
        <f t="shared" si="23"/>
        <v>3.9593458835806603E-2</v>
      </c>
      <c r="DA36" s="97">
        <f t="shared" si="23"/>
        <v>2.7894182136733694E-2</v>
      </c>
      <c r="DB36" s="97">
        <f t="shared" si="23"/>
        <v>1.8370106450613741E-2</v>
      </c>
      <c r="DC36" s="97">
        <f t="shared" si="23"/>
        <v>1.1278970405593976E-2</v>
      </c>
      <c r="DD36" s="97">
        <f t="shared" si="23"/>
        <v>6.4414882636908482E-3</v>
      </c>
      <c r="DE36" s="97">
        <f t="shared" si="23"/>
        <v>3.4146297167404272E-3</v>
      </c>
      <c r="DF36" s="97">
        <f t="shared" si="23"/>
        <v>1.6768061362658487E-3</v>
      </c>
      <c r="DG36" s="97">
        <f t="shared" si="23"/>
        <v>7.6138417593967281E-4</v>
      </c>
      <c r="DH36" s="97">
        <f t="shared" si="23"/>
        <v>3.1913374105000395E-4</v>
      </c>
      <c r="DI36" s="97">
        <f t="shared" si="23"/>
        <v>1.2329053264985553E-4</v>
      </c>
      <c r="DJ36" s="97">
        <f t="shared" si="23"/>
        <v>4.3842340084180304E-5</v>
      </c>
      <c r="DK36" s="97">
        <f t="shared" si="22"/>
        <v>1.4333833841933511E-5</v>
      </c>
      <c r="DL36" s="97">
        <f t="shared" si="22"/>
        <v>4.3043587624343949E-6</v>
      </c>
    </row>
    <row r="37" spans="1:116" x14ac:dyDescent="0.25">
      <c r="A37" s="60">
        <v>5</v>
      </c>
      <c r="B37" s="25">
        <v>3.2</v>
      </c>
      <c r="C37" s="25">
        <v>1.2</v>
      </c>
      <c r="D37" s="57">
        <v>0.2</v>
      </c>
      <c r="E37" s="82" t="s">
        <v>5</v>
      </c>
      <c r="L37" s="97" cm="1">
        <f t="array" ref="L37">EstymacjaGaussowska($O37,$D$2:$D$51,H$9)</f>
        <v>4.4908443290237555E-174</v>
      </c>
      <c r="M37" s="97" cm="1">
        <f t="array" ref="M37">EstymacjaGaussowska($O37,$D$52:$D$101,I$9)</f>
        <v>3.7847815451795036E-3</v>
      </c>
      <c r="N37" s="97" cm="1">
        <f t="array" ref="N37">EstymacjaGaussowska($O37,$D$102:$D$151,J$9)</f>
        <v>1.1370244380760501</v>
      </c>
      <c r="O37" s="97">
        <v>2.0400000000000098</v>
      </c>
      <c r="P37" s="97">
        <f t="shared" si="19"/>
        <v>9.5497092155776381E-43</v>
      </c>
      <c r="Q37" s="97">
        <f t="shared" si="19"/>
        <v>9.1627144548547337E-41</v>
      </c>
      <c r="R37" s="97">
        <f t="shared" si="19"/>
        <v>7.7712284229750984E-39</v>
      </c>
      <c r="S37" s="97">
        <f t="shared" si="19"/>
        <v>5.8262178041061645E-37</v>
      </c>
      <c r="T37" s="97">
        <f t="shared" si="19"/>
        <v>3.8611376128923743E-35</v>
      </c>
      <c r="U37" s="97">
        <f t="shared" si="19"/>
        <v>2.2619102732876127E-33</v>
      </c>
      <c r="V37" s="97">
        <f t="shared" si="19"/>
        <v>1.1712969243603218E-31</v>
      </c>
      <c r="W37" s="97">
        <f t="shared" si="19"/>
        <v>5.3615478172273375E-30</v>
      </c>
      <c r="X37" s="97">
        <f t="shared" si="19"/>
        <v>2.1694264819066614E-28</v>
      </c>
      <c r="Y37" s="97">
        <f t="shared" si="19"/>
        <v>7.7594564256904246E-27</v>
      </c>
      <c r="Z37" s="97">
        <f t="shared" si="19"/>
        <v>2.4532924553512251E-25</v>
      </c>
      <c r="AA37" s="97">
        <f t="shared" si="19"/>
        <v>6.8564466182857124E-24</v>
      </c>
      <c r="AB37" s="97">
        <f t="shared" si="19"/>
        <v>1.6938726899300771E-22</v>
      </c>
      <c r="AC37" s="97">
        <f t="shared" si="19"/>
        <v>3.6990870021499855E-21</v>
      </c>
      <c r="AD37" s="97">
        <f t="shared" si="19"/>
        <v>7.140700068474045E-20</v>
      </c>
      <c r="AE37" s="97">
        <f t="shared" si="19"/>
        <v>1.2184846526051051E-18</v>
      </c>
      <c r="AF37" s="97">
        <f t="shared" si="17"/>
        <v>1.8379481303084278E-17</v>
      </c>
      <c r="AG37" s="97">
        <f t="shared" si="17"/>
        <v>2.4506526928231419E-16</v>
      </c>
      <c r="AH37" s="97">
        <f t="shared" si="17"/>
        <v>2.8884699811320266E-15</v>
      </c>
      <c r="AI37" s="97">
        <f t="shared" si="17"/>
        <v>3.0095051577858379E-14</v>
      </c>
      <c r="AJ37" s="97">
        <f t="shared" si="17"/>
        <v>2.7718462519867438E-13</v>
      </c>
      <c r="AK37" s="97">
        <f t="shared" si="17"/>
        <v>2.2568308245286907E-12</v>
      </c>
      <c r="AL37" s="97">
        <f t="shared" si="17"/>
        <v>1.6244225838691561E-11</v>
      </c>
      <c r="AM37" s="97">
        <f t="shared" si="17"/>
        <v>1.0336939023518553E-10</v>
      </c>
      <c r="AN37" s="97">
        <f t="shared" si="21"/>
        <v>5.8158612429614608E-10</v>
      </c>
      <c r="AO37" s="97">
        <f t="shared" si="21"/>
        <v>2.8934960500256856E-9</v>
      </c>
      <c r="AP37" s="97">
        <f t="shared" si="21"/>
        <v>1.2732398578260645E-8</v>
      </c>
      <c r="AQ37" s="97">
        <f t="shared" si="21"/>
        <v>4.9570344667381419E-8</v>
      </c>
      <c r="AR37" s="97">
        <f t="shared" si="21"/>
        <v>1.7084020788171685E-7</v>
      </c>
      <c r="AS37" s="97">
        <f t="shared" si="21"/>
        <v>5.2165488809229193E-7</v>
      </c>
      <c r="AT37" s="97">
        <f t="shared" si="21"/>
        <v>1.4131404227892663E-6</v>
      </c>
      <c r="AU37" s="97">
        <f t="shared" si="21"/>
        <v>3.40342136500071E-6</v>
      </c>
      <c r="AV37" s="97">
        <f t="shared" si="21"/>
        <v>7.3115231937427115E-6</v>
      </c>
      <c r="AW37" s="97">
        <f t="shared" si="21"/>
        <v>1.4081723572288232E-5</v>
      </c>
      <c r="AX37" s="97">
        <f t="shared" si="21"/>
        <v>2.4497146887683473E-5</v>
      </c>
      <c r="AY37" s="97">
        <f t="shared" si="21"/>
        <v>3.8902568157609814E-5</v>
      </c>
      <c r="AZ37" s="97">
        <f t="shared" si="21"/>
        <v>5.7176135309069087E-5</v>
      </c>
      <c r="BA37" s="97">
        <f t="shared" si="21"/>
        <v>7.9010754013182882E-5</v>
      </c>
      <c r="BB37" s="97">
        <f t="shared" si="21"/>
        <v>1.0422382173875233E-4</v>
      </c>
      <c r="BC37" s="97">
        <f t="shared" si="21"/>
        <v>1.3271588152186946E-4</v>
      </c>
      <c r="BD37" s="97">
        <f t="shared" si="20"/>
        <v>1.6410583281273482E-4</v>
      </c>
      <c r="BE37" s="97">
        <f t="shared" si="20"/>
        <v>1.9765939615027479E-4</v>
      </c>
      <c r="BF37" s="97">
        <f t="shared" si="20"/>
        <v>2.332894517188917E-4</v>
      </c>
      <c r="BG37" s="97">
        <f t="shared" si="20"/>
        <v>2.7401769740382001E-4</v>
      </c>
      <c r="BH37" s="97">
        <f t="shared" si="20"/>
        <v>3.2992908583089167E-4</v>
      </c>
      <c r="BI37" s="97">
        <f t="shared" si="20"/>
        <v>4.2400230866488622E-4</v>
      </c>
      <c r="BJ37" s="97">
        <f t="shared" si="20"/>
        <v>6.0129982775214007E-4</v>
      </c>
      <c r="BK37" s="97">
        <f t="shared" si="18"/>
        <v>9.4390080820563719E-4</v>
      </c>
      <c r="BL37" s="97">
        <f t="shared" si="18"/>
        <v>1.5930100725269352E-3</v>
      </c>
      <c r="BM37" s="97">
        <f t="shared" si="18"/>
        <v>2.7760958730759693E-3</v>
      </c>
      <c r="BN37" s="97">
        <f t="shared" si="18"/>
        <v>4.8332437766144707E-3</v>
      </c>
      <c r="BO37" s="97">
        <f t="shared" si="18"/>
        <v>8.2388692638555982E-3</v>
      </c>
      <c r="BP37" s="97">
        <f t="shared" si="18"/>
        <v>1.3624890836050774E-2</v>
      </c>
      <c r="BQ37" s="97">
        <f t="shared" si="18"/>
        <v>2.1819331454249614E-2</v>
      </c>
      <c r="BR37" s="97">
        <f t="shared" si="18"/>
        <v>3.3898662479968242E-2</v>
      </c>
      <c r="BS37" s="97">
        <f t="shared" si="18"/>
        <v>5.1201462593808027E-2</v>
      </c>
      <c r="BT37" s="97">
        <f t="shared" si="18"/>
        <v>7.5192151092531134E-2</v>
      </c>
      <c r="BU37" s="97">
        <f t="shared" si="18"/>
        <v>0.10706381323239245</v>
      </c>
      <c r="BV37" s="97">
        <f t="shared" si="18"/>
        <v>0.14708675943044322</v>
      </c>
      <c r="BW37" s="97">
        <f t="shared" si="18"/>
        <v>0.19392179555100614</v>
      </c>
      <c r="BX37" s="97">
        <f t="shared" si="18"/>
        <v>0.24429514496524493</v>
      </c>
      <c r="BY37" s="97">
        <f t="shared" si="18"/>
        <v>0.29340819356106007</v>
      </c>
      <c r="BZ37" s="97">
        <f t="shared" si="18"/>
        <v>0.33615367874172941</v>
      </c>
      <c r="CA37" s="97">
        <f t="shared" si="13"/>
        <v>0.36874218173716838</v>
      </c>
      <c r="CB37" s="97">
        <f t="shared" si="7"/>
        <v>0.38998498068905019</v>
      </c>
      <c r="CC37" s="97">
        <f t="shared" si="7"/>
        <v>0.40151414523271078</v>
      </c>
      <c r="CD37" s="97">
        <f t="shared" si="7"/>
        <v>0.40672301702645236</v>
      </c>
      <c r="CE37" s="97">
        <f t="shared" si="7"/>
        <v>0.40892985949913407</v>
      </c>
      <c r="CF37" s="97">
        <f t="shared" si="7"/>
        <v>0.40974446978233847</v>
      </c>
      <c r="CG37" s="97">
        <f t="shared" ref="CG37:CV53" si="24">$H$2*$L37*CG$1+$I$2*$M37*CG$2+$J$2*$N37*CG$3</f>
        <v>0.40850190776694983</v>
      </c>
      <c r="CH37" s="97">
        <f t="shared" si="24"/>
        <v>0.40297050796613215</v>
      </c>
      <c r="CI37" s="97">
        <f t="shared" si="24"/>
        <v>0.39079080397717941</v>
      </c>
      <c r="CJ37" s="97">
        <f t="shared" si="24"/>
        <v>0.37076703643130376</v>
      </c>
      <c r="CK37" s="97">
        <f t="shared" si="24"/>
        <v>0.34339017573991354</v>
      </c>
      <c r="CL37" s="97">
        <f t="shared" si="24"/>
        <v>0.31055283493485514</v>
      </c>
      <c r="CM37" s="97">
        <f t="shared" si="24"/>
        <v>0.2748648911284291</v>
      </c>
      <c r="CN37" s="97">
        <f t="shared" si="24"/>
        <v>0.23902603962954808</v>
      </c>
      <c r="CO37" s="97">
        <f t="shared" si="24"/>
        <v>0.20544774508642485</v>
      </c>
      <c r="CP37" s="97">
        <f t="shared" si="24"/>
        <v>0.1760398654407046</v>
      </c>
      <c r="CQ37" s="97">
        <f t="shared" si="24"/>
        <v>0.15200752675612439</v>
      </c>
      <c r="CR37" s="97">
        <f t="shared" si="24"/>
        <v>0.13363159887981421</v>
      </c>
      <c r="CS37" s="97">
        <f t="shared" si="24"/>
        <v>0.12016107052137542</v>
      </c>
      <c r="CT37" s="97">
        <f t="shared" si="24"/>
        <v>0.10997393499266336</v>
      </c>
      <c r="CU37" s="97">
        <f t="shared" si="24"/>
        <v>0.10104131212414413</v>
      </c>
      <c r="CV37" s="97">
        <f t="shared" si="24"/>
        <v>9.1552238640116856E-2</v>
      </c>
      <c r="CW37" s="97">
        <f t="shared" si="23"/>
        <v>8.0449481140670312E-2</v>
      </c>
      <c r="CX37" s="97">
        <f t="shared" si="23"/>
        <v>6.765986226301729E-2</v>
      </c>
      <c r="CY37" s="97">
        <f t="shared" si="23"/>
        <v>5.3952237850224884E-2</v>
      </c>
      <c r="CZ37" s="97">
        <f t="shared" si="23"/>
        <v>4.0528753766091268E-2</v>
      </c>
      <c r="DA37" s="97">
        <f t="shared" si="23"/>
        <v>2.8553111361510845E-2</v>
      </c>
      <c r="DB37" s="97">
        <f t="shared" si="23"/>
        <v>1.8804053570598885E-2</v>
      </c>
      <c r="DC37" s="97">
        <f t="shared" si="23"/>
        <v>1.1545407442149181E-2</v>
      </c>
      <c r="DD37" s="97">
        <f t="shared" si="23"/>
        <v>6.5936520678561393E-3</v>
      </c>
      <c r="DE37" s="97">
        <f t="shared" si="23"/>
        <v>3.4952916734568343E-3</v>
      </c>
      <c r="DF37" s="97">
        <f t="shared" si="23"/>
        <v>1.7164164235313137E-3</v>
      </c>
      <c r="DG37" s="97">
        <f t="shared" si="23"/>
        <v>7.7936994380876673E-4</v>
      </c>
      <c r="DH37" s="97">
        <f t="shared" si="23"/>
        <v>3.2667246534597054E-4</v>
      </c>
      <c r="DI37" s="97">
        <f t="shared" si="23"/>
        <v>1.2620295842749994E-4</v>
      </c>
      <c r="DJ37" s="97">
        <f t="shared" si="23"/>
        <v>4.4878004045305777E-5</v>
      </c>
      <c r="DK37" s="97">
        <f t="shared" si="22"/>
        <v>1.4672434270340111E-5</v>
      </c>
      <c r="DL37" s="97">
        <f t="shared" si="22"/>
        <v>4.4060383086777876E-6</v>
      </c>
    </row>
    <row r="38" spans="1:116" x14ac:dyDescent="0.25">
      <c r="A38" s="60">
        <v>5.5</v>
      </c>
      <c r="B38" s="25">
        <v>3.5</v>
      </c>
      <c r="C38" s="25">
        <v>1.3</v>
      </c>
      <c r="D38" s="57">
        <v>0.2</v>
      </c>
      <c r="E38" s="82" t="s">
        <v>5</v>
      </c>
      <c r="L38" s="97" cm="1">
        <f t="array" ref="L38">EstymacjaGaussowska($O38,$D$2:$D$51,H$9)</f>
        <v>5.8433499894258259E-167</v>
      </c>
      <c r="M38" s="97" cm="1">
        <f t="array" ref="M38">EstymacjaGaussowska($O38,$D$52:$D$101,I$9)</f>
        <v>8.0270907982306714E-3</v>
      </c>
      <c r="N38" s="97" cm="1">
        <f t="array" ref="N38">EstymacjaGaussowska($O38,$D$102:$D$151,J$9)</f>
        <v>1.1646189305443029</v>
      </c>
      <c r="O38" s="97">
        <v>2.01000000000001</v>
      </c>
      <c r="P38" s="97">
        <f t="shared" si="19"/>
        <v>2.0253846108443295E-42</v>
      </c>
      <c r="Q38" s="97">
        <f t="shared" si="19"/>
        <v>1.943307427638899E-40</v>
      </c>
      <c r="R38" s="97">
        <f t="shared" si="19"/>
        <v>1.6481890809381842E-38</v>
      </c>
      <c r="S38" s="97">
        <f t="shared" si="19"/>
        <v>1.2356744706545597E-36</v>
      </c>
      <c r="T38" s="97">
        <f t="shared" si="19"/>
        <v>8.1890333254837181E-35</v>
      </c>
      <c r="U38" s="97">
        <f t="shared" si="19"/>
        <v>4.7972541940381115E-33</v>
      </c>
      <c r="V38" s="97">
        <f t="shared" si="19"/>
        <v>2.4841874362613194E-31</v>
      </c>
      <c r="W38" s="97">
        <f t="shared" si="19"/>
        <v>1.1371232562353376E-29</v>
      </c>
      <c r="X38" s="97">
        <f t="shared" si="19"/>
        <v>4.6011066008632689E-28</v>
      </c>
      <c r="Y38" s="97">
        <f t="shared" si="19"/>
        <v>1.6456923743263863E-26</v>
      </c>
      <c r="Z38" s="97">
        <f t="shared" si="19"/>
        <v>5.2031540152694763E-25</v>
      </c>
      <c r="AA38" s="97">
        <f t="shared" si="19"/>
        <v>1.4541742740290902E-23</v>
      </c>
      <c r="AB38" s="97">
        <f t="shared" si="19"/>
        <v>3.5925111450698238E-22</v>
      </c>
      <c r="AC38" s="97">
        <f t="shared" si="19"/>
        <v>7.8453424279219685E-21</v>
      </c>
      <c r="AD38" s="97">
        <f t="shared" si="19"/>
        <v>1.5144611948760337E-19</v>
      </c>
      <c r="AE38" s="97">
        <f t="shared" si="19"/>
        <v>2.5842672360229575E-18</v>
      </c>
      <c r="AF38" s="97">
        <f t="shared" si="17"/>
        <v>3.8980787525807714E-17</v>
      </c>
      <c r="AG38" s="97">
        <f t="shared" si="17"/>
        <v>5.1975553794576745E-16</v>
      </c>
      <c r="AH38" s="97">
        <f t="shared" si="17"/>
        <v>6.1261160068911577E-15</v>
      </c>
      <c r="AI38" s="97">
        <f t="shared" si="17"/>
        <v>6.3828178379433252E-14</v>
      </c>
      <c r="AJ38" s="97">
        <f t="shared" si="17"/>
        <v>5.8787703538058972E-13</v>
      </c>
      <c r="AK38" s="97">
        <f t="shared" si="17"/>
        <v>4.7864812614642838E-12</v>
      </c>
      <c r="AL38" s="97">
        <f t="shared" si="17"/>
        <v>3.445215376306648E-11</v>
      </c>
      <c r="AM38" s="97">
        <f t="shared" si="17"/>
        <v>2.1923470912934618E-10</v>
      </c>
      <c r="AN38" s="97">
        <f t="shared" si="21"/>
        <v>1.2334779619346067E-9</v>
      </c>
      <c r="AO38" s="97">
        <f t="shared" si="21"/>
        <v>6.1367757268452082E-9</v>
      </c>
      <c r="AP38" s="97">
        <f t="shared" si="21"/>
        <v>2.7003967929667669E-8</v>
      </c>
      <c r="AQ38" s="97">
        <f t="shared" si="21"/>
        <v>1.0513305795667641E-7</v>
      </c>
      <c r="AR38" s="97">
        <f t="shared" si="21"/>
        <v>3.6233263248082122E-7</v>
      </c>
      <c r="AS38" s="97">
        <f t="shared" si="21"/>
        <v>1.1063706324310552E-6</v>
      </c>
      <c r="AT38" s="97">
        <f t="shared" si="21"/>
        <v>2.9971099641145381E-6</v>
      </c>
      <c r="AU38" s="97">
        <f t="shared" si="21"/>
        <v>7.2182692612838316E-6</v>
      </c>
      <c r="AV38" s="97">
        <f t="shared" si="21"/>
        <v>1.5506908270610398E-5</v>
      </c>
      <c r="AW38" s="97">
        <f t="shared" si="21"/>
        <v>2.9865731962924892E-5</v>
      </c>
      <c r="AX38" s="97">
        <f t="shared" si="21"/>
        <v>5.1955654655610842E-5</v>
      </c>
      <c r="AY38" s="97">
        <f t="shared" si="21"/>
        <v>8.2507882438518336E-5</v>
      </c>
      <c r="AZ38" s="97">
        <f t="shared" si="21"/>
        <v>1.2126384401649582E-4</v>
      </c>
      <c r="BA38" s="97">
        <f t="shared" si="21"/>
        <v>1.6757146864552206E-4</v>
      </c>
      <c r="BB38" s="97">
        <f t="shared" si="21"/>
        <v>2.2103965730358523E-4</v>
      </c>
      <c r="BC38" s="97">
        <f t="shared" si="21"/>
        <v>2.8144000926737277E-4</v>
      </c>
      <c r="BD38" s="97">
        <f t="shared" si="20"/>
        <v>3.4789182928974264E-4</v>
      </c>
      <c r="BE38" s="97">
        <f t="shared" si="20"/>
        <v>4.1856565948676509E-4</v>
      </c>
      <c r="BF38" s="97">
        <f t="shared" si="20"/>
        <v>4.9235147082783888E-4</v>
      </c>
      <c r="BG38" s="97">
        <f t="shared" si="20"/>
        <v>5.7281568145629153E-4</v>
      </c>
      <c r="BH38" s="97">
        <f t="shared" si="20"/>
        <v>6.7347234936603495E-4</v>
      </c>
      <c r="BI38" s="97">
        <f t="shared" si="20"/>
        <v>8.2341280752572981E-4</v>
      </c>
      <c r="BJ38" s="97">
        <f t="shared" si="20"/>
        <v>1.0741723757050868E-3</v>
      </c>
      <c r="BK38" s="97">
        <f t="shared" si="18"/>
        <v>1.5112316280315619E-3</v>
      </c>
      <c r="BL38" s="97">
        <f t="shared" si="18"/>
        <v>2.274093984346073E-3</v>
      </c>
      <c r="BM38" s="97">
        <f t="shared" si="18"/>
        <v>3.5851667531539688E-3</v>
      </c>
      <c r="BN38" s="97">
        <f t="shared" si="18"/>
        <v>5.7816223609678096E-3</v>
      </c>
      <c r="BO38" s="97">
        <f t="shared" si="18"/>
        <v>9.3432717016174172E-3</v>
      </c>
      <c r="BP38" s="97">
        <f t="shared" si="18"/>
        <v>1.4918462085188943E-2</v>
      </c>
      <c r="BQ38" s="97">
        <f t="shared" si="18"/>
        <v>2.3360339707298651E-2</v>
      </c>
      <c r="BR38" s="97">
        <f t="shared" si="18"/>
        <v>3.5774027113627843E-2</v>
      </c>
      <c r="BS38" s="97">
        <f t="shared" si="18"/>
        <v>5.3525969475011169E-2</v>
      </c>
      <c r="BT38" s="97">
        <f t="shared" si="18"/>
        <v>7.8105178754609345E-2</v>
      </c>
      <c r="BU38" s="97">
        <f t="shared" si="18"/>
        <v>0.11072216260292771</v>
      </c>
      <c r="BV38" s="97">
        <f t="shared" si="18"/>
        <v>0.15164825011164138</v>
      </c>
      <c r="BW38" s="97">
        <f t="shared" si="18"/>
        <v>0.19951539887065051</v>
      </c>
      <c r="BX38" s="97">
        <f t="shared" si="18"/>
        <v>0.25098173222636438</v>
      </c>
      <c r="BY38" s="97">
        <f t="shared" si="18"/>
        <v>0.30114681920408864</v>
      </c>
      <c r="BZ38" s="97">
        <f t="shared" si="18"/>
        <v>0.3447929486798591</v>
      </c>
      <c r="CA38" s="97">
        <f t="shared" si="13"/>
        <v>0.37804856078253013</v>
      </c>
      <c r="CB38" s="97">
        <f t="shared" ref="CB38:CQ54" si="25">$H$2*$L38*CB$1+$I$2*$M38*CB$2+$J$2*$N38*CB$3</f>
        <v>0.39970180488561224</v>
      </c>
      <c r="CC38" s="97">
        <f t="shared" si="25"/>
        <v>0.41142672146316994</v>
      </c>
      <c r="CD38" s="97">
        <f t="shared" si="25"/>
        <v>0.41669890238198803</v>
      </c>
      <c r="CE38" s="97">
        <f t="shared" si="25"/>
        <v>0.41891519221303353</v>
      </c>
      <c r="CF38" s="97">
        <f t="shared" si="25"/>
        <v>0.4197211649913411</v>
      </c>
      <c r="CG38" s="97">
        <f t="shared" si="25"/>
        <v>0.41843176209087923</v>
      </c>
      <c r="CH38" s="97">
        <f t="shared" si="25"/>
        <v>0.41275725841592514</v>
      </c>
      <c r="CI38" s="97">
        <f t="shared" si="25"/>
        <v>0.40027773612543444</v>
      </c>
      <c r="CJ38" s="97">
        <f t="shared" si="25"/>
        <v>0.37976620712275611</v>
      </c>
      <c r="CK38" s="97">
        <f t="shared" si="25"/>
        <v>0.3517242507360579</v>
      </c>
      <c r="CL38" s="97">
        <f t="shared" si="25"/>
        <v>0.31808974760912295</v>
      </c>
      <c r="CM38" s="97">
        <f t="shared" si="25"/>
        <v>0.28153562224469358</v>
      </c>
      <c r="CN38" s="97">
        <f t="shared" si="25"/>
        <v>0.24482697776795284</v>
      </c>
      <c r="CO38" s="97">
        <f t="shared" si="25"/>
        <v>0.21043376589146601</v>
      </c>
      <c r="CP38" s="97">
        <f t="shared" si="25"/>
        <v>0.18031218431336529</v>
      </c>
      <c r="CQ38" s="97">
        <f t="shared" si="25"/>
        <v>0.15569660365498825</v>
      </c>
      <c r="CR38" s="97">
        <f t="shared" si="24"/>
        <v>0.13687470960846307</v>
      </c>
      <c r="CS38" s="97">
        <f t="shared" si="24"/>
        <v>0.12307726444392821</v>
      </c>
      <c r="CT38" s="97">
        <f t="shared" si="24"/>
        <v>0.11264289690703011</v>
      </c>
      <c r="CU38" s="97">
        <f t="shared" si="24"/>
        <v>0.10349348784968687</v>
      </c>
      <c r="CV38" s="97">
        <f t="shared" si="24"/>
        <v>9.3774123654199557E-2</v>
      </c>
      <c r="CW38" s="97">
        <f t="shared" si="23"/>
        <v>8.240191288010372E-2</v>
      </c>
      <c r="CX38" s="97">
        <f t="shared" si="23"/>
        <v>6.9301902220205061E-2</v>
      </c>
      <c r="CY38" s="97">
        <f t="shared" si="23"/>
        <v>5.5261606911388227E-2</v>
      </c>
      <c r="CZ38" s="97">
        <f t="shared" si="23"/>
        <v>4.1512347744456821E-2</v>
      </c>
      <c r="DA38" s="97">
        <f t="shared" si="23"/>
        <v>2.9246067985858874E-2</v>
      </c>
      <c r="DB38" s="97">
        <f t="shared" si="23"/>
        <v>1.9260409913743559E-2</v>
      </c>
      <c r="DC38" s="97">
        <f t="shared" si="23"/>
        <v>1.1825603406313662E-2</v>
      </c>
      <c r="DD38" s="97">
        <f t="shared" si="23"/>
        <v>6.7536736788538854E-3</v>
      </c>
      <c r="DE38" s="97">
        <f t="shared" si="23"/>
        <v>3.5801190496570815E-3</v>
      </c>
      <c r="DF38" s="97">
        <f t="shared" si="23"/>
        <v>1.7580722037286716E-3</v>
      </c>
      <c r="DG38" s="97">
        <f t="shared" si="23"/>
        <v>7.9828450476649273E-4</v>
      </c>
      <c r="DH38" s="97">
        <f t="shared" si="23"/>
        <v>3.3460049273281202E-4</v>
      </c>
      <c r="DI38" s="97">
        <f t="shared" si="23"/>
        <v>1.2926578317354638E-4</v>
      </c>
      <c r="DJ38" s="97">
        <f t="shared" si="23"/>
        <v>4.5967150156108707E-5</v>
      </c>
      <c r="DK38" s="97">
        <f t="shared" si="22"/>
        <v>1.5028520176153117E-5</v>
      </c>
      <c r="DL38" s="97">
        <f t="shared" si="22"/>
        <v>4.5129686321186545E-6</v>
      </c>
    </row>
    <row r="39" spans="1:116" x14ac:dyDescent="0.25">
      <c r="A39" s="60">
        <v>4.9000000000000004</v>
      </c>
      <c r="B39" s="25">
        <v>3.6</v>
      </c>
      <c r="C39" s="25">
        <v>1.4</v>
      </c>
      <c r="D39" s="57">
        <v>0.1</v>
      </c>
      <c r="E39" s="82" t="s">
        <v>5</v>
      </c>
      <c r="L39" s="97" cm="1">
        <f t="array" ref="L39">EstymacjaGaussowska($O39,$D$2:$D$51,H$9)</f>
        <v>5.3854295278069214E-160</v>
      </c>
      <c r="M39" s="97" cm="1">
        <f t="array" ref="M39">EstymacjaGaussowska($O39,$D$52:$D$101,I$9)</f>
        <v>1.5545682868499375E-2</v>
      </c>
      <c r="N39" s="97" cm="1">
        <f t="array" ref="N39">EstymacjaGaussowska($O39,$D$102:$D$151,J$9)</f>
        <v>1.1912383213878706</v>
      </c>
      <c r="O39" s="97">
        <v>1.98000000000001</v>
      </c>
      <c r="P39" s="97">
        <f t="shared" si="19"/>
        <v>3.92246551563427E-42</v>
      </c>
      <c r="Q39" s="97">
        <f t="shared" si="19"/>
        <v>3.7635105601063474E-40</v>
      </c>
      <c r="R39" s="97">
        <f t="shared" si="19"/>
        <v>3.1919689715277799E-38</v>
      </c>
      <c r="S39" s="97">
        <f t="shared" si="19"/>
        <v>2.3930716535224387E-36</v>
      </c>
      <c r="T39" s="97">
        <f t="shared" si="19"/>
        <v>1.5859309216435306E-34</v>
      </c>
      <c r="U39" s="97">
        <f t="shared" si="19"/>
        <v>9.2906127779859169E-33</v>
      </c>
      <c r="V39" s="97">
        <f t="shared" si="19"/>
        <v>4.811007006242066E-31</v>
      </c>
      <c r="W39" s="97">
        <f t="shared" si="19"/>
        <v>2.2022122295821486E-29</v>
      </c>
      <c r="X39" s="97">
        <f t="shared" si="19"/>
        <v>8.9107431146718254E-28</v>
      </c>
      <c r="Y39" s="97">
        <f t="shared" si="19"/>
        <v>3.1871337192329819E-26</v>
      </c>
      <c r="Z39" s="97">
        <f t="shared" si="19"/>
        <v>1.0076699550373521E-24</v>
      </c>
      <c r="AA39" s="97">
        <f t="shared" si="19"/>
        <v>2.8162297733780941E-23</v>
      </c>
      <c r="AB39" s="97">
        <f t="shared" si="19"/>
        <v>6.9574445296065472E-22</v>
      </c>
      <c r="AC39" s="97">
        <f t="shared" si="19"/>
        <v>1.5193699491494541E-20</v>
      </c>
      <c r="AD39" s="97">
        <f t="shared" si="19"/>
        <v>2.9329845698744145E-19</v>
      </c>
      <c r="AE39" s="97">
        <f t="shared" si="19"/>
        <v>5.0048267683133106E-18</v>
      </c>
      <c r="AF39" s="97">
        <f t="shared" si="17"/>
        <v>7.5492227018801603E-17</v>
      </c>
      <c r="AG39" s="97">
        <f t="shared" si="17"/>
        <v>1.0065856940140973E-15</v>
      </c>
      <c r="AH39" s="97">
        <f t="shared" si="17"/>
        <v>1.1864155900635789E-14</v>
      </c>
      <c r="AI39" s="97">
        <f t="shared" si="17"/>
        <v>1.2361298060555009E-13</v>
      </c>
      <c r="AJ39" s="97">
        <f t="shared" si="17"/>
        <v>1.1385133403143559E-12</v>
      </c>
      <c r="AK39" s="97">
        <f t="shared" si="17"/>
        <v>9.2697493546652936E-12</v>
      </c>
      <c r="AL39" s="97">
        <f t="shared" si="17"/>
        <v>6.6721838583844011E-11</v>
      </c>
      <c r="AM39" s="97">
        <f t="shared" si="17"/>
        <v>4.245813766855229E-10</v>
      </c>
      <c r="AN39" s="97">
        <f t="shared" si="21"/>
        <v>2.3888177801282656E-9</v>
      </c>
      <c r="AO39" s="97">
        <f t="shared" si="21"/>
        <v>1.1884800070487896E-8</v>
      </c>
      <c r="AP39" s="97">
        <f t="shared" si="21"/>
        <v>5.2297293275669221E-8</v>
      </c>
      <c r="AQ39" s="97">
        <f t="shared" si="21"/>
        <v>2.0360616555462205E-7</v>
      </c>
      <c r="AR39" s="97">
        <f t="shared" si="21"/>
        <v>7.0171228144708651E-7</v>
      </c>
      <c r="AS39" s="97">
        <f t="shared" si="21"/>
        <v>2.1426550936778914E-6</v>
      </c>
      <c r="AT39" s="97">
        <f t="shared" si="21"/>
        <v>5.8043595356358364E-6</v>
      </c>
      <c r="AU39" s="97">
        <f t="shared" si="21"/>
        <v>1.3979276870755094E-5</v>
      </c>
      <c r="AV39" s="97">
        <f t="shared" si="21"/>
        <v>3.0031487590546983E-5</v>
      </c>
      <c r="AW39" s="97">
        <f t="shared" si="21"/>
        <v>5.7839534246806102E-5</v>
      </c>
      <c r="AX39" s="97">
        <f t="shared" si="21"/>
        <v>1.0062002730290661E-4</v>
      </c>
      <c r="AY39" s="97">
        <f t="shared" si="21"/>
        <v>1.5978903944317941E-4</v>
      </c>
      <c r="AZ39" s="97">
        <f t="shared" si="21"/>
        <v>2.3484569114360485E-4</v>
      </c>
      <c r="BA39" s="97">
        <f t="shared" si="21"/>
        <v>3.2452650067914317E-4</v>
      </c>
      <c r="BB39" s="97">
        <f t="shared" si="21"/>
        <v>4.2807078500965321E-4</v>
      </c>
      <c r="BC39" s="97">
        <f t="shared" si="21"/>
        <v>5.4502130584853945E-4</v>
      </c>
      <c r="BD39" s="97">
        <f t="shared" si="20"/>
        <v>6.7361064799399087E-4</v>
      </c>
      <c r="BE39" s="97">
        <f t="shared" si="20"/>
        <v>8.1006351845574825E-4</v>
      </c>
      <c r="BF39" s="97">
        <f t="shared" si="20"/>
        <v>9.5144046139135081E-4</v>
      </c>
      <c r="BG39" s="97">
        <f t="shared" si="20"/>
        <v>1.102222495084557E-3</v>
      </c>
      <c r="BH39" s="97">
        <f t="shared" si="20"/>
        <v>1.281860285847422E-3</v>
      </c>
      <c r="BI39" s="97">
        <f t="shared" si="20"/>
        <v>1.5299274226318682E-3</v>
      </c>
      <c r="BJ39" s="97">
        <f t="shared" si="20"/>
        <v>1.9086438997949927E-3</v>
      </c>
      <c r="BK39" s="97">
        <f t="shared" si="18"/>
        <v>2.5079349839141666E-3</v>
      </c>
      <c r="BL39" s="97">
        <f t="shared" si="18"/>
        <v>3.4614294070883433E-3</v>
      </c>
      <c r="BM39" s="97">
        <f t="shared" si="18"/>
        <v>4.977917465480106E-3</v>
      </c>
      <c r="BN39" s="97">
        <f t="shared" si="18"/>
        <v>7.3825433077021902E-3</v>
      </c>
      <c r="BO39" s="97">
        <f t="shared" si="18"/>
        <v>1.1155272026933151E-2</v>
      </c>
      <c r="BP39" s="97">
        <f t="shared" si="18"/>
        <v>1.6961201265395791E-2</v>
      </c>
      <c r="BQ39" s="97">
        <f t="shared" si="18"/>
        <v>2.5681863208023088E-2</v>
      </c>
      <c r="BR39" s="97">
        <f t="shared" si="18"/>
        <v>3.8452104562355982E-2</v>
      </c>
      <c r="BS39" s="97">
        <f t="shared" si="18"/>
        <v>5.6661438864093958E-2</v>
      </c>
      <c r="BT39" s="97">
        <f t="shared" si="18"/>
        <v>8.1813564673599057E-2</v>
      </c>
      <c r="BU39" s="97">
        <f t="shared" si="18"/>
        <v>0.11512627621412028</v>
      </c>
      <c r="BV39" s="97">
        <f t="shared" si="18"/>
        <v>0.15686731075918517</v>
      </c>
      <c r="BW39" s="97">
        <f t="shared" si="18"/>
        <v>0.20564381231212389</v>
      </c>
      <c r="BX39" s="97">
        <f t="shared" si="18"/>
        <v>0.25805758118366445</v>
      </c>
      <c r="BY39" s="97">
        <f t="shared" si="18"/>
        <v>0.30912205345081023</v>
      </c>
      <c r="BZ39" s="97">
        <f t="shared" si="18"/>
        <v>0.35352411644806164</v>
      </c>
      <c r="CA39" s="97">
        <f t="shared" si="13"/>
        <v>0.38732108187682995</v>
      </c>
      <c r="CB39" s="97">
        <f t="shared" si="25"/>
        <v>0.40928350979341693</v>
      </c>
      <c r="CC39" s="97">
        <f t="shared" si="25"/>
        <v>0.42112787828168563</v>
      </c>
      <c r="CD39" s="97">
        <f t="shared" si="25"/>
        <v>0.42640903798043472</v>
      </c>
      <c r="CE39" s="97">
        <f t="shared" si="25"/>
        <v>0.42859802813340425</v>
      </c>
      <c r="CF39" s="97">
        <f t="shared" si="25"/>
        <v>0.42937221845234869</v>
      </c>
      <c r="CG39" s="97">
        <f t="shared" si="25"/>
        <v>0.42802385636384072</v>
      </c>
      <c r="CH39" s="97">
        <f t="shared" si="25"/>
        <v>0.42220399000093656</v>
      </c>
      <c r="CI39" s="97">
        <f t="shared" si="25"/>
        <v>0.4094317533602575</v>
      </c>
      <c r="CJ39" s="97">
        <f t="shared" si="25"/>
        <v>0.38844820978582789</v>
      </c>
      <c r="CK39" s="97">
        <f t="shared" si="25"/>
        <v>0.35976409415386601</v>
      </c>
      <c r="CL39" s="97">
        <f t="shared" si="25"/>
        <v>0.32536040673590527</v>
      </c>
      <c r="CM39" s="97">
        <f t="shared" si="25"/>
        <v>0.28797065063102673</v>
      </c>
      <c r="CN39" s="97">
        <f t="shared" si="25"/>
        <v>0.25042293368164342</v>
      </c>
      <c r="CO39" s="97">
        <f t="shared" si="25"/>
        <v>0.2152435974820415</v>
      </c>
      <c r="CP39" s="97">
        <f t="shared" si="25"/>
        <v>0.1844335331842403</v>
      </c>
      <c r="CQ39" s="97">
        <f t="shared" si="25"/>
        <v>0.15925532033195694</v>
      </c>
      <c r="CR39" s="97">
        <f t="shared" si="24"/>
        <v>0.14000321911938735</v>
      </c>
      <c r="CS39" s="97">
        <f t="shared" si="24"/>
        <v>0.12589040934601478</v>
      </c>
      <c r="CT39" s="97">
        <f t="shared" si="24"/>
        <v>0.11521754619359575</v>
      </c>
      <c r="CU39" s="97">
        <f t="shared" si="24"/>
        <v>0.1058590114820047</v>
      </c>
      <c r="CV39" s="97">
        <f t="shared" si="24"/>
        <v>9.5917494316566015E-2</v>
      </c>
      <c r="CW39" s="97">
        <f t="shared" si="23"/>
        <v>8.428535188979594E-2</v>
      </c>
      <c r="CX39" s="97">
        <f t="shared" si="23"/>
        <v>7.0885917706317914E-2</v>
      </c>
      <c r="CY39" s="97">
        <f t="shared" si="23"/>
        <v>5.6524707033185434E-2</v>
      </c>
      <c r="CZ39" s="97">
        <f t="shared" si="23"/>
        <v>4.2461184639051464E-2</v>
      </c>
      <c r="DA39" s="97">
        <f t="shared" si="23"/>
        <v>2.9914537726419659E-2</v>
      </c>
      <c r="DB39" s="97">
        <f t="shared" si="23"/>
        <v>1.9700640074747078E-2</v>
      </c>
      <c r="DC39" s="97">
        <f t="shared" si="23"/>
        <v>1.2095898136012556E-2</v>
      </c>
      <c r="DD39" s="97">
        <f t="shared" si="23"/>
        <v>6.9080406349219135E-3</v>
      </c>
      <c r="DE39" s="97">
        <f t="shared" si="23"/>
        <v>3.661948896098598E-3</v>
      </c>
      <c r="DF39" s="97">
        <f t="shared" si="23"/>
        <v>1.7982560011021126E-3</v>
      </c>
      <c r="DG39" s="97">
        <f t="shared" si="23"/>
        <v>8.1653068528050139E-4</v>
      </c>
      <c r="DH39" s="97">
        <f t="shared" si="23"/>
        <v>3.4224836883967063E-4</v>
      </c>
      <c r="DI39" s="97">
        <f t="shared" si="23"/>
        <v>1.3222037743159119E-4</v>
      </c>
      <c r="DJ39" s="97">
        <f t="shared" si="23"/>
        <v>4.701780930639277E-5</v>
      </c>
      <c r="DK39" s="97">
        <f t="shared" si="22"/>
        <v>1.5372023138261497E-5</v>
      </c>
      <c r="DL39" s="97">
        <f t="shared" si="22"/>
        <v>4.6161203779235948E-6</v>
      </c>
    </row>
    <row r="40" spans="1:116" x14ac:dyDescent="0.25">
      <c r="A40" s="60">
        <v>4.4000000000000004</v>
      </c>
      <c r="B40" s="25">
        <v>3</v>
      </c>
      <c r="C40" s="25">
        <v>1.3</v>
      </c>
      <c r="D40" s="57">
        <v>0.2</v>
      </c>
      <c r="E40" s="82" t="s">
        <v>5</v>
      </c>
      <c r="L40" s="97" cm="1">
        <f t="array" ref="L40">EstymacjaGaussowska($O40,$D$2:$D$51,H$9)</f>
        <v>3.5156314800407206E-153</v>
      </c>
      <c r="M40" s="97" cm="1">
        <f t="array" ref="M40">EstymacjaGaussowska($O40,$D$52:$D$101,I$9)</f>
        <v>2.7575706485056327E-2</v>
      </c>
      <c r="N40" s="97" cm="1">
        <f t="array" ref="N40">EstymacjaGaussowska($O40,$D$102:$D$151,J$9)</f>
        <v>1.2135988839255101</v>
      </c>
      <c r="O40" s="97">
        <v>1.9500000000000099</v>
      </c>
      <c r="P40" s="97">
        <f t="shared" si="19"/>
        <v>6.9578646799789552E-42</v>
      </c>
      <c r="Q40" s="97">
        <f t="shared" si="19"/>
        <v>6.6759024635191592E-40</v>
      </c>
      <c r="R40" s="97">
        <f t="shared" si="19"/>
        <v>5.6620735295337851E-38</v>
      </c>
      <c r="S40" s="97">
        <f t="shared" si="19"/>
        <v>4.2449496798215112E-36</v>
      </c>
      <c r="T40" s="97">
        <f t="shared" si="19"/>
        <v>2.8132032520381923E-34</v>
      </c>
      <c r="U40" s="97">
        <f t="shared" si="19"/>
        <v>1.6480151640761211E-32</v>
      </c>
      <c r="V40" s="97">
        <f t="shared" si="19"/>
        <v>8.5340038275518407E-31</v>
      </c>
      <c r="W40" s="97">
        <f t="shared" si="19"/>
        <v>3.9063937283715368E-29</v>
      </c>
      <c r="X40" s="97">
        <f t="shared" si="19"/>
        <v>1.58063199135392E-27</v>
      </c>
      <c r="Y40" s="97">
        <f t="shared" si="19"/>
        <v>5.6534965182059188E-26</v>
      </c>
      <c r="Z40" s="97">
        <f t="shared" si="19"/>
        <v>1.7874551506660337E-24</v>
      </c>
      <c r="AA40" s="97">
        <f t="shared" si="19"/>
        <v>4.9955686271276347E-23</v>
      </c>
      <c r="AB40" s="97">
        <f t="shared" si="19"/>
        <v>1.2341461604318113E-21</v>
      </c>
      <c r="AC40" s="97">
        <f t="shared" si="19"/>
        <v>2.6951340841294725E-20</v>
      </c>
      <c r="AD40" s="97">
        <f t="shared" si="19"/>
        <v>5.2026740998263578E-19</v>
      </c>
      <c r="AE40" s="97">
        <f t="shared" si="19"/>
        <v>8.8778109742105607E-18</v>
      </c>
      <c r="AF40" s="97">
        <f t="shared" si="17"/>
        <v>1.339118719829297E-16</v>
      </c>
      <c r="AG40" s="97">
        <f t="shared" si="17"/>
        <v>1.7855318344641411E-15</v>
      </c>
      <c r="AH40" s="97">
        <f t="shared" si="17"/>
        <v>2.1045230600440171E-14</v>
      </c>
      <c r="AI40" s="97">
        <f t="shared" si="17"/>
        <v>2.1927086122596637E-13</v>
      </c>
      <c r="AJ40" s="97">
        <f t="shared" si="17"/>
        <v>2.0195516637900067E-12</v>
      </c>
      <c r="AK40" s="97">
        <f t="shared" si="17"/>
        <v>1.6443143061425727E-11</v>
      </c>
      <c r="AL40" s="97">
        <f t="shared" si="17"/>
        <v>1.1835452019027262E-10</v>
      </c>
      <c r="AM40" s="97">
        <f t="shared" si="17"/>
        <v>7.5314359115259772E-10</v>
      </c>
      <c r="AN40" s="97">
        <f t="shared" si="21"/>
        <v>4.237403947341563E-9</v>
      </c>
      <c r="AO40" s="97">
        <f t="shared" si="21"/>
        <v>2.108185025705218E-8</v>
      </c>
      <c r="AP40" s="97">
        <f t="shared" si="21"/>
        <v>9.2767543345078573E-8</v>
      </c>
      <c r="AQ40" s="97">
        <f t="shared" si="21"/>
        <v>3.6116675654391875E-7</v>
      </c>
      <c r="AR40" s="97">
        <f t="shared" si="21"/>
        <v>1.2447321918086083E-6</v>
      </c>
      <c r="AS40" s="97">
        <f t="shared" si="21"/>
        <v>3.8007483145560251E-6</v>
      </c>
      <c r="AT40" s="97">
        <f t="shared" si="21"/>
        <v>1.0296062014934794E-5</v>
      </c>
      <c r="AU40" s="97">
        <f t="shared" si="21"/>
        <v>2.4797137509080938E-5</v>
      </c>
      <c r="AV40" s="97">
        <f t="shared" si="21"/>
        <v>5.3271348271450198E-5</v>
      </c>
      <c r="AW40" s="97">
        <f t="shared" si="21"/>
        <v>1.0259864591197261E-4</v>
      </c>
      <c r="AX40" s="97">
        <f t="shared" si="21"/>
        <v>1.7848481184412035E-4</v>
      </c>
      <c r="AY40" s="97">
        <f t="shared" si="21"/>
        <v>2.8344173010721752E-4</v>
      </c>
      <c r="AZ40" s="97">
        <f t="shared" si="21"/>
        <v>4.1658081688474675E-4</v>
      </c>
      <c r="BA40" s="97">
        <f t="shared" si="21"/>
        <v>5.7566029810372571E-4</v>
      </c>
      <c r="BB40" s="97">
        <f t="shared" si="21"/>
        <v>7.5932808073361216E-4</v>
      </c>
      <c r="BC40" s="97">
        <f t="shared" si="21"/>
        <v>9.6676049461505973E-4</v>
      </c>
      <c r="BD40" s="97">
        <f t="shared" si="20"/>
        <v>1.1947701649001978E-3</v>
      </c>
      <c r="BE40" s="97">
        <f t="shared" si="20"/>
        <v>1.4364639753583462E-3</v>
      </c>
      <c r="BF40" s="97">
        <f t="shared" si="20"/>
        <v>1.6859603071117664E-3</v>
      </c>
      <c r="BG40" s="97">
        <f t="shared" si="20"/>
        <v>1.9491574547901506E-3</v>
      </c>
      <c r="BH40" s="97">
        <f t="shared" si="20"/>
        <v>2.2548770995686903E-3</v>
      </c>
      <c r="BI40" s="97">
        <f t="shared" si="20"/>
        <v>2.6591460909327663E-3</v>
      </c>
      <c r="BJ40" s="97">
        <f t="shared" si="20"/>
        <v>3.2405657659429774E-3</v>
      </c>
      <c r="BK40" s="97">
        <f t="shared" si="18"/>
        <v>4.0947354703403747E-3</v>
      </c>
      <c r="BL40" s="97">
        <f t="shared" si="18"/>
        <v>5.3432885070662708E-3</v>
      </c>
      <c r="BM40" s="97">
        <f t="shared" si="18"/>
        <v>7.1690083467069142E-3</v>
      </c>
      <c r="BN40" s="97">
        <f t="shared" si="18"/>
        <v>9.8715610127001301E-3</v>
      </c>
      <c r="BO40" s="97">
        <f t="shared" si="18"/>
        <v>1.3922617624134628E-2</v>
      </c>
      <c r="BP40" s="97">
        <f t="shared" si="18"/>
        <v>2.0002850771963204E-2</v>
      </c>
      <c r="BQ40" s="97">
        <f t="shared" si="18"/>
        <v>2.9024559569785897E-2</v>
      </c>
      <c r="BR40" s="97">
        <f t="shared" si="18"/>
        <v>4.2151037465895977E-2</v>
      </c>
      <c r="BS40" s="97">
        <f t="shared" si="18"/>
        <v>6.0784815512221528E-2</v>
      </c>
      <c r="BT40" s="97">
        <f t="shared" si="18"/>
        <v>8.6426856853026895E-2</v>
      </c>
      <c r="BU40" s="97">
        <f t="shared" si="18"/>
        <v>0.12028519842198025</v>
      </c>
      <c r="BV40" s="97">
        <f t="shared" si="18"/>
        <v>0.16261693081708026</v>
      </c>
      <c r="BW40" s="97">
        <f t="shared" si="18"/>
        <v>0.2120133833698257</v>
      </c>
      <c r="BX40" s="97">
        <f t="shared" si="18"/>
        <v>0.26504467300686663</v>
      </c>
      <c r="BY40" s="97">
        <f t="shared" si="18"/>
        <v>0.3166720407629301</v>
      </c>
      <c r="BZ40" s="97">
        <f t="shared" si="18"/>
        <v>0.36152082220761422</v>
      </c>
      <c r="CA40" s="97">
        <f t="shared" si="13"/>
        <v>0.39560210669807083</v>
      </c>
      <c r="CB40" s="97">
        <f t="shared" si="25"/>
        <v>0.41767955486325153</v>
      </c>
      <c r="CC40" s="97">
        <f t="shared" si="25"/>
        <v>0.42950854490916274</v>
      </c>
      <c r="CD40" s="97">
        <f t="shared" si="25"/>
        <v>0.43471036393416507</v>
      </c>
      <c r="CE40" s="97">
        <f t="shared" si="25"/>
        <v>0.4368156908191233</v>
      </c>
      <c r="CF40" s="97">
        <f t="shared" si="25"/>
        <v>0.43752407248562236</v>
      </c>
      <c r="CG40" s="97">
        <f t="shared" si="25"/>
        <v>0.43610321210812131</v>
      </c>
      <c r="CH40" s="97">
        <f t="shared" si="25"/>
        <v>0.43014903828253537</v>
      </c>
      <c r="CI40" s="97">
        <f t="shared" si="25"/>
        <v>0.41712509669862841</v>
      </c>
      <c r="CJ40" s="97">
        <f t="shared" si="25"/>
        <v>0.39574257252283745</v>
      </c>
      <c r="CK40" s="97">
        <f t="shared" si="25"/>
        <v>0.36651809265225821</v>
      </c>
      <c r="CL40" s="97">
        <f t="shared" si="25"/>
        <v>0.3314679636972796</v>
      </c>
      <c r="CM40" s="97">
        <f t="shared" si="25"/>
        <v>0.29337617362052726</v>
      </c>
      <c r="CN40" s="97">
        <f t="shared" si="25"/>
        <v>0.25512360177726667</v>
      </c>
      <c r="CO40" s="97">
        <f t="shared" si="25"/>
        <v>0.21928390708150927</v>
      </c>
      <c r="CP40" s="97">
        <f t="shared" si="25"/>
        <v>0.18789550896508886</v>
      </c>
      <c r="CQ40" s="97">
        <f t="shared" si="25"/>
        <v>0.16224467904528697</v>
      </c>
      <c r="CR40" s="97">
        <f t="shared" si="24"/>
        <v>0.14263119934412366</v>
      </c>
      <c r="CS40" s="97">
        <f t="shared" si="24"/>
        <v>0.1282534800451372</v>
      </c>
      <c r="CT40" s="97">
        <f t="shared" si="24"/>
        <v>0.11738027811805338</v>
      </c>
      <c r="CU40" s="97">
        <f t="shared" si="24"/>
        <v>0.10784607570243597</v>
      </c>
      <c r="CV40" s="97">
        <f t="shared" si="24"/>
        <v>9.7717947753643342E-2</v>
      </c>
      <c r="CW40" s="97">
        <f t="shared" si="23"/>
        <v>8.5867460060848638E-2</v>
      </c>
      <c r="CX40" s="97">
        <f t="shared" si="23"/>
        <v>7.2216507032946867E-2</v>
      </c>
      <c r="CY40" s="97">
        <f t="shared" si="23"/>
        <v>5.758572414776645E-2</v>
      </c>
      <c r="CZ40" s="97">
        <f t="shared" si="23"/>
        <v>4.325821740528886E-2</v>
      </c>
      <c r="DA40" s="97">
        <f t="shared" si="23"/>
        <v>3.04760591949675E-2</v>
      </c>
      <c r="DB40" s="97">
        <f t="shared" si="23"/>
        <v>2.0070437945176295E-2</v>
      </c>
      <c r="DC40" s="97">
        <f t="shared" si="23"/>
        <v>1.2322948493496111E-2</v>
      </c>
      <c r="DD40" s="97">
        <f t="shared" si="23"/>
        <v>7.0377104682846966E-3</v>
      </c>
      <c r="DE40" s="97">
        <f t="shared" si="23"/>
        <v>3.7306868101084946E-3</v>
      </c>
      <c r="DF40" s="97">
        <f t="shared" si="23"/>
        <v>1.8320108048633633E-3</v>
      </c>
      <c r="DG40" s="97">
        <f t="shared" si="23"/>
        <v>8.3185766488173222E-4</v>
      </c>
      <c r="DH40" s="97">
        <f t="shared" si="23"/>
        <v>3.4867266355672482E-4</v>
      </c>
      <c r="DI40" s="97">
        <f t="shared" si="23"/>
        <v>1.3470226704614361E-4</v>
      </c>
      <c r="DJ40" s="97">
        <f t="shared" si="23"/>
        <v>4.7900373816367162E-5</v>
      </c>
      <c r="DK40" s="97">
        <f t="shared" si="22"/>
        <v>1.5660569165149445E-5</v>
      </c>
      <c r="DL40" s="97">
        <f t="shared" si="22"/>
        <v>4.7027689070538324E-6</v>
      </c>
    </row>
    <row r="41" spans="1:116" x14ac:dyDescent="0.25">
      <c r="A41" s="60">
        <v>5.0999999999999996</v>
      </c>
      <c r="B41" s="25">
        <v>3.4</v>
      </c>
      <c r="C41" s="25">
        <v>1.5</v>
      </c>
      <c r="D41" s="57">
        <v>0.2</v>
      </c>
      <c r="E41" s="82" t="s">
        <v>5</v>
      </c>
      <c r="L41" s="97" cm="1">
        <f t="array" ref="L41">EstymacjaGaussowska($O41,$D$2:$D$51,H$9)</f>
        <v>1.6255895229219717E-146</v>
      </c>
      <c r="M41" s="97" cm="1">
        <f t="array" ref="M41">EstymacjaGaussowska($O41,$D$52:$D$101,I$9)</f>
        <v>4.5004792305647225E-2</v>
      </c>
      <c r="N41" s="97" cm="1">
        <f t="array" ref="N41">EstymacjaGaussowska($O41,$D$102:$D$151,J$9)</f>
        <v>1.2274389833516954</v>
      </c>
      <c r="O41" s="97">
        <v>1.9200000000000099</v>
      </c>
      <c r="P41" s="97">
        <f t="shared" si="19"/>
        <v>1.1355547861772647E-41</v>
      </c>
      <c r="Q41" s="97">
        <f t="shared" si="19"/>
        <v>1.089537285241469E-39</v>
      </c>
      <c r="R41" s="97">
        <f t="shared" si="19"/>
        <v>9.2407584681125693E-38</v>
      </c>
      <c r="S41" s="97">
        <f t="shared" si="19"/>
        <v>6.9279486562500154E-36</v>
      </c>
      <c r="T41" s="97">
        <f t="shared" si="19"/>
        <v>4.5912741397998526E-34</v>
      </c>
      <c r="U41" s="97">
        <f t="shared" si="19"/>
        <v>2.6896348137443363E-32</v>
      </c>
      <c r="V41" s="97">
        <f t="shared" si="19"/>
        <v>1.3927877786293626E-30</v>
      </c>
      <c r="W41" s="97">
        <f t="shared" si="19"/>
        <v>6.3754101279224149E-29</v>
      </c>
      <c r="X41" s="97">
        <f t="shared" si="19"/>
        <v>2.5796624474913952E-27</v>
      </c>
      <c r="Y41" s="97">
        <f t="shared" si="19"/>
        <v>9.2267604001528964E-26</v>
      </c>
      <c r="Z41" s="97">
        <f t="shared" si="19"/>
        <v>2.9172071386449518E-24</v>
      </c>
      <c r="AA41" s="97">
        <f t="shared" si="19"/>
        <v>8.1529925129686926E-23</v>
      </c>
      <c r="AB41" s="97">
        <f t="shared" si="19"/>
        <v>2.0141819994764206E-21</v>
      </c>
      <c r="AC41" s="97">
        <f t="shared" si="19"/>
        <v>4.3985799514456179E-20</v>
      </c>
      <c r="AD41" s="97">
        <f t="shared" si="19"/>
        <v>8.4909979522570741E-19</v>
      </c>
      <c r="AE41" s="97">
        <f t="shared" si="19"/>
        <v>1.4488986501203899E-17</v>
      </c>
      <c r="AF41" s="97">
        <f t="shared" si="17"/>
        <v>2.1855019341455905E-16</v>
      </c>
      <c r="AG41" s="97">
        <f t="shared" si="17"/>
        <v>2.9140682001647662E-15</v>
      </c>
      <c r="AH41" s="97">
        <f t="shared" si="17"/>
        <v>3.4346762165840729E-14</v>
      </c>
      <c r="AI41" s="97">
        <f t="shared" si="17"/>
        <v>3.578599001081895E-13</v>
      </c>
      <c r="AJ41" s="97">
        <f t="shared" si="17"/>
        <v>3.2959990790679421E-12</v>
      </c>
      <c r="AK41" s="97">
        <f t="shared" si="17"/>
        <v>2.6835948472708631E-11</v>
      </c>
      <c r="AL41" s="97">
        <f t="shared" si="17"/>
        <v>1.9315989610218196E-10</v>
      </c>
      <c r="AM41" s="97">
        <f t="shared" si="17"/>
        <v>1.2291641889400026E-9</v>
      </c>
      <c r="AN41" s="97">
        <f t="shared" si="21"/>
        <v>6.9156336817183444E-9</v>
      </c>
      <c r="AO41" s="97">
        <f t="shared" si="21"/>
        <v>3.4406527091210178E-8</v>
      </c>
      <c r="AP41" s="97">
        <f t="shared" si="21"/>
        <v>1.5140079994731138E-7</v>
      </c>
      <c r="AQ41" s="97">
        <f t="shared" si="21"/>
        <v>5.8944037842740918E-7</v>
      </c>
      <c r="AR41" s="97">
        <f t="shared" si="21"/>
        <v>2.0314588784423355E-6</v>
      </c>
      <c r="AS41" s="97">
        <f t="shared" si="21"/>
        <v>6.2029920645547174E-6</v>
      </c>
      <c r="AT41" s="97">
        <f t="shared" si="21"/>
        <v>1.6803635938926063E-5</v>
      </c>
      <c r="AU41" s="97">
        <f t="shared" si="21"/>
        <v>4.0470042855626122E-5</v>
      </c>
      <c r="AV41" s="97">
        <f t="shared" si="21"/>
        <v>8.6941234479668517E-5</v>
      </c>
      <c r="AW41" s="97">
        <f t="shared" si="21"/>
        <v>1.6744560076512881E-4</v>
      </c>
      <c r="AX41" s="97">
        <f t="shared" si="21"/>
        <v>2.9129523138332131E-4</v>
      </c>
      <c r="AY41" s="97">
        <f t="shared" si="21"/>
        <v>4.6258962040117359E-4</v>
      </c>
      <c r="AZ41" s="97">
        <f t="shared" si="21"/>
        <v>6.7987847638504748E-4</v>
      </c>
      <c r="BA41" s="97">
        <f t="shared" si="21"/>
        <v>9.3950266502640888E-4</v>
      </c>
      <c r="BB41" s="97">
        <f t="shared" si="21"/>
        <v>1.2392532022637653E-3</v>
      </c>
      <c r="BC41" s="97">
        <f t="shared" si="21"/>
        <v>1.5777752719244407E-3</v>
      </c>
      <c r="BD41" s="97">
        <f t="shared" si="20"/>
        <v>1.9498231852814554E-3</v>
      </c>
      <c r="BE41" s="97">
        <f t="shared" si="20"/>
        <v>2.3439826771435024E-3</v>
      </c>
      <c r="BF41" s="97">
        <f t="shared" si="20"/>
        <v>2.7500957563310964E-3</v>
      </c>
      <c r="BG41" s="97">
        <f t="shared" si="20"/>
        <v>3.1760717679729911E-3</v>
      </c>
      <c r="BH41" s="97">
        <f t="shared" si="20"/>
        <v>3.664191915848213E-3</v>
      </c>
      <c r="BI41" s="97">
        <f t="shared" si="20"/>
        <v>4.2940281798627992E-3</v>
      </c>
      <c r="BJ41" s="97">
        <f t="shared" si="20"/>
        <v>5.1672598179755107E-3</v>
      </c>
      <c r="BK41" s="97">
        <f t="shared" si="18"/>
        <v>6.3863882461480453E-3</v>
      </c>
      <c r="BL41" s="97">
        <f t="shared" si="18"/>
        <v>8.0532870675922644E-3</v>
      </c>
      <c r="BM41" s="97">
        <f t="shared" si="18"/>
        <v>1.0309191414317154E-2</v>
      </c>
      <c r="BN41" s="97">
        <f t="shared" si="18"/>
        <v>1.3411138364185546E-2</v>
      </c>
      <c r="BO41" s="97">
        <f t="shared" si="18"/>
        <v>1.7810949382430757E-2</v>
      </c>
      <c r="BP41" s="97">
        <f t="shared" si="18"/>
        <v>2.4201565592139488E-2</v>
      </c>
      <c r="BQ41" s="97">
        <f t="shared" si="18"/>
        <v>3.352642296673914E-2</v>
      </c>
      <c r="BR41" s="97">
        <f t="shared" si="18"/>
        <v>4.6972498504057866E-2</v>
      </c>
      <c r="BS41" s="97">
        <f t="shared" si="18"/>
        <v>6.5939269114347249E-2</v>
      </c>
      <c r="BT41" s="97">
        <f t="shared" si="18"/>
        <v>9.1899673121035849E-2</v>
      </c>
      <c r="BU41" s="97">
        <f t="shared" si="18"/>
        <v>0.1260279687254883</v>
      </c>
      <c r="BV41" s="97">
        <f t="shared" si="18"/>
        <v>0.16856132778944491</v>
      </c>
      <c r="BW41" s="97">
        <f t="shared" si="18"/>
        <v>0.21809007692548701</v>
      </c>
      <c r="BX41" s="97">
        <f t="shared" si="18"/>
        <v>0.27119202608093751</v>
      </c>
      <c r="BY41" s="97">
        <f t="shared" si="18"/>
        <v>0.32283132583619484</v>
      </c>
      <c r="BZ41" s="97">
        <f t="shared" si="18"/>
        <v>0.367627685355921</v>
      </c>
      <c r="CA41" s="97">
        <f t="shared" si="13"/>
        <v>0.40158721537199932</v>
      </c>
      <c r="CB41" s="97">
        <f t="shared" si="25"/>
        <v>0.42348306530496177</v>
      </c>
      <c r="CC41" s="97">
        <f t="shared" si="25"/>
        <v>0.43510037213622105</v>
      </c>
      <c r="CD41" s="97">
        <f t="shared" si="25"/>
        <v>0.4401012962994908</v>
      </c>
      <c r="CE41" s="97">
        <f t="shared" si="25"/>
        <v>0.44204874054678744</v>
      </c>
      <c r="CF41" s="97">
        <f t="shared" si="25"/>
        <v>0.44264806178385385</v>
      </c>
      <c r="CG41" s="97">
        <f t="shared" si="25"/>
        <v>0.44114219585390591</v>
      </c>
      <c r="CH41" s="97">
        <f t="shared" si="25"/>
        <v>0.43508357623486427</v>
      </c>
      <c r="CI41" s="97">
        <f t="shared" si="25"/>
        <v>0.42189367057661065</v>
      </c>
      <c r="CJ41" s="97">
        <f t="shared" si="25"/>
        <v>0.40025985809683912</v>
      </c>
      <c r="CK41" s="97">
        <f t="shared" si="25"/>
        <v>0.37069927013007919</v>
      </c>
      <c r="CL41" s="97">
        <f t="shared" si="25"/>
        <v>0.33524846837320871</v>
      </c>
      <c r="CM41" s="97">
        <f t="shared" si="25"/>
        <v>0.29672198653810866</v>
      </c>
      <c r="CN41" s="97">
        <f t="shared" si="25"/>
        <v>0.25803309950939535</v>
      </c>
      <c r="CO41" s="97">
        <f t="shared" si="25"/>
        <v>0.22178466463569865</v>
      </c>
      <c r="CP41" s="97">
        <f t="shared" si="25"/>
        <v>0.19003830387708934</v>
      </c>
      <c r="CQ41" s="97">
        <f t="shared" si="25"/>
        <v>0.16409494660608406</v>
      </c>
      <c r="CR41" s="97">
        <f t="shared" si="24"/>
        <v>0.14425779115182474</v>
      </c>
      <c r="CS41" s="97">
        <f t="shared" si="24"/>
        <v>0.12971610574615905</v>
      </c>
      <c r="CT41" s="97">
        <f t="shared" si="24"/>
        <v>0.1187189038713012</v>
      </c>
      <c r="CU41" s="97">
        <f t="shared" si="24"/>
        <v>0.10907597170040188</v>
      </c>
      <c r="CV41" s="97">
        <f t="shared" si="24"/>
        <v>9.8832340763186408E-2</v>
      </c>
      <c r="CW41" s="97">
        <f t="shared" si="23"/>
        <v>8.6846707982429064E-2</v>
      </c>
      <c r="CX41" s="97">
        <f t="shared" si="23"/>
        <v>7.3040077036830589E-2</v>
      </c>
      <c r="CY41" s="97">
        <f t="shared" si="23"/>
        <v>5.8242442078452104E-2</v>
      </c>
      <c r="CZ41" s="97">
        <f t="shared" si="23"/>
        <v>4.3751541878324127E-2</v>
      </c>
      <c r="DA41" s="97">
        <f t="shared" si="23"/>
        <v>3.082361364229225E-2</v>
      </c>
      <c r="DB41" s="97">
        <f t="shared" si="23"/>
        <v>2.0299324820706229E-2</v>
      </c>
      <c r="DC41" s="97">
        <f t="shared" si="23"/>
        <v>1.246348160920077E-2</v>
      </c>
      <c r="DD41" s="97">
        <f t="shared" si="23"/>
        <v>7.1179697812289444E-3</v>
      </c>
      <c r="DE41" s="97">
        <f t="shared" si="23"/>
        <v>3.7732322318815006E-3</v>
      </c>
      <c r="DF41" s="97">
        <f t="shared" si="23"/>
        <v>1.8529033847964802E-3</v>
      </c>
      <c r="DG41" s="97">
        <f t="shared" si="23"/>
        <v>8.413443189507914E-4</v>
      </c>
      <c r="DH41" s="97">
        <f t="shared" si="23"/>
        <v>3.5264898917364436E-4</v>
      </c>
      <c r="DI41" s="97">
        <f t="shared" si="23"/>
        <v>1.3623843586892711E-4</v>
      </c>
      <c r="DJ41" s="97">
        <f t="shared" si="23"/>
        <v>4.8446638274048276E-5</v>
      </c>
      <c r="DK41" s="97">
        <f t="shared" si="22"/>
        <v>1.5839165105857007E-5</v>
      </c>
      <c r="DL41" s="97">
        <f t="shared" si="22"/>
        <v>4.7564001274793733E-6</v>
      </c>
    </row>
    <row r="42" spans="1:116" x14ac:dyDescent="0.25">
      <c r="A42" s="60">
        <v>5</v>
      </c>
      <c r="B42" s="25">
        <v>3.5</v>
      </c>
      <c r="C42" s="25">
        <v>1.3</v>
      </c>
      <c r="D42" s="57">
        <v>0.3</v>
      </c>
      <c r="E42" s="82" t="s">
        <v>5</v>
      </c>
      <c r="L42" s="97" cm="1">
        <f t="array" ref="L42">EstymacjaGaussowska($O42,$D$2:$D$51,H$9)</f>
        <v>5.3240605739568984E-140</v>
      </c>
      <c r="M42" s="97" cm="1">
        <f t="array" ref="M42">EstymacjaGaussowska($O42,$D$52:$D$101,I$9)</f>
        <v>6.8024194664942264E-2</v>
      </c>
      <c r="N42" s="97" cm="1">
        <f t="array" ref="N42">EstymacjaGaussowska($O42,$D$102:$D$151,J$9)</f>
        <v>1.2278283035719464</v>
      </c>
      <c r="O42" s="97">
        <v>1.8900000000000099</v>
      </c>
      <c r="P42" s="97">
        <f t="shared" si="19"/>
        <v>1.7163772094096826E-41</v>
      </c>
      <c r="Q42" s="97">
        <f t="shared" si="19"/>
        <v>1.6468223180018641E-39</v>
      </c>
      <c r="R42" s="97">
        <f t="shared" si="19"/>
        <v>1.3967293718800844E-37</v>
      </c>
      <c r="S42" s="97">
        <f t="shared" si="19"/>
        <v>1.0471509896565864E-35</v>
      </c>
      <c r="T42" s="97">
        <f t="shared" si="19"/>
        <v>6.9396548644147545E-34</v>
      </c>
      <c r="U42" s="97">
        <f t="shared" si="19"/>
        <v>4.0653502165988778E-32</v>
      </c>
      <c r="V42" s="97">
        <f t="shared" si="19"/>
        <v>2.1051817401354352E-30</v>
      </c>
      <c r="W42" s="97">
        <f t="shared" si="19"/>
        <v>9.636354650085123E-29</v>
      </c>
      <c r="X42" s="97">
        <f t="shared" si="19"/>
        <v>3.8991283262955267E-27</v>
      </c>
      <c r="Y42" s="97">
        <f t="shared" si="19"/>
        <v>1.3946135809808507E-25</v>
      </c>
      <c r="Z42" s="97">
        <f t="shared" si="19"/>
        <v>4.4093230100795947E-24</v>
      </c>
      <c r="AA42" s="97">
        <f t="shared" si="19"/>
        <v>1.2323148744637303E-22</v>
      </c>
      <c r="AB42" s="97">
        <f t="shared" si="19"/>
        <v>3.0444115260546194E-21</v>
      </c>
      <c r="AC42" s="97">
        <f t="shared" si="19"/>
        <v>6.6483999489295274E-20</v>
      </c>
      <c r="AD42" s="97">
        <f t="shared" si="19"/>
        <v>1.2834039843607602E-18</v>
      </c>
      <c r="AE42" s="97">
        <f t="shared" si="19"/>
        <v>2.1899926380327744E-17</v>
      </c>
      <c r="AF42" s="97">
        <f t="shared" si="17"/>
        <v>3.3033595177879018E-16</v>
      </c>
      <c r="AG42" s="97">
        <f t="shared" si="17"/>
        <v>4.4045785428511426E-15</v>
      </c>
      <c r="AH42" s="97">
        <f t="shared" si="17"/>
        <v>5.191471210025892E-14</v>
      </c>
      <c r="AI42" s="97">
        <f t="shared" si="17"/>
        <v>5.4090087434270165E-13</v>
      </c>
      <c r="AJ42" s="97">
        <f t="shared" si="17"/>
        <v>4.9818624080585835E-12</v>
      </c>
      <c r="AK42" s="97">
        <f t="shared" si="17"/>
        <v>4.0562208809412225E-11</v>
      </c>
      <c r="AL42" s="97">
        <f t="shared" si="17"/>
        <v>2.9195882706620295E-10</v>
      </c>
      <c r="AM42" s="97">
        <f t="shared" si="17"/>
        <v>1.8578666799699607E-9</v>
      </c>
      <c r="AN42" s="97">
        <f t="shared" si="21"/>
        <v>1.0452895962761885E-8</v>
      </c>
      <c r="AO42" s="97">
        <f t="shared" si="21"/>
        <v>5.2005046056025336E-8</v>
      </c>
      <c r="AP42" s="97">
        <f t="shared" si="21"/>
        <v>2.288404625467133E-7</v>
      </c>
      <c r="AQ42" s="97">
        <f t="shared" si="21"/>
        <v>8.9093194282957258E-7</v>
      </c>
      <c r="AR42" s="97">
        <f t="shared" si="21"/>
        <v>3.0705253178891935E-6</v>
      </c>
      <c r="AS42" s="97">
        <f t="shared" si="21"/>
        <v>9.3757468501770165E-6</v>
      </c>
      <c r="AT42" s="97">
        <f t="shared" si="21"/>
        <v>2.5398490774170258E-5</v>
      </c>
      <c r="AU42" s="97">
        <f t="shared" si="21"/>
        <v>6.1169976175298157E-5</v>
      </c>
      <c r="AV42" s="97">
        <f t="shared" si="21"/>
        <v>1.3141061548890631E-4</v>
      </c>
      <c r="AW42" s="97">
        <f t="shared" si="21"/>
        <v>2.5309198295278399E-4</v>
      </c>
      <c r="AX42" s="97">
        <f t="shared" si="21"/>
        <v>4.4028918684025525E-4</v>
      </c>
      <c r="AY42" s="97">
        <f t="shared" si="21"/>
        <v>6.9919855112495258E-4</v>
      </c>
      <c r="AZ42" s="97">
        <f t="shared" si="21"/>
        <v>1.0276279090953703E-3</v>
      </c>
      <c r="BA42" s="97">
        <f t="shared" si="21"/>
        <v>1.4200461421291707E-3</v>
      </c>
      <c r="BB42" s="97">
        <f t="shared" si="21"/>
        <v>1.8731124756140661E-3</v>
      </c>
      <c r="BC42" s="97">
        <f t="shared" si="21"/>
        <v>2.3847703336254389E-3</v>
      </c>
      <c r="BD42" s="97">
        <f t="shared" si="20"/>
        <v>2.9470544776622511E-3</v>
      </c>
      <c r="BE42" s="97">
        <f t="shared" si="20"/>
        <v>3.5425754467940905E-3</v>
      </c>
      <c r="BF42" s="97">
        <f t="shared" si="20"/>
        <v>4.1555139711404359E-3</v>
      </c>
      <c r="BG42" s="97">
        <f t="shared" si="20"/>
        <v>4.7963947034873177E-3</v>
      </c>
      <c r="BH42" s="97">
        <f t="shared" si="20"/>
        <v>5.5251624753449137E-3</v>
      </c>
      <c r="BI42" s="97">
        <f t="shared" si="20"/>
        <v>6.4522045675407058E-3</v>
      </c>
      <c r="BJ42" s="97">
        <f t="shared" si="20"/>
        <v>7.7090484862358758E-3</v>
      </c>
      <c r="BK42" s="97">
        <f t="shared" si="18"/>
        <v>9.4060403204075452E-3</v>
      </c>
      <c r="BL42" s="97">
        <f t="shared" si="18"/>
        <v>1.161666082471856E-2</v>
      </c>
      <c r="BM42" s="97">
        <f t="shared" si="18"/>
        <v>1.4423539508224512E-2</v>
      </c>
      <c r="BN42" s="97">
        <f t="shared" si="18"/>
        <v>1.802190029943377E-2</v>
      </c>
      <c r="BO42" s="97">
        <f t="shared" si="18"/>
        <v>2.2829796069642257E-2</v>
      </c>
      <c r="BP42" s="97">
        <f t="shared" si="18"/>
        <v>2.9546444635132587E-2</v>
      </c>
      <c r="BQ42" s="97">
        <f t="shared" si="18"/>
        <v>3.9143449891762043E-2</v>
      </c>
      <c r="BR42" s="97">
        <f t="shared" si="18"/>
        <v>5.2822167847043626E-2</v>
      </c>
      <c r="BS42" s="97">
        <f t="shared" si="18"/>
        <v>7.1956914189180446E-2</v>
      </c>
      <c r="BT42" s="97">
        <f t="shared" si="18"/>
        <v>9.7960415318278427E-2</v>
      </c>
      <c r="BU42" s="97">
        <f t="shared" si="18"/>
        <v>0.13194337882691834</v>
      </c>
      <c r="BV42" s="97">
        <f t="shared" si="18"/>
        <v>0.17411233640570906</v>
      </c>
      <c r="BW42" s="97">
        <f t="shared" si="18"/>
        <v>0.22307741361672515</v>
      </c>
      <c r="BX42" s="97">
        <f t="shared" si="18"/>
        <v>0.27547825340165549</v>
      </c>
      <c r="BY42" s="97">
        <f t="shared" si="18"/>
        <v>0.3263585605662162</v>
      </c>
      <c r="BZ42" s="97">
        <f t="shared" si="18"/>
        <v>0.37041116457758827</v>
      </c>
      <c r="CA42" s="97">
        <f t="shared" si="13"/>
        <v>0.40369536433603626</v>
      </c>
      <c r="CB42" s="97">
        <f t="shared" si="25"/>
        <v>0.42501562697235745</v>
      </c>
      <c r="CC42" s="97">
        <f t="shared" si="25"/>
        <v>0.43617074817205914</v>
      </c>
      <c r="CD42" s="97">
        <f t="shared" si="25"/>
        <v>0.44082347936847738</v>
      </c>
      <c r="CE42" s="97">
        <f t="shared" si="25"/>
        <v>0.44252704534515636</v>
      </c>
      <c r="CF42" s="97">
        <f t="shared" si="25"/>
        <v>0.44296910075398205</v>
      </c>
      <c r="CG42" s="97">
        <f t="shared" si="25"/>
        <v>0.44137027512227311</v>
      </c>
      <c r="CH42" s="97">
        <f t="shared" si="25"/>
        <v>0.43526061298459034</v>
      </c>
      <c r="CI42" s="97">
        <f t="shared" si="25"/>
        <v>0.42204308565144183</v>
      </c>
      <c r="CJ42" s="97">
        <f t="shared" si="25"/>
        <v>0.40039241310476625</v>
      </c>
      <c r="CK42" s="97">
        <f t="shared" si="25"/>
        <v>0.37081864924026242</v>
      </c>
      <c r="CL42" s="97">
        <f t="shared" si="25"/>
        <v>0.3353553196848969</v>
      </c>
      <c r="CM42" s="97">
        <f t="shared" si="25"/>
        <v>0.2968162333482513</v>
      </c>
      <c r="CN42" s="97">
        <f t="shared" si="25"/>
        <v>0.25811497279519202</v>
      </c>
      <c r="CO42" s="97">
        <f t="shared" si="25"/>
        <v>0.22185501659060758</v>
      </c>
      <c r="CP42" s="97">
        <f t="shared" si="25"/>
        <v>0.19009858149442954</v>
      </c>
      <c r="CQ42" s="97">
        <f t="shared" si="25"/>
        <v>0.16414699456577522</v>
      </c>
      <c r="CR42" s="97">
        <f t="shared" si="24"/>
        <v>0.1443035469946872</v>
      </c>
      <c r="CS42" s="97">
        <f t="shared" si="24"/>
        <v>0.12975724922239384</v>
      </c>
      <c r="CT42" s="97">
        <f t="shared" si="24"/>
        <v>0.11875655924223956</v>
      </c>
      <c r="CU42" s="97">
        <f t="shared" si="24"/>
        <v>0.10911056851697983</v>
      </c>
      <c r="CV42" s="97">
        <f t="shared" si="24"/>
        <v>9.886368849549676E-2</v>
      </c>
      <c r="CW42" s="97">
        <f t="shared" si="23"/>
        <v>8.6874254100760523E-2</v>
      </c>
      <c r="CX42" s="97">
        <f t="shared" si="23"/>
        <v>7.3063243955320906E-2</v>
      </c>
      <c r="CY42" s="97">
        <f t="shared" si="23"/>
        <v>5.826091546954159E-2</v>
      </c>
      <c r="CZ42" s="97">
        <f t="shared" si="23"/>
        <v>4.3765419032424181E-2</v>
      </c>
      <c r="DA42" s="97">
        <f t="shared" si="23"/>
        <v>3.0833390304281082E-2</v>
      </c>
      <c r="DB42" s="97">
        <f t="shared" si="23"/>
        <v>2.0305763379133437E-2</v>
      </c>
      <c r="DC42" s="97">
        <f t="shared" si="23"/>
        <v>1.2467434787705772E-2</v>
      </c>
      <c r="DD42" s="97">
        <f t="shared" si="23"/>
        <v>7.1202274653994436E-3</v>
      </c>
      <c r="DE42" s="97">
        <f t="shared" si="23"/>
        <v>3.7744290291345604E-3</v>
      </c>
      <c r="DF42" s="97">
        <f t="shared" si="23"/>
        <v>1.8534910903880875E-3</v>
      </c>
      <c r="DG42" s="97">
        <f t="shared" si="23"/>
        <v>8.416111773119837E-4</v>
      </c>
      <c r="DH42" s="97">
        <f t="shared" si="23"/>
        <v>3.5276084270282059E-4</v>
      </c>
      <c r="DI42" s="97">
        <f t="shared" si="23"/>
        <v>1.3628164810071909E-4</v>
      </c>
      <c r="DJ42" s="97">
        <f t="shared" si="23"/>
        <v>4.8462004623120691E-5</v>
      </c>
      <c r="DK42" s="97">
        <f t="shared" si="22"/>
        <v>1.5844188986743341E-5</v>
      </c>
      <c r="DL42" s="97">
        <f t="shared" si="22"/>
        <v>4.7579087668254815E-6</v>
      </c>
    </row>
    <row r="43" spans="1:116" x14ac:dyDescent="0.25">
      <c r="A43" s="60">
        <v>4.5</v>
      </c>
      <c r="B43" s="25">
        <v>2.2999999999999998</v>
      </c>
      <c r="C43" s="25">
        <v>1.3</v>
      </c>
      <c r="D43" s="57">
        <v>0.3</v>
      </c>
      <c r="E43" s="82" t="s">
        <v>5</v>
      </c>
      <c r="L43" s="97" cm="1">
        <f t="array" ref="L43">EstymacjaGaussowska($O43,$D$2:$D$51,H$9)</f>
        <v>1.2350929248811779E-133</v>
      </c>
      <c r="M43" s="97" cm="1">
        <f t="array" ref="M43">EstymacjaGaussowska($O43,$D$52:$D$101,I$9)</f>
        <v>9.6133691068320357E-2</v>
      </c>
      <c r="N43" s="97" cm="1">
        <f t="array" ref="N43">EstymacjaGaussowska($O43,$D$102:$D$151,J$9)</f>
        <v>1.2099280892632738</v>
      </c>
      <c r="O43" s="97">
        <v>1.8600000000000101</v>
      </c>
      <c r="P43" s="97">
        <f t="shared" si="19"/>
        <v>2.4256321918814775E-41</v>
      </c>
      <c r="Q43" s="97">
        <f t="shared" si="19"/>
        <v>2.3273352774405943E-39</v>
      </c>
      <c r="R43" s="97">
        <f t="shared" si="19"/>
        <v>1.9738969436351083E-37</v>
      </c>
      <c r="S43" s="97">
        <f t="shared" si="19"/>
        <v>1.4798630139962958E-35</v>
      </c>
      <c r="T43" s="97">
        <f t="shared" si="19"/>
        <v>9.8073140026490721E-34</v>
      </c>
      <c r="U43" s="97">
        <f t="shared" si="19"/>
        <v>5.7452664266301382E-32</v>
      </c>
      <c r="V43" s="97">
        <f t="shared" si="19"/>
        <v>2.9751016097387083E-30</v>
      </c>
      <c r="W43" s="97">
        <f t="shared" si="19"/>
        <v>1.3618365428932958E-28</v>
      </c>
      <c r="X43" s="97">
        <f t="shared" si="19"/>
        <v>5.5103570105036737E-27</v>
      </c>
      <c r="Y43" s="97">
        <f t="shared" si="19"/>
        <v>1.9709068488655347E-25</v>
      </c>
      <c r="Z43" s="97">
        <f t="shared" si="19"/>
        <v>6.2313783817551935E-24</v>
      </c>
      <c r="AA43" s="97">
        <f t="shared" si="19"/>
        <v>1.741541785597158E-22</v>
      </c>
      <c r="AB43" s="97">
        <f t="shared" si="19"/>
        <v>4.3024473655606921E-21</v>
      </c>
      <c r="AC43" s="97">
        <f t="shared" si="19"/>
        <v>9.3957044245379373E-20</v>
      </c>
      <c r="AD43" s="97">
        <f t="shared" si="19"/>
        <v>1.8137423420607502E-18</v>
      </c>
      <c r="AE43" s="97">
        <f t="shared" si="19"/>
        <v>3.0949587384831019E-17</v>
      </c>
      <c r="AF43" s="97">
        <f t="shared" si="17"/>
        <v>4.6683998970484149E-16</v>
      </c>
      <c r="AG43" s="97">
        <f t="shared" si="17"/>
        <v>6.2246733682071412E-15</v>
      </c>
      <c r="AH43" s="97">
        <f t="shared" si="17"/>
        <v>7.3367320547187243E-14</v>
      </c>
      <c r="AI43" s="97">
        <f t="shared" si="17"/>
        <v>7.6441621703526532E-13</v>
      </c>
      <c r="AJ43" s="97">
        <f t="shared" si="17"/>
        <v>7.0405070437093554E-12</v>
      </c>
      <c r="AK43" s="97">
        <f t="shared" si="17"/>
        <v>5.7323645945967722E-11</v>
      </c>
      <c r="AL43" s="97">
        <f t="shared" si="17"/>
        <v>4.1260436560988038E-10</v>
      </c>
      <c r="AM43" s="97">
        <f t="shared" si="17"/>
        <v>2.6255890619224813E-9</v>
      </c>
      <c r="AN43" s="97">
        <f t="shared" si="21"/>
        <v>1.4772324409028608E-8</v>
      </c>
      <c r="AO43" s="97">
        <f t="shared" si="21"/>
        <v>7.3494983015509519E-8</v>
      </c>
      <c r="AP43" s="97">
        <f t="shared" si="21"/>
        <v>3.2340373066899454E-7</v>
      </c>
      <c r="AQ43" s="97">
        <f t="shared" si="21"/>
        <v>1.2590898955398101E-6</v>
      </c>
      <c r="AR43" s="97">
        <f t="shared" si="21"/>
        <v>4.3393521052495644E-6</v>
      </c>
      <c r="AS43" s="97">
        <f t="shared" si="21"/>
        <v>1.3250067210158539E-5</v>
      </c>
      <c r="AT43" s="97">
        <f t="shared" si="21"/>
        <v>3.5893856262275585E-5</v>
      </c>
      <c r="AU43" s="97">
        <f t="shared" si="21"/>
        <v>8.6447118132094202E-5</v>
      </c>
      <c r="AV43" s="97">
        <f t="shared" si="21"/>
        <v>1.857131506286865E-4</v>
      </c>
      <c r="AW43" s="97">
        <f t="shared" si="21"/>
        <v>3.576766561020463E-4</v>
      </c>
      <c r="AX43" s="97">
        <f t="shared" si="21"/>
        <v>6.2222896911295368E-4</v>
      </c>
      <c r="AY43" s="97">
        <f t="shared" si="21"/>
        <v>9.8812689822873594E-4</v>
      </c>
      <c r="AZ43" s="97">
        <f t="shared" si="21"/>
        <v>1.4522723545693334E-3</v>
      </c>
      <c r="BA43" s="97">
        <f t="shared" si="21"/>
        <v>2.0068482872855182E-3</v>
      </c>
      <c r="BB43" s="97">
        <f t="shared" si="21"/>
        <v>2.6471318112403349E-3</v>
      </c>
      <c r="BC43" s="97">
        <f t="shared" si="21"/>
        <v>3.3702091589365665E-3</v>
      </c>
      <c r="BD43" s="97">
        <f t="shared" si="20"/>
        <v>4.164793122741259E-3</v>
      </c>
      <c r="BE43" s="97">
        <f t="shared" si="20"/>
        <v>5.0061937888104769E-3</v>
      </c>
      <c r="BF43" s="97">
        <f t="shared" si="20"/>
        <v>5.8716651400656942E-3</v>
      </c>
      <c r="BG43" s="97">
        <f t="shared" si="20"/>
        <v>6.7748835515979581E-3</v>
      </c>
      <c r="BH43" s="97">
        <f t="shared" si="20"/>
        <v>7.7972472418851605E-3</v>
      </c>
      <c r="BI43" s="97">
        <f t="shared" si="20"/>
        <v>9.0864832337086299E-3</v>
      </c>
      <c r="BJ43" s="97">
        <f t="shared" si="20"/>
        <v>1.0809918396959588E-2</v>
      </c>
      <c r="BK43" s="97">
        <f t="shared" si="18"/>
        <v>1.3086172400112677E-2</v>
      </c>
      <c r="BL43" s="97">
        <f t="shared" si="18"/>
        <v>1.5951697259072889E-2</v>
      </c>
      <c r="BM43" s="97">
        <f t="shared" si="18"/>
        <v>1.9413725783977761E-2</v>
      </c>
      <c r="BN43" s="97">
        <f t="shared" si="18"/>
        <v>2.3586339772555302E-2</v>
      </c>
      <c r="BO43" s="97">
        <f t="shared" si="18"/>
        <v>2.8838599261453463E-2</v>
      </c>
      <c r="BP43" s="97">
        <f t="shared" si="18"/>
        <v>3.5867190249418854E-2</v>
      </c>
      <c r="BQ43" s="97">
        <f t="shared" si="18"/>
        <v>4.5664805394319323E-2</v>
      </c>
      <c r="BR43" s="97">
        <f t="shared" si="18"/>
        <v>5.9432999443031279E-2</v>
      </c>
      <c r="BS43" s="97">
        <f t="shared" si="18"/>
        <v>7.8493662115153934E-2</v>
      </c>
      <c r="BT43" s="97">
        <f t="shared" si="18"/>
        <v>0.10416216567882862</v>
      </c>
      <c r="BU43" s="97">
        <f t="shared" si="18"/>
        <v>0.13745216309761299</v>
      </c>
      <c r="BV43" s="97">
        <f t="shared" si="18"/>
        <v>0.17852832048441578</v>
      </c>
      <c r="BW43" s="97">
        <f t="shared" si="18"/>
        <v>0.22604663707921122</v>
      </c>
      <c r="BX43" s="97">
        <f t="shared" si="18"/>
        <v>0.27677533672906329</v>
      </c>
      <c r="BY43" s="97">
        <f t="shared" si="18"/>
        <v>0.32593303653296424</v>
      </c>
      <c r="BZ43" s="97">
        <f t="shared" ref="BZ43:CO70" si="26">$H$2*$L43*BZ$1+$I$2*$M43*BZ$2+$J$2*$N43*BZ$3</f>
        <v>0.36838459294543313</v>
      </c>
      <c r="CA43" s="97">
        <f t="shared" si="26"/>
        <v>0.40031564025253163</v>
      </c>
      <c r="CB43" s="97">
        <f t="shared" si="26"/>
        <v>0.42058818374117379</v>
      </c>
      <c r="CC43" s="97">
        <f t="shared" si="25"/>
        <v>0.43099135672901207</v>
      </c>
      <c r="CD43" s="97">
        <f t="shared" si="25"/>
        <v>0.43513379051359963</v>
      </c>
      <c r="CE43" s="97">
        <f t="shared" si="25"/>
        <v>0.43650323621172288</v>
      </c>
      <c r="CF43" s="97">
        <f t="shared" si="25"/>
        <v>0.43673966718827351</v>
      </c>
      <c r="CG43" s="97">
        <f t="shared" si="25"/>
        <v>0.43504716176611985</v>
      </c>
      <c r="CH43" s="97">
        <f t="shared" si="25"/>
        <v>0.42896443366593867</v>
      </c>
      <c r="CI43" s="97">
        <f t="shared" si="25"/>
        <v>0.41590995259819563</v>
      </c>
      <c r="CJ43" s="97">
        <f t="shared" si="25"/>
        <v>0.39456227236890185</v>
      </c>
      <c r="CK43" s="97">
        <f t="shared" si="25"/>
        <v>0.36541485055831879</v>
      </c>
      <c r="CL43" s="97">
        <f t="shared" si="25"/>
        <v>0.33046690879024082</v>
      </c>
      <c r="CM43" s="97">
        <f t="shared" si="25"/>
        <v>0.29248918798780776</v>
      </c>
      <c r="CN43" s="97">
        <f t="shared" si="25"/>
        <v>0.25435201461312046</v>
      </c>
      <c r="CO43" s="97">
        <f t="shared" si="25"/>
        <v>0.21862065322816185</v>
      </c>
      <c r="CP43" s="97">
        <f t="shared" si="25"/>
        <v>0.18732718125941608</v>
      </c>
      <c r="CQ43" s="97">
        <f t="shared" si="25"/>
        <v>0.16175393512778741</v>
      </c>
      <c r="CR43" s="97">
        <f t="shared" si="24"/>
        <v>0.14219978022945615</v>
      </c>
      <c r="CS43" s="97">
        <f t="shared" si="24"/>
        <v>0.12786554941579881</v>
      </c>
      <c r="CT43" s="97">
        <f t="shared" si="24"/>
        <v>0.11702523585257503</v>
      </c>
      <c r="CU43" s="97">
        <f t="shared" si="24"/>
        <v>0.10751987171184746</v>
      </c>
      <c r="CV43" s="97">
        <f t="shared" si="24"/>
        <v>9.7422378496156925E-2</v>
      </c>
      <c r="CW43" s="97">
        <f t="shared" si="23"/>
        <v>8.5607735189455567E-2</v>
      </c>
      <c r="CX43" s="97">
        <f t="shared" si="23"/>
        <v>7.1998072447967382E-2</v>
      </c>
      <c r="CY43" s="97">
        <f t="shared" si="23"/>
        <v>5.7411543558428008E-2</v>
      </c>
      <c r="CZ43" s="97">
        <f t="shared" si="23"/>
        <v>4.3127373486715401E-2</v>
      </c>
      <c r="DA43" s="97">
        <f t="shared" si="23"/>
        <v>3.0383877703289604E-2</v>
      </c>
      <c r="DB43" s="97">
        <f t="shared" si="23"/>
        <v>2.0009730525736694E-2</v>
      </c>
      <c r="DC43" s="97">
        <f t="shared" si="23"/>
        <v>1.2285675046600197E-2</v>
      </c>
      <c r="DD43" s="97">
        <f t="shared" si="23"/>
        <v>7.0164233771679175E-3</v>
      </c>
      <c r="DE43" s="97">
        <f t="shared" si="23"/>
        <v>3.7194025337216169E-3</v>
      </c>
      <c r="DF43" s="97">
        <f t="shared" si="23"/>
        <v>1.8264694883932137E-3</v>
      </c>
      <c r="DG43" s="97">
        <f t="shared" si="23"/>
        <v>8.2934152984203021E-4</v>
      </c>
      <c r="DH43" s="97">
        <f t="shared" si="23"/>
        <v>3.4761802699665172E-4</v>
      </c>
      <c r="DI43" s="97">
        <f t="shared" si="23"/>
        <v>1.3429483064403955E-4</v>
      </c>
      <c r="DJ43" s="97">
        <f t="shared" si="23"/>
        <v>4.77554886826931E-5</v>
      </c>
      <c r="DK43" s="97">
        <f t="shared" si="22"/>
        <v>1.5613200356179328E-5</v>
      </c>
      <c r="DL43" s="97">
        <f t="shared" si="22"/>
        <v>4.6885443562319782E-6</v>
      </c>
    </row>
    <row r="44" spans="1:116" x14ac:dyDescent="0.25">
      <c r="A44" s="60">
        <v>4.4000000000000004</v>
      </c>
      <c r="B44" s="25">
        <v>3.2</v>
      </c>
      <c r="C44" s="25">
        <v>1.3</v>
      </c>
      <c r="D44" s="57">
        <v>0.2</v>
      </c>
      <c r="E44" s="82" t="s">
        <v>5</v>
      </c>
      <c r="L44" s="97" cm="1">
        <f t="array" ref="L44">EstymacjaGaussowska($O44,$D$2:$D$51,H$9)</f>
        <v>2.0294615580557722E-127</v>
      </c>
      <c r="M44" s="97" cm="1">
        <f t="array" ref="M44">EstymacjaGaussowska($O44,$D$52:$D$101,I$9)</f>
        <v>0.12872854394637265</v>
      </c>
      <c r="N44" s="97" cm="1">
        <f t="array" ref="N44">EstymacjaGaussowska($O44,$D$102:$D$151,J$9)</f>
        <v>1.1701049631548068</v>
      </c>
      <c r="O44" s="97">
        <v>1.8300000000000101</v>
      </c>
      <c r="P44" s="97">
        <f t="shared" si="19"/>
        <v>3.2480610776553071E-41</v>
      </c>
      <c r="Q44" s="97">
        <f t="shared" si="19"/>
        <v>3.1164358531395504E-39</v>
      </c>
      <c r="R44" s="97">
        <f t="shared" si="19"/>
        <v>2.6431615870627597E-37</v>
      </c>
      <c r="S44" s="97">
        <f t="shared" si="19"/>
        <v>1.9816217281873484E-35</v>
      </c>
      <c r="T44" s="97">
        <f t="shared" si="19"/>
        <v>1.3132557769873477E-33</v>
      </c>
      <c r="U44" s="97">
        <f t="shared" si="19"/>
        <v>7.6932423322690486E-32</v>
      </c>
      <c r="V44" s="97">
        <f t="shared" si="19"/>
        <v>3.9838322450554457E-30</v>
      </c>
      <c r="W44" s="97">
        <f t="shared" si="19"/>
        <v>1.823577492047282E-28</v>
      </c>
      <c r="X44" s="97">
        <f t="shared" si="19"/>
        <v>7.3786851072087757E-27</v>
      </c>
      <c r="Y44" s="97">
        <f t="shared" si="19"/>
        <v>2.6391576781139679E-25</v>
      </c>
      <c r="Z44" s="97">
        <f t="shared" si="19"/>
        <v>8.3441742114340845E-24</v>
      </c>
      <c r="AA44" s="97">
        <f t="shared" si="19"/>
        <v>2.3320246605569662E-22</v>
      </c>
      <c r="AB44" s="97">
        <f t="shared" si="19"/>
        <v>5.7612245885880513E-21</v>
      </c>
      <c r="AC44" s="97">
        <f t="shared" si="19"/>
        <v>1.2581388860453667E-19</v>
      </c>
      <c r="AD44" s="97">
        <f t="shared" si="19"/>
        <v>2.4287053601367923E-18</v>
      </c>
      <c r="AE44" s="97">
        <f t="shared" ref="AE44:AT59" si="27">$H$2*$L44*AE$1+$I$2*$M44*AE$2+$J$2*$N44*AE$3</f>
        <v>4.1443278371147747E-17</v>
      </c>
      <c r="AF44" s="97">
        <f t="shared" si="27"/>
        <v>6.2512560854378354E-16</v>
      </c>
      <c r="AG44" s="97">
        <f t="shared" si="27"/>
        <v>8.3351958124816501E-15</v>
      </c>
      <c r="AH44" s="97">
        <f t="shared" si="27"/>
        <v>9.8243063824254927E-14</v>
      </c>
      <c r="AI44" s="97">
        <f t="shared" si="27"/>
        <v>1.0235972997022611E-12</v>
      </c>
      <c r="AJ44" s="97">
        <f t="shared" si="27"/>
        <v>9.4276440476709231E-12</v>
      </c>
      <c r="AK44" s="97">
        <f t="shared" si="27"/>
        <v>7.6759660367951171E-11</v>
      </c>
      <c r="AL44" s="97">
        <f t="shared" si="27"/>
        <v>5.525009871214621E-10</v>
      </c>
      <c r="AM44" s="97">
        <f t="shared" si="27"/>
        <v>3.5158148323109895E-9</v>
      </c>
      <c r="AN44" s="97">
        <f t="shared" si="27"/>
        <v>1.9780992394500524E-8</v>
      </c>
      <c r="AO44" s="97">
        <f t="shared" si="27"/>
        <v>9.8414011215133409E-8</v>
      </c>
      <c r="AP44" s="97">
        <f t="shared" si="27"/>
        <v>4.3305620426304792E-7</v>
      </c>
      <c r="AQ44" s="97">
        <f t="shared" si="27"/>
        <v>1.68599381912034E-6</v>
      </c>
      <c r="AR44" s="97">
        <f t="shared" si="27"/>
        <v>5.8106421585558897E-6</v>
      </c>
      <c r="AS44" s="97">
        <f t="shared" si="27"/>
        <v>1.774260241334452E-5</v>
      </c>
      <c r="AT44" s="97">
        <f t="shared" si="27"/>
        <v>4.8063938894730412E-5</v>
      </c>
      <c r="AU44" s="97">
        <f t="shared" si="21"/>
        <v>1.1575766540880099E-4</v>
      </c>
      <c r="AV44" s="97">
        <f t="shared" si="21"/>
        <v>2.4868059473911E-4</v>
      </c>
      <c r="AW44" s="97">
        <f t="shared" si="21"/>
        <v>4.7894962326558552E-4</v>
      </c>
      <c r="AX44" s="97">
        <f t="shared" si="21"/>
        <v>8.3320039131606026E-4</v>
      </c>
      <c r="AY44" s="97">
        <f t="shared" si="21"/>
        <v>1.3231587613238729E-3</v>
      </c>
      <c r="AZ44" s="97">
        <f t="shared" si="21"/>
        <v>1.9446761645913167E-3</v>
      </c>
      <c r="BA44" s="97">
        <f t="shared" si="21"/>
        <v>2.6872848464058745E-3</v>
      </c>
      <c r="BB44" s="97">
        <f t="shared" si="21"/>
        <v>3.5446592130488242E-3</v>
      </c>
      <c r="BC44" s="97">
        <f t="shared" si="21"/>
        <v>4.5128912586572473E-3</v>
      </c>
      <c r="BD44" s="97">
        <f t="shared" si="20"/>
        <v>5.5768406213434606E-3</v>
      </c>
      <c r="BE44" s="97">
        <f t="shared" si="20"/>
        <v>6.7033478594447395E-3</v>
      </c>
      <c r="BF44" s="97">
        <f t="shared" si="20"/>
        <v>7.861620777786113E-3</v>
      </c>
      <c r="BG44" s="97">
        <f t="shared" si="20"/>
        <v>9.0689469232940328E-3</v>
      </c>
      <c r="BH44" s="97">
        <f t="shared" si="20"/>
        <v>1.043148074055153E-2</v>
      </c>
      <c r="BI44" s="97">
        <f t="shared" si="20"/>
        <v>1.2139946812895376E-2</v>
      </c>
      <c r="BJ44" s="97">
        <f t="shared" si="20"/>
        <v>1.440251039127812E-2</v>
      </c>
      <c r="BK44" s="97">
        <f t="shared" ref="BK44:BZ77" si="28">$H$2*$L44*BK$1+$I$2*$M44*BK$2+$J$2*$N44*BK$3</f>
        <v>1.73460300931884E-2</v>
      </c>
      <c r="BL44" s="97">
        <f t="shared" si="28"/>
        <v>2.0961574354251378E-2</v>
      </c>
      <c r="BM44" s="97">
        <f t="shared" si="28"/>
        <v>2.5164972246041556E-2</v>
      </c>
      <c r="BN44" s="97">
        <f t="shared" si="28"/>
        <v>2.9970342196662503E-2</v>
      </c>
      <c r="BO44" s="97">
        <f t="shared" si="28"/>
        <v>3.5681884782746975E-2</v>
      </c>
      <c r="BP44" s="97">
        <f t="shared" si="28"/>
        <v>4.2982770336399974E-2</v>
      </c>
      <c r="BQ44" s="97">
        <f t="shared" si="28"/>
        <v>5.2876337223282686E-2</v>
      </c>
      <c r="BR44" s="97">
        <f t="shared" si="28"/>
        <v>6.6546358056270127E-2</v>
      </c>
      <c r="BS44" s="97">
        <f t="shared" si="28"/>
        <v>8.5231414015468271E-2</v>
      </c>
      <c r="BT44" s="97">
        <f t="shared" si="28"/>
        <v>0.11010926463244543</v>
      </c>
      <c r="BU44" s="97">
        <f t="shared" si="28"/>
        <v>0.14206083844573944</v>
      </c>
      <c r="BV44" s="97">
        <f t="shared" si="28"/>
        <v>0.18119763807356654</v>
      </c>
      <c r="BW44" s="97">
        <f t="shared" si="28"/>
        <v>0.22625136900932413</v>
      </c>
      <c r="BX44" s="97">
        <f t="shared" si="28"/>
        <v>0.27419442445039094</v>
      </c>
      <c r="BY44" s="97">
        <f t="shared" si="28"/>
        <v>0.32052893532199028</v>
      </c>
      <c r="BZ44" s="97">
        <f t="shared" si="28"/>
        <v>0.36040508443841579</v>
      </c>
      <c r="CA44" s="97">
        <f t="shared" si="26"/>
        <v>0.39021869499551143</v>
      </c>
      <c r="CB44" s="97">
        <f t="shared" si="26"/>
        <v>0.4089185126480071</v>
      </c>
      <c r="CC44" s="97">
        <f t="shared" si="25"/>
        <v>0.41825513469238113</v>
      </c>
      <c r="CD44" s="97">
        <f t="shared" si="25"/>
        <v>0.42171753238353632</v>
      </c>
      <c r="CE44" s="97">
        <f t="shared" si="25"/>
        <v>0.42266186234676079</v>
      </c>
      <c r="CF44" s="97">
        <f t="shared" si="25"/>
        <v>0.42264576346640603</v>
      </c>
      <c r="CG44" s="97">
        <f t="shared" si="25"/>
        <v>0.42086521125255533</v>
      </c>
      <c r="CH44" s="97">
        <f t="shared" si="25"/>
        <v>0.41490633482972861</v>
      </c>
      <c r="CI44" s="97">
        <f t="shared" si="25"/>
        <v>0.40224509217664572</v>
      </c>
      <c r="CJ44" s="97">
        <f t="shared" si="25"/>
        <v>0.38158450044239167</v>
      </c>
      <c r="CK44" s="97">
        <f t="shared" si="25"/>
        <v>0.35339051966235868</v>
      </c>
      <c r="CL44" s="97">
        <f t="shared" si="25"/>
        <v>0.31959084650690622</v>
      </c>
      <c r="CM44" s="97">
        <f t="shared" si="25"/>
        <v>0.28286251249976041</v>
      </c>
      <c r="CN44" s="97">
        <f t="shared" si="25"/>
        <v>0.24598041318179192</v>
      </c>
      <c r="CO44" s="97">
        <f t="shared" si="25"/>
        <v>0.21142506328897856</v>
      </c>
      <c r="CP44" s="97">
        <f t="shared" si="25"/>
        <v>0.18116156532634423</v>
      </c>
      <c r="CQ44" s="97">
        <f t="shared" si="25"/>
        <v>0.15643002613977275</v>
      </c>
      <c r="CR44" s="97">
        <f t="shared" si="24"/>
        <v>0.13751946923856384</v>
      </c>
      <c r="CS44" s="97">
        <f t="shared" si="24"/>
        <v>0.12365702996848238</v>
      </c>
      <c r="CT44" s="97">
        <f t="shared" si="24"/>
        <v>0.11317351047654417</v>
      </c>
      <c r="CU44" s="97">
        <f t="shared" si="24"/>
        <v>0.10398100237880202</v>
      </c>
      <c r="CV44" s="97">
        <f t="shared" si="24"/>
        <v>9.4215854324132695E-2</v>
      </c>
      <c r="CW44" s="97">
        <f t="shared" si="23"/>
        <v>8.2790073822171045E-2</v>
      </c>
      <c r="CX44" s="97">
        <f t="shared" si="23"/>
        <v>6.9628354491912861E-2</v>
      </c>
      <c r="CY44" s="97">
        <f t="shared" si="23"/>
        <v>5.5521921225086569E-2</v>
      </c>
      <c r="CZ44" s="97">
        <f t="shared" si="23"/>
        <v>4.1707895049666974E-2</v>
      </c>
      <c r="DA44" s="97">
        <f t="shared" si="23"/>
        <v>2.9383833978228972E-2</v>
      </c>
      <c r="DB44" s="97">
        <f t="shared" si="23"/>
        <v>1.9351137648032653E-2</v>
      </c>
      <c r="DC44" s="97">
        <f t="shared" si="23"/>
        <v>1.1881308877197261E-2</v>
      </c>
      <c r="DD44" s="97">
        <f t="shared" si="23"/>
        <v>6.7854874104283655E-3</v>
      </c>
      <c r="DE44" s="97">
        <f t="shared" si="23"/>
        <v>3.5969834929018138E-3</v>
      </c>
      <c r="DF44" s="97">
        <f t="shared" si="23"/>
        <v>1.7663537464619402E-3</v>
      </c>
      <c r="DG44" s="97">
        <f t="shared" si="23"/>
        <v>8.020448891383682E-4</v>
      </c>
      <c r="DH44" s="97">
        <f t="shared" si="23"/>
        <v>3.3617665568747479E-4</v>
      </c>
      <c r="DI44" s="97">
        <f t="shared" si="23"/>
        <v>1.2987470020495767E-4</v>
      </c>
      <c r="DJ44" s="97">
        <f t="shared" si="23"/>
        <v>4.6183682171993496E-5</v>
      </c>
      <c r="DK44" s="97">
        <f t="shared" si="22"/>
        <v>1.5099313248128566E-5</v>
      </c>
      <c r="DL44" s="97">
        <f t="shared" si="22"/>
        <v>4.534227339526419E-6</v>
      </c>
    </row>
    <row r="45" spans="1:116" x14ac:dyDescent="0.25">
      <c r="A45" s="60">
        <v>5</v>
      </c>
      <c r="B45" s="25">
        <v>3.5</v>
      </c>
      <c r="C45" s="25">
        <v>1.6</v>
      </c>
      <c r="D45" s="57">
        <v>0.6</v>
      </c>
      <c r="E45" s="82" t="s">
        <v>5</v>
      </c>
      <c r="L45" s="97" cm="1">
        <f t="array" ref="L45">EstymacjaGaussowska($O45,$D$2:$D$51,H$9)</f>
        <v>2.3620363363986831E-121</v>
      </c>
      <c r="M45" s="97" cm="1">
        <f t="array" ref="M45">EstymacjaGaussowska($O45,$D$52:$D$101,I$9)</f>
        <v>0.16617936801453553</v>
      </c>
      <c r="N45" s="97" cm="1">
        <f t="array" ref="N45">EstymacjaGaussowska($O45,$D$102:$D$151,J$9)</f>
        <v>1.1070831652352575</v>
      </c>
      <c r="O45" s="97">
        <v>1.80000000000001</v>
      </c>
      <c r="P45" s="97">
        <f t="shared" ref="P45:AE60" si="29">$H$2*$L45*P$1+$I$2*$M45*P$2+$J$2*$N45*P$3</f>
        <v>4.1930151667234777E-41</v>
      </c>
      <c r="Q45" s="97">
        <f t="shared" si="29"/>
        <v>4.0230963907143891E-39</v>
      </c>
      <c r="R45" s="97">
        <f t="shared" si="29"/>
        <v>3.4121330719111517E-37</v>
      </c>
      <c r="S45" s="97">
        <f t="shared" si="29"/>
        <v>2.5581323018089225E-35</v>
      </c>
      <c r="T45" s="97">
        <f t="shared" si="29"/>
        <v>1.6953195334215136E-33</v>
      </c>
      <c r="U45" s="97">
        <f t="shared" si="29"/>
        <v>9.9314270911953932E-32</v>
      </c>
      <c r="V45" s="97">
        <f t="shared" si="29"/>
        <v>5.1428432612042851E-30</v>
      </c>
      <c r="W45" s="97">
        <f t="shared" si="29"/>
        <v>2.3541084662636566E-28</v>
      </c>
      <c r="X45" s="97">
        <f t="shared" si="29"/>
        <v>9.5253561510416792E-27</v>
      </c>
      <c r="Y45" s="97">
        <f t="shared" si="29"/>
        <v>3.406964311057497E-25</v>
      </c>
      <c r="Z45" s="97">
        <f t="shared" si="29"/>
        <v>1.0771733716159807E-23</v>
      </c>
      <c r="AA45" s="97">
        <f t="shared" si="29"/>
        <v>3.0104774932210249E-22</v>
      </c>
      <c r="AB45" s="97">
        <f t="shared" si="29"/>
        <v>7.4373299951268718E-21</v>
      </c>
      <c r="AC45" s="97">
        <f t="shared" si="29"/>
        <v>1.6241675587088951E-19</v>
      </c>
      <c r="AD45" s="97">
        <f t="shared" si="29"/>
        <v>3.1352853801343715E-18</v>
      </c>
      <c r="AE45" s="97">
        <f t="shared" si="29"/>
        <v>5.3500316223858498E-17</v>
      </c>
      <c r="AF45" s="97">
        <f t="shared" si="27"/>
        <v>8.0699257035630545E-16</v>
      </c>
      <c r="AG45" s="97">
        <f t="shared" si="27"/>
        <v>1.0760143243542332E-14</v>
      </c>
      <c r="AH45" s="97">
        <f t="shared" si="27"/>
        <v>1.2682478770930277E-13</v>
      </c>
      <c r="AI45" s="97">
        <f t="shared" si="27"/>
        <v>1.321391100615335E-12</v>
      </c>
      <c r="AJ45" s="97">
        <f t="shared" si="27"/>
        <v>1.2170415990727116E-11</v>
      </c>
      <c r="AK45" s="97">
        <f t="shared" si="27"/>
        <v>9.9091246260584743E-11</v>
      </c>
      <c r="AL45" s="97">
        <f t="shared" si="27"/>
        <v>7.1323936442177684E-10</v>
      </c>
      <c r="AM45" s="97">
        <f t="shared" si="27"/>
        <v>4.5386661650812029E-9</v>
      </c>
      <c r="AN45" s="97">
        <f t="shared" si="27"/>
        <v>2.5535850201085515E-8</v>
      </c>
      <c r="AO45" s="97">
        <f t="shared" si="27"/>
        <v>1.2704546859723125E-7</v>
      </c>
      <c r="AP45" s="97">
        <f t="shared" si="27"/>
        <v>5.5904466976015437E-7</v>
      </c>
      <c r="AQ45" s="97">
        <f t="shared" si="27"/>
        <v>2.176497758372298E-6</v>
      </c>
      <c r="AR45" s="97">
        <f t="shared" si="27"/>
        <v>7.5011245529928482E-6</v>
      </c>
      <c r="AS45" s="97">
        <f t="shared" si="27"/>
        <v>2.2904434133953412E-5</v>
      </c>
      <c r="AT45" s="97">
        <f t="shared" si="27"/>
        <v>6.2047116707125827E-5</v>
      </c>
      <c r="AU45" s="97">
        <f t="shared" si="21"/>
        <v>1.4943488903378286E-4</v>
      </c>
      <c r="AV45" s="97">
        <f t="shared" si="21"/>
        <v>3.2102890936988278E-4</v>
      </c>
      <c r="AW45" s="97">
        <f t="shared" si="21"/>
        <v>6.1828979989269478E-4</v>
      </c>
      <c r="AX45" s="97">
        <f t="shared" si="21"/>
        <v>1.0756022712563908E-3</v>
      </c>
      <c r="AY45" s="97">
        <f t="shared" si="21"/>
        <v>1.7081035681839473E-3</v>
      </c>
      <c r="AZ45" s="97">
        <f t="shared" si="21"/>
        <v>2.5104381401028302E-3</v>
      </c>
      <c r="BA45" s="97">
        <f t="shared" si="21"/>
        <v>3.4690926168832823E-3</v>
      </c>
      <c r="BB45" s="97">
        <f t="shared" si="21"/>
        <v>4.5758998722974006E-3</v>
      </c>
      <c r="BC45" s="97">
        <f t="shared" si="21"/>
        <v>5.825809298964103E-3</v>
      </c>
      <c r="BD45" s="97">
        <f t="shared" si="20"/>
        <v>7.1992523361247484E-3</v>
      </c>
      <c r="BE45" s="97">
        <f t="shared" si="20"/>
        <v>8.6533344583286237E-3</v>
      </c>
      <c r="BF45" s="97">
        <f t="shared" si="20"/>
        <v>1.0148005762904512E-2</v>
      </c>
      <c r="BG45" s="97">
        <f t="shared" si="20"/>
        <v>1.1704663602485508E-2</v>
      </c>
      <c r="BH45" s="97">
        <f t="shared" si="20"/>
        <v>1.3457797776135311E-2</v>
      </c>
      <c r="BI45" s="97">
        <f t="shared" si="20"/>
        <v>1.5647264178235379E-2</v>
      </c>
      <c r="BJ45" s="97">
        <f t="shared" si="20"/>
        <v>1.8527540739589704E-2</v>
      </c>
      <c r="BK45" s="97">
        <f t="shared" si="28"/>
        <v>2.2233725598760849E-2</v>
      </c>
      <c r="BL45" s="97">
        <f t="shared" si="28"/>
        <v>2.6702527156417979E-2</v>
      </c>
      <c r="BM45" s="97">
        <f t="shared" si="28"/>
        <v>3.1741152792727205E-2</v>
      </c>
      <c r="BN45" s="97">
        <f t="shared" si="28"/>
        <v>3.7243546191517166E-2</v>
      </c>
      <c r="BO45" s="97">
        <f t="shared" si="28"/>
        <v>4.3432096958343387E-2</v>
      </c>
      <c r="BP45" s="97">
        <f t="shared" si="28"/>
        <v>5.0964865582037902E-2</v>
      </c>
      <c r="BQ45" s="97">
        <f t="shared" si="28"/>
        <v>6.0844918137931421E-2</v>
      </c>
      <c r="BR45" s="97">
        <f t="shared" si="28"/>
        <v>7.4219284579764538E-2</v>
      </c>
      <c r="BS45" s="97">
        <f t="shared" si="28"/>
        <v>9.2210435842909139E-2</v>
      </c>
      <c r="BT45" s="97">
        <f t="shared" si="28"/>
        <v>0.1158156282683705</v>
      </c>
      <c r="BU45" s="97">
        <f t="shared" si="28"/>
        <v>0.14574501590637923</v>
      </c>
      <c r="BV45" s="97">
        <f t="shared" si="28"/>
        <v>0.18204483617304071</v>
      </c>
      <c r="BW45" s="97">
        <f t="shared" si="28"/>
        <v>0.22355416589176014</v>
      </c>
      <c r="BX45" s="97">
        <f t="shared" si="28"/>
        <v>0.26752985452234546</v>
      </c>
      <c r="BY45" s="97">
        <f t="shared" si="28"/>
        <v>0.3098728548108195</v>
      </c>
      <c r="BZ45" s="97">
        <f t="shared" si="28"/>
        <v>0.34613892501540028</v>
      </c>
      <c r="CA45" s="97">
        <f t="shared" si="26"/>
        <v>0.37302306988182393</v>
      </c>
      <c r="CB45" s="97">
        <f t="shared" si="26"/>
        <v>0.38959182806272119</v>
      </c>
      <c r="CC45" s="97">
        <f t="shared" si="25"/>
        <v>0.39752676930930025</v>
      </c>
      <c r="CD45" s="97">
        <f t="shared" si="25"/>
        <v>0.40012784824489789</v>
      </c>
      <c r="CE45" s="97">
        <f t="shared" si="25"/>
        <v>0.40054960691891894</v>
      </c>
      <c r="CF45" s="97">
        <f t="shared" si="25"/>
        <v>0.40023059305637659</v>
      </c>
      <c r="CG45" s="97">
        <f t="shared" si="25"/>
        <v>0.39836751425830758</v>
      </c>
      <c r="CH45" s="97">
        <f t="shared" si="25"/>
        <v>0.392634813065108</v>
      </c>
      <c r="CI45" s="97">
        <f t="shared" si="25"/>
        <v>0.38061028488670617</v>
      </c>
      <c r="CJ45" s="97">
        <f t="shared" si="25"/>
        <v>0.36104318190167173</v>
      </c>
      <c r="CK45" s="97">
        <f t="shared" si="25"/>
        <v>0.33436039649690991</v>
      </c>
      <c r="CL45" s="97">
        <f t="shared" si="25"/>
        <v>0.3023786958988216</v>
      </c>
      <c r="CM45" s="97">
        <f t="shared" si="25"/>
        <v>0.26762780613699583</v>
      </c>
      <c r="CN45" s="97">
        <f t="shared" si="25"/>
        <v>0.23273197786701932</v>
      </c>
      <c r="CO45" s="97">
        <f t="shared" si="25"/>
        <v>0.20003773114301085</v>
      </c>
      <c r="CP45" s="97">
        <f t="shared" si="25"/>
        <v>0.17140421410554735</v>
      </c>
      <c r="CQ45" s="97">
        <f t="shared" si="25"/>
        <v>0.14800471267403889</v>
      </c>
      <c r="CR45" s="97">
        <f t="shared" si="24"/>
        <v>0.13011267718342517</v>
      </c>
      <c r="CS45" s="97">
        <f t="shared" si="24"/>
        <v>0.11699686819458653</v>
      </c>
      <c r="CT45" s="97">
        <f t="shared" si="24"/>
        <v>0.10707799056087985</v>
      </c>
      <c r="CU45" s="97">
        <f t="shared" si="24"/>
        <v>9.8380590513489408E-2</v>
      </c>
      <c r="CV45" s="97">
        <f t="shared" si="24"/>
        <v>8.9141392870676697E-2</v>
      </c>
      <c r="CW45" s="97">
        <f t="shared" si="23"/>
        <v>7.8331004365617823E-2</v>
      </c>
      <c r="CX45" s="97">
        <f t="shared" si="23"/>
        <v>6.5878174615375179E-2</v>
      </c>
      <c r="CY45" s="97">
        <f t="shared" si="23"/>
        <v>5.2531513176462985E-2</v>
      </c>
      <c r="CZ45" s="97">
        <f t="shared" si="23"/>
        <v>3.9461509796857717E-2</v>
      </c>
      <c r="DA45" s="97">
        <f t="shared" si="23"/>
        <v>2.780122207127261E-2</v>
      </c>
      <c r="DB45" s="97">
        <f t="shared" si="23"/>
        <v>1.8308886290445386E-2</v>
      </c>
      <c r="DC45" s="97">
        <f t="shared" si="23"/>
        <v>1.1241382143565069E-2</v>
      </c>
      <c r="DD45" s="97">
        <f t="shared" si="23"/>
        <v>6.4200213797462229E-3</v>
      </c>
      <c r="DE45" s="97">
        <f t="shared" si="23"/>
        <v>3.4032501322651568E-3</v>
      </c>
      <c r="DF45" s="97">
        <f t="shared" si="23"/>
        <v>1.6712180173015165E-3</v>
      </c>
      <c r="DG45" s="97">
        <f t="shared" si="23"/>
        <v>7.5884678938037387E-4</v>
      </c>
      <c r="DH45" s="97">
        <f t="shared" si="23"/>
        <v>3.1807019692766953E-4</v>
      </c>
      <c r="DI45" s="97">
        <f t="shared" si="23"/>
        <v>1.2287965500054209E-4</v>
      </c>
      <c r="DJ45" s="97">
        <f t="shared" si="23"/>
        <v>4.3696231236671727E-5</v>
      </c>
      <c r="DK45" s="97">
        <f t="shared" si="22"/>
        <v>1.4286064951427141E-5</v>
      </c>
      <c r="DL45" s="97">
        <f t="shared" si="22"/>
        <v>4.2900140696822475E-6</v>
      </c>
    </row>
    <row r="46" spans="1:116" x14ac:dyDescent="0.25">
      <c r="A46" s="60">
        <v>5.0999999999999996</v>
      </c>
      <c r="B46" s="25">
        <v>3.8</v>
      </c>
      <c r="C46" s="25">
        <v>1.9</v>
      </c>
      <c r="D46" s="57">
        <v>0.4</v>
      </c>
      <c r="E46" s="82" t="s">
        <v>5</v>
      </c>
      <c r="L46" s="97" cm="1">
        <f t="array" ref="L46">EstymacjaGaussowska($O46,$D$2:$D$51,H$9)</f>
        <v>1.9472282821403997E-115</v>
      </c>
      <c r="M46" s="97" cm="1">
        <f t="array" ref="M46">EstymacjaGaussowska($O46,$D$52:$D$101,I$9)</f>
        <v>0.21093724670604586</v>
      </c>
      <c r="N46" s="97" cm="1">
        <f t="array" ref="N46">EstymacjaGaussowska($O46,$D$102:$D$151,J$9)</f>
        <v>1.0227143874157274</v>
      </c>
      <c r="O46" s="97">
        <v>1.77000000000001</v>
      </c>
      <c r="P46" s="97">
        <f t="shared" si="29"/>
        <v>5.3223398622383684E-41</v>
      </c>
      <c r="Q46" s="97">
        <f t="shared" si="29"/>
        <v>5.1066560550169852E-39</v>
      </c>
      <c r="R46" s="97">
        <f t="shared" si="29"/>
        <v>4.3311390829252964E-37</v>
      </c>
      <c r="S46" s="97">
        <f t="shared" si="29"/>
        <v>3.2471262281258343E-35</v>
      </c>
      <c r="T46" s="97">
        <f t="shared" si="29"/>
        <v>2.1519279976779846E-33</v>
      </c>
      <c r="U46" s="97">
        <f t="shared" si="29"/>
        <v>1.2606305533039159E-31</v>
      </c>
      <c r="V46" s="97">
        <f t="shared" si="29"/>
        <v>6.5279896699588239E-30</v>
      </c>
      <c r="W46" s="97">
        <f t="shared" si="29"/>
        <v>2.9881516836531346E-28</v>
      </c>
      <c r="X46" s="97">
        <f t="shared" si="29"/>
        <v>1.2090865577365074E-26</v>
      </c>
      <c r="Y46" s="97">
        <f t="shared" si="29"/>
        <v>4.32457819515458E-25</v>
      </c>
      <c r="Z46" s="97">
        <f t="shared" si="29"/>
        <v>1.3672935933531112E-23</v>
      </c>
      <c r="AA46" s="97">
        <f t="shared" si="29"/>
        <v>3.8213036989947941E-22</v>
      </c>
      <c r="AB46" s="97">
        <f t="shared" si="29"/>
        <v>9.4404614168416472E-21</v>
      </c>
      <c r="AC46" s="97">
        <f t="shared" si="29"/>
        <v>2.0616123235789885E-19</v>
      </c>
      <c r="AD46" s="97">
        <f t="shared" si="29"/>
        <v>3.9797266870422524E-18</v>
      </c>
      <c r="AE46" s="97">
        <f t="shared" si="29"/>
        <v>6.7909810567918407E-17</v>
      </c>
      <c r="AF46" s="97">
        <f t="shared" si="27"/>
        <v>1.0243437132839782E-15</v>
      </c>
      <c r="AG46" s="97">
        <f t="shared" si="27"/>
        <v>1.3658223743858213E-14</v>
      </c>
      <c r="AH46" s="97">
        <f t="shared" si="27"/>
        <v>1.609831103169144E-13</v>
      </c>
      <c r="AI46" s="97">
        <f t="shared" si="27"/>
        <v>1.6772876435616854E-12</v>
      </c>
      <c r="AJ46" s="97">
        <f t="shared" si="27"/>
        <v>1.5448331950129099E-11</v>
      </c>
      <c r="AK46" s="97">
        <f t="shared" si="27"/>
        <v>1.2577996239009783E-10</v>
      </c>
      <c r="AL46" s="97">
        <f t="shared" si="27"/>
        <v>9.0533951098153229E-10</v>
      </c>
      <c r="AM46" s="97">
        <f t="shared" si="27"/>
        <v>5.7610866861425052E-9</v>
      </c>
      <c r="AN46" s="97">
        <f t="shared" si="27"/>
        <v>3.2413542054413464E-8</v>
      </c>
      <c r="AO46" s="97">
        <f t="shared" si="27"/>
        <v>1.6126322823682423E-7</v>
      </c>
      <c r="AP46" s="97">
        <f t="shared" si="27"/>
        <v>7.0961482664070032E-7</v>
      </c>
      <c r="AQ46" s="97">
        <f t="shared" si="27"/>
        <v>2.7627042399917516E-6</v>
      </c>
      <c r="AR46" s="97">
        <f t="shared" si="27"/>
        <v>9.5214380660581673E-6</v>
      </c>
      <c r="AS46" s="97">
        <f t="shared" si="27"/>
        <v>2.9073394196260362E-5</v>
      </c>
      <c r="AT46" s="97">
        <f t="shared" si="27"/>
        <v>7.875856143020252E-5</v>
      </c>
      <c r="AU46" s="97">
        <f t="shared" si="21"/>
        <v>1.8968289764710459E-4</v>
      </c>
      <c r="AV46" s="97">
        <f t="shared" si="21"/>
        <v>4.0749315068707933E-4</v>
      </c>
      <c r="AW46" s="97">
        <f t="shared" si="21"/>
        <v>7.8481672893425912E-4</v>
      </c>
      <c r="AX46" s="97">
        <f t="shared" si="21"/>
        <v>1.365299339492307E-3</v>
      </c>
      <c r="AY46" s="97">
        <f t="shared" si="21"/>
        <v>2.168155206226307E-3</v>
      </c>
      <c r="AZ46" s="97">
        <f t="shared" si="21"/>
        <v>3.1865863006770149E-3</v>
      </c>
      <c r="BA46" s="97">
        <f t="shared" si="21"/>
        <v>4.403439399787326E-3</v>
      </c>
      <c r="BB46" s="97">
        <f t="shared" si="21"/>
        <v>5.8083465144883155E-3</v>
      </c>
      <c r="BC46" s="97">
        <f t="shared" si="21"/>
        <v>7.3948913753909334E-3</v>
      </c>
      <c r="BD46" s="97">
        <f t="shared" si="20"/>
        <v>9.138212708397795E-3</v>
      </c>
      <c r="BE46" s="97">
        <f t="shared" si="20"/>
        <v>1.0983779510395647E-2</v>
      </c>
      <c r="BF46" s="97">
        <f t="shared" si="20"/>
        <v>1.2880471177703539E-2</v>
      </c>
      <c r="BG46" s="97">
        <f t="shared" si="20"/>
        <v>1.4854576104361245E-2</v>
      </c>
      <c r="BH46" s="97">
        <f t="shared" si="20"/>
        <v>1.7074390811078807E-2</v>
      </c>
      <c r="BI46" s="97">
        <f t="shared" si="20"/>
        <v>1.9838345956062632E-2</v>
      </c>
      <c r="BJ46" s="97">
        <f t="shared" si="20"/>
        <v>2.3455948594555971E-2</v>
      </c>
      <c r="BK46" s="97">
        <f t="shared" si="28"/>
        <v>2.8071500881993856E-2</v>
      </c>
      <c r="BL46" s="97">
        <f t="shared" si="28"/>
        <v>3.3555583741856236E-2</v>
      </c>
      <c r="BM46" s="97">
        <f t="shared" si="28"/>
        <v>3.9583702151247006E-2</v>
      </c>
      <c r="BN46" s="97">
        <f t="shared" si="28"/>
        <v>4.5903389527881887E-2</v>
      </c>
      <c r="BO46" s="97">
        <f t="shared" si="28"/>
        <v>5.2635441539726012E-2</v>
      </c>
      <c r="BP46" s="97">
        <f t="shared" si="28"/>
        <v>6.0402887472194709E-2</v>
      </c>
      <c r="BQ46" s="97">
        <f t="shared" si="28"/>
        <v>7.0201913386810616E-2</v>
      </c>
      <c r="BR46" s="97">
        <f t="shared" si="28"/>
        <v>8.3127087280212814E-2</v>
      </c>
      <c r="BS46" s="97">
        <f t="shared" si="28"/>
        <v>0.10015142683078876</v>
      </c>
      <c r="BT46" s="97">
        <f t="shared" si="28"/>
        <v>0.12204473079920578</v>
      </c>
      <c r="BU46" s="97">
        <f t="shared" si="28"/>
        <v>0.14930347811167549</v>
      </c>
      <c r="BV46" s="97">
        <f t="shared" si="28"/>
        <v>0.18189371514122987</v>
      </c>
      <c r="BW46" s="97">
        <f t="shared" si="28"/>
        <v>0.21879352587916884</v>
      </c>
      <c r="BX46" s="97">
        <f t="shared" si="28"/>
        <v>0.25762585827178042</v>
      </c>
      <c r="BY46" s="97">
        <f t="shared" si="28"/>
        <v>0.29480660468787256</v>
      </c>
      <c r="BZ46" s="97">
        <f t="shared" si="28"/>
        <v>0.32641698290590326</v>
      </c>
      <c r="CA46" s="97">
        <f t="shared" si="26"/>
        <v>0.34953978795258617</v>
      </c>
      <c r="CB46" s="97">
        <f t="shared" si="26"/>
        <v>0.36339183793869723</v>
      </c>
      <c r="CC46" s="97">
        <f t="shared" si="25"/>
        <v>0.36955923287283526</v>
      </c>
      <c r="CD46" s="97">
        <f t="shared" si="25"/>
        <v>0.37108901971851826</v>
      </c>
      <c r="CE46" s="97">
        <f t="shared" si="25"/>
        <v>0.37086836114657296</v>
      </c>
      <c r="CF46" s="97">
        <f t="shared" si="25"/>
        <v>0.37018063983453031</v>
      </c>
      <c r="CG46" s="97">
        <f t="shared" si="25"/>
        <v>0.36822870236322863</v>
      </c>
      <c r="CH46" s="97">
        <f t="shared" si="25"/>
        <v>0.36281027141207889</v>
      </c>
      <c r="CI46" s="97">
        <f t="shared" si="25"/>
        <v>0.35164360767678982</v>
      </c>
      <c r="CJ46" s="97">
        <f t="shared" si="25"/>
        <v>0.33354272156718129</v>
      </c>
      <c r="CK46" s="97">
        <f t="shared" si="25"/>
        <v>0.30888389768176611</v>
      </c>
      <c r="CL46" s="97">
        <f t="shared" si="25"/>
        <v>0.27933626019649765</v>
      </c>
      <c r="CM46" s="97">
        <f t="shared" si="25"/>
        <v>0.2472327119409726</v>
      </c>
      <c r="CN46" s="97">
        <f t="shared" si="25"/>
        <v>0.21499597578384555</v>
      </c>
      <c r="CO46" s="97">
        <f t="shared" si="25"/>
        <v>0.18479323769383788</v>
      </c>
      <c r="CP46" s="97">
        <f t="shared" si="25"/>
        <v>0.1583418160059735</v>
      </c>
      <c r="CQ46" s="97">
        <f t="shared" si="25"/>
        <v>0.13672554537185672</v>
      </c>
      <c r="CR46" s="97">
        <f t="shared" si="24"/>
        <v>0.12019702872134935</v>
      </c>
      <c r="CS46" s="97">
        <f t="shared" si="24"/>
        <v>0.10808075142961174</v>
      </c>
      <c r="CT46" s="97">
        <f t="shared" si="24"/>
        <v>9.8917773263989484E-2</v>
      </c>
      <c r="CU46" s="97">
        <f t="shared" si="24"/>
        <v>9.0883186123883006E-2</v>
      </c>
      <c r="CV46" s="97">
        <f t="shared" si="24"/>
        <v>8.2348090790228784E-2</v>
      </c>
      <c r="CW46" s="97">
        <f t="shared" si="23"/>
        <v>7.2361542168711893E-2</v>
      </c>
      <c r="CX46" s="97">
        <f t="shared" si="23"/>
        <v>6.0857719737353738E-2</v>
      </c>
      <c r="CY46" s="97">
        <f t="shared" si="23"/>
        <v>4.8528182891184088E-2</v>
      </c>
      <c r="CZ46" s="97">
        <f t="shared" si="23"/>
        <v>3.6454220500965646E-2</v>
      </c>
      <c r="DA46" s="97">
        <f t="shared" si="23"/>
        <v>2.5682541919954276E-2</v>
      </c>
      <c r="DB46" s="97">
        <f t="shared" si="23"/>
        <v>1.6913599641647528E-2</v>
      </c>
      <c r="DC46" s="97">
        <f t="shared" si="23"/>
        <v>1.0384697025195181E-2</v>
      </c>
      <c r="DD46" s="97">
        <f t="shared" si="23"/>
        <v>5.9307633236277916E-3</v>
      </c>
      <c r="DE46" s="97">
        <f t="shared" si="23"/>
        <v>3.1438946806696569E-3</v>
      </c>
      <c r="DF46" s="97">
        <f t="shared" si="23"/>
        <v>1.5438575569338034E-3</v>
      </c>
      <c r="DG46" s="97">
        <f t="shared" si="23"/>
        <v>7.0101646715820226E-4</v>
      </c>
      <c r="DH46" s="97">
        <f t="shared" si="23"/>
        <v>2.9383065050669021E-4</v>
      </c>
      <c r="DI46" s="97">
        <f t="shared" si="23"/>
        <v>1.135152218334293E-4</v>
      </c>
      <c r="DJ46" s="97">
        <f t="shared" si="23"/>
        <v>4.0366221585613437E-5</v>
      </c>
      <c r="DK46" s="97">
        <f t="shared" si="22"/>
        <v>1.319735013970276E-5</v>
      </c>
      <c r="DL46" s="97">
        <f t="shared" si="22"/>
        <v>3.963079964591085E-6</v>
      </c>
    </row>
    <row r="47" spans="1:116" x14ac:dyDescent="0.25">
      <c r="A47" s="60">
        <v>4.8</v>
      </c>
      <c r="B47" s="25">
        <v>3</v>
      </c>
      <c r="C47" s="25">
        <v>1.4</v>
      </c>
      <c r="D47" s="57">
        <v>0.3</v>
      </c>
      <c r="E47" s="82" t="s">
        <v>5</v>
      </c>
      <c r="L47" s="97" cm="1">
        <f t="array" ref="L47">EstymacjaGaussowska($O47,$D$2:$D$51,H$9)</f>
        <v>1.1370294481792666E-109</v>
      </c>
      <c r="M47" s="97" cm="1">
        <f t="array" ref="M47">EstymacjaGaussowska($O47,$D$52:$D$101,I$9)</f>
        <v>0.26802087844625649</v>
      </c>
      <c r="N47" s="97" cm="1">
        <f t="array" ref="N47">EstymacjaGaussowska($O47,$D$102:$D$151,J$9)</f>
        <v>0.92201933856345841</v>
      </c>
      <c r="O47" s="97">
        <v>1.74000000000001</v>
      </c>
      <c r="P47" s="97">
        <f t="shared" si="29"/>
        <v>6.7626662789173934E-41</v>
      </c>
      <c r="Q47" s="97">
        <f t="shared" si="29"/>
        <v>6.488614330383776E-39</v>
      </c>
      <c r="R47" s="97">
        <f t="shared" si="29"/>
        <v>5.5032277125350377E-37</v>
      </c>
      <c r="S47" s="97">
        <f t="shared" si="29"/>
        <v>4.1258603574217465E-35</v>
      </c>
      <c r="T47" s="97">
        <f t="shared" si="29"/>
        <v>2.734280651223728E-33</v>
      </c>
      <c r="U47" s="97">
        <f t="shared" si="29"/>
        <v>1.6017811627339394E-31</v>
      </c>
      <c r="V47" s="97">
        <f t="shared" si="29"/>
        <v>8.294587860382384E-30</v>
      </c>
      <c r="W47" s="97">
        <f t="shared" si="29"/>
        <v>3.7968023745918102E-28</v>
      </c>
      <c r="X47" s="97">
        <f t="shared" si="29"/>
        <v>1.5362883814146749E-26</v>
      </c>
      <c r="Y47" s="97">
        <f t="shared" si="29"/>
        <v>5.4948913237219929E-25</v>
      </c>
      <c r="Z47" s="97">
        <f t="shared" si="29"/>
        <v>1.7373092505333053E-23</v>
      </c>
      <c r="AA47" s="97">
        <f t="shared" si="29"/>
        <v>4.8554211748188083E-22</v>
      </c>
      <c r="AB47" s="97">
        <f t="shared" si="29"/>
        <v>1.1995229867610518E-20</v>
      </c>
      <c r="AC47" s="97">
        <f t="shared" si="29"/>
        <v>2.6195238375861062E-19</v>
      </c>
      <c r="AD47" s="97">
        <f t="shared" si="29"/>
        <v>5.0567164372042706E-18</v>
      </c>
      <c r="AE47" s="97">
        <f t="shared" si="29"/>
        <v>8.6287497195300614E-17</v>
      </c>
      <c r="AF47" s="97">
        <f t="shared" si="27"/>
        <v>1.3015506087830392E-15</v>
      </c>
      <c r="AG47" s="97">
        <f t="shared" si="27"/>
        <v>1.7354398917256156E-14</v>
      </c>
      <c r="AH47" s="97">
        <f t="shared" si="27"/>
        <v>2.0454820244372396E-13</v>
      </c>
      <c r="AI47" s="97">
        <f t="shared" si="27"/>
        <v>2.1311935879248849E-12</v>
      </c>
      <c r="AJ47" s="97">
        <f t="shared" si="27"/>
        <v>1.9628944458410334E-11</v>
      </c>
      <c r="AK47" s="97">
        <f t="shared" si="27"/>
        <v>1.5981841299801552E-10</v>
      </c>
      <c r="AL47" s="97">
        <f t="shared" si="27"/>
        <v>1.1503416054516071E-9</v>
      </c>
      <c r="AM47" s="97">
        <f t="shared" si="27"/>
        <v>7.3201463399052225E-9</v>
      </c>
      <c r="AN47" s="97">
        <f t="shared" si="27"/>
        <v>4.1185263155942983E-8</v>
      </c>
      <c r="AO47" s="97">
        <f t="shared" si="27"/>
        <v>2.0490412560160631E-7</v>
      </c>
      <c r="AP47" s="97">
        <f t="shared" si="27"/>
        <v>9.0165009814397561E-7</v>
      </c>
      <c r="AQ47" s="97">
        <f t="shared" si="27"/>
        <v>3.5103445638580571E-6</v>
      </c>
      <c r="AR47" s="97">
        <f t="shared" si="27"/>
        <v>1.2098120338568747E-5</v>
      </c>
      <c r="AS47" s="97">
        <f t="shared" si="27"/>
        <v>3.6941207745779907E-5</v>
      </c>
      <c r="AT47" s="97">
        <f t="shared" si="27"/>
        <v>1.0007212642273106E-4</v>
      </c>
      <c r="AU47" s="97">
        <f t="shared" si="21"/>
        <v>2.4101469819549947E-4</v>
      </c>
      <c r="AV47" s="97">
        <f t="shared" si="21"/>
        <v>5.1776854921716377E-4</v>
      </c>
      <c r="AW47" s="97">
        <f t="shared" si="21"/>
        <v>9.9720306560411101E-4</v>
      </c>
      <c r="AX47" s="97">
        <f t="shared" si="21"/>
        <v>1.734775312083679E-3</v>
      </c>
      <c r="AY47" s="97">
        <f t="shared" ref="AY47:BN62" si="30">$H$2*$L47*AY$1+$I$2*$M47*AY$2+$J$2*$N47*AY$3</f>
        <v>2.7548992402188894E-3</v>
      </c>
      <c r="AZ47" s="97">
        <f t="shared" si="30"/>
        <v>4.0489371042775951E-3</v>
      </c>
      <c r="BA47" s="97">
        <f t="shared" si="30"/>
        <v>5.5950934630713683E-3</v>
      </c>
      <c r="BB47" s="97">
        <f t="shared" si="30"/>
        <v>7.3801933960943337E-3</v>
      </c>
      <c r="BC47" s="97">
        <f t="shared" si="30"/>
        <v>9.396078982676111E-3</v>
      </c>
      <c r="BD47" s="97">
        <f t="shared" si="30"/>
        <v>1.1611139090382666E-2</v>
      </c>
      <c r="BE47" s="97">
        <f t="shared" si="30"/>
        <v>1.3956003207485086E-2</v>
      </c>
      <c r="BF47" s="97">
        <f t="shared" si="30"/>
        <v>1.6365436424422161E-2</v>
      </c>
      <c r="BG47" s="97">
        <f t="shared" si="30"/>
        <v>1.8871980853864396E-2</v>
      </c>
      <c r="BH47" s="97">
        <f t="shared" si="30"/>
        <v>2.1687093309274097E-2</v>
      </c>
      <c r="BI47" s="97">
        <f t="shared" si="30"/>
        <v>2.5184018789548162E-2</v>
      </c>
      <c r="BJ47" s="97">
        <f t="shared" si="30"/>
        <v>2.9742691767278177E-2</v>
      </c>
      <c r="BK47" s="97">
        <f t="shared" si="30"/>
        <v>3.551964393583542E-2</v>
      </c>
      <c r="BL47" s="97">
        <f t="shared" si="30"/>
        <v>4.2302004351681813E-2</v>
      </c>
      <c r="BM47" s="97">
        <f t="shared" si="30"/>
        <v>4.9598746985833837E-2</v>
      </c>
      <c r="BN47" s="97">
        <f t="shared" si="30"/>
        <v>5.697280345995679E-2</v>
      </c>
      <c r="BO47" s="97">
        <f t="shared" si="28"/>
        <v>6.4418313956113235E-2</v>
      </c>
      <c r="BP47" s="97">
        <f t="shared" si="28"/>
        <v>7.2517462478943556E-2</v>
      </c>
      <c r="BQ47" s="97">
        <f t="shared" si="28"/>
        <v>8.2262663082193627E-2</v>
      </c>
      <c r="BR47" s="97">
        <f t="shared" si="28"/>
        <v>9.4688100391934593E-2</v>
      </c>
      <c r="BS47" s="97">
        <f t="shared" si="28"/>
        <v>0.11058433922236804</v>
      </c>
      <c r="BT47" s="97">
        <f t="shared" si="28"/>
        <v>0.13044003932639797</v>
      </c>
      <c r="BU47" s="97">
        <f t="shared" si="28"/>
        <v>0.15448647338568855</v>
      </c>
      <c r="BV47" s="97">
        <f t="shared" si="28"/>
        <v>0.18258908606326724</v>
      </c>
      <c r="BW47" s="97">
        <f t="shared" si="28"/>
        <v>0.21389509302217913</v>
      </c>
      <c r="BX47" s="97">
        <f t="shared" si="28"/>
        <v>0.24647440735430359</v>
      </c>
      <c r="BY47" s="97">
        <f t="shared" si="28"/>
        <v>0.27737043452818949</v>
      </c>
      <c r="BZ47" s="97">
        <f t="shared" si="28"/>
        <v>0.30330345353987531</v>
      </c>
      <c r="CA47" s="97">
        <f t="shared" si="26"/>
        <v>0.32182776575427541</v>
      </c>
      <c r="CB47" s="97">
        <f t="shared" si="26"/>
        <v>0.3323446002068306</v>
      </c>
      <c r="CC47" s="97">
        <f t="shared" si="25"/>
        <v>0.3363281983143917</v>
      </c>
      <c r="CD47" s="97">
        <f t="shared" si="25"/>
        <v>0.33652366812402745</v>
      </c>
      <c r="CE47" s="97">
        <f t="shared" si="25"/>
        <v>0.33549733044916974</v>
      </c>
      <c r="CF47" s="97">
        <f t="shared" si="25"/>
        <v>0.33434447074671086</v>
      </c>
      <c r="CG47" s="97">
        <f t="shared" si="25"/>
        <v>0.33227174748571964</v>
      </c>
      <c r="CH47" s="97">
        <f t="shared" si="25"/>
        <v>0.32722057672574817</v>
      </c>
      <c r="CI47" s="97">
        <f t="shared" si="25"/>
        <v>0.31707404989363991</v>
      </c>
      <c r="CJ47" s="97">
        <f t="shared" si="25"/>
        <v>0.30072151680690312</v>
      </c>
      <c r="CK47" s="97">
        <f t="shared" si="25"/>
        <v>0.27847770758684104</v>
      </c>
      <c r="CL47" s="97">
        <f t="shared" si="25"/>
        <v>0.25183494630027015</v>
      </c>
      <c r="CM47" s="97">
        <f t="shared" si="25"/>
        <v>0.22289096749489931</v>
      </c>
      <c r="CN47" s="97">
        <f t="shared" si="25"/>
        <v>0.19382787026324164</v>
      </c>
      <c r="CO47" s="97">
        <f t="shared" si="25"/>
        <v>0.16659877084968733</v>
      </c>
      <c r="CP47" s="97">
        <f t="shared" si="25"/>
        <v>0.14275170276677568</v>
      </c>
      <c r="CQ47" s="97">
        <f t="shared" si="25"/>
        <v>0.12326373723007307</v>
      </c>
      <c r="CR47" s="97">
        <f t="shared" si="24"/>
        <v>0.10836259503907526</v>
      </c>
      <c r="CS47" s="97">
        <f t="shared" si="24"/>
        <v>9.7439269635236012E-2</v>
      </c>
      <c r="CT47" s="97">
        <f t="shared" si="24"/>
        <v>8.9178465660072689E-2</v>
      </c>
      <c r="CU47" s="97">
        <f t="shared" si="24"/>
        <v>8.1934952893681828E-2</v>
      </c>
      <c r="CV47" s="97">
        <f t="shared" si="24"/>
        <v>7.4240211281506846E-2</v>
      </c>
      <c r="CW47" s="97">
        <f t="shared" si="23"/>
        <v>6.523692447157052E-2</v>
      </c>
      <c r="CX47" s="97">
        <f t="shared" si="23"/>
        <v>5.4865752539673698E-2</v>
      </c>
      <c r="CY47" s="97">
        <f t="shared" si="23"/>
        <v>4.3750164896064918E-2</v>
      </c>
      <c r="CZ47" s="97">
        <f t="shared" si="23"/>
        <v>3.2864988199764057E-2</v>
      </c>
      <c r="DA47" s="97">
        <f t="shared" si="23"/>
        <v>2.3153874243913256E-2</v>
      </c>
      <c r="DB47" s="97">
        <f t="shared" si="23"/>
        <v>1.5248309935019872E-2</v>
      </c>
      <c r="DC47" s="97">
        <f t="shared" si="23"/>
        <v>9.3622340705961319E-3</v>
      </c>
      <c r="DD47" s="97">
        <f t="shared" si="23"/>
        <v>5.3468285418819391E-3</v>
      </c>
      <c r="DE47" s="97">
        <f t="shared" si="23"/>
        <v>2.834351144026582E-3</v>
      </c>
      <c r="DF47" s="97">
        <f t="shared" si="23"/>
        <v>1.3918514699663373E-3</v>
      </c>
      <c r="DG47" s="97">
        <f t="shared" si="23"/>
        <v>6.3199535209878708E-4</v>
      </c>
      <c r="DH47" s="97">
        <f t="shared" si="23"/>
        <v>2.6490048968062752E-4</v>
      </c>
      <c r="DI47" s="97">
        <f t="shared" si="23"/>
        <v>1.0233866956366357E-4</v>
      </c>
      <c r="DJ47" s="97">
        <f t="shared" si="23"/>
        <v>3.6391819050008356E-5</v>
      </c>
      <c r="DK47" s="97">
        <f t="shared" si="22"/>
        <v>1.1897957236474075E-5</v>
      </c>
      <c r="DL47" s="97">
        <f t="shared" si="22"/>
        <v>3.5728805740766626E-6</v>
      </c>
    </row>
    <row r="48" spans="1:116" x14ac:dyDescent="0.25">
      <c r="A48" s="60">
        <v>5.0999999999999996</v>
      </c>
      <c r="B48" s="25">
        <v>3.8</v>
      </c>
      <c r="C48" s="25">
        <v>1.6</v>
      </c>
      <c r="D48" s="57">
        <v>0.2</v>
      </c>
      <c r="E48" s="82" t="s">
        <v>5</v>
      </c>
      <c r="L48" s="97" cm="1">
        <f t="array" ref="L48">EstymacjaGaussowska($O48,$D$2:$D$51,H$9)</f>
        <v>4.7027414898767786E-104</v>
      </c>
      <c r="M48" s="97" cm="1">
        <f t="array" ref="M48">EstymacjaGaussowska($O48,$D$52:$D$101,I$9)</f>
        <v>0.34439375430880276</v>
      </c>
      <c r="N48" s="97" cm="1">
        <f t="array" ref="N48">EstymacjaGaussowska($O48,$D$102:$D$151,J$9)</f>
        <v>0.81239295460799099</v>
      </c>
      <c r="O48" s="97">
        <v>1.71000000000001</v>
      </c>
      <c r="P48" s="97">
        <f t="shared" si="29"/>
        <v>8.6896962745419728E-41</v>
      </c>
      <c r="Q48" s="97">
        <f t="shared" si="29"/>
        <v>8.3375528893763253E-39</v>
      </c>
      <c r="R48" s="97">
        <f t="shared" si="29"/>
        <v>7.0713791542035665E-37</v>
      </c>
      <c r="S48" s="97">
        <f t="shared" si="29"/>
        <v>5.3015292931041445E-35</v>
      </c>
      <c r="T48" s="97">
        <f t="shared" si="29"/>
        <v>3.5134172541624632E-33</v>
      </c>
      <c r="U48" s="97">
        <f t="shared" si="29"/>
        <v>2.0582106566212008E-31</v>
      </c>
      <c r="V48" s="97">
        <f t="shared" si="29"/>
        <v>1.0658140777096642E-29</v>
      </c>
      <c r="W48" s="97">
        <f t="shared" si="29"/>
        <v>4.8787058371515987E-28</v>
      </c>
      <c r="X48" s="97">
        <f t="shared" si="29"/>
        <v>1.974055627470404E-26</v>
      </c>
      <c r="Y48" s="97">
        <f t="shared" si="29"/>
        <v>7.0606673012414175E-25</v>
      </c>
      <c r="Z48" s="97">
        <f t="shared" si="29"/>
        <v>2.2323576381627004E-23</v>
      </c>
      <c r="AA48" s="97">
        <f t="shared" si="29"/>
        <v>6.2389793542953845E-22</v>
      </c>
      <c r="AB48" s="97">
        <f t="shared" si="29"/>
        <v>1.5413285233045131E-20</v>
      </c>
      <c r="AC48" s="97">
        <f t="shared" si="29"/>
        <v>3.3659603466622471E-19</v>
      </c>
      <c r="AD48" s="97">
        <f t="shared" si="29"/>
        <v>6.49763394695021E-18</v>
      </c>
      <c r="AE48" s="97">
        <f t="shared" si="29"/>
        <v>1.108752246514209E-16</v>
      </c>
      <c r="AF48" s="97">
        <f t="shared" si="27"/>
        <v>1.6724290405293213E-15</v>
      </c>
      <c r="AG48" s="97">
        <f t="shared" si="27"/>
        <v>2.2299556032851836E-14</v>
      </c>
      <c r="AH48" s="97">
        <f t="shared" si="27"/>
        <v>2.628344619459814E-13</v>
      </c>
      <c r="AI48" s="97">
        <f t="shared" si="27"/>
        <v>2.7384797973918815E-12</v>
      </c>
      <c r="AJ48" s="97">
        <f t="shared" si="27"/>
        <v>2.5222236097201786E-11</v>
      </c>
      <c r="AK48" s="97">
        <f t="shared" si="27"/>
        <v>2.0535886450016998E-10</v>
      </c>
      <c r="AL48" s="97">
        <f t="shared" si="27"/>
        <v>1.4781328474696963E-9</v>
      </c>
      <c r="AM48" s="97">
        <f t="shared" si="27"/>
        <v>9.4060309581266946E-9</v>
      </c>
      <c r="AN48" s="97">
        <f t="shared" si="27"/>
        <v>5.2921054071223651E-8</v>
      </c>
      <c r="AO48" s="97">
        <f t="shared" si="27"/>
        <v>2.6329180584134867E-7</v>
      </c>
      <c r="AP48" s="97">
        <f t="shared" si="27"/>
        <v>1.1585763921558347E-6</v>
      </c>
      <c r="AQ48" s="97">
        <f t="shared" si="27"/>
        <v>4.5106215242367713E-6</v>
      </c>
      <c r="AR48" s="97">
        <f t="shared" si="27"/>
        <v>1.5545494469059828E-5</v>
      </c>
      <c r="AS48" s="97">
        <f t="shared" si="27"/>
        <v>4.746764990106997E-5</v>
      </c>
      <c r="AT48" s="97">
        <f t="shared" si="27"/>
        <v>1.2858780077175939E-4</v>
      </c>
      <c r="AU48" s="97">
        <f t="shared" ref="AU48:BJ63" si="31">$H$2*$L48*AU$1+$I$2*$M48*AU$2+$J$2*$N48*AU$3</f>
        <v>3.096921300893794E-4</v>
      </c>
      <c r="AV48" s="97">
        <f t="shared" si="31"/>
        <v>6.6530732812759266E-4</v>
      </c>
      <c r="AW48" s="97">
        <f t="shared" si="31"/>
        <v>1.281357293912148E-3</v>
      </c>
      <c r="AX48" s="97">
        <f t="shared" si="31"/>
        <v>2.2291016493293744E-3</v>
      </c>
      <c r="AY48" s="97">
        <f t="shared" si="31"/>
        <v>3.5399111244741864E-3</v>
      </c>
      <c r="AZ48" s="97">
        <f t="shared" si="31"/>
        <v>5.202686596555553E-3</v>
      </c>
      <c r="BA48" s="97">
        <f t="shared" si="31"/>
        <v>7.1894217603125357E-3</v>
      </c>
      <c r="BB48" s="97">
        <f t="shared" si="31"/>
        <v>9.4831863448670128E-3</v>
      </c>
      <c r="BC48" s="97">
        <f t="shared" si="31"/>
        <v>1.2073492604878052E-2</v>
      </c>
      <c r="BD48" s="97">
        <f t="shared" si="31"/>
        <v>1.4919700149063774E-2</v>
      </c>
      <c r="BE48" s="97">
        <f t="shared" si="31"/>
        <v>1.7932589986043065E-2</v>
      </c>
      <c r="BF48" s="97">
        <f t="shared" si="31"/>
        <v>2.1028062128806511E-2</v>
      </c>
      <c r="BG48" s="97">
        <f t="shared" si="31"/>
        <v>2.4247082818558269E-2</v>
      </c>
      <c r="BH48" s="97">
        <f t="shared" si="31"/>
        <v>2.7859012034226957E-2</v>
      </c>
      <c r="BI48" s="97">
        <f t="shared" si="31"/>
        <v>3.2337585131299522E-2</v>
      </c>
      <c r="BJ48" s="97">
        <f t="shared" si="31"/>
        <v>3.8157848558906443E-2</v>
      </c>
      <c r="BK48" s="97">
        <f t="shared" si="30"/>
        <v>4.5494479220382238E-2</v>
      </c>
      <c r="BL48" s="97">
        <f t="shared" si="30"/>
        <v>5.4026174595386584E-2</v>
      </c>
      <c r="BM48" s="97">
        <f t="shared" si="30"/>
        <v>6.3044338129155789E-2</v>
      </c>
      <c r="BN48" s="97">
        <f t="shared" si="30"/>
        <v>7.1872651094452955E-2</v>
      </c>
      <c r="BO48" s="97">
        <f t="shared" si="28"/>
        <v>8.0346393514205292E-2</v>
      </c>
      <c r="BP48" s="97">
        <f t="shared" si="28"/>
        <v>8.9007026784270388E-2</v>
      </c>
      <c r="BQ48" s="97">
        <f t="shared" si="28"/>
        <v>9.8860092056410179E-2</v>
      </c>
      <c r="BR48" s="97">
        <f t="shared" si="28"/>
        <v>0.11088269376895558</v>
      </c>
      <c r="BS48" s="97">
        <f t="shared" si="28"/>
        <v>0.12565092697134606</v>
      </c>
      <c r="BT48" s="97">
        <f t="shared" si="28"/>
        <v>0.14330985299944954</v>
      </c>
      <c r="BU48" s="97">
        <f t="shared" si="28"/>
        <v>0.16376248604618493</v>
      </c>
      <c r="BV48" s="97">
        <f t="shared" si="28"/>
        <v>0.18674575196165411</v>
      </c>
      <c r="BW48" s="97">
        <f t="shared" si="28"/>
        <v>0.21160351946582298</v>
      </c>
      <c r="BX48" s="97">
        <f t="shared" si="28"/>
        <v>0.23693121924370508</v>
      </c>
      <c r="BY48" s="97">
        <f t="shared" si="28"/>
        <v>0.26050561145765605</v>
      </c>
      <c r="BZ48" s="97">
        <f t="shared" si="28"/>
        <v>0.27978899109282407</v>
      </c>
      <c r="CA48" s="97">
        <f t="shared" si="26"/>
        <v>0.2928826612999309</v>
      </c>
      <c r="CB48" s="97">
        <f t="shared" si="26"/>
        <v>0.29940822585550991</v>
      </c>
      <c r="CC48" s="97">
        <f t="shared" si="25"/>
        <v>0.30072624232442169</v>
      </c>
      <c r="CD48" s="97">
        <f t="shared" si="25"/>
        <v>0.29925274596961238</v>
      </c>
      <c r="CE48" s="97">
        <f t="shared" si="25"/>
        <v>0.29719807450522123</v>
      </c>
      <c r="CF48" s="97">
        <f t="shared" si="25"/>
        <v>0.29544145117428022</v>
      </c>
      <c r="CG48" s="97">
        <f t="shared" si="25"/>
        <v>0.29318003896011591</v>
      </c>
      <c r="CH48" s="97">
        <f t="shared" si="25"/>
        <v>0.28849832745915704</v>
      </c>
      <c r="CI48" s="97">
        <f t="shared" si="25"/>
        <v>0.2794479266319409</v>
      </c>
      <c r="CJ48" s="97">
        <f t="shared" si="25"/>
        <v>0.26499263720664612</v>
      </c>
      <c r="CK48" s="97">
        <f t="shared" si="25"/>
        <v>0.24537569710123938</v>
      </c>
      <c r="CL48" s="97">
        <f t="shared" si="25"/>
        <v>0.22189467173427954</v>
      </c>
      <c r="CM48" s="97">
        <f t="shared" si="25"/>
        <v>0.19639026842750767</v>
      </c>
      <c r="CN48" s="97">
        <f t="shared" si="25"/>
        <v>0.17078223877605797</v>
      </c>
      <c r="CO48" s="97">
        <f t="shared" si="25"/>
        <v>0.14679051561253895</v>
      </c>
      <c r="CP48" s="97">
        <f t="shared" si="25"/>
        <v>0.12577879604278641</v>
      </c>
      <c r="CQ48" s="97">
        <f t="shared" si="25"/>
        <v>0.10860790902350349</v>
      </c>
      <c r="CR48" s="97">
        <f t="shared" si="24"/>
        <v>9.5478484211354936E-2</v>
      </c>
      <c r="CS48" s="97">
        <f t="shared" si="24"/>
        <v>8.5853921774041761E-2</v>
      </c>
      <c r="CT48" s="97">
        <f t="shared" si="24"/>
        <v>7.8575312009563664E-2</v>
      </c>
      <c r="CU48" s="97">
        <f t="shared" si="24"/>
        <v>7.2193039433227538E-2</v>
      </c>
      <c r="CV48" s="97">
        <f t="shared" si="24"/>
        <v>6.5413188282673382E-2</v>
      </c>
      <c r="CW48" s="97">
        <f t="shared" si="23"/>
        <v>5.7480375523979187E-2</v>
      </c>
      <c r="CX48" s="97">
        <f t="shared" si="23"/>
        <v>4.8342316639412589E-2</v>
      </c>
      <c r="CY48" s="97">
        <f t="shared" si="23"/>
        <v>3.8548351686285995E-2</v>
      </c>
      <c r="CZ48" s="97">
        <f t="shared" si="23"/>
        <v>2.895740224750773E-2</v>
      </c>
      <c r="DA48" s="97">
        <f t="shared" si="23"/>
        <v>2.0400921673661775E-2</v>
      </c>
      <c r="DB48" s="97">
        <f t="shared" si="23"/>
        <v>1.3435314252941338E-2</v>
      </c>
      <c r="DC48" s="97">
        <f t="shared" si="23"/>
        <v>8.2490818578635668E-3</v>
      </c>
      <c r="DD48" s="97">
        <f t="shared" si="23"/>
        <v>4.7111005759266356E-3</v>
      </c>
      <c r="DE48" s="97">
        <f t="shared" si="23"/>
        <v>2.4973520662590924E-3</v>
      </c>
      <c r="DF48" s="97">
        <f t="shared" si="23"/>
        <v>1.226362919700957E-3</v>
      </c>
      <c r="DG48" s="97">
        <f t="shared" si="23"/>
        <v>5.568522805497689E-4</v>
      </c>
      <c r="DH48" s="97">
        <f t="shared" si="23"/>
        <v>2.3340431430000553E-4</v>
      </c>
      <c r="DI48" s="97">
        <f t="shared" si="23"/>
        <v>9.0170792151723867E-5</v>
      </c>
      <c r="DJ48" s="97">
        <f t="shared" si="23"/>
        <v>3.2064899471260789E-5</v>
      </c>
      <c r="DK48" s="97">
        <f t="shared" si="22"/>
        <v>1.0483312256984127E-5</v>
      </c>
      <c r="DL48" s="97">
        <f t="shared" si="22"/>
        <v>3.1480717210964044E-6</v>
      </c>
    </row>
    <row r="49" spans="1:116" x14ac:dyDescent="0.25">
      <c r="A49" s="60">
        <v>4.5999999999999996</v>
      </c>
      <c r="B49" s="25">
        <v>3.2</v>
      </c>
      <c r="C49" s="25">
        <v>1.4</v>
      </c>
      <c r="D49" s="57">
        <v>0.2</v>
      </c>
      <c r="E49" s="82" t="s">
        <v>5</v>
      </c>
      <c r="L49" s="97" cm="1">
        <f t="array" ref="L49">EstymacjaGaussowska($O49,$D$2:$D$51,H$9)</f>
        <v>1.3777012396239865E-98</v>
      </c>
      <c r="M49" s="97" cm="1">
        <f t="array" ref="M49">EstymacjaGaussowska($O49,$D$52:$D$101,I$9)</f>
        <v>0.4471123484355336</v>
      </c>
      <c r="N49" s="97" cm="1">
        <f t="array" ref="N49">EstymacjaGaussowska($O49,$D$102:$D$151,J$9)</f>
        <v>0.70216608937465552</v>
      </c>
      <c r="O49" s="97">
        <v>1.6800000000000099</v>
      </c>
      <c r="P49" s="97">
        <f t="shared" si="29"/>
        <v>1.128147784299891E-40</v>
      </c>
      <c r="Q49" s="97">
        <f t="shared" si="29"/>
        <v>1.0824304465266065E-38</v>
      </c>
      <c r="R49" s="97">
        <f t="shared" si="29"/>
        <v>9.1804828071274358E-37</v>
      </c>
      <c r="S49" s="97">
        <f t="shared" si="29"/>
        <v>6.8827590015298412E-35</v>
      </c>
      <c r="T49" s="97">
        <f t="shared" si="29"/>
        <v>4.5613261561472824E-33</v>
      </c>
      <c r="U49" s="97">
        <f t="shared" si="29"/>
        <v>2.6720908516587028E-31</v>
      </c>
      <c r="V49" s="97">
        <f t="shared" si="29"/>
        <v>1.3837028962294391E-29</v>
      </c>
      <c r="W49" s="97">
        <f t="shared" si="29"/>
        <v>6.3338245740051806E-28</v>
      </c>
      <c r="X49" s="97">
        <f t="shared" si="29"/>
        <v>2.5628358136520164E-26</v>
      </c>
      <c r="Y49" s="97">
        <f t="shared" si="29"/>
        <v>9.1665760458285419E-25</v>
      </c>
      <c r="Z49" s="97">
        <f t="shared" si="29"/>
        <v>2.8981787667727581E-23</v>
      </c>
      <c r="AA49" s="97">
        <f t="shared" si="29"/>
        <v>8.0998121366584774E-22</v>
      </c>
      <c r="AB49" s="97">
        <f t="shared" si="29"/>
        <v>2.0010438840520494E-20</v>
      </c>
      <c r="AC49" s="97">
        <f t="shared" si="29"/>
        <v>4.369888874313343E-19</v>
      </c>
      <c r="AD49" s="97">
        <f t="shared" si="29"/>
        <v>8.4356128325440335E-18</v>
      </c>
      <c r="AE49" s="97">
        <f t="shared" si="29"/>
        <v>1.4394477674750056E-16</v>
      </c>
      <c r="AF49" s="97">
        <f t="shared" si="27"/>
        <v>2.1712463322791976E-15</v>
      </c>
      <c r="AG49" s="97">
        <f t="shared" si="27"/>
        <v>2.8950603029746384E-14</v>
      </c>
      <c r="AH49" s="97">
        <f t="shared" si="27"/>
        <v>3.4122724950779954E-13</v>
      </c>
      <c r="AI49" s="97">
        <f t="shared" si="27"/>
        <v>3.5552564993884162E-12</v>
      </c>
      <c r="AJ49" s="97">
        <f t="shared" si="27"/>
        <v>3.2744999214194903E-11</v>
      </c>
      <c r="AK49" s="97">
        <f t="shared" si="27"/>
        <v>2.6660902827057642E-10</v>
      </c>
      <c r="AL49" s="97">
        <f t="shared" si="27"/>
        <v>1.9189995186128893E-9</v>
      </c>
      <c r="AM49" s="97">
        <f t="shared" si="27"/>
        <v>1.2211465912283715E-8</v>
      </c>
      <c r="AN49" s="97">
        <f t="shared" si="27"/>
        <v>6.8705243551694277E-8</v>
      </c>
      <c r="AO49" s="97">
        <f t="shared" si="27"/>
        <v>3.4182100041222711E-7</v>
      </c>
      <c r="AP49" s="97">
        <f t="shared" si="27"/>
        <v>1.504132421269984E-6</v>
      </c>
      <c r="AQ49" s="97">
        <f t="shared" si="27"/>
        <v>5.8559557406984323E-6</v>
      </c>
      <c r="AR49" s="97">
        <f t="shared" si="27"/>
        <v>2.0182080693077851E-5</v>
      </c>
      <c r="AS49" s="97">
        <f t="shared" si="27"/>
        <v>6.1625311598842845E-5</v>
      </c>
      <c r="AT49" s="97">
        <f t="shared" si="27"/>
        <v>1.6694029105877652E-4</v>
      </c>
      <c r="AU49" s="97">
        <f t="shared" si="31"/>
        <v>4.0206064669585218E-4</v>
      </c>
      <c r="AV49" s="97">
        <f t="shared" si="31"/>
        <v>8.6374133729483292E-4</v>
      </c>
      <c r="AW49" s="97">
        <f t="shared" si="31"/>
        <v>1.6635338522629341E-3</v>
      </c>
      <c r="AX49" s="97">
        <f t="shared" si="31"/>
        <v>2.8939516479702387E-3</v>
      </c>
      <c r="AY49" s="97">
        <f t="shared" si="31"/>
        <v>4.5957220559700437E-3</v>
      </c>
      <c r="AZ49" s="97">
        <f t="shared" si="31"/>
        <v>6.754435499646801E-3</v>
      </c>
      <c r="BA49" s="97">
        <f t="shared" si="31"/>
        <v>9.3337323219861365E-3</v>
      </c>
      <c r="BB49" s="97">
        <f t="shared" si="31"/>
        <v>1.2311631563644699E-2</v>
      </c>
      <c r="BC49" s="97">
        <f t="shared" si="31"/>
        <v>1.5674512475549914E-2</v>
      </c>
      <c r="BD49" s="97">
        <f t="shared" si="31"/>
        <v>1.9369592820647045E-2</v>
      </c>
      <c r="BE49" s="97">
        <f t="shared" si="31"/>
        <v>2.3280966284891132E-2</v>
      </c>
      <c r="BF49" s="97">
        <f t="shared" si="31"/>
        <v>2.7299187691098851E-2</v>
      </c>
      <c r="BG49" s="97">
        <f t="shared" si="31"/>
        <v>3.1476638245528973E-2</v>
      </c>
      <c r="BH49" s="97">
        <f t="shared" si="31"/>
        <v>3.6160790517287218E-2</v>
      </c>
      <c r="BI49" s="97">
        <f t="shared" si="31"/>
        <v>4.1961121866746692E-2</v>
      </c>
      <c r="BJ49" s="97">
        <f t="shared" si="31"/>
        <v>4.9481915111098528E-2</v>
      </c>
      <c r="BK49" s="97">
        <f t="shared" si="30"/>
        <v>5.8924896265968155E-2</v>
      </c>
      <c r="BL49" s="97">
        <f t="shared" si="30"/>
        <v>6.9827701393637295E-2</v>
      </c>
      <c r="BM49" s="97">
        <f t="shared" si="30"/>
        <v>8.1196871099729978E-2</v>
      </c>
      <c r="BN49" s="97">
        <f t="shared" si="30"/>
        <v>9.2045768880026912E-2</v>
      </c>
      <c r="BO49" s="97">
        <f t="shared" si="28"/>
        <v>0.1020117248311951</v>
      </c>
      <c r="BP49" s="97">
        <f t="shared" si="28"/>
        <v>0.11160208097297579</v>
      </c>
      <c r="BQ49" s="97">
        <f t="shared" si="28"/>
        <v>0.12186698619728623</v>
      </c>
      <c r="BR49" s="97">
        <f t="shared" si="28"/>
        <v>0.13374193330848094</v>
      </c>
      <c r="BS49" s="97">
        <f t="shared" si="28"/>
        <v>0.14755851519601632</v>
      </c>
      <c r="BT49" s="97">
        <f t="shared" si="28"/>
        <v>0.16304792575560401</v>
      </c>
      <c r="BU49" s="97">
        <f t="shared" si="28"/>
        <v>0.17971107967637573</v>
      </c>
      <c r="BV49" s="97">
        <f t="shared" si="28"/>
        <v>0.19712106296970353</v>
      </c>
      <c r="BW49" s="97">
        <f t="shared" si="28"/>
        <v>0.21484229243898789</v>
      </c>
      <c r="BX49" s="97">
        <f t="shared" si="28"/>
        <v>0.23206950564347961</v>
      </c>
      <c r="BY49" s="97">
        <f t="shared" si="28"/>
        <v>0.24740829428352168</v>
      </c>
      <c r="BZ49" s="97">
        <f t="shared" si="28"/>
        <v>0.25915136554771701</v>
      </c>
      <c r="CA49" s="97">
        <f t="shared" si="26"/>
        <v>0.26601139275369728</v>
      </c>
      <c r="CB49" s="97">
        <f t="shared" si="26"/>
        <v>0.26786729597414527</v>
      </c>
      <c r="CC49" s="97">
        <f t="shared" si="25"/>
        <v>0.26598008179936916</v>
      </c>
      <c r="CD49" s="97">
        <f t="shared" si="25"/>
        <v>0.26243426715884455</v>
      </c>
      <c r="CE49" s="97">
        <f t="shared" si="25"/>
        <v>0.25907007580080726</v>
      </c>
      <c r="CF49" s="97">
        <f t="shared" si="25"/>
        <v>0.25652892474653971</v>
      </c>
      <c r="CG49" s="97">
        <f t="shared" si="25"/>
        <v>0.25397356030588475</v>
      </c>
      <c r="CH49" s="97">
        <f t="shared" si="25"/>
        <v>0.24960797130771009</v>
      </c>
      <c r="CI49" s="97">
        <f t="shared" si="25"/>
        <v>0.24163328520099703</v>
      </c>
      <c r="CJ49" s="97">
        <f t="shared" si="25"/>
        <v>0.22907436336388759</v>
      </c>
      <c r="CK49" s="97">
        <f t="shared" si="25"/>
        <v>0.21209439859140508</v>
      </c>
      <c r="CL49" s="97">
        <f t="shared" si="25"/>
        <v>0.19179098111559739</v>
      </c>
      <c r="CM49" s="97">
        <f t="shared" si="25"/>
        <v>0.16974456017304834</v>
      </c>
      <c r="CN49" s="97">
        <f t="shared" si="25"/>
        <v>0.14761040819826043</v>
      </c>
      <c r="CO49" s="97">
        <f t="shared" si="25"/>
        <v>0.12687376702448747</v>
      </c>
      <c r="CP49" s="97">
        <f t="shared" si="25"/>
        <v>0.10871292102809484</v>
      </c>
      <c r="CQ49" s="97">
        <f t="shared" si="25"/>
        <v>9.3871803345453905E-2</v>
      </c>
      <c r="CR49" s="97">
        <f t="shared" si="24"/>
        <v>8.2523800369978195E-2</v>
      </c>
      <c r="CS49" s="97">
        <f t="shared" si="24"/>
        <v>7.4205114881759043E-2</v>
      </c>
      <c r="CT49" s="97">
        <f t="shared" si="24"/>
        <v>6.7914079318393411E-2</v>
      </c>
      <c r="CU49" s="97">
        <f t="shared" si="24"/>
        <v>6.2397764396586917E-2</v>
      </c>
      <c r="CV49" s="97">
        <f t="shared" si="24"/>
        <v>5.6537815043154215E-2</v>
      </c>
      <c r="CW49" s="97">
        <f t="shared" si="23"/>
        <v>4.9681339884263084E-2</v>
      </c>
      <c r="CX49" s="97">
        <f t="shared" si="23"/>
        <v>4.1783148454785812E-2</v>
      </c>
      <c r="CY49" s="97">
        <f t="shared" si="23"/>
        <v>3.3318045413699246E-2</v>
      </c>
      <c r="CZ49" s="97">
        <f t="shared" si="23"/>
        <v>2.5028412394827729E-2</v>
      </c>
      <c r="DA49" s="97">
        <f t="shared" si="23"/>
        <v>1.7632889736403479E-2</v>
      </c>
      <c r="DB49" s="97">
        <f t="shared" si="23"/>
        <v>1.1612387841373577E-2</v>
      </c>
      <c r="DC49" s="97">
        <f t="shared" si="23"/>
        <v>7.1298323258630883E-3</v>
      </c>
      <c r="DD49" s="97">
        <f t="shared" si="23"/>
        <v>4.0718903940338957E-3</v>
      </c>
      <c r="DE49" s="97">
        <f t="shared" si="23"/>
        <v>2.1585070675594628E-3</v>
      </c>
      <c r="DF49" s="97">
        <f t="shared" si="23"/>
        <v>1.0599679017354634E-3</v>
      </c>
      <c r="DG49" s="97">
        <f t="shared" si="23"/>
        <v>4.8129761093467725E-4</v>
      </c>
      <c r="DH49" s="97">
        <f t="shared" si="23"/>
        <v>2.017356178258464E-4</v>
      </c>
      <c r="DI49" s="97">
        <f t="shared" si="23"/>
        <v>7.7936264884944186E-5</v>
      </c>
      <c r="DJ49" s="97">
        <f t="shared" si="23"/>
        <v>2.7714279081594073E-5</v>
      </c>
      <c r="DK49" s="97">
        <f t="shared" si="22"/>
        <v>9.0609185240065253E-6</v>
      </c>
      <c r="DL49" s="97">
        <f t="shared" si="22"/>
        <v>2.7209359669297414E-6</v>
      </c>
    </row>
    <row r="50" spans="1:116" x14ac:dyDescent="0.25">
      <c r="A50" s="60">
        <v>5.3</v>
      </c>
      <c r="B50" s="25">
        <v>3.7</v>
      </c>
      <c r="C50" s="25">
        <v>1.5</v>
      </c>
      <c r="D50" s="57">
        <v>0.2</v>
      </c>
      <c r="E50" s="82" t="s">
        <v>5</v>
      </c>
      <c r="L50" s="97" cm="1">
        <f t="array" ref="L50">EstymacjaGaussowska($O50,$D$2:$D$51,H$9)</f>
        <v>2.8587984743663386E-93</v>
      </c>
      <c r="M50" s="97" cm="1">
        <f t="array" ref="M50">EstymacjaGaussowska($O50,$D$52:$D$101,I$9)</f>
        <v>0.58056059652747039</v>
      </c>
      <c r="N50" s="97" cm="1">
        <f t="array" ref="N50">EstymacjaGaussowska($O50,$D$102:$D$151,J$9)</f>
        <v>0.59894830267403176</v>
      </c>
      <c r="O50" s="97">
        <v>1.6500000000000099</v>
      </c>
      <c r="P50" s="97">
        <f t="shared" si="29"/>
        <v>1.4648625852451112E-40</v>
      </c>
      <c r="Q50" s="97">
        <f t="shared" si="29"/>
        <v>1.4055001342142314E-38</v>
      </c>
      <c r="R50" s="97">
        <f t="shared" si="29"/>
        <v>1.1920553287256313E-36</v>
      </c>
      <c r="S50" s="97">
        <f t="shared" si="29"/>
        <v>8.937034921233268E-35</v>
      </c>
      <c r="T50" s="97">
        <f t="shared" si="29"/>
        <v>5.922731151208714E-33</v>
      </c>
      <c r="U50" s="97">
        <f t="shared" si="29"/>
        <v>3.4696215934153448E-31</v>
      </c>
      <c r="V50" s="97">
        <f t="shared" si="29"/>
        <v>1.7966924457859787E-29</v>
      </c>
      <c r="W50" s="97">
        <f t="shared" si="29"/>
        <v>8.2242617226998522E-28</v>
      </c>
      <c r="X50" s="97">
        <f t="shared" si="29"/>
        <v>3.3277575400946642E-26</v>
      </c>
      <c r="Y50" s="97">
        <f t="shared" si="29"/>
        <v>1.1902495817665725E-24</v>
      </c>
      <c r="Z50" s="97">
        <f t="shared" si="29"/>
        <v>3.7631892734974191E-23</v>
      </c>
      <c r="AA50" s="97">
        <f t="shared" si="29"/>
        <v>1.0517338164049623E-21</v>
      </c>
      <c r="AB50" s="97">
        <f t="shared" si="29"/>
        <v>2.5982893003690021E-20</v>
      </c>
      <c r="AC50" s="97">
        <f t="shared" si="29"/>
        <v>5.67415617239635E-19</v>
      </c>
      <c r="AD50" s="97">
        <f t="shared" si="29"/>
        <v>1.095336426129298E-17</v>
      </c>
      <c r="AE50" s="97">
        <f t="shared" si="29"/>
        <v>1.8690753173772323E-16</v>
      </c>
      <c r="AF50" s="97">
        <f t="shared" si="27"/>
        <v>2.8192915500696413E-15</v>
      </c>
      <c r="AG50" s="97">
        <f t="shared" si="27"/>
        <v>3.7591400513964855E-14</v>
      </c>
      <c r="AH50" s="97">
        <f t="shared" si="27"/>
        <v>4.430722976425227E-13</v>
      </c>
      <c r="AI50" s="97">
        <f t="shared" si="27"/>
        <v>4.6163829769302529E-12</v>
      </c>
      <c r="AJ50" s="97">
        <f t="shared" si="27"/>
        <v>4.2518298462574319E-11</v>
      </c>
      <c r="AK50" s="97">
        <f t="shared" si="27"/>
        <v>3.4618300530944117E-10</v>
      </c>
      <c r="AL50" s="97">
        <f t="shared" si="27"/>
        <v>2.4917574054040293E-9</v>
      </c>
      <c r="AM50" s="97">
        <f t="shared" si="27"/>
        <v>1.585618460173773E-8</v>
      </c>
      <c r="AN50" s="97">
        <f t="shared" si="27"/>
        <v>8.9211486375863068E-8</v>
      </c>
      <c r="AO50" s="97">
        <f t="shared" si="27"/>
        <v>4.4384326355404162E-7</v>
      </c>
      <c r="AP50" s="97">
        <f t="shared" si="27"/>
        <v>1.9530662009320761E-6</v>
      </c>
      <c r="AQ50" s="97">
        <f t="shared" si="27"/>
        <v>7.6037648478153717E-6</v>
      </c>
      <c r="AR50" s="97">
        <f t="shared" si="27"/>
        <v>2.6205764272304491E-5</v>
      </c>
      <c r="AS50" s="97">
        <f t="shared" si="27"/>
        <v>8.0018428898670721E-5</v>
      </c>
      <c r="AT50" s="97">
        <f t="shared" si="27"/>
        <v>2.167664465107665E-4</v>
      </c>
      <c r="AU50" s="97">
        <f t="shared" si="31"/>
        <v>5.2206245186859203E-4</v>
      </c>
      <c r="AV50" s="97">
        <f t="shared" si="31"/>
        <v>1.1215395588400115E-3</v>
      </c>
      <c r="AW50" s="97">
        <f t="shared" si="31"/>
        <v>2.1600436868213111E-3</v>
      </c>
      <c r="AX50" s="97">
        <f t="shared" si="31"/>
        <v>3.7577004982516193E-3</v>
      </c>
      <c r="AY50" s="97">
        <f t="shared" si="31"/>
        <v>5.967393080488311E-3</v>
      </c>
      <c r="AZ50" s="97">
        <f t="shared" si="31"/>
        <v>8.7704110405347809E-3</v>
      </c>
      <c r="BA50" s="97">
        <f t="shared" si="31"/>
        <v>1.211954237601745E-2</v>
      </c>
      <c r="BB50" s="97">
        <f t="shared" si="31"/>
        <v>1.5986244579991933E-2</v>
      </c>
      <c r="BC50" s="97">
        <f t="shared" si="31"/>
        <v>2.0352827179326832E-2</v>
      </c>
      <c r="BD50" s="97">
        <f t="shared" si="31"/>
        <v>2.515073601663945E-2</v>
      </c>
      <c r="BE50" s="97">
        <f t="shared" si="31"/>
        <v>3.0229402309221429E-2</v>
      </c>
      <c r="BF50" s="97">
        <f t="shared" si="31"/>
        <v>3.5446483005102405E-2</v>
      </c>
      <c r="BG50" s="97">
        <f t="shared" si="31"/>
        <v>4.0869280361971932E-2</v>
      </c>
      <c r="BH50" s="97">
        <f t="shared" si="31"/>
        <v>4.6947000509478261E-2</v>
      </c>
      <c r="BI50" s="97">
        <f t="shared" si="31"/>
        <v>5.4466101804649912E-2</v>
      </c>
      <c r="BJ50" s="97">
        <f t="shared" si="31"/>
        <v>6.4200178415217302E-2</v>
      </c>
      <c r="BK50" s="97">
        <f t="shared" si="30"/>
        <v>7.6388938798573808E-2</v>
      </c>
      <c r="BL50" s="97">
        <f t="shared" si="30"/>
        <v>9.0391887276973559E-2</v>
      </c>
      <c r="BM50" s="97">
        <f t="shared" si="30"/>
        <v>0.10485381959115873</v>
      </c>
      <c r="BN50" s="97">
        <f t="shared" si="30"/>
        <v>0.11839726334960776</v>
      </c>
      <c r="BO50" s="97">
        <f t="shared" si="28"/>
        <v>0.13041925896165643</v>
      </c>
      <c r="BP50" s="97">
        <f t="shared" si="28"/>
        <v>0.14140500898702854</v>
      </c>
      <c r="BQ50" s="97">
        <f t="shared" si="28"/>
        <v>0.15249157232749463</v>
      </c>
      <c r="BR50" s="97">
        <f t="shared" si="28"/>
        <v>0.16459815596548791</v>
      </c>
      <c r="BS50" s="97">
        <f t="shared" si="28"/>
        <v>0.17778592549638633</v>
      </c>
      <c r="BT50" s="97">
        <f t="shared" si="28"/>
        <v>0.19130024260125922</v>
      </c>
      <c r="BU50" s="97">
        <f t="shared" si="28"/>
        <v>0.20416195518389094</v>
      </c>
      <c r="BV50" s="97">
        <f t="shared" si="28"/>
        <v>0.21574097803728393</v>
      </c>
      <c r="BW50" s="97">
        <f t="shared" si="28"/>
        <v>0.22584104435860408</v>
      </c>
      <c r="BX50" s="97">
        <f t="shared" si="28"/>
        <v>0.23431999872205084</v>
      </c>
      <c r="BY50" s="97">
        <f t="shared" si="28"/>
        <v>0.24069100154040485</v>
      </c>
      <c r="BZ50" s="97">
        <f t="shared" si="28"/>
        <v>0.2441455648264666</v>
      </c>
      <c r="CA50" s="97">
        <f t="shared" si="26"/>
        <v>0.24405705684608658</v>
      </c>
      <c r="CB50" s="97">
        <f t="shared" si="26"/>
        <v>0.2405967072309983</v>
      </c>
      <c r="CC50" s="97">
        <f t="shared" si="25"/>
        <v>0.23495350766920634</v>
      </c>
      <c r="CD50" s="97">
        <f t="shared" si="25"/>
        <v>0.22890061311619958</v>
      </c>
      <c r="CE50" s="97">
        <f t="shared" si="25"/>
        <v>0.22391416231567562</v>
      </c>
      <c r="CF50" s="97">
        <f t="shared" si="25"/>
        <v>0.22038333926782527</v>
      </c>
      <c r="CG50" s="97">
        <f t="shared" si="25"/>
        <v>0.21740292158315666</v>
      </c>
      <c r="CH50" s="97">
        <f t="shared" si="25"/>
        <v>0.2132537927720973</v>
      </c>
      <c r="CI50" s="97">
        <f t="shared" si="25"/>
        <v>0.20624845654229185</v>
      </c>
      <c r="CJ50" s="97">
        <f t="shared" si="25"/>
        <v>0.19544912244822538</v>
      </c>
      <c r="CK50" s="97">
        <f t="shared" si="25"/>
        <v>0.18093229908737624</v>
      </c>
      <c r="CL50" s="97">
        <f t="shared" si="25"/>
        <v>0.16360235371346821</v>
      </c>
      <c r="CM50" s="97">
        <f t="shared" si="25"/>
        <v>0.14479340681692829</v>
      </c>
      <c r="CN50" s="97">
        <f t="shared" si="25"/>
        <v>0.12591207099957347</v>
      </c>
      <c r="CO50" s="97">
        <f t="shared" si="25"/>
        <v>0.10822348956666805</v>
      </c>
      <c r="CP50" s="97">
        <f t="shared" si="25"/>
        <v>9.2732228407917158E-2</v>
      </c>
      <c r="CQ50" s="97">
        <f t="shared" si="25"/>
        <v>8.0072733778049313E-2</v>
      </c>
      <c r="CR50" s="97">
        <f t="shared" si="24"/>
        <v>7.0392875787419359E-2</v>
      </c>
      <c r="CS50" s="97">
        <f t="shared" si="24"/>
        <v>6.329702943426814E-2</v>
      </c>
      <c r="CT50" s="97">
        <f t="shared" si="24"/>
        <v>5.7930770444531328E-2</v>
      </c>
      <c r="CU50" s="97">
        <f t="shared" si="24"/>
        <v>5.3225348876471359E-2</v>
      </c>
      <c r="CV50" s="97">
        <f t="shared" si="24"/>
        <v>4.8226806833083641E-2</v>
      </c>
      <c r="CW50" s="97">
        <f t="shared" si="23"/>
        <v>4.237822738599268E-2</v>
      </c>
      <c r="CX50" s="97">
        <f t="shared" si="23"/>
        <v>3.5641063027778919E-2</v>
      </c>
      <c r="CY50" s="97">
        <f t="shared" si="23"/>
        <v>2.8420322557479196E-2</v>
      </c>
      <c r="CZ50" s="97">
        <f t="shared" si="23"/>
        <v>2.1349258173174394E-2</v>
      </c>
      <c r="DA50" s="97">
        <f t="shared" si="23"/>
        <v>1.5040870726558362E-2</v>
      </c>
      <c r="DB50" s="97">
        <f t="shared" si="23"/>
        <v>9.9053772217589427E-3</v>
      </c>
      <c r="DC50" s="97">
        <f t="shared" si="23"/>
        <v>6.0817533551489672E-3</v>
      </c>
      <c r="DD50" s="97">
        <f t="shared" si="23"/>
        <v>3.4733261504458603E-3</v>
      </c>
      <c r="DE50" s="97">
        <f t="shared" si="23"/>
        <v>1.8412084604883603E-3</v>
      </c>
      <c r="DF50" s="97">
        <f t="shared" si="23"/>
        <v>9.0415356884981164E-4</v>
      </c>
      <c r="DG50" s="97">
        <f t="shared" si="23"/>
        <v>4.1054729288781934E-4</v>
      </c>
      <c r="DH50" s="97">
        <f t="shared" si="23"/>
        <v>1.7208066255848035E-4</v>
      </c>
      <c r="DI50" s="97">
        <f t="shared" si="23"/>
        <v>6.6479703699681342E-5</v>
      </c>
      <c r="DJ50" s="97">
        <f t="shared" si="23"/>
        <v>2.3640304860832184E-5</v>
      </c>
      <c r="DK50" s="97">
        <f t="shared" si="22"/>
        <v>7.7289716104841676E-6</v>
      </c>
      <c r="DL50" s="97">
        <f t="shared" si="22"/>
        <v>2.3209608150241122E-6</v>
      </c>
    </row>
    <row r="51" spans="1:116" x14ac:dyDescent="0.25">
      <c r="A51" s="60">
        <v>5</v>
      </c>
      <c r="B51" s="25">
        <v>3.3</v>
      </c>
      <c r="C51" s="25">
        <v>1.4</v>
      </c>
      <c r="D51" s="57">
        <v>0.2</v>
      </c>
      <c r="E51" s="82" t="s">
        <v>5</v>
      </c>
      <c r="L51" s="97" cm="1">
        <f t="array" ref="L51">EstymacjaGaussowska($O51,$D$2:$D$51,H$9)</f>
        <v>4.2018116770226316E-88</v>
      </c>
      <c r="M51" s="97" cm="1">
        <f t="array" ref="M51">EstymacjaGaussowska($O51,$D$52:$D$101,I$9)</f>
        <v>0.74355778791559457</v>
      </c>
      <c r="N51" s="97" cm="1">
        <f t="array" ref="N51">EstymacjaGaussowska($O51,$D$102:$D$151,J$9)</f>
        <v>0.50824097546045066</v>
      </c>
      <c r="O51" s="97">
        <v>1.6200000000000101</v>
      </c>
      <c r="P51" s="97">
        <f t="shared" si="29"/>
        <v>1.8761348772205832E-40</v>
      </c>
      <c r="Q51" s="97">
        <f t="shared" si="29"/>
        <v>1.8001059268615998E-38</v>
      </c>
      <c r="R51" s="97">
        <f t="shared" si="29"/>
        <v>1.526734726059362E-36</v>
      </c>
      <c r="S51" s="97">
        <f t="shared" si="29"/>
        <v>1.1446181425856032E-34</v>
      </c>
      <c r="T51" s="97">
        <f t="shared" si="29"/>
        <v>7.5855869302062692E-33</v>
      </c>
      <c r="U51" s="97">
        <f t="shared" si="29"/>
        <v>4.4437465655353391E-31</v>
      </c>
      <c r="V51" s="97">
        <f t="shared" si="29"/>
        <v>2.301128716871278E-29</v>
      </c>
      <c r="W51" s="97">
        <f t="shared" si="29"/>
        <v>1.0533291253913487E-27</v>
      </c>
      <c r="X51" s="97">
        <f t="shared" si="29"/>
        <v>4.2620530053750363E-26</v>
      </c>
      <c r="Y51" s="97">
        <f t="shared" si="29"/>
        <v>1.524422000699694E-24</v>
      </c>
      <c r="Z51" s="97">
        <f t="shared" si="29"/>
        <v>4.81973580095878E-23</v>
      </c>
      <c r="AA51" s="97">
        <f t="shared" si="29"/>
        <v>1.3470167880487507E-21</v>
      </c>
      <c r="AB51" s="97">
        <f t="shared" si="29"/>
        <v>3.3277805212805512E-20</v>
      </c>
      <c r="AC51" s="97">
        <f t="shared" si="29"/>
        <v>7.2672224692311061E-19</v>
      </c>
      <c r="AD51" s="97">
        <f t="shared" si="29"/>
        <v>1.4028611912478233E-17</v>
      </c>
      <c r="AE51" s="97">
        <f t="shared" si="29"/>
        <v>2.3938336786018742E-16</v>
      </c>
      <c r="AF51" s="97">
        <f t="shared" si="27"/>
        <v>3.6108309812922679E-15</v>
      </c>
      <c r="AG51" s="97">
        <f t="shared" si="27"/>
        <v>4.8145497262472714E-14</v>
      </c>
      <c r="AH51" s="97">
        <f t="shared" si="27"/>
        <v>5.6746851145652201E-13</v>
      </c>
      <c r="AI51" s="97">
        <f t="shared" si="27"/>
        <v>5.9124706964762948E-12</v>
      </c>
      <c r="AJ51" s="97">
        <f t="shared" si="27"/>
        <v>5.4455662578317731E-11</v>
      </c>
      <c r="AK51" s="97">
        <f t="shared" si="27"/>
        <v>4.4337674857973401E-10</v>
      </c>
      <c r="AL51" s="97">
        <f t="shared" si="27"/>
        <v>3.191338915294184E-9</v>
      </c>
      <c r="AM51" s="97">
        <f t="shared" si="27"/>
        <v>2.0307939632433447E-8</v>
      </c>
      <c r="AN51" s="97">
        <f t="shared" si="27"/>
        <v>1.1425834936622367E-7</v>
      </c>
      <c r="AO51" s="97">
        <f t="shared" si="27"/>
        <v>5.6845593242714237E-7</v>
      </c>
      <c r="AP51" s="97">
        <f t="shared" si="27"/>
        <v>2.5014056977066128E-6</v>
      </c>
      <c r="AQ51" s="97">
        <f t="shared" si="27"/>
        <v>9.73858474703488E-6</v>
      </c>
      <c r="AR51" s="97">
        <f t="shared" si="27"/>
        <v>3.3563249434255128E-5</v>
      </c>
      <c r="AS51" s="97">
        <f t="shared" si="27"/>
        <v>1.0248426493331937E-4</v>
      </c>
      <c r="AT51" s="97">
        <f t="shared" si="27"/>
        <v>2.7762542002648163E-4</v>
      </c>
      <c r="AU51" s="97">
        <f t="shared" si="31"/>
        <v>6.6863580509252693E-4</v>
      </c>
      <c r="AV51" s="97">
        <f t="shared" si="31"/>
        <v>1.4364210702711132E-3</v>
      </c>
      <c r="AW51" s="97">
        <f t="shared" si="31"/>
        <v>2.7664938252778795E-3</v>
      </c>
      <c r="AX51" s="97">
        <f t="shared" si="31"/>
        <v>4.8127060055779547E-3</v>
      </c>
      <c r="AY51" s="97">
        <f t="shared" si="31"/>
        <v>7.6427880582255036E-3</v>
      </c>
      <c r="AZ51" s="97">
        <f t="shared" si="31"/>
        <v>1.1232776464142712E-2</v>
      </c>
      <c r="BA51" s="97">
        <f t="shared" si="31"/>
        <v>1.5522203903127757E-2</v>
      </c>
      <c r="BB51" s="97">
        <f t="shared" si="31"/>
        <v>2.0474513530189691E-2</v>
      </c>
      <c r="BC51" s="97">
        <f t="shared" si="31"/>
        <v>2.6067044499788635E-2</v>
      </c>
      <c r="BD51" s="97">
        <f t="shared" si="31"/>
        <v>3.2211980471449402E-2</v>
      </c>
      <c r="BE51" s="97">
        <f t="shared" si="31"/>
        <v>3.8716422732454583E-2</v>
      </c>
      <c r="BF51" s="97">
        <f t="shared" si="31"/>
        <v>4.5397872146776479E-2</v>
      </c>
      <c r="BG51" s="97">
        <f t="shared" si="31"/>
        <v>5.2341936551505347E-2</v>
      </c>
      <c r="BH51" s="97">
        <f t="shared" si="31"/>
        <v>6.0122305476236121E-2</v>
      </c>
      <c r="BI51" s="97">
        <f t="shared" si="31"/>
        <v>6.9742163674266083E-2</v>
      </c>
      <c r="BJ51" s="97">
        <f t="shared" si="31"/>
        <v>8.2183155672410288E-2</v>
      </c>
      <c r="BK51" s="97">
        <f t="shared" si="30"/>
        <v>9.773389566287706E-2</v>
      </c>
      <c r="BL51" s="97">
        <f t="shared" si="30"/>
        <v>0.1155408506249761</v>
      </c>
      <c r="BM51" s="97">
        <f t="shared" si="30"/>
        <v>0.13381434684102034</v>
      </c>
      <c r="BN51" s="97">
        <f t="shared" si="30"/>
        <v>0.15071042933143866</v>
      </c>
      <c r="BO51" s="97">
        <f t="shared" si="28"/>
        <v>0.16534757195188482</v>
      </c>
      <c r="BP51" s="97">
        <f t="shared" si="28"/>
        <v>0.1782035595089197</v>
      </c>
      <c r="BQ51" s="97">
        <f t="shared" si="28"/>
        <v>0.1905472169810197</v>
      </c>
      <c r="BR51" s="97">
        <f t="shared" si="28"/>
        <v>0.20331126993270071</v>
      </c>
      <c r="BS51" s="97">
        <f t="shared" si="28"/>
        <v>0.21626834264603192</v>
      </c>
      <c r="BT51" s="97">
        <f t="shared" si="28"/>
        <v>0.22811624784569787</v>
      </c>
      <c r="BU51" s="97">
        <f t="shared" si="28"/>
        <v>0.23732690365230075</v>
      </c>
      <c r="BV51" s="97">
        <f t="shared" si="28"/>
        <v>0.24303063101199682</v>
      </c>
      <c r="BW51" s="97">
        <f t="shared" si="28"/>
        <v>0.24528171304544732</v>
      </c>
      <c r="BX51" s="97">
        <f t="shared" si="28"/>
        <v>0.24464578233840811</v>
      </c>
      <c r="BY51" s="97">
        <f t="shared" si="28"/>
        <v>0.24159485796688446</v>
      </c>
      <c r="BZ51" s="97">
        <f t="shared" si="28"/>
        <v>0.23625903844035995</v>
      </c>
      <c r="CA51" s="97">
        <f t="shared" si="26"/>
        <v>0.22870053884202768</v>
      </c>
      <c r="CB51" s="97">
        <f t="shared" si="26"/>
        <v>0.2194104875569497</v>
      </c>
      <c r="CC51" s="97">
        <f t="shared" si="25"/>
        <v>0.20954061167326829</v>
      </c>
      <c r="CD51" s="97">
        <f t="shared" si="25"/>
        <v>0.20058930861984481</v>
      </c>
      <c r="CE51" s="97">
        <f t="shared" si="25"/>
        <v>0.19369127950227832</v>
      </c>
      <c r="CF51" s="97">
        <f t="shared" si="25"/>
        <v>0.18897778817559796</v>
      </c>
      <c r="CG51" s="97">
        <f t="shared" si="25"/>
        <v>0.18544002436346704</v>
      </c>
      <c r="CH51" s="97">
        <f t="shared" si="25"/>
        <v>0.18138349045877125</v>
      </c>
      <c r="CI51" s="97">
        <f t="shared" si="25"/>
        <v>0.17518343055080532</v>
      </c>
      <c r="CJ51" s="97">
        <f t="shared" si="25"/>
        <v>0.16591054243016778</v>
      </c>
      <c r="CK51" s="97">
        <f t="shared" si="25"/>
        <v>0.15355076435795664</v>
      </c>
      <c r="CL51" s="97">
        <f t="shared" si="25"/>
        <v>0.13883134194646976</v>
      </c>
      <c r="CM51" s="97">
        <f t="shared" si="25"/>
        <v>0.12286670821756092</v>
      </c>
      <c r="CN51" s="97">
        <f t="shared" si="25"/>
        <v>0.10684372960293764</v>
      </c>
      <c r="CO51" s="97">
        <f t="shared" si="25"/>
        <v>9.1833721637078286E-2</v>
      </c>
      <c r="CP51" s="97">
        <f t="shared" si="25"/>
        <v>7.8688469706376454E-2</v>
      </c>
      <c r="CQ51" s="97">
        <f t="shared" si="25"/>
        <v>6.7946173785426833E-2</v>
      </c>
      <c r="CR51" s="97">
        <f t="shared" si="24"/>
        <v>5.9732273815262242E-2</v>
      </c>
      <c r="CS51" s="97">
        <f t="shared" si="24"/>
        <v>5.3711052957200647E-2</v>
      </c>
      <c r="CT51" s="97">
        <f t="shared" si="24"/>
        <v>4.9157483460068999E-2</v>
      </c>
      <c r="CU51" s="97">
        <f t="shared" si="24"/>
        <v>4.5164671327471477E-2</v>
      </c>
      <c r="CV51" s="97">
        <f t="shared" si="24"/>
        <v>4.0923130157942557E-2</v>
      </c>
      <c r="CW51" s="97">
        <f t="shared" si="23"/>
        <v>3.5960284934082327E-2</v>
      </c>
      <c r="CX51" s="97">
        <f t="shared" si="23"/>
        <v>3.0243425949808993E-2</v>
      </c>
      <c r="CY51" s="97">
        <f t="shared" si="23"/>
        <v>2.411622571601978E-2</v>
      </c>
      <c r="CZ51" s="97">
        <f t="shared" si="23"/>
        <v>1.8116033972962783E-2</v>
      </c>
      <c r="DA51" s="97">
        <f t="shared" si="23"/>
        <v>1.2763016066181087E-2</v>
      </c>
      <c r="DB51" s="97">
        <f t="shared" si="23"/>
        <v>8.405263958532902E-3</v>
      </c>
      <c r="DC51" s="97">
        <f t="shared" si="23"/>
        <v>5.1607062645154644E-3</v>
      </c>
      <c r="DD51" s="97">
        <f t="shared" si="23"/>
        <v>2.9473105824220458E-3</v>
      </c>
      <c r="DE51" s="97">
        <f t="shared" si="23"/>
        <v>1.5623678701597744E-3</v>
      </c>
      <c r="DF51" s="97">
        <f t="shared" si="23"/>
        <v>7.67224633155638E-4</v>
      </c>
      <c r="DG51" s="97">
        <f t="shared" si="23"/>
        <v>3.4837223125667815E-4</v>
      </c>
      <c r="DH51" s="97">
        <f t="shared" si="23"/>
        <v>1.4602002110389249E-4</v>
      </c>
      <c r="DI51" s="97">
        <f t="shared" si="23"/>
        <v>5.6411729202338539E-5</v>
      </c>
      <c r="DJ51" s="97">
        <f t="shared" si="23"/>
        <v>2.0060114619259123E-5</v>
      </c>
      <c r="DK51" s="97">
        <f t="shared" si="22"/>
        <v>6.5584626470783316E-6</v>
      </c>
      <c r="DL51" s="97">
        <f t="shared" si="22"/>
        <v>1.969464448545771E-6</v>
      </c>
    </row>
    <row r="52" spans="1:116" x14ac:dyDescent="0.25">
      <c r="A52" s="60">
        <v>7</v>
      </c>
      <c r="B52" s="25">
        <v>3.2</v>
      </c>
      <c r="C52" s="25">
        <v>4.7</v>
      </c>
      <c r="D52" s="57">
        <v>1.4</v>
      </c>
      <c r="E52" s="82" t="s">
        <v>6</v>
      </c>
      <c r="L52" s="97" cm="1">
        <f t="array" ref="L52">EstymacjaGaussowska($O52,$D$2:$D$51,H$9)</f>
        <v>4.3743565102049399E-83</v>
      </c>
      <c r="M52" s="97" cm="1">
        <f t="array" ref="M52">EstymacjaGaussowska($O52,$D$52:$D$101,I$9)</f>
        <v>0.92762157223159136</v>
      </c>
      <c r="N52" s="97" cm="1">
        <f t="array" ref="N52">EstymacjaGaussowska($O52,$D$102:$D$151,J$9)</f>
        <v>0.43269011585613626</v>
      </c>
      <c r="O52" s="97">
        <v>1.5900000000000101</v>
      </c>
      <c r="P52" s="97">
        <f t="shared" si="29"/>
        <v>2.3405621093749298E-40</v>
      </c>
      <c r="Q52" s="97">
        <f t="shared" si="29"/>
        <v>2.2457125958424007E-38</v>
      </c>
      <c r="R52" s="97">
        <f t="shared" si="29"/>
        <v>1.9046698050703731E-36</v>
      </c>
      <c r="S52" s="97">
        <f t="shared" si="29"/>
        <v>1.4279622892613543E-34</v>
      </c>
      <c r="T52" s="97">
        <f t="shared" si="29"/>
        <v>9.4633587178514087E-33</v>
      </c>
      <c r="U52" s="97">
        <f t="shared" si="29"/>
        <v>5.5437724447431242E-31</v>
      </c>
      <c r="V52" s="97">
        <f t="shared" si="29"/>
        <v>2.8707609185766572E-29</v>
      </c>
      <c r="W52" s="97">
        <f t="shared" si="29"/>
        <v>1.3140751603340948E-27</v>
      </c>
      <c r="X52" s="97">
        <f t="shared" si="29"/>
        <v>5.3171016080180745E-26</v>
      </c>
      <c r="Y52" s="97">
        <f t="shared" si="29"/>
        <v>1.9017845768216191E-24</v>
      </c>
      <c r="Z52" s="97">
        <f t="shared" si="29"/>
        <v>6.0128358200099814E-23</v>
      </c>
      <c r="AA52" s="97">
        <f t="shared" si="29"/>
        <v>1.680463645273487E-21</v>
      </c>
      <c r="AB52" s="97">
        <f t="shared" si="29"/>
        <v>4.151554928696871E-20</v>
      </c>
      <c r="AC52" s="97">
        <f t="shared" si="29"/>
        <v>9.0661848241311695E-19</v>
      </c>
      <c r="AD52" s="97">
        <f t="shared" si="29"/>
        <v>1.7501320341166401E-17</v>
      </c>
      <c r="AE52" s="97">
        <f t="shared" si="29"/>
        <v>2.9864145015957709E-16</v>
      </c>
      <c r="AF52" s="97">
        <f t="shared" si="27"/>
        <v>4.5046730279275781E-15</v>
      </c>
      <c r="AG52" s="97">
        <f t="shared" si="27"/>
        <v>6.0063659600262857E-14</v>
      </c>
      <c r="AH52" s="97">
        <f t="shared" si="27"/>
        <v>7.0794232989591649E-13</v>
      </c>
      <c r="AI52" s="97">
        <f t="shared" si="27"/>
        <v>7.3760714397374223E-12</v>
      </c>
      <c r="AJ52" s="97">
        <f t="shared" si="27"/>
        <v>6.793587285181698E-11</v>
      </c>
      <c r="AK52" s="97">
        <f t="shared" si="27"/>
        <v>5.5313230967752466E-10</v>
      </c>
      <c r="AL52" s="97">
        <f t="shared" si="27"/>
        <v>3.9813379272480949E-9</v>
      </c>
      <c r="AM52" s="97">
        <f t="shared" si="27"/>
        <v>2.5335062313624207E-8</v>
      </c>
      <c r="AN52" s="97">
        <f t="shared" si="27"/>
        <v>1.4254239737949487E-7</v>
      </c>
      <c r="AO52" s="97">
        <f t="shared" si="27"/>
        <v>7.0917418168754222E-7</v>
      </c>
      <c r="AP52" s="97">
        <f t="shared" si="27"/>
        <v>3.1206154031420905E-6</v>
      </c>
      <c r="AQ52" s="97">
        <f t="shared" si="27"/>
        <v>1.2149319718214687E-5</v>
      </c>
      <c r="AR52" s="97">
        <f t="shared" si="27"/>
        <v>4.1871653710576426E-5</v>
      </c>
      <c r="AS52" s="97">
        <f t="shared" si="27"/>
        <v>1.2785370083061596E-4</v>
      </c>
      <c r="AT52" s="97">
        <f t="shared" si="27"/>
        <v>3.4635011938782779E-4</v>
      </c>
      <c r="AU52" s="97">
        <f t="shared" si="31"/>
        <v>8.3415305017236607E-4</v>
      </c>
      <c r="AV52" s="97">
        <f t="shared" si="31"/>
        <v>1.7919994830759274E-3</v>
      </c>
      <c r="AW52" s="97">
        <f t="shared" si="31"/>
        <v>3.4513246897547923E-3</v>
      </c>
      <c r="AX52" s="97">
        <f t="shared" si="31"/>
        <v>6.0040658352597549E-3</v>
      </c>
      <c r="AY52" s="97">
        <f t="shared" si="31"/>
        <v>9.5347196757364829E-3</v>
      </c>
      <c r="AZ52" s="97">
        <f t="shared" si="31"/>
        <v>1.4013390628022843E-2</v>
      </c>
      <c r="BA52" s="97">
        <f t="shared" si="31"/>
        <v>1.9364642885188625E-2</v>
      </c>
      <c r="BB52" s="97">
        <f t="shared" si="31"/>
        <v>2.5542869532393753E-2</v>
      </c>
      <c r="BC52" s="97">
        <f t="shared" si="31"/>
        <v>3.2519797331750727E-2</v>
      </c>
      <c r="BD52" s="97">
        <f t="shared" si="31"/>
        <v>4.0185859777672008E-2</v>
      </c>
      <c r="BE52" s="97">
        <f t="shared" si="31"/>
        <v>4.8300363156807372E-2</v>
      </c>
      <c r="BF52" s="97">
        <f t="shared" si="31"/>
        <v>5.6635482217316714E-2</v>
      </c>
      <c r="BG52" s="97">
        <f t="shared" si="31"/>
        <v>6.5297557555385383E-2</v>
      </c>
      <c r="BH52" s="97">
        <f t="shared" si="31"/>
        <v>7.5001020740446026E-2</v>
      </c>
      <c r="BI52" s="97">
        <f t="shared" si="31"/>
        <v>8.6994217230480217E-2</v>
      </c>
      <c r="BJ52" s="97">
        <f t="shared" si="31"/>
        <v>0.10249468074645193</v>
      </c>
      <c r="BK52" s="97">
        <f t="shared" si="30"/>
        <v>0.12184816206056157</v>
      </c>
      <c r="BL52" s="97">
        <f t="shared" si="30"/>
        <v>0.14396400549296354</v>
      </c>
      <c r="BM52" s="97">
        <f t="shared" si="30"/>
        <v>0.16656752040497586</v>
      </c>
      <c r="BN52" s="97">
        <f t="shared" si="30"/>
        <v>0.18729625918500678</v>
      </c>
      <c r="BO52" s="97">
        <f t="shared" si="28"/>
        <v>0.20496547312949431</v>
      </c>
      <c r="BP52" s="97">
        <f t="shared" si="28"/>
        <v>0.22005948596294461</v>
      </c>
      <c r="BQ52" s="97">
        <f t="shared" si="28"/>
        <v>0.23401538543885381</v>
      </c>
      <c r="BR52" s="97">
        <f t="shared" si="28"/>
        <v>0.24780655689054609</v>
      </c>
      <c r="BS52" s="97">
        <f t="shared" si="28"/>
        <v>0.26091153512679199</v>
      </c>
      <c r="BT52" s="97">
        <f t="shared" si="28"/>
        <v>0.27144467164272218</v>
      </c>
      <c r="BU52" s="97">
        <f t="shared" si="28"/>
        <v>0.27728646215285546</v>
      </c>
      <c r="BV52" s="97">
        <f t="shared" si="28"/>
        <v>0.27730317718362824</v>
      </c>
      <c r="BW52" s="97">
        <f t="shared" si="28"/>
        <v>0.27180029403047024</v>
      </c>
      <c r="BX52" s="97">
        <f t="shared" si="28"/>
        <v>0.26206507266619816</v>
      </c>
      <c r="BY52" s="97">
        <f t="shared" si="28"/>
        <v>0.24953856086628945</v>
      </c>
      <c r="BZ52" s="97">
        <f t="shared" si="28"/>
        <v>0.23528972155563829</v>
      </c>
      <c r="CA52" s="97">
        <f t="shared" si="26"/>
        <v>0.22006885077737226</v>
      </c>
      <c r="CB52" s="97">
        <f t="shared" si="26"/>
        <v>0.20470009560079888</v>
      </c>
      <c r="CC52" s="97">
        <f t="shared" si="25"/>
        <v>0.19033163444184076</v>
      </c>
      <c r="CD52" s="97">
        <f t="shared" si="25"/>
        <v>0.17823181900622823</v>
      </c>
      <c r="CE52" s="97">
        <f t="shared" si="25"/>
        <v>0.16922827140744173</v>
      </c>
      <c r="CF52" s="97">
        <f t="shared" si="25"/>
        <v>0.16319912796789884</v>
      </c>
      <c r="CG52" s="97">
        <f t="shared" si="25"/>
        <v>0.1590029685296534</v>
      </c>
      <c r="CH52" s="97">
        <f t="shared" si="25"/>
        <v>0.15492042237081557</v>
      </c>
      <c r="CI52" s="97">
        <f t="shared" si="25"/>
        <v>0.1493418723907585</v>
      </c>
      <c r="CJ52" s="97">
        <f t="shared" si="25"/>
        <v>0.14131938081886056</v>
      </c>
      <c r="CK52" s="97">
        <f t="shared" si="25"/>
        <v>0.13074824480801367</v>
      </c>
      <c r="CL52" s="97">
        <f t="shared" si="25"/>
        <v>0.11820045306110083</v>
      </c>
      <c r="CM52" s="97">
        <f t="shared" si="25"/>
        <v>0.10460406296621901</v>
      </c>
      <c r="CN52" s="97">
        <f t="shared" si="25"/>
        <v>9.0961618495716351E-2</v>
      </c>
      <c r="CO52" s="97">
        <f t="shared" si="25"/>
        <v>7.8182565400758727E-2</v>
      </c>
      <c r="CP52" s="97">
        <f t="shared" si="25"/>
        <v>6.699131285935743E-2</v>
      </c>
      <c r="CQ52" s="97">
        <f t="shared" si="25"/>
        <v>5.7845865172781501E-2</v>
      </c>
      <c r="CR52" s="97">
        <f t="shared" si="24"/>
        <v>5.0852973069135381E-2</v>
      </c>
      <c r="CS52" s="97">
        <f t="shared" si="24"/>
        <v>4.5726816350855924E-2</v>
      </c>
      <c r="CT52" s="97">
        <f t="shared" si="24"/>
        <v>4.1850142437819253E-2</v>
      </c>
      <c r="CU52" s="97">
        <f t="shared" si="24"/>
        <v>3.8450868412963642E-2</v>
      </c>
      <c r="CV52" s="97">
        <f t="shared" si="24"/>
        <v>3.483983933647386E-2</v>
      </c>
      <c r="CW52" s="97">
        <f t="shared" si="23"/>
        <v>3.0614729243844691E-2</v>
      </c>
      <c r="CX52" s="97">
        <f t="shared" si="23"/>
        <v>2.5747690780448956E-2</v>
      </c>
      <c r="CY52" s="97">
        <f t="shared" si="23"/>
        <v>2.053130897134707E-2</v>
      </c>
      <c r="CZ52" s="97">
        <f t="shared" si="23"/>
        <v>1.5423055631265092E-2</v>
      </c>
      <c r="DA52" s="97">
        <f t="shared" si="23"/>
        <v>1.0865772668853529E-2</v>
      </c>
      <c r="DB52" s="97">
        <f t="shared" si="23"/>
        <v>7.1558076023368854E-3</v>
      </c>
      <c r="DC52" s="97">
        <f t="shared" si="23"/>
        <v>4.3935587630841199E-3</v>
      </c>
      <c r="DD52" s="97">
        <f t="shared" si="23"/>
        <v>2.5091880012564002E-3</v>
      </c>
      <c r="DE52" s="97">
        <f t="shared" si="23"/>
        <v>1.3301193083396774E-3</v>
      </c>
      <c r="DF52" s="97">
        <f t="shared" si="23"/>
        <v>6.5317542550960117E-4</v>
      </c>
      <c r="DG52" s="97">
        <f t="shared" si="23"/>
        <v>2.9658612426310073E-4</v>
      </c>
      <c r="DH52" s="97">
        <f t="shared" si="23"/>
        <v>1.2431390403246862E-4</v>
      </c>
      <c r="DI52" s="97">
        <f t="shared" si="23"/>
        <v>4.8026032576557267E-5</v>
      </c>
      <c r="DJ52" s="97">
        <f t="shared" si="23"/>
        <v>1.7078145481739165E-5</v>
      </c>
      <c r="DK52" s="97">
        <f t="shared" si="22"/>
        <v>5.583536353068586E-6</v>
      </c>
      <c r="DL52" s="97">
        <f t="shared" si="22"/>
        <v>1.6767003086356294E-6</v>
      </c>
    </row>
    <row r="53" spans="1:116" x14ac:dyDescent="0.25">
      <c r="A53" s="60">
        <v>6.4</v>
      </c>
      <c r="B53" s="25">
        <v>3.2</v>
      </c>
      <c r="C53" s="25">
        <v>4.5</v>
      </c>
      <c r="D53" s="57">
        <v>1.5</v>
      </c>
      <c r="E53" s="82" t="s">
        <v>6</v>
      </c>
      <c r="L53" s="97" cm="1">
        <f t="array" ref="L53">EstymacjaGaussowska($O53,$D$2:$D$51,H$9)</f>
        <v>3.2256431207818002E-78</v>
      </c>
      <c r="M53" s="97" cm="1">
        <f t="array" ref="M53">EstymacjaGaussowska($O53,$D$52:$D$101,I$9)</f>
        <v>1.1178324721476247</v>
      </c>
      <c r="N53" s="97" cm="1">
        <f t="array" ref="N53">EstymacjaGaussowska($O53,$D$102:$D$151,J$9)</f>
        <v>0.3721087405050123</v>
      </c>
      <c r="O53" s="97">
        <v>1.56000000000001</v>
      </c>
      <c r="P53" s="97">
        <f t="shared" si="29"/>
        <v>2.820499659838046E-40</v>
      </c>
      <c r="Q53" s="97">
        <f t="shared" si="29"/>
        <v>2.7062010391850152E-38</v>
      </c>
      <c r="R53" s="97">
        <f t="shared" si="29"/>
        <v>2.2952266533698022E-36</v>
      </c>
      <c r="S53" s="97">
        <f t="shared" si="29"/>
        <v>1.7207691840310997E-34</v>
      </c>
      <c r="T53" s="97">
        <f t="shared" si="29"/>
        <v>1.1403841811210687E-32</v>
      </c>
      <c r="U53" s="97">
        <f t="shared" si="29"/>
        <v>6.6805355140920907E-31</v>
      </c>
      <c r="V53" s="97">
        <f t="shared" si="29"/>
        <v>3.4594169331760206E-29</v>
      </c>
      <c r="W53" s="97">
        <f t="shared" si="29"/>
        <v>1.5835292419194794E-27</v>
      </c>
      <c r="X53" s="97">
        <f t="shared" si="29"/>
        <v>6.4073853099947738E-26</v>
      </c>
      <c r="Y53" s="97">
        <f t="shared" si="29"/>
        <v>2.2917498025476979E-24</v>
      </c>
      <c r="Z53" s="97">
        <f t="shared" si="29"/>
        <v>7.2457813945938369E-23</v>
      </c>
      <c r="AA53" s="97">
        <f t="shared" si="29"/>
        <v>2.0250465137752183E-21</v>
      </c>
      <c r="AB53" s="97">
        <f t="shared" si="29"/>
        <v>5.0028406498110896E-20</v>
      </c>
      <c r="AC53" s="97">
        <f t="shared" si="29"/>
        <v>1.0925226512925074E-18</v>
      </c>
      <c r="AD53" s="97">
        <f t="shared" si="29"/>
        <v>2.1090005632091194E-17</v>
      </c>
      <c r="AE53" s="97">
        <f t="shared" si="29"/>
        <v>3.5987855447834167E-16</v>
      </c>
      <c r="AF53" s="97">
        <f t="shared" si="27"/>
        <v>5.4283664133760014E-15</v>
      </c>
      <c r="AG53" s="97">
        <f t="shared" si="27"/>
        <v>7.2379848751978672E-14</v>
      </c>
      <c r="AH53" s="97">
        <f t="shared" si="27"/>
        <v>8.5310750467102042E-13</v>
      </c>
      <c r="AI53" s="97">
        <f t="shared" si="27"/>
        <v>8.8885515592134804E-12</v>
      </c>
      <c r="AJ53" s="97">
        <f t="shared" si="27"/>
        <v>8.1866277122858616E-11</v>
      </c>
      <c r="AK53" s="97">
        <f t="shared" si="27"/>
        <v>6.6655333991864609E-10</v>
      </c>
      <c r="AL53" s="97">
        <f t="shared" si="27"/>
        <v>4.7977202675055161E-9</v>
      </c>
      <c r="AM53" s="97">
        <f t="shared" si="27"/>
        <v>3.0530074101146672E-8</v>
      </c>
      <c r="AN53" s="97">
        <f t="shared" si="27"/>
        <v>1.7177103812414265E-7</v>
      </c>
      <c r="AO53" s="97">
        <f t="shared" si="27"/>
        <v>8.5459195045664325E-7</v>
      </c>
      <c r="AP53" s="97">
        <f t="shared" si="27"/>
        <v>3.7605046445010608E-6</v>
      </c>
      <c r="AQ53" s="97">
        <f t="shared" si="27"/>
        <v>1.4640565185274841E-5</v>
      </c>
      <c r="AR53" s="97">
        <f t="shared" si="27"/>
        <v>5.0457530938614954E-5</v>
      </c>
      <c r="AS53" s="97">
        <f t="shared" si="27"/>
        <v>1.5407039114978663E-4</v>
      </c>
      <c r="AT53" s="97">
        <f t="shared" si="27"/>
        <v>4.1736999415874264E-4</v>
      </c>
      <c r="AU53" s="97">
        <f t="shared" si="31"/>
        <v>1.0051980183896441E-3</v>
      </c>
      <c r="AV53" s="97">
        <f t="shared" si="31"/>
        <v>2.1594530271930681E-3</v>
      </c>
      <c r="AW53" s="97">
        <f t="shared" si="31"/>
        <v>4.1590266176937118E-3</v>
      </c>
      <c r="AX53" s="97">
        <f t="shared" si="31"/>
        <v>7.2352131040338413E-3</v>
      </c>
      <c r="AY53" s="97">
        <f t="shared" si="31"/>
        <v>1.1489835490488001E-2</v>
      </c>
      <c r="AZ53" s="97">
        <f t="shared" si="31"/>
        <v>1.6886868020604014E-2</v>
      </c>
      <c r="BA53" s="97">
        <f t="shared" si="31"/>
        <v>2.3335406513906119E-2</v>
      </c>
      <c r="BB53" s="97">
        <f t="shared" si="31"/>
        <v>3.0780491797189523E-2</v>
      </c>
      <c r="BC53" s="97">
        <f t="shared" si="31"/>
        <v>3.9188051050062803E-2</v>
      </c>
      <c r="BD53" s="97">
        <f t="shared" si="31"/>
        <v>4.8426042235009396E-2</v>
      </c>
      <c r="BE53" s="97">
        <f t="shared" si="31"/>
        <v>5.8204384262476233E-2</v>
      </c>
      <c r="BF53" s="97">
        <f t="shared" si="31"/>
        <v>6.8248425004486815E-2</v>
      </c>
      <c r="BG53" s="97">
        <f t="shared" si="31"/>
        <v>7.8685970095607571E-2</v>
      </c>
      <c r="BH53" s="97">
        <f t="shared" si="31"/>
        <v>9.0377003938129336E-2</v>
      </c>
      <c r="BI53" s="97">
        <f t="shared" si="31"/>
        <v>0.10482349582932286</v>
      </c>
      <c r="BJ53" s="97">
        <f t="shared" si="31"/>
        <v>0.12348736439611317</v>
      </c>
      <c r="BK53" s="97">
        <f t="shared" si="30"/>
        <v>0.14677464814117155</v>
      </c>
      <c r="BL53" s="97">
        <f t="shared" si="30"/>
        <v>0.17335189394162867</v>
      </c>
      <c r="BM53" s="97">
        <f t="shared" si="30"/>
        <v>0.20044684424103504</v>
      </c>
      <c r="BN53" s="97">
        <f t="shared" si="30"/>
        <v>0.22516663160227432</v>
      </c>
      <c r="BO53" s="97">
        <f t="shared" si="28"/>
        <v>0.24602054265233617</v>
      </c>
      <c r="BP53" s="97">
        <f t="shared" si="28"/>
        <v>0.26350936487494669</v>
      </c>
      <c r="BQ53" s="97">
        <f t="shared" si="28"/>
        <v>0.27925673645228821</v>
      </c>
      <c r="BR53" s="97">
        <f t="shared" si="28"/>
        <v>0.29429458599346003</v>
      </c>
      <c r="BS53" s="97">
        <f t="shared" si="28"/>
        <v>0.30781819549146028</v>
      </c>
      <c r="BT53" s="97">
        <f t="shared" si="28"/>
        <v>0.31736165259708893</v>
      </c>
      <c r="BU53" s="97">
        <f t="shared" si="28"/>
        <v>0.32021279598071917</v>
      </c>
      <c r="BV53" s="97">
        <f t="shared" si="28"/>
        <v>0.31496926369854483</v>
      </c>
      <c r="BW53" s="97">
        <f t="shared" si="28"/>
        <v>0.30217546209904989</v>
      </c>
      <c r="BX53" s="97">
        <f t="shared" si="28"/>
        <v>0.28381385359494277</v>
      </c>
      <c r="BY53" s="97">
        <f t="shared" si="28"/>
        <v>0.26225284697557438</v>
      </c>
      <c r="BZ53" s="97">
        <f t="shared" si="28"/>
        <v>0.23945286209358124</v>
      </c>
      <c r="CA53" s="97">
        <f t="shared" si="26"/>
        <v>0.21681681915584206</v>
      </c>
      <c r="CB53" s="97">
        <f t="shared" si="26"/>
        <v>0.19549463740276038</v>
      </c>
      <c r="CC53" s="97">
        <f t="shared" si="25"/>
        <v>0.17665590361390338</v>
      </c>
      <c r="CD53" s="97">
        <f t="shared" si="25"/>
        <v>0.1613834475552022</v>
      </c>
      <c r="CE53" s="97">
        <f t="shared" si="25"/>
        <v>0.15023863434291965</v>
      </c>
      <c r="CF53" s="97">
        <f t="shared" si="25"/>
        <v>0.14286283136179473</v>
      </c>
      <c r="CG53" s="97">
        <f t="shared" si="25"/>
        <v>0.13796740587907846</v>
      </c>
      <c r="CH53" s="97">
        <f t="shared" si="25"/>
        <v>0.13377300487081184</v>
      </c>
      <c r="CI53" s="97">
        <f t="shared" si="25"/>
        <v>0.12864940100429176</v>
      </c>
      <c r="CJ53" s="97">
        <f t="shared" si="25"/>
        <v>0.12161103332742448</v>
      </c>
      <c r="CK53" s="97">
        <f t="shared" si="25"/>
        <v>0.11246710247121046</v>
      </c>
      <c r="CL53" s="97">
        <f t="shared" si="25"/>
        <v>0.10165828152160208</v>
      </c>
      <c r="CM53" s="97">
        <f t="shared" si="25"/>
        <v>8.9960183837127464E-2</v>
      </c>
      <c r="CN53" s="97">
        <f t="shared" si="25"/>
        <v>7.8226410384349424E-2</v>
      </c>
      <c r="CO53" s="97">
        <f t="shared" si="25"/>
        <v>6.7236231081890446E-2</v>
      </c>
      <c r="CP53" s="97">
        <f t="shared" si="25"/>
        <v>5.761180744984247E-2</v>
      </c>
      <c r="CQ53" s="97">
        <f t="shared" si="25"/>
        <v>4.9746810231101127E-2</v>
      </c>
      <c r="CR53" s="97">
        <f t="shared" si="24"/>
        <v>4.3732997853394462E-2</v>
      </c>
      <c r="CS53" s="97">
        <f t="shared" si="24"/>
        <v>3.93245591582417E-2</v>
      </c>
      <c r="CT53" s="97">
        <f t="shared" si="24"/>
        <v>3.5990662194202029E-2</v>
      </c>
      <c r="CU53" s="97">
        <f t="shared" si="24"/>
        <v>3.3067323916941109E-2</v>
      </c>
      <c r="CV53" s="97">
        <f t="shared" si="24"/>
        <v>2.9961878628214901E-2</v>
      </c>
      <c r="CW53" s="97">
        <f t="shared" si="23"/>
        <v>2.6328330420235566E-2</v>
      </c>
      <c r="CX53" s="97">
        <f t="shared" si="23"/>
        <v>2.214273087396109E-2</v>
      </c>
      <c r="CY53" s="97">
        <f t="shared" si="23"/>
        <v>1.7656699892787436E-2</v>
      </c>
      <c r="CZ53" s="97">
        <f t="shared" si="23"/>
        <v>1.3263658205672881E-2</v>
      </c>
      <c r="DA53" s="97">
        <f t="shared" si="23"/>
        <v>9.3444449832664998E-3</v>
      </c>
      <c r="DB53" s="97">
        <f t="shared" si="23"/>
        <v>6.1539158317337108E-3</v>
      </c>
      <c r="DC53" s="97">
        <f t="shared" si="23"/>
        <v>3.7784122117769108E-3</v>
      </c>
      <c r="DD53" s="97">
        <f t="shared" si="23"/>
        <v>2.1578740826801047E-3</v>
      </c>
      <c r="DE53" s="97">
        <f t="shared" si="23"/>
        <v>1.1438879752738321E-3</v>
      </c>
      <c r="DF53" s="97">
        <f t="shared" si="23"/>
        <v>5.6172368170299242E-4</v>
      </c>
      <c r="DG53" s="97">
        <f t="shared" si="23"/>
        <v>2.5506080473421187E-4</v>
      </c>
      <c r="DH53" s="97">
        <f t="shared" si="23"/>
        <v>1.0690859014714156E-4</v>
      </c>
      <c r="DI53" s="97">
        <f t="shared" si="23"/>
        <v>4.1301859780539234E-5</v>
      </c>
      <c r="DJ53" s="97">
        <f t="shared" si="23"/>
        <v>1.468701727285182E-5</v>
      </c>
      <c r="DK53" s="97">
        <f t="shared" si="22"/>
        <v>4.8017798506751732E-6</v>
      </c>
      <c r="DL53" s="97">
        <f t="shared" si="22"/>
        <v>1.4419438235058112E-6</v>
      </c>
    </row>
    <row r="54" spans="1:116" x14ac:dyDescent="0.25">
      <c r="A54" s="60">
        <v>6.9</v>
      </c>
      <c r="B54" s="25">
        <v>3.1</v>
      </c>
      <c r="C54" s="25">
        <v>4.9000000000000004</v>
      </c>
      <c r="D54" s="57">
        <v>1.5</v>
      </c>
      <c r="E54" s="82" t="s">
        <v>6</v>
      </c>
      <c r="L54" s="97" cm="1">
        <f t="array" ref="L54">EstymacjaGaussowska($O54,$D$2:$D$51,H$9)</f>
        <v>1.6847792563957547E-73</v>
      </c>
      <c r="M54" s="97" cm="1">
        <f t="array" ref="M54">EstymacjaGaussowska($O54,$D$52:$D$101,I$9)</f>
        <v>1.2969346272366693</v>
      </c>
      <c r="N54" s="97" cm="1">
        <f t="array" ref="N54">EstymacjaGaussowska($O54,$D$102:$D$151,J$9)</f>
        <v>0.32414671066343165</v>
      </c>
      <c r="O54" s="97">
        <v>1.53000000000001</v>
      </c>
      <c r="P54" s="97">
        <f t="shared" si="29"/>
        <v>3.2724077767443143E-40</v>
      </c>
      <c r="Q54" s="97">
        <f t="shared" si="29"/>
        <v>3.1397959206175162E-38</v>
      </c>
      <c r="R54" s="97">
        <f t="shared" si="29"/>
        <v>2.662974102365056E-36</v>
      </c>
      <c r="S54" s="97">
        <f t="shared" si="29"/>
        <v>1.9964754968730171E-34</v>
      </c>
      <c r="T54" s="97">
        <f t="shared" si="29"/>
        <v>1.3230996322797154E-32</v>
      </c>
      <c r="U54" s="97">
        <f t="shared" si="29"/>
        <v>7.7509090606970056E-31</v>
      </c>
      <c r="V54" s="97">
        <f t="shared" si="29"/>
        <v>4.0136941111264694E-29</v>
      </c>
      <c r="W54" s="97">
        <f t="shared" si="29"/>
        <v>1.8372465984473412E-27</v>
      </c>
      <c r="X54" s="97">
        <f t="shared" si="29"/>
        <v>7.4339939889332019E-26</v>
      </c>
      <c r="Y54" s="97">
        <f t="shared" si="29"/>
        <v>2.6589401810599611E-24</v>
      </c>
      <c r="Z54" s="97">
        <f t="shared" si="29"/>
        <v>8.4067201715669182E-23</v>
      </c>
      <c r="AA54" s="97">
        <f t="shared" si="29"/>
        <v>2.3495049669062885E-21</v>
      </c>
      <c r="AB54" s="97">
        <f t="shared" si="29"/>
        <v>5.8044093680885026E-20</v>
      </c>
      <c r="AC54" s="97">
        <f t="shared" si="29"/>
        <v>1.2675695981343268E-18</v>
      </c>
      <c r="AD54" s="97">
        <f t="shared" si="29"/>
        <v>2.4469103621873678E-17</v>
      </c>
      <c r="AE54" s="97">
        <f t="shared" si="29"/>
        <v>4.1753927402567026E-16</v>
      </c>
      <c r="AF54" s="97">
        <f t="shared" si="27"/>
        <v>6.2981140253600568E-15</v>
      </c>
      <c r="AG54" s="97">
        <f t="shared" si="27"/>
        <v>8.3976744726554101E-14</v>
      </c>
      <c r="AH54" s="97">
        <f t="shared" si="27"/>
        <v>9.8979470639067004E-13</v>
      </c>
      <c r="AI54" s="97">
        <f t="shared" si="27"/>
        <v>1.0312699434267322E-11</v>
      </c>
      <c r="AJ54" s="97">
        <f t="shared" si="27"/>
        <v>9.4983114419283628E-11</v>
      </c>
      <c r="AK54" s="97">
        <f t="shared" si="27"/>
        <v>7.7335032661905056E-10</v>
      </c>
      <c r="AL54" s="97">
        <f t="shared" si="27"/>
        <v>5.5664240409553412E-9</v>
      </c>
      <c r="AM54" s="97">
        <f t="shared" si="27"/>
        <v>3.5421685503379643E-8</v>
      </c>
      <c r="AN54" s="97">
        <f t="shared" si="27"/>
        <v>1.9929266043916651E-7</v>
      </c>
      <c r="AO54" s="97">
        <f t="shared" si="27"/>
        <v>9.9151699411230956E-7</v>
      </c>
      <c r="AP54" s="97">
        <f t="shared" si="27"/>
        <v>4.3630229134134994E-6</v>
      </c>
      <c r="AQ54" s="97">
        <f t="shared" si="27"/>
        <v>1.6986316307861681E-5</v>
      </c>
      <c r="AR54" s="97">
        <f t="shared" si="27"/>
        <v>5.854197360488952E-5</v>
      </c>
      <c r="AS54" s="97">
        <f t="shared" si="27"/>
        <v>1.7875596772577905E-4</v>
      </c>
      <c r="AT54" s="97">
        <f t="shared" si="27"/>
        <v>4.8424214833729472E-4</v>
      </c>
      <c r="AU54" s="97">
        <f t="shared" si="31"/>
        <v>1.1662535753445139E-3</v>
      </c>
      <c r="AV54" s="97">
        <f t="shared" si="31"/>
        <v>2.5054464569894178E-3</v>
      </c>
      <c r="AW54" s="97">
        <f t="shared" si="31"/>
        <v>4.8253971596101631E-3</v>
      </c>
      <c r="AX54" s="97">
        <f t="shared" si="31"/>
        <v>8.394458600342887E-3</v>
      </c>
      <c r="AY54" s="97">
        <f t="shared" si="31"/>
        <v>1.3330768139852804E-2</v>
      </c>
      <c r="AZ54" s="97">
        <f t="shared" si="31"/>
        <v>1.9592527865317535E-2</v>
      </c>
      <c r="BA54" s="97">
        <f t="shared" si="31"/>
        <v>2.7074268616084095E-2</v>
      </c>
      <c r="BB54" s="97">
        <f t="shared" si="31"/>
        <v>3.5712225181349269E-2</v>
      </c>
      <c r="BC54" s="97">
        <f t="shared" si="31"/>
        <v>4.5466863994086268E-2</v>
      </c>
      <c r="BD54" s="97">
        <f t="shared" si="31"/>
        <v>5.6184980633999071E-2</v>
      </c>
      <c r="BE54" s="97">
        <f t="shared" si="31"/>
        <v>6.7529992951307488E-2</v>
      </c>
      <c r="BF54" s="97">
        <f t="shared" si="31"/>
        <v>7.9183163475719368E-2</v>
      </c>
      <c r="BG54" s="97">
        <f t="shared" si="31"/>
        <v>9.1292529974299763E-2</v>
      </c>
      <c r="BH54" s="97">
        <f t="shared" si="31"/>
        <v>0.1048551864239351</v>
      </c>
      <c r="BI54" s="97">
        <f t="shared" si="31"/>
        <v>0.12161205682769143</v>
      </c>
      <c r="BJ54" s="97">
        <f t="shared" si="31"/>
        <v>0.1432554928193967</v>
      </c>
      <c r="BK54" s="97">
        <f t="shared" si="30"/>
        <v>0.17024894498281293</v>
      </c>
      <c r="BL54" s="97">
        <f t="shared" si="30"/>
        <v>0.20103150780316353</v>
      </c>
      <c r="BM54" s="97">
        <f t="shared" si="30"/>
        <v>0.23236430965808791</v>
      </c>
      <c r="BN54" s="97">
        <f t="shared" si="30"/>
        <v>0.26085783854240857</v>
      </c>
      <c r="BO54" s="97">
        <f t="shared" si="28"/>
        <v>0.28473711908996036</v>
      </c>
      <c r="BP54" s="97">
        <f t="shared" si="28"/>
        <v>0.30452348010995528</v>
      </c>
      <c r="BQ54" s="97">
        <f t="shared" si="28"/>
        <v>0.32202279193376887</v>
      </c>
      <c r="BR54" s="97">
        <f t="shared" si="28"/>
        <v>0.33833068661571575</v>
      </c>
      <c r="BS54" s="97">
        <f t="shared" si="28"/>
        <v>0.35238646062272233</v>
      </c>
      <c r="BT54" s="97">
        <f t="shared" si="28"/>
        <v>0.36118960232226277</v>
      </c>
      <c r="BU54" s="97">
        <f t="shared" si="28"/>
        <v>0.36147951884744234</v>
      </c>
      <c r="BV54" s="97">
        <f t="shared" si="28"/>
        <v>0.3516031038169487</v>
      </c>
      <c r="BW54" s="97">
        <f t="shared" si="28"/>
        <v>0.33231901607633263</v>
      </c>
      <c r="BX54" s="97">
        <f t="shared" si="28"/>
        <v>0.30623808921541168</v>
      </c>
      <c r="BY54" s="97">
        <f t="shared" si="28"/>
        <v>0.276563500567231</v>
      </c>
      <c r="BZ54" s="97">
        <f t="shared" si="28"/>
        <v>0.24605417449930278</v>
      </c>
      <c r="CA54" s="97">
        <f t="shared" si="26"/>
        <v>0.21669720354522082</v>
      </c>
      <c r="CB54" s="97">
        <f t="shared" si="26"/>
        <v>0.18993971746876961</v>
      </c>
      <c r="CC54" s="97">
        <f t="shared" si="25"/>
        <v>0.16698447902735333</v>
      </c>
      <c r="CD54" s="97">
        <f t="shared" si="25"/>
        <v>0.14876673384590092</v>
      </c>
      <c r="CE54" s="97">
        <f t="shared" si="25"/>
        <v>0.13562365676392404</v>
      </c>
      <c r="CF54" s="97">
        <f t="shared" si="25"/>
        <v>0.12698655526573163</v>
      </c>
      <c r="CG54" s="97">
        <f t="shared" si="25"/>
        <v>0.12142289979976638</v>
      </c>
      <c r="CH54" s="97">
        <f t="shared" si="25"/>
        <v>0.11707906253697228</v>
      </c>
      <c r="CI54" s="97">
        <f t="shared" si="25"/>
        <v>0.11228658809435373</v>
      </c>
      <c r="CJ54" s="97">
        <f t="shared" si="25"/>
        <v>0.10601495533936144</v>
      </c>
      <c r="CK54" s="97">
        <f t="shared" si="25"/>
        <v>9.7996227439760344E-2</v>
      </c>
      <c r="CL54" s="97">
        <f t="shared" si="25"/>
        <v>8.8562551868704834E-2</v>
      </c>
      <c r="CM54" s="97">
        <f t="shared" ref="CM54:DB76" si="32">$H$2*$L54*CM$1+$I$2*$M54*CM$2+$J$2*$N54*CM$3</f>
        <v>7.8366847882328283E-2</v>
      </c>
      <c r="CN54" s="97">
        <f t="shared" si="32"/>
        <v>6.8144034950893134E-2</v>
      </c>
      <c r="CO54" s="97">
        <f t="shared" si="32"/>
        <v>5.8570070025047015E-2</v>
      </c>
      <c r="CP54" s="97">
        <f t="shared" si="32"/>
        <v>5.0186092309062812E-2</v>
      </c>
      <c r="CQ54" s="97">
        <f t="shared" si="32"/>
        <v>4.3334821406801179E-2</v>
      </c>
      <c r="CR54" s="97">
        <f t="shared" si="32"/>
        <v>3.8096142302645984E-2</v>
      </c>
      <c r="CS54" s="97">
        <f t="shared" si="32"/>
        <v>3.4255918036864695E-2</v>
      </c>
      <c r="CT54" s="97">
        <f t="shared" si="32"/>
        <v>3.1351735384666249E-2</v>
      </c>
      <c r="CU54" s="97">
        <f t="shared" si="32"/>
        <v>2.8805193513452284E-2</v>
      </c>
      <c r="CV54" s="97">
        <f t="shared" si="32"/>
        <v>2.6100016864605818E-2</v>
      </c>
      <c r="CW54" s="97">
        <f t="shared" si="32"/>
        <v>2.2934805808103659E-2</v>
      </c>
      <c r="CX54" s="97">
        <f t="shared" si="32"/>
        <v>1.9288698696405652E-2</v>
      </c>
      <c r="CY54" s="97">
        <f t="shared" si="32"/>
        <v>1.5380883511768315E-2</v>
      </c>
      <c r="CZ54" s="97">
        <f t="shared" si="32"/>
        <v>1.1554071997604654E-2</v>
      </c>
      <c r="DA54" s="97">
        <f t="shared" si="32"/>
        <v>8.1400160076606463E-3</v>
      </c>
      <c r="DB54" s="97">
        <f t="shared" si="32"/>
        <v>5.3607221691403103E-3</v>
      </c>
      <c r="DC54" s="97">
        <f t="shared" si="23"/>
        <v>3.2914031750929259E-3</v>
      </c>
      <c r="DD54" s="97">
        <f t="shared" ref="DD54:DL54" si="33">$H$2*$L54*DD$1+$I$2*$M54*DD$2+$J$2*$N54*DD$3</f>
        <v>1.8797402742470762E-3</v>
      </c>
      <c r="DE54" s="97">
        <f t="shared" si="33"/>
        <v>9.9644938210601106E-4</v>
      </c>
      <c r="DF54" s="97">
        <f t="shared" si="33"/>
        <v>4.8932170601169965E-4</v>
      </c>
      <c r="DG54" s="97">
        <f t="shared" si="33"/>
        <v>2.2218537721408068E-4</v>
      </c>
      <c r="DH54" s="97">
        <f t="shared" si="33"/>
        <v>9.3128873540647471E-5</v>
      </c>
      <c r="DI54" s="97">
        <f t="shared" si="33"/>
        <v>3.5978359374129624E-5</v>
      </c>
      <c r="DJ54" s="97">
        <f t="shared" si="33"/>
        <v>1.2793970740893667E-5</v>
      </c>
      <c r="DK54" s="97">
        <f t="shared" si="33"/>
        <v>4.1828663895771498E-6</v>
      </c>
      <c r="DL54" s="97">
        <f t="shared" si="33"/>
        <v>1.2560880637109481E-6</v>
      </c>
    </row>
    <row r="55" spans="1:116" x14ac:dyDescent="0.25">
      <c r="A55" s="60">
        <v>5.5</v>
      </c>
      <c r="B55" s="25">
        <v>2.2999999999999998</v>
      </c>
      <c r="C55" s="25">
        <v>4</v>
      </c>
      <c r="D55" s="57">
        <v>1.3</v>
      </c>
      <c r="E55" s="82" t="s">
        <v>6</v>
      </c>
      <c r="L55" s="97" cm="1">
        <f t="array" ref="L55">EstymacjaGaussowska($O55,$D$2:$D$51,H$9)</f>
        <v>6.2329586637240125E-69</v>
      </c>
      <c r="M55" s="97" cm="1">
        <f t="array" ref="M55">EstymacjaGaussowska($O55,$D$52:$D$101,I$9)</f>
        <v>1.451359212537469</v>
      </c>
      <c r="N55" s="97" cm="1">
        <f t="array" ref="N55">EstymacjaGaussowska($O55,$D$102:$D$151,J$9)</f>
        <v>0.28531614393479482</v>
      </c>
      <c r="O55" s="97">
        <v>1.50000000000001</v>
      </c>
      <c r="P55" s="97">
        <f t="shared" si="29"/>
        <v>3.6620497858682145E-40</v>
      </c>
      <c r="Q55" s="97">
        <f t="shared" si="29"/>
        <v>3.5136479813058636E-38</v>
      </c>
      <c r="R55" s="97">
        <f t="shared" si="29"/>
        <v>2.9800515115022328E-36</v>
      </c>
      <c r="S55" s="97">
        <f t="shared" si="29"/>
        <v>2.2341936471892881E-34</v>
      </c>
      <c r="T55" s="97">
        <f t="shared" si="29"/>
        <v>1.4806396560677848E-32</v>
      </c>
      <c r="U55" s="97">
        <f t="shared" si="29"/>
        <v>8.6738013115983492E-31</v>
      </c>
      <c r="V55" s="97">
        <f t="shared" si="29"/>
        <v>4.4916002720218567E-29</v>
      </c>
      <c r="W55" s="97">
        <f t="shared" si="29"/>
        <v>2.0560055382599351E-27</v>
      </c>
      <c r="X55" s="97">
        <f t="shared" si="29"/>
        <v>8.3191515094133444E-26</v>
      </c>
      <c r="Y55" s="97">
        <f t="shared" si="29"/>
        <v>2.9755372756064151E-24</v>
      </c>
      <c r="Z55" s="97">
        <f t="shared" si="29"/>
        <v>9.4076991330124336E-23</v>
      </c>
      <c r="AA55" s="97">
        <f t="shared" si="29"/>
        <v>2.6292579494831533E-21</v>
      </c>
      <c r="AB55" s="97">
        <f t="shared" si="29"/>
        <v>6.4955340329399212E-20</v>
      </c>
      <c r="AC55" s="97">
        <f t="shared" si="29"/>
        <v>1.4184977215886747E-18</v>
      </c>
      <c r="AD55" s="97">
        <f t="shared" si="29"/>
        <v>2.7382612984748141E-17</v>
      </c>
      <c r="AE55" s="97">
        <f t="shared" si="29"/>
        <v>4.6725521797852213E-16</v>
      </c>
      <c r="AF55" s="97">
        <f t="shared" si="27"/>
        <v>7.0480235629098592E-15</v>
      </c>
      <c r="AG55" s="97">
        <f t="shared" si="27"/>
        <v>9.3975763726409028E-14</v>
      </c>
      <c r="AH55" s="97">
        <f t="shared" si="27"/>
        <v>1.1076484777815804E-12</v>
      </c>
      <c r="AI55" s="97">
        <f t="shared" si="27"/>
        <v>1.1540621258562875E-11</v>
      </c>
      <c r="AJ55" s="97">
        <f t="shared" si="27"/>
        <v>1.0629264980120821E-10</v>
      </c>
      <c r="AK55" s="97">
        <f t="shared" si="27"/>
        <v>8.6543230282076384E-10</v>
      </c>
      <c r="AL55" s="97">
        <f t="shared" si="27"/>
        <v>6.2292120536128748E-9</v>
      </c>
      <c r="AM55" s="97">
        <f t="shared" si="27"/>
        <v>3.9639306792564772E-8</v>
      </c>
      <c r="AN55" s="97">
        <f t="shared" si="27"/>
        <v>2.2302221919679177E-7</v>
      </c>
      <c r="AO55" s="97">
        <f t="shared" si="27"/>
        <v>1.1095758364155056E-6</v>
      </c>
      <c r="AP55" s="97">
        <f t="shared" si="27"/>
        <v>4.8825232721149356E-6</v>
      </c>
      <c r="AQ55" s="97">
        <f t="shared" si="27"/>
        <v>1.9008858382490889E-5</v>
      </c>
      <c r="AR55" s="97">
        <f t="shared" si="27"/>
        <v>6.5512502270537653E-5</v>
      </c>
      <c r="AS55" s="97">
        <f t="shared" si="27"/>
        <v>2.0004024497952588E-4</v>
      </c>
      <c r="AT55" s="97">
        <f t="shared" si="27"/>
        <v>5.4190033046279862E-4</v>
      </c>
      <c r="AU55" s="97">
        <f t="shared" si="31"/>
        <v>1.305118110954279E-3</v>
      </c>
      <c r="AV55" s="97">
        <f t="shared" si="31"/>
        <v>2.8037672219549084E-3</v>
      </c>
      <c r="AW55" s="97">
        <f t="shared" si="31"/>
        <v>5.3999519132433612E-3</v>
      </c>
      <c r="AX55" s="97">
        <f t="shared" si="31"/>
        <v>9.3939775896158245E-3</v>
      </c>
      <c r="AY55" s="97">
        <f t="shared" si="31"/>
        <v>1.4918048096459444E-2</v>
      </c>
      <c r="AZ55" s="97">
        <f t="shared" si="31"/>
        <v>2.192538868075861E-2</v>
      </c>
      <c r="BA55" s="97">
        <f t="shared" si="31"/>
        <v>3.0297972037332557E-2</v>
      </c>
      <c r="BB55" s="97">
        <f t="shared" si="31"/>
        <v>3.9964440264384088E-2</v>
      </c>
      <c r="BC55" s="97">
        <f t="shared" si="31"/>
        <v>5.0880551491934059E-2</v>
      </c>
      <c r="BD55" s="97">
        <f t="shared" si="31"/>
        <v>6.2874854919926448E-2</v>
      </c>
      <c r="BE55" s="97">
        <f t="shared" si="31"/>
        <v>7.5570675032231138E-2</v>
      </c>
      <c r="BF55" s="97">
        <f t="shared" si="31"/>
        <v>8.8611265182275994E-2</v>
      </c>
      <c r="BG55" s="97">
        <f t="shared" si="31"/>
        <v>0.10216211333879614</v>
      </c>
      <c r="BH55" s="97">
        <f t="shared" si="31"/>
        <v>0.11733854736109883</v>
      </c>
      <c r="BI55" s="97">
        <f t="shared" si="31"/>
        <v>0.13608756136013636</v>
      </c>
      <c r="BJ55" s="97">
        <f t="shared" si="31"/>
        <v>0.16030027889879439</v>
      </c>
      <c r="BK55" s="97">
        <f t="shared" si="30"/>
        <v>0.19048983140403161</v>
      </c>
      <c r="BL55" s="97">
        <f t="shared" si="30"/>
        <v>0.22489952417663842</v>
      </c>
      <c r="BM55" s="97">
        <f t="shared" si="30"/>
        <v>0.25988869004935411</v>
      </c>
      <c r="BN55" s="97">
        <f t="shared" si="30"/>
        <v>0.29164037979775265</v>
      </c>
      <c r="BO55" s="97">
        <f t="shared" si="28"/>
        <v>0.31813558816099569</v>
      </c>
      <c r="BP55" s="97">
        <f t="shared" si="28"/>
        <v>0.33991475498513402</v>
      </c>
      <c r="BQ55" s="97">
        <f t="shared" si="28"/>
        <v>0.35894270109736559</v>
      </c>
      <c r="BR55" s="97">
        <f t="shared" si="28"/>
        <v>0.37637236816861919</v>
      </c>
      <c r="BS55" s="97">
        <f t="shared" si="28"/>
        <v>0.39092531768609734</v>
      </c>
      <c r="BT55" s="97">
        <f t="shared" si="28"/>
        <v>0.39914337008516165</v>
      </c>
      <c r="BU55" s="97">
        <f t="shared" si="28"/>
        <v>0.39729573729118384</v>
      </c>
      <c r="BV55" s="97">
        <f t="shared" si="28"/>
        <v>0.38351372830184377</v>
      </c>
      <c r="BW55" s="97">
        <f t="shared" si="28"/>
        <v>0.3587377546847097</v>
      </c>
      <c r="BX55" s="97">
        <f t="shared" si="28"/>
        <v>0.32611315378317102</v>
      </c>
      <c r="BY55" s="97">
        <f t="shared" si="28"/>
        <v>0.28955217539193606</v>
      </c>
      <c r="BZ55" s="97">
        <f t="shared" si="28"/>
        <v>0.25249086637431156</v>
      </c>
      <c r="CA55" s="97">
        <f t="shared" si="26"/>
        <v>0.21741157299708597</v>
      </c>
      <c r="CB55" s="97">
        <f t="shared" si="26"/>
        <v>0.18601503511949147</v>
      </c>
      <c r="CC55" s="97">
        <f t="shared" si="26"/>
        <v>0.15953623705851402</v>
      </c>
      <c r="CD55" s="97">
        <f t="shared" si="26"/>
        <v>0.13879070508533883</v>
      </c>
      <c r="CE55" s="97">
        <f t="shared" si="26"/>
        <v>0.12392968085873084</v>
      </c>
      <c r="CF55" s="97">
        <f t="shared" si="26"/>
        <v>0.1142069337892607</v>
      </c>
      <c r="CG55" s="97">
        <f t="shared" si="26"/>
        <v>0.10806439688814524</v>
      </c>
      <c r="CH55" s="97">
        <f t="shared" si="26"/>
        <v>0.10357945736328786</v>
      </c>
      <c r="CI55" s="97">
        <f t="shared" si="26"/>
        <v>9.9045469903205702E-2</v>
      </c>
      <c r="CJ55" s="97">
        <f t="shared" si="26"/>
        <v>9.3390499146327688E-2</v>
      </c>
      <c r="CK55" s="97">
        <f t="shared" si="26"/>
        <v>8.628119126467082E-2</v>
      </c>
      <c r="CL55" s="97">
        <f t="shared" si="26"/>
        <v>7.7960322298759668E-2</v>
      </c>
      <c r="CM55" s="97">
        <f t="shared" si="26"/>
        <v>6.8980814618269548E-2</v>
      </c>
      <c r="CN55" s="97">
        <f t="shared" si="26"/>
        <v>5.9981249474809969E-2</v>
      </c>
      <c r="CO55" s="97">
        <f t="shared" si="26"/>
        <v>5.1553856852903542E-2</v>
      </c>
      <c r="CP55" s="97">
        <f t="shared" si="32"/>
        <v>4.4174155225872556E-2</v>
      </c>
      <c r="CQ55" s="97">
        <f t="shared" si="32"/>
        <v>3.814360749647569E-2</v>
      </c>
      <c r="CR55" s="97">
        <f t="shared" si="32"/>
        <v>3.3532484429066207E-2</v>
      </c>
      <c r="CS55" s="97">
        <f t="shared" si="32"/>
        <v>3.0152292567369073E-2</v>
      </c>
      <c r="CT55" s="97">
        <f t="shared" si="32"/>
        <v>2.7596011166671045E-2</v>
      </c>
      <c r="CU55" s="97">
        <f t="shared" si="32"/>
        <v>2.5354527651627452E-2</v>
      </c>
      <c r="CV55" s="97">
        <f t="shared" si="32"/>
        <v>2.2973412727878263E-2</v>
      </c>
      <c r="CW55" s="97">
        <f t="shared" si="32"/>
        <v>2.0187372383540486E-2</v>
      </c>
      <c r="CX55" s="97">
        <f t="shared" si="32"/>
        <v>1.6978044053925025E-2</v>
      </c>
      <c r="CY55" s="97">
        <f t="shared" si="32"/>
        <v>1.3538358494850153E-2</v>
      </c>
      <c r="CZ55" s="97">
        <f t="shared" si="32"/>
        <v>1.0169972918603647E-2</v>
      </c>
      <c r="DA55" s="97">
        <f t="shared" si="32"/>
        <v>7.1648975678939306E-3</v>
      </c>
      <c r="DB55" s="97">
        <f t="shared" si="32"/>
        <v>4.7185441890631894E-3</v>
      </c>
      <c r="DC55" s="97">
        <f t="shared" ref="DC55:DL75" si="34">$H$2*$L55*DC$1+$I$2*$M55*DC$2+$J$2*$N55*DC$3</f>
        <v>2.8971155071424782E-3</v>
      </c>
      <c r="DD55" s="97">
        <f t="shared" si="34"/>
        <v>1.6545602006863556E-3</v>
      </c>
      <c r="DE55" s="97">
        <f t="shared" si="34"/>
        <v>8.7708153739031426E-4</v>
      </c>
      <c r="DF55" s="97">
        <f t="shared" si="34"/>
        <v>4.3070430058386397E-4</v>
      </c>
      <c r="DG55" s="97">
        <f t="shared" si="34"/>
        <v>1.9556908331931739E-4</v>
      </c>
      <c r="DH55" s="97">
        <f t="shared" si="34"/>
        <v>8.1972669206562107E-5</v>
      </c>
      <c r="DI55" s="97">
        <f t="shared" si="34"/>
        <v>3.1668397130167153E-5</v>
      </c>
      <c r="DJ55" s="97">
        <f t="shared" si="34"/>
        <v>1.126134024292655E-5</v>
      </c>
      <c r="DK55" s="97">
        <f t="shared" si="34"/>
        <v>3.6817875042631016E-6</v>
      </c>
      <c r="DL55" s="97">
        <f t="shared" si="34"/>
        <v>1.1056172744959501E-6</v>
      </c>
    </row>
    <row r="56" spans="1:116" x14ac:dyDescent="0.25">
      <c r="A56" s="60">
        <v>6.5</v>
      </c>
      <c r="B56" s="25">
        <v>2.8</v>
      </c>
      <c r="C56" s="25">
        <v>4.5999999999999996</v>
      </c>
      <c r="D56" s="57">
        <v>1.5</v>
      </c>
      <c r="E56" s="82" t="s">
        <v>6</v>
      </c>
      <c r="L56" s="97" cm="1">
        <f t="array" ref="L56">EstymacjaGaussowska($O56,$D$2:$D$51,H$9)</f>
        <v>1.6333153222815483E-64</v>
      </c>
      <c r="M56" s="97" cm="1">
        <f t="array" ref="M56">EstymacjaGaussowska($O56,$D$52:$D$101,I$9)</f>
        <v>1.5758865374900275</v>
      </c>
      <c r="N56" s="97" cm="1">
        <f t="array" ref="N56">EstymacjaGaussowska($O56,$D$102:$D$151,J$9)</f>
        <v>0.25203698318676593</v>
      </c>
      <c r="O56" s="97">
        <v>1.47000000000001</v>
      </c>
      <c r="P56" s="97">
        <f t="shared" si="29"/>
        <v>3.976255435123006E-40</v>
      </c>
      <c r="Q56" s="97">
        <f t="shared" si="29"/>
        <v>3.8151206836922004E-38</v>
      </c>
      <c r="R56" s="97">
        <f t="shared" si="29"/>
        <v>3.2357413777617347E-36</v>
      </c>
      <c r="S56" s="97">
        <f t="shared" si="29"/>
        <v>2.4258885466374149E-34</v>
      </c>
      <c r="T56" s="97">
        <f t="shared" si="29"/>
        <v>1.6076792572885181E-32</v>
      </c>
      <c r="U56" s="97">
        <f t="shared" si="29"/>
        <v>9.4180176745584955E-31</v>
      </c>
      <c r="V56" s="97">
        <f t="shared" si="29"/>
        <v>4.8769817556679159E-29</v>
      </c>
      <c r="W56" s="97">
        <f t="shared" si="29"/>
        <v>2.2324118114660903E-27</v>
      </c>
      <c r="X56" s="97">
        <f t="shared" si="29"/>
        <v>9.0329387471923847E-26</v>
      </c>
      <c r="Y56" s="97">
        <f t="shared" si="29"/>
        <v>3.2308398182347619E-24</v>
      </c>
      <c r="Z56" s="97">
        <f t="shared" si="29"/>
        <v>1.0214884285297605E-22</v>
      </c>
      <c r="AA56" s="97">
        <f t="shared" si="29"/>
        <v>2.8548495578396777E-21</v>
      </c>
      <c r="AB56" s="97">
        <f t="shared" si="29"/>
        <v>7.0528540060195917E-20</v>
      </c>
      <c r="AC56" s="97">
        <f t="shared" si="29"/>
        <v>1.5402055146662459E-18</v>
      </c>
      <c r="AD56" s="97">
        <f t="shared" si="29"/>
        <v>2.9732054470870825E-17</v>
      </c>
      <c r="AE56" s="97">
        <f t="shared" si="29"/>
        <v>5.07345942495481E-16</v>
      </c>
      <c r="AF56" s="97">
        <f t="shared" si="27"/>
        <v>7.6527474058496766E-15</v>
      </c>
      <c r="AG56" s="97">
        <f t="shared" si="27"/>
        <v>1.020389298717242E-13</v>
      </c>
      <c r="AH56" s="97">
        <f t="shared" si="27"/>
        <v>1.2026852548484795E-12</v>
      </c>
      <c r="AI56" s="97">
        <f t="shared" si="27"/>
        <v>1.2530812164580473E-11</v>
      </c>
      <c r="AJ56" s="97">
        <f t="shared" si="27"/>
        <v>1.1541261075058747E-10</v>
      </c>
      <c r="AK56" s="97">
        <f t="shared" si="27"/>
        <v>9.3968681449977376E-10</v>
      </c>
      <c r="AL56" s="97">
        <f t="shared" si="27"/>
        <v>6.7636814715886253E-9</v>
      </c>
      <c r="AM56" s="97">
        <f t="shared" si="27"/>
        <v>4.3040378557026E-8</v>
      </c>
      <c r="AN56" s="97">
        <f t="shared" si="27"/>
        <v>2.4215763386302327E-7</v>
      </c>
      <c r="AO56" s="97">
        <f t="shared" si="27"/>
        <v>1.2047779817887714E-6</v>
      </c>
      <c r="AP56" s="97">
        <f t="shared" si="27"/>
        <v>5.3014461389302989E-6</v>
      </c>
      <c r="AQ56" s="97">
        <f t="shared" si="27"/>
        <v>2.0639827658963145E-5</v>
      </c>
      <c r="AR56" s="97">
        <f t="shared" si="27"/>
        <v>7.1133506766340518E-5</v>
      </c>
      <c r="AS56" s="97">
        <f t="shared" si="27"/>
        <v>2.1720379510203308E-4</v>
      </c>
      <c r="AT56" s="97">
        <f t="shared" si="27"/>
        <v>5.8839564186499813E-4</v>
      </c>
      <c r="AU56" s="97">
        <f t="shared" si="31"/>
        <v>1.4170978784024334E-3</v>
      </c>
      <c r="AV56" s="97">
        <f t="shared" si="31"/>
        <v>3.0443318105958447E-3</v>
      </c>
      <c r="AW56" s="97">
        <f t="shared" si="31"/>
        <v>5.8632704086059289E-3</v>
      </c>
      <c r="AX56" s="97">
        <f t="shared" si="31"/>
        <v>1.0199985426578734E-2</v>
      </c>
      <c r="AY56" s="97">
        <f t="shared" si="31"/>
        <v>1.6198023862968803E-2</v>
      </c>
      <c r="AZ56" s="97">
        <f t="shared" si="31"/>
        <v>2.3806597661903871E-2</v>
      </c>
      <c r="BA56" s="97">
        <f t="shared" si="31"/>
        <v>3.2897552682983805E-2</v>
      </c>
      <c r="BB56" s="97">
        <f t="shared" si="31"/>
        <v>4.3393408304851694E-2</v>
      </c>
      <c r="BC56" s="97">
        <f t="shared" si="31"/>
        <v>5.5246125874629064E-2</v>
      </c>
      <c r="BD56" s="97">
        <f t="shared" si="31"/>
        <v>6.8269540675465298E-2</v>
      </c>
      <c r="BE56" s="97">
        <f t="shared" si="31"/>
        <v>8.2054645642964108E-2</v>
      </c>
      <c r="BF56" s="97">
        <f t="shared" si="31"/>
        <v>9.6214042234253991E-2</v>
      </c>
      <c r="BG56" s="97">
        <f t="shared" si="31"/>
        <v>0.11092728570373918</v>
      </c>
      <c r="BH56" s="97">
        <f t="shared" si="31"/>
        <v>0.12740503478868845</v>
      </c>
      <c r="BI56" s="97">
        <f t="shared" si="31"/>
        <v>0.14776042667468578</v>
      </c>
      <c r="BJ56" s="97">
        <f t="shared" si="31"/>
        <v>0.17404480431048966</v>
      </c>
      <c r="BK56" s="97">
        <f t="shared" si="30"/>
        <v>0.20681122181834555</v>
      </c>
      <c r="BL56" s="97">
        <f t="shared" si="30"/>
        <v>0.24414484865275149</v>
      </c>
      <c r="BM56" s="97">
        <f t="shared" si="30"/>
        <v>0.28208060136971297</v>
      </c>
      <c r="BN56" s="97">
        <f t="shared" si="30"/>
        <v>0.31645624144934936</v>
      </c>
      <c r="BO56" s="97">
        <f t="shared" si="28"/>
        <v>0.34505514887015887</v>
      </c>
      <c r="BP56" s="97">
        <f t="shared" si="28"/>
        <v>0.36843208342676464</v>
      </c>
      <c r="BQ56" s="97">
        <f t="shared" si="28"/>
        <v>0.38867861890130695</v>
      </c>
      <c r="BR56" s="97">
        <f t="shared" si="28"/>
        <v>0.40699205354032619</v>
      </c>
      <c r="BS56" s="97">
        <f t="shared" si="28"/>
        <v>0.42191604606615285</v>
      </c>
      <c r="BT56" s="97">
        <f t="shared" si="28"/>
        <v>0.42962080563633592</v>
      </c>
      <c r="BU56" s="97">
        <f t="shared" si="28"/>
        <v>0.42599429927618188</v>
      </c>
      <c r="BV56" s="97">
        <f t="shared" si="28"/>
        <v>0.40899351325626887</v>
      </c>
      <c r="BW56" s="97">
        <f t="shared" si="28"/>
        <v>0.37970774550997688</v>
      </c>
      <c r="BX56" s="97">
        <f t="shared" si="28"/>
        <v>0.34171903445650254</v>
      </c>
      <c r="BY56" s="97">
        <f t="shared" si="28"/>
        <v>0.29951974465095049</v>
      </c>
      <c r="BZ56" s="97">
        <f t="shared" si="28"/>
        <v>0.2571008053751262</v>
      </c>
      <c r="CA56" s="97">
        <f t="shared" si="26"/>
        <v>0.21735050226107755</v>
      </c>
      <c r="CB56" s="97">
        <f t="shared" si="26"/>
        <v>0.18217615004802359</v>
      </c>
      <c r="CC56" s="97">
        <f t="shared" si="26"/>
        <v>0.1528358976220886</v>
      </c>
      <c r="CD56" s="97">
        <f t="shared" si="26"/>
        <v>0.1300428615087916</v>
      </c>
      <c r="CE56" s="97">
        <f t="shared" si="26"/>
        <v>0.11379260600114191</v>
      </c>
      <c r="CF56" s="97">
        <f t="shared" si="26"/>
        <v>0.10319294541018691</v>
      </c>
      <c r="CG56" s="97">
        <f t="shared" si="26"/>
        <v>9.6585723556888173E-2</v>
      </c>
      <c r="CH56" s="97">
        <f t="shared" si="26"/>
        <v>9.1996551739239693E-2</v>
      </c>
      <c r="CI56" s="97">
        <f t="shared" si="26"/>
        <v>8.7692063856835437E-2</v>
      </c>
      <c r="CJ56" s="97">
        <f t="shared" si="26"/>
        <v>8.2568992741089836E-2</v>
      </c>
      <c r="CK56" s="97">
        <f t="shared" si="26"/>
        <v>7.6240381439223695E-2</v>
      </c>
      <c r="CL56" s="97">
        <f t="shared" si="26"/>
        <v>6.8873663138562691E-2</v>
      </c>
      <c r="CM56" s="97">
        <f t="shared" si="26"/>
        <v>6.0936609193660826E-2</v>
      </c>
      <c r="CN56" s="97">
        <f t="shared" si="26"/>
        <v>5.2985445129295983E-2</v>
      </c>
      <c r="CO56" s="97">
        <f t="shared" si="26"/>
        <v>4.5540713443476273E-2</v>
      </c>
      <c r="CP56" s="97">
        <f t="shared" si="32"/>
        <v>3.9021713428175293E-2</v>
      </c>
      <c r="CQ56" s="97">
        <f t="shared" si="32"/>
        <v>3.3694554622552178E-2</v>
      </c>
      <c r="CR56" s="97">
        <f t="shared" si="32"/>
        <v>2.9621269190817999E-2</v>
      </c>
      <c r="CS56" s="97">
        <f t="shared" si="32"/>
        <v>2.6635341278862475E-2</v>
      </c>
      <c r="CT56" s="97">
        <f t="shared" si="32"/>
        <v>2.437722348185831E-2</v>
      </c>
      <c r="CU56" s="97">
        <f t="shared" si="32"/>
        <v>2.2397185702271921E-2</v>
      </c>
      <c r="CV56" s="97">
        <f t="shared" si="32"/>
        <v>2.0293803069106237E-2</v>
      </c>
      <c r="CW56" s="97">
        <f t="shared" si="32"/>
        <v>1.7832725354577122E-2</v>
      </c>
      <c r="CX56" s="97">
        <f t="shared" si="32"/>
        <v>1.4997731795861006E-2</v>
      </c>
      <c r="CY56" s="97">
        <f t="shared" si="32"/>
        <v>1.1959249782664823E-2</v>
      </c>
      <c r="CZ56" s="97">
        <f t="shared" si="32"/>
        <v>8.983751350858573E-3</v>
      </c>
      <c r="DA56" s="97">
        <f t="shared" si="32"/>
        <v>6.329186785402785E-3</v>
      </c>
      <c r="DB56" s="97">
        <f t="shared" si="32"/>
        <v>4.1681750848165033E-3</v>
      </c>
      <c r="DC56" s="97">
        <f t="shared" si="34"/>
        <v>2.5591971147999968E-3</v>
      </c>
      <c r="DD56" s="97">
        <f t="shared" si="34"/>
        <v>1.4615729615958259E-3</v>
      </c>
      <c r="DE56" s="97">
        <f t="shared" si="34"/>
        <v>7.7477909817533848E-4</v>
      </c>
      <c r="DF56" s="97">
        <f t="shared" si="34"/>
        <v>3.8046712347805845E-4</v>
      </c>
      <c r="DG56" s="97">
        <f t="shared" si="34"/>
        <v>1.7275798377419093E-4</v>
      </c>
      <c r="DH56" s="97">
        <f t="shared" si="34"/>
        <v>7.2411409903640837E-5</v>
      </c>
      <c r="DI56" s="97">
        <f t="shared" si="34"/>
        <v>2.7974607973363938E-5</v>
      </c>
      <c r="DJ56" s="97">
        <f t="shared" si="34"/>
        <v>9.9478220276087086E-6</v>
      </c>
      <c r="DK56" s="97">
        <f t="shared" si="34"/>
        <v>3.2523452844689845E-6</v>
      </c>
      <c r="DL56" s="97">
        <f t="shared" si="34"/>
        <v>9.7665851844267486E-7</v>
      </c>
    </row>
    <row r="57" spans="1:116" x14ac:dyDescent="0.25">
      <c r="A57" s="60">
        <v>5.7</v>
      </c>
      <c r="B57" s="25">
        <v>2.8</v>
      </c>
      <c r="C57" s="25">
        <v>4.5</v>
      </c>
      <c r="D57" s="57">
        <v>1.3</v>
      </c>
      <c r="E57" s="82" t="s">
        <v>6</v>
      </c>
      <c r="L57" s="97" cm="1">
        <f t="array" ref="L57">EstymacjaGaussowska($O57,$D$2:$D$51,H$9)</f>
        <v>3.0315893678999072E-60</v>
      </c>
      <c r="M57" s="97" cm="1">
        <f t="array" ref="M57">EstymacjaGaussowska($O57,$D$52:$D$101,I$9)</f>
        <v>1.6735853698457634</v>
      </c>
      <c r="N57" s="97" cm="1">
        <f t="array" ref="N57">EstymacjaGaussowska($O57,$D$102:$D$151,J$9)</f>
        <v>0.22143645603670342</v>
      </c>
      <c r="O57" s="97">
        <v>1.4400000000000099</v>
      </c>
      <c r="P57" s="97">
        <f t="shared" si="29"/>
        <v>4.2227677974777262E-40</v>
      </c>
      <c r="Q57" s="97">
        <f t="shared" si="29"/>
        <v>4.051643318555628E-38</v>
      </c>
      <c r="R57" s="97">
        <f t="shared" si="29"/>
        <v>3.4363447504613779E-36</v>
      </c>
      <c r="S57" s="97">
        <f t="shared" si="29"/>
        <v>2.5762841955583818E-34</v>
      </c>
      <c r="T57" s="97">
        <f t="shared" si="29"/>
        <v>1.7073491145421968E-32</v>
      </c>
      <c r="U57" s="97">
        <f t="shared" si="29"/>
        <v>1.0001898117737845E-30</v>
      </c>
      <c r="V57" s="97">
        <f t="shared" si="29"/>
        <v>5.1793356444877813E-29</v>
      </c>
      <c r="W57" s="97">
        <f t="shared" si="29"/>
        <v>2.3708126557710189E-27</v>
      </c>
      <c r="X57" s="97">
        <f t="shared" si="29"/>
        <v>9.5929457955089361E-26</v>
      </c>
      <c r="Y57" s="97">
        <f t="shared" si="29"/>
        <v>3.4311393133194149E-24</v>
      </c>
      <c r="Z57" s="97">
        <f t="shared" si="29"/>
        <v>1.0848167357130972E-22</v>
      </c>
      <c r="AA57" s="97">
        <f t="shared" si="29"/>
        <v>3.0318391200428455E-21</v>
      </c>
      <c r="AB57" s="97">
        <f t="shared" si="29"/>
        <v>7.4901035063935665E-20</v>
      </c>
      <c r="AC57" s="97">
        <f t="shared" si="29"/>
        <v>1.6356922624688044E-18</v>
      </c>
      <c r="AD57" s="97">
        <f t="shared" si="29"/>
        <v>3.1575326138111399E-17</v>
      </c>
      <c r="AE57" s="97">
        <f t="shared" si="29"/>
        <v>5.3879941646269702E-16</v>
      </c>
      <c r="AF57" s="97">
        <f t="shared" si="27"/>
        <v>8.1271879623733297E-15</v>
      </c>
      <c r="AG57" s="97">
        <f t="shared" si="27"/>
        <v>1.0836494641297494E-13</v>
      </c>
      <c r="AH57" s="97">
        <f t="shared" si="27"/>
        <v>1.2772470600894236E-12</v>
      </c>
      <c r="AI57" s="97">
        <f t="shared" si="27"/>
        <v>1.3307673751899103E-11</v>
      </c>
      <c r="AJ57" s="97">
        <f t="shared" si="27"/>
        <v>1.2256774345920155E-10</v>
      </c>
      <c r="AK57" s="97">
        <f t="shared" si="27"/>
        <v>9.9794373996531682E-10</v>
      </c>
      <c r="AL57" s="97">
        <f t="shared" si="27"/>
        <v>7.1830034002173334E-9</v>
      </c>
      <c r="AM57" s="97">
        <f t="shared" si="27"/>
        <v>4.5708714524834793E-8</v>
      </c>
      <c r="AN57" s="97">
        <f t="shared" si="27"/>
        <v>2.5717046474368228E-7</v>
      </c>
      <c r="AO57" s="97">
        <f t="shared" si="27"/>
        <v>1.2794695279556273E-6</v>
      </c>
      <c r="AP57" s="97">
        <f t="shared" si="27"/>
        <v>5.6301151675998774E-6</v>
      </c>
      <c r="AQ57" s="97">
        <f t="shared" si="27"/>
        <v>2.1919416648609583E-5</v>
      </c>
      <c r="AR57" s="97">
        <f t="shared" si="27"/>
        <v>7.5543507351477133E-5</v>
      </c>
      <c r="AS57" s="97">
        <f t="shared" si="27"/>
        <v>2.3066958509380318E-4</v>
      </c>
      <c r="AT57" s="97">
        <f t="shared" si="27"/>
        <v>6.2487388176729597E-4</v>
      </c>
      <c r="AU57" s="97">
        <f t="shared" si="31"/>
        <v>1.5049524318614075E-3</v>
      </c>
      <c r="AV57" s="97">
        <f t="shared" si="31"/>
        <v>3.2330685350478892E-3</v>
      </c>
      <c r="AW57" s="97">
        <f t="shared" si="31"/>
        <v>6.2267703554865234E-3</v>
      </c>
      <c r="AX57" s="97">
        <f t="shared" si="31"/>
        <v>1.0832344826963694E-2</v>
      </c>
      <c r="AY57" s="97">
        <f t="shared" si="31"/>
        <v>1.7202238302354813E-2</v>
      </c>
      <c r="AZ57" s="97">
        <f t="shared" si="31"/>
        <v>2.5282514058902288E-2</v>
      </c>
      <c r="BA57" s="97">
        <f t="shared" si="31"/>
        <v>3.4937072870121127E-2</v>
      </c>
      <c r="BB57" s="97">
        <f t="shared" si="31"/>
        <v>4.6083630476052427E-2</v>
      </c>
      <c r="BC57" s="97">
        <f t="shared" si="31"/>
        <v>5.8671169366854292E-2</v>
      </c>
      <c r="BD57" s="97">
        <f t="shared" si="31"/>
        <v>7.2501980652736914E-2</v>
      </c>
      <c r="BE57" s="97">
        <f t="shared" si="31"/>
        <v>8.7141690334164398E-2</v>
      </c>
      <c r="BF57" s="97">
        <f t="shared" si="31"/>
        <v>0.1021788483640074</v>
      </c>
      <c r="BG57" s="97">
        <f t="shared" si="31"/>
        <v>0.11780403635204009</v>
      </c>
      <c r="BH57" s="97">
        <f t="shared" si="31"/>
        <v>0.13530267721506059</v>
      </c>
      <c r="BI57" s="97">
        <f t="shared" si="31"/>
        <v>0.15691818615988365</v>
      </c>
      <c r="BJ57" s="97">
        <f t="shared" si="31"/>
        <v>0.184827448821408</v>
      </c>
      <c r="BK57" s="97">
        <f t="shared" si="30"/>
        <v>0.21961452184059232</v>
      </c>
      <c r="BL57" s="97">
        <f t="shared" si="30"/>
        <v>0.25923993181160404</v>
      </c>
      <c r="BM57" s="97">
        <f t="shared" si="30"/>
        <v>0.29948313551857592</v>
      </c>
      <c r="BN57" s="97">
        <f t="shared" si="30"/>
        <v>0.33590961165511463</v>
      </c>
      <c r="BO57" s="97">
        <f t="shared" si="28"/>
        <v>0.36614580415633236</v>
      </c>
      <c r="BP57" s="97">
        <f t="shared" si="28"/>
        <v>0.39075521556877046</v>
      </c>
      <c r="BQ57" s="97">
        <f t="shared" si="28"/>
        <v>0.41192561215579043</v>
      </c>
      <c r="BR57" s="97">
        <f t="shared" si="28"/>
        <v>0.43088484960400958</v>
      </c>
      <c r="BS57" s="97">
        <f t="shared" si="28"/>
        <v>0.44603170783693696</v>
      </c>
      <c r="BT57" s="97">
        <f t="shared" si="28"/>
        <v>0.45323902192089016</v>
      </c>
      <c r="BU57" s="97">
        <f t="shared" si="28"/>
        <v>0.44809089629071908</v>
      </c>
      <c r="BV57" s="97">
        <f t="shared" si="28"/>
        <v>0.42840646337927535</v>
      </c>
      <c r="BW57" s="97">
        <f t="shared" si="28"/>
        <v>0.39539713383711428</v>
      </c>
      <c r="BX57" s="97">
        <f t="shared" si="28"/>
        <v>0.35300053506501106</v>
      </c>
      <c r="BY57" s="97">
        <f t="shared" si="28"/>
        <v>0.30618317164612108</v>
      </c>
      <c r="BZ57" s="97">
        <f t="shared" si="28"/>
        <v>0.2593915316862051</v>
      </c>
      <c r="CA57" s="97">
        <f t="shared" si="26"/>
        <v>0.21584738669906675</v>
      </c>
      <c r="CB57" s="97">
        <f t="shared" si="26"/>
        <v>0.17762483719026295</v>
      </c>
      <c r="CC57" s="97">
        <f t="shared" si="26"/>
        <v>0.14599376800013963</v>
      </c>
      <c r="CD57" s="97">
        <f t="shared" si="26"/>
        <v>0.12157354565173316</v>
      </c>
      <c r="CE57" s="97">
        <f t="shared" si="26"/>
        <v>0.1042244828286156</v>
      </c>
      <c r="CF57" s="97">
        <f t="shared" si="26"/>
        <v>9.2933513322095637E-2</v>
      </c>
      <c r="CG57" s="97">
        <f t="shared" si="26"/>
        <v>8.5966567337517785E-2</v>
      </c>
      <c r="CH57" s="97">
        <f t="shared" si="26"/>
        <v>8.1317435778020961E-2</v>
      </c>
      <c r="CI57" s="97">
        <f t="shared" si="26"/>
        <v>7.7241096683989374E-2</v>
      </c>
      <c r="CJ57" s="97">
        <f t="shared" si="26"/>
        <v>7.2614416442520938E-2</v>
      </c>
      <c r="CK57" s="97">
        <f t="shared" si="26"/>
        <v>6.7006439391027933E-2</v>
      </c>
      <c r="CL57" s="97">
        <f t="shared" si="26"/>
        <v>6.0518009928363939E-2</v>
      </c>
      <c r="CM57" s="97">
        <f t="shared" si="26"/>
        <v>5.3539783785656631E-2</v>
      </c>
      <c r="CN57" s="97">
        <f t="shared" si="26"/>
        <v>4.6552709807361745E-2</v>
      </c>
      <c r="CO57" s="97">
        <f t="shared" si="26"/>
        <v>4.0011562403591626E-2</v>
      </c>
      <c r="CP57" s="97">
        <f t="shared" si="32"/>
        <v>3.4283989934691388E-2</v>
      </c>
      <c r="CQ57" s="97">
        <f t="shared" si="32"/>
        <v>2.9603605078201919E-2</v>
      </c>
      <c r="CR57" s="97">
        <f t="shared" si="32"/>
        <v>2.6024866937993673E-2</v>
      </c>
      <c r="CS57" s="97">
        <f t="shared" si="32"/>
        <v>2.3401468757883293E-2</v>
      </c>
      <c r="CT57" s="97">
        <f t="shared" si="32"/>
        <v>2.1417515432323585E-2</v>
      </c>
      <c r="CU57" s="97">
        <f t="shared" si="32"/>
        <v>1.9677879668707144E-2</v>
      </c>
      <c r="CV57" s="97">
        <f t="shared" si="32"/>
        <v>1.7829874704574075E-2</v>
      </c>
      <c r="CW57" s="97">
        <f t="shared" si="32"/>
        <v>1.5667603436865286E-2</v>
      </c>
      <c r="CX57" s="97">
        <f t="shared" si="32"/>
        <v>1.3176814511398564E-2</v>
      </c>
      <c r="CY57" s="97">
        <f t="shared" si="32"/>
        <v>1.050724324361803E-2</v>
      </c>
      <c r="CZ57" s="97">
        <f t="shared" si="32"/>
        <v>7.8930085414287178E-3</v>
      </c>
      <c r="DA57" s="97">
        <f t="shared" si="32"/>
        <v>5.5607422118498029E-3</v>
      </c>
      <c r="DB57" s="97">
        <f t="shared" si="32"/>
        <v>3.6621050897054099E-3</v>
      </c>
      <c r="DC57" s="97">
        <f t="shared" si="34"/>
        <v>2.2484777124186128E-3</v>
      </c>
      <c r="DD57" s="97">
        <f t="shared" si="34"/>
        <v>1.2841192302917657E-3</v>
      </c>
      <c r="DE57" s="97">
        <f t="shared" si="34"/>
        <v>6.8071096369268344E-4</v>
      </c>
      <c r="DF57" s="97">
        <f t="shared" si="34"/>
        <v>3.3427352762363934E-4</v>
      </c>
      <c r="DG57" s="97">
        <f t="shared" si="34"/>
        <v>1.517829454840573E-4</v>
      </c>
      <c r="DH57" s="97">
        <f t="shared" si="34"/>
        <v>6.3619734623633696E-5</v>
      </c>
      <c r="DI57" s="97">
        <f t="shared" si="34"/>
        <v>2.4578131234206449E-5</v>
      </c>
      <c r="DJ57" s="97">
        <f t="shared" si="34"/>
        <v>8.7400286546248115E-6</v>
      </c>
      <c r="DK57" s="97">
        <f t="shared" si="34"/>
        <v>2.8574687908671655E-6</v>
      </c>
      <c r="DL57" s="97">
        <f t="shared" si="34"/>
        <v>8.5807962921752346E-7</v>
      </c>
    </row>
    <row r="58" spans="1:116" x14ac:dyDescent="0.25">
      <c r="A58" s="60">
        <v>6.3</v>
      </c>
      <c r="B58" s="25">
        <v>3.3</v>
      </c>
      <c r="C58" s="25">
        <v>4.7</v>
      </c>
      <c r="D58" s="57">
        <v>1.6</v>
      </c>
      <c r="E58" s="82" t="s">
        <v>6</v>
      </c>
      <c r="L58" s="97" cm="1">
        <f t="array" ref="L58">EstymacjaGaussowska($O58,$D$2:$D$51,H$9)</f>
        <v>3.9856142580135479E-56</v>
      </c>
      <c r="M58" s="97" cm="1">
        <f t="array" ref="M58">EstymacjaGaussowska($O58,$D$52:$D$101,I$9)</f>
        <v>1.7503767337513945</v>
      </c>
      <c r="N58" s="97" cm="1">
        <f t="array" ref="N58">EstymacjaGaussowska($O58,$D$102:$D$151,J$9)</f>
        <v>0.19176726020392396</v>
      </c>
      <c r="O58" s="97">
        <v>1.4100000000000099</v>
      </c>
      <c r="P58" s="97">
        <f t="shared" si="29"/>
        <v>4.4165267203673167E-40</v>
      </c>
      <c r="Q58" s="97">
        <f t="shared" si="29"/>
        <v>4.2375503072858752E-38</v>
      </c>
      <c r="R58" s="97">
        <f t="shared" si="29"/>
        <v>3.594019169103197E-36</v>
      </c>
      <c r="S58" s="97">
        <f t="shared" si="29"/>
        <v>2.6944953013376358E-34</v>
      </c>
      <c r="T58" s="97">
        <f t="shared" si="29"/>
        <v>1.7856897056653432E-32</v>
      </c>
      <c r="U58" s="97">
        <f t="shared" si="29"/>
        <v>1.0460828634187709E-30</v>
      </c>
      <c r="V58" s="97">
        <f t="shared" si="29"/>
        <v>5.4169860538612335E-29</v>
      </c>
      <c r="W58" s="97">
        <f t="shared" si="29"/>
        <v>2.47959583509468E-27</v>
      </c>
      <c r="X58" s="97">
        <f t="shared" si="29"/>
        <v>1.0033111803639019E-25</v>
      </c>
      <c r="Y58" s="97">
        <f t="shared" si="29"/>
        <v>3.5885748839018163E-24</v>
      </c>
      <c r="Z58" s="97">
        <f t="shared" si="29"/>
        <v>1.1345928381002377E-22</v>
      </c>
      <c r="AA58" s="97">
        <f t="shared" si="29"/>
        <v>3.170953063893821E-21</v>
      </c>
      <c r="AB58" s="97">
        <f t="shared" si="29"/>
        <v>7.8337819792182413E-20</v>
      </c>
      <c r="AC58" s="97">
        <f t="shared" si="29"/>
        <v>1.7107449260663852E-18</v>
      </c>
      <c r="AD58" s="97">
        <f t="shared" si="29"/>
        <v>3.3024139209496069E-17</v>
      </c>
      <c r="AE58" s="97">
        <f t="shared" si="29"/>
        <v>5.6352187329532443E-16</v>
      </c>
      <c r="AF58" s="97">
        <f t="shared" si="27"/>
        <v>8.500098636422536E-15</v>
      </c>
      <c r="AG58" s="97">
        <f t="shared" si="27"/>
        <v>1.1333720070280532E-13</v>
      </c>
      <c r="AH58" s="97">
        <f t="shared" si="27"/>
        <v>1.3358527013407949E-12</v>
      </c>
      <c r="AI58" s="97">
        <f t="shared" si="27"/>
        <v>1.391828760897033E-11</v>
      </c>
      <c r="AJ58" s="97">
        <f t="shared" si="27"/>
        <v>1.2819168374970191E-10</v>
      </c>
      <c r="AK58" s="97">
        <f t="shared" si="27"/>
        <v>1.0437337320827104E-9</v>
      </c>
      <c r="AL58" s="97">
        <f t="shared" si="27"/>
        <v>7.5125907866631811E-9</v>
      </c>
      <c r="AM58" s="97">
        <f t="shared" si="27"/>
        <v>4.7806028826201244E-8</v>
      </c>
      <c r="AN58" s="97">
        <f t="shared" si="27"/>
        <v>2.6897056236626867E-7</v>
      </c>
      <c r="AO58" s="97">
        <f t="shared" si="27"/>
        <v>1.3381771456832256E-6</v>
      </c>
      <c r="AP58" s="97">
        <f t="shared" si="27"/>
        <v>5.888449298894068E-6</v>
      </c>
      <c r="AQ58" s="97">
        <f t="shared" si="27"/>
        <v>2.2925174664179246E-5</v>
      </c>
      <c r="AR58" s="97">
        <f t="shared" si="27"/>
        <v>7.9009771498055587E-5</v>
      </c>
      <c r="AS58" s="97">
        <f t="shared" si="27"/>
        <v>2.4125370728443117E-4</v>
      </c>
      <c r="AT58" s="97">
        <f t="shared" si="27"/>
        <v>6.5354580882548484E-4</v>
      </c>
      <c r="AU58" s="97">
        <f t="shared" si="31"/>
        <v>1.5740061843245487E-3</v>
      </c>
      <c r="AV58" s="97">
        <f t="shared" si="31"/>
        <v>3.3814157582464839E-3</v>
      </c>
      <c r="AW58" s="97">
        <f t="shared" si="31"/>
        <v>6.5124816176094094E-3</v>
      </c>
      <c r="AX58" s="97">
        <f t="shared" si="31"/>
        <v>1.1329379844281324E-2</v>
      </c>
      <c r="AY58" s="97">
        <f t="shared" si="31"/>
        <v>1.7991551691050864E-2</v>
      </c>
      <c r="AZ58" s="97">
        <f t="shared" si="31"/>
        <v>2.6442585579739532E-2</v>
      </c>
      <c r="BA58" s="97">
        <f t="shared" si="31"/>
        <v>3.6540137436140124E-2</v>
      </c>
      <c r="BB58" s="97">
        <f t="shared" si="31"/>
        <v>4.8198147319128547E-2</v>
      </c>
      <c r="BC58" s="97">
        <f t="shared" si="31"/>
        <v>6.1363256256125459E-2</v>
      </c>
      <c r="BD58" s="97">
        <f t="shared" si="31"/>
        <v>7.5828681301490758E-2</v>
      </c>
      <c r="BE58" s="97">
        <f t="shared" si="31"/>
        <v>9.1140108797504518E-2</v>
      </c>
      <c r="BF58" s="97">
        <f t="shared" si="31"/>
        <v>0.10686718002632782</v>
      </c>
      <c r="BG58" s="97">
        <f t="shared" si="31"/>
        <v>0.12320913051798878</v>
      </c>
      <c r="BH58" s="97">
        <f t="shared" si="31"/>
        <v>0.14151011242037503</v>
      </c>
      <c r="BI58" s="97">
        <f t="shared" si="31"/>
        <v>0.16411585107896554</v>
      </c>
      <c r="BJ58" s="97">
        <f t="shared" si="31"/>
        <v>0.19330171039952046</v>
      </c>
      <c r="BK58" s="97">
        <f t="shared" si="30"/>
        <v>0.22967571588854763</v>
      </c>
      <c r="BL58" s="97">
        <f t="shared" si="30"/>
        <v>0.2710997040614197</v>
      </c>
      <c r="BM58" s="97">
        <f t="shared" si="30"/>
        <v>0.3131511686950274</v>
      </c>
      <c r="BN58" s="97">
        <f t="shared" si="30"/>
        <v>0.35117984358055115</v>
      </c>
      <c r="BO58" s="97">
        <f t="shared" si="28"/>
        <v>0.38268644951058456</v>
      </c>
      <c r="BP58" s="97">
        <f t="shared" si="28"/>
        <v>0.40823824394558222</v>
      </c>
      <c r="BQ58" s="97">
        <f t="shared" si="28"/>
        <v>0.43009453255087327</v>
      </c>
      <c r="BR58" s="97">
        <f t="shared" si="28"/>
        <v>0.44950188255710238</v>
      </c>
      <c r="BS58" s="97">
        <f t="shared" si="28"/>
        <v>0.46473856534085034</v>
      </c>
      <c r="BT58" s="97">
        <f t="shared" si="28"/>
        <v>0.47143639580652263</v>
      </c>
      <c r="BU58" s="97">
        <f t="shared" si="28"/>
        <v>0.46493469607574256</v>
      </c>
      <c r="BV58" s="97">
        <f t="shared" si="28"/>
        <v>0.442942884991262</v>
      </c>
      <c r="BW58" s="97">
        <f t="shared" si="28"/>
        <v>0.40677498627622732</v>
      </c>
      <c r="BX58" s="97">
        <f t="shared" si="28"/>
        <v>0.36066434489715349</v>
      </c>
      <c r="BY58" s="97">
        <f t="shared" si="28"/>
        <v>0.30997391208307529</v>
      </c>
      <c r="BZ58" s="97">
        <f t="shared" si="28"/>
        <v>0.25953353739601903</v>
      </c>
      <c r="CA58" s="97">
        <f t="shared" si="26"/>
        <v>0.21284587736969737</v>
      </c>
      <c r="CB58" s="97">
        <f t="shared" si="26"/>
        <v>0.1721220245842934</v>
      </c>
      <c r="CC58" s="97">
        <f t="shared" si="26"/>
        <v>0.1386330362007587</v>
      </c>
      <c r="CD58" s="97">
        <f t="shared" si="26"/>
        <v>0.11290782682869549</v>
      </c>
      <c r="CE58" s="97">
        <f t="shared" si="26"/>
        <v>9.4683999523155871E-2</v>
      </c>
      <c r="CF58" s="97">
        <f t="shared" si="26"/>
        <v>8.2845508299427606E-2</v>
      </c>
      <c r="CG58" s="97">
        <f t="shared" si="26"/>
        <v>7.5601882216354513E-2</v>
      </c>
      <c r="CH58" s="97">
        <f t="shared" si="26"/>
        <v>7.0932908682589821E-2</v>
      </c>
      <c r="CI58" s="97">
        <f t="shared" si="26"/>
        <v>6.709604614863228E-2</v>
      </c>
      <c r="CJ58" s="97">
        <f t="shared" si="26"/>
        <v>6.2958443328840999E-2</v>
      </c>
      <c r="CK58" s="97">
        <f t="shared" si="26"/>
        <v>5.8052130148335261E-2</v>
      </c>
      <c r="CL58" s="97">
        <f t="shared" si="26"/>
        <v>5.2416259236808989E-2</v>
      </c>
      <c r="CM58" s="97">
        <f t="shared" si="26"/>
        <v>4.6367978687572822E-2</v>
      </c>
      <c r="CN58" s="97">
        <f t="shared" si="26"/>
        <v>4.0315732209739989E-2</v>
      </c>
      <c r="CO58" s="97">
        <f t="shared" si="26"/>
        <v>3.4650687098682124E-2</v>
      </c>
      <c r="CP58" s="97">
        <f t="shared" si="32"/>
        <v>2.9690458864395766E-2</v>
      </c>
      <c r="CQ58" s="97">
        <f t="shared" si="32"/>
        <v>2.563716401865122E-2</v>
      </c>
      <c r="CR58" s="97">
        <f t="shared" si="32"/>
        <v>2.2537921670790169E-2</v>
      </c>
      <c r="CS58" s="97">
        <f t="shared" si="32"/>
        <v>2.0266019596299728E-2</v>
      </c>
      <c r="CT58" s="97">
        <f t="shared" si="32"/>
        <v>1.8547886510343815E-2</v>
      </c>
      <c r="CU58" s="97">
        <f t="shared" si="32"/>
        <v>1.7041336094008395E-2</v>
      </c>
      <c r="CV58" s="97">
        <f t="shared" si="32"/>
        <v>1.5440936343910409E-2</v>
      </c>
      <c r="CW58" s="97">
        <f t="shared" si="32"/>
        <v>1.35683773070857E-2</v>
      </c>
      <c r="CX58" s="97">
        <f t="shared" si="32"/>
        <v>1.1411317098786207E-2</v>
      </c>
      <c r="CY58" s="97">
        <f t="shared" si="32"/>
        <v>9.0994287263649262E-3</v>
      </c>
      <c r="CZ58" s="97">
        <f t="shared" si="32"/>
        <v>6.8354626417299162E-3</v>
      </c>
      <c r="DA58" s="97">
        <f t="shared" si="32"/>
        <v>4.8156853562088828E-3</v>
      </c>
      <c r="DB58" s="97">
        <f t="shared" si="32"/>
        <v>3.1714374055699704E-3</v>
      </c>
      <c r="DC58" s="97">
        <f t="shared" si="34"/>
        <v>1.9472150984417595E-3</v>
      </c>
      <c r="DD58" s="97">
        <f t="shared" si="34"/>
        <v>1.1120663280819801E-3</v>
      </c>
      <c r="DE58" s="97">
        <f t="shared" si="34"/>
        <v>5.8950580601995265E-4</v>
      </c>
      <c r="DF58" s="97">
        <f t="shared" si="34"/>
        <v>2.8948584031014696E-4</v>
      </c>
      <c r="DG58" s="97">
        <f t="shared" si="34"/>
        <v>1.314462854135215E-4</v>
      </c>
      <c r="DH58" s="97">
        <f t="shared" si="34"/>
        <v>5.5095635208561837E-5</v>
      </c>
      <c r="DI58" s="97">
        <f t="shared" si="34"/>
        <v>2.1285026738935099E-5</v>
      </c>
      <c r="DJ58" s="97">
        <f t="shared" si="34"/>
        <v>7.5689946416202562E-6</v>
      </c>
      <c r="DK58" s="97">
        <f t="shared" si="34"/>
        <v>2.4746104184940035E-6</v>
      </c>
      <c r="DL58" s="97">
        <f t="shared" si="34"/>
        <v>7.4310970504589688E-7</v>
      </c>
    </row>
    <row r="59" spans="1:116" x14ac:dyDescent="0.25">
      <c r="A59" s="60">
        <v>4.9000000000000004</v>
      </c>
      <c r="B59" s="25">
        <v>2.4</v>
      </c>
      <c r="C59" s="25">
        <v>3.3</v>
      </c>
      <c r="D59" s="57">
        <v>1</v>
      </c>
      <c r="E59" s="82" t="s">
        <v>6</v>
      </c>
      <c r="L59" s="97" cm="1">
        <f t="array" ref="L59">EstymacjaGaussowska($O59,$D$2:$D$51,H$9)</f>
        <v>3.7114592953449282E-52</v>
      </c>
      <c r="M59" s="97" cm="1">
        <f t="array" ref="M59">EstymacjaGaussowska($O59,$D$52:$D$101,I$9)</f>
        <v>1.8075317462617229</v>
      </c>
      <c r="N59" s="97" cm="1">
        <f t="array" ref="N59">EstymacjaGaussowska($O59,$D$102:$D$151,J$9)</f>
        <v>0.1624444823276055</v>
      </c>
      <c r="O59" s="97">
        <v>1.3800000000000101</v>
      </c>
      <c r="P59" s="97">
        <f t="shared" si="29"/>
        <v>4.5607394690215992E-40</v>
      </c>
      <c r="Q59" s="97">
        <f t="shared" si="29"/>
        <v>4.3759189431092022E-38</v>
      </c>
      <c r="R59" s="97">
        <f t="shared" si="29"/>
        <v>3.7113745970013994E-36</v>
      </c>
      <c r="S59" s="97">
        <f t="shared" si="29"/>
        <v>2.7824785964120133E-34</v>
      </c>
      <c r="T59" s="97">
        <f t="shared" si="29"/>
        <v>1.8439977918612393E-32</v>
      </c>
      <c r="U59" s="97">
        <f t="shared" si="29"/>
        <v>1.0802405838641297E-30</v>
      </c>
      <c r="V59" s="97">
        <f t="shared" si="29"/>
        <v>5.5938667788541702E-29</v>
      </c>
      <c r="W59" s="97">
        <f t="shared" si="29"/>
        <v>2.5605620226831422E-27</v>
      </c>
      <c r="X59" s="97">
        <f t="shared" si="29"/>
        <v>1.0360722779948968E-25</v>
      </c>
      <c r="Y59" s="97">
        <f t="shared" si="29"/>
        <v>3.7057525396765703E-24</v>
      </c>
      <c r="Z59" s="97">
        <f t="shared" si="29"/>
        <v>1.1716406727779571E-22</v>
      </c>
      <c r="AA59" s="97">
        <f t="shared" si="29"/>
        <v>3.2744941236793294E-21</v>
      </c>
      <c r="AB59" s="97">
        <f t="shared" si="29"/>
        <v>8.089578287745385E-20</v>
      </c>
      <c r="AC59" s="97">
        <f t="shared" si="29"/>
        <v>1.7666058420428839E-18</v>
      </c>
      <c r="AD59" s="97">
        <f t="shared" si="29"/>
        <v>3.4102475691732277E-17</v>
      </c>
      <c r="AE59" s="97">
        <f t="shared" si="29"/>
        <v>5.8192254047570327E-16</v>
      </c>
      <c r="AF59" s="97">
        <f t="shared" si="27"/>
        <v>8.7776521679200339E-15</v>
      </c>
      <c r="AG59" s="97">
        <f t="shared" si="27"/>
        <v>1.1703799779359576E-13</v>
      </c>
      <c r="AH59" s="97">
        <f t="shared" si="27"/>
        <v>1.3794722698513149E-12</v>
      </c>
      <c r="AI59" s="97">
        <f t="shared" si="27"/>
        <v>1.4372761144337851E-11</v>
      </c>
      <c r="AJ59" s="97">
        <f t="shared" si="27"/>
        <v>1.3237752394464759E-10</v>
      </c>
      <c r="AK59" s="97">
        <f t="shared" si="27"/>
        <v>1.0778147463948624E-9</v>
      </c>
      <c r="AL59" s="97">
        <f t="shared" si="27"/>
        <v>7.7578992463320107E-9</v>
      </c>
      <c r="AM59" s="97">
        <f t="shared" si="27"/>
        <v>4.9367038020933109E-8</v>
      </c>
      <c r="AN59" s="97">
        <f t="shared" si="27"/>
        <v>2.7775325214985993E-7</v>
      </c>
      <c r="AO59" s="97">
        <f t="shared" si="27"/>
        <v>1.3818726142230988E-6</v>
      </c>
      <c r="AP59" s="97">
        <f t="shared" si="27"/>
        <v>6.0807247027286602E-6</v>
      </c>
      <c r="AQ59" s="97">
        <f t="shared" si="27"/>
        <v>2.3673749881997875E-5</v>
      </c>
      <c r="AR59" s="97">
        <f t="shared" si="27"/>
        <v>8.1589675807415896E-5</v>
      </c>
      <c r="AS59" s="97">
        <f t="shared" si="27"/>
        <v>2.4913135921622337E-4</v>
      </c>
      <c r="AT59" s="97">
        <f t="shared" si="27"/>
        <v>6.7488602556807942E-4</v>
      </c>
      <c r="AU59" s="97">
        <f t="shared" si="31"/>
        <v>1.6254021732115573E-3</v>
      </c>
      <c r="AV59" s="97">
        <f t="shared" si="31"/>
        <v>3.4918290517018773E-3</v>
      </c>
      <c r="AW59" s="97">
        <f t="shared" si="31"/>
        <v>6.7251335348320722E-3</v>
      </c>
      <c r="AX59" s="97">
        <f t="shared" si="31"/>
        <v>1.1699317831910753E-2</v>
      </c>
      <c r="AY59" s="97">
        <f t="shared" si="31"/>
        <v>1.8579029426762102E-2</v>
      </c>
      <c r="AZ59" s="97">
        <f t="shared" si="31"/>
        <v>2.730601473129398E-2</v>
      </c>
      <c r="BA59" s="97">
        <f t="shared" si="31"/>
        <v>3.7733281691763272E-2</v>
      </c>
      <c r="BB59" s="97">
        <f t="shared" si="31"/>
        <v>4.9771960144690812E-2</v>
      </c>
      <c r="BC59" s="97">
        <f t="shared" si="31"/>
        <v>6.3366948289756087E-2</v>
      </c>
      <c r="BD59" s="97">
        <f t="shared" si="31"/>
        <v>7.8304709035490624E-2</v>
      </c>
      <c r="BE59" s="97">
        <f t="shared" si="31"/>
        <v>9.4116086264009635E-2</v>
      </c>
      <c r="BF59" s="97">
        <f t="shared" si="31"/>
        <v>0.11035664235803816</v>
      </c>
      <c r="BG59" s="97">
        <f t="shared" si="31"/>
        <v>0.12723203736608904</v>
      </c>
      <c r="BH59" s="97">
        <f t="shared" si="31"/>
        <v>0.14613008926327739</v>
      </c>
      <c r="BI59" s="97">
        <f t="shared" si="31"/>
        <v>0.1694725576992468</v>
      </c>
      <c r="BJ59" s="97">
        <f t="shared" si="31"/>
        <v>0.19960784721991232</v>
      </c>
      <c r="BK59" s="97">
        <f t="shared" si="30"/>
        <v>0.23716130863215165</v>
      </c>
      <c r="BL59" s="97">
        <f t="shared" si="30"/>
        <v>0.27992039551552411</v>
      </c>
      <c r="BM59" s="97">
        <f t="shared" si="30"/>
        <v>0.32331077277607767</v>
      </c>
      <c r="BN59" s="97">
        <f t="shared" si="30"/>
        <v>0.36251936709374705</v>
      </c>
      <c r="BO59" s="97">
        <f t="shared" si="28"/>
        <v>0.39495026834231894</v>
      </c>
      <c r="BP59" s="97">
        <f t="shared" si="28"/>
        <v>0.42116951116241269</v>
      </c>
      <c r="BQ59" s="97">
        <f t="shared" si="28"/>
        <v>0.44348440379144388</v>
      </c>
      <c r="BR59" s="97">
        <f t="shared" si="28"/>
        <v>0.46314860022012233</v>
      </c>
      <c r="BS59" s="97">
        <f t="shared" si="28"/>
        <v>0.47834212798963094</v>
      </c>
      <c r="BT59" s="97">
        <f t="shared" si="28"/>
        <v>0.48450802456121583</v>
      </c>
      <c r="BU59" s="97">
        <f t="shared" si="28"/>
        <v>0.47679575887626613</v>
      </c>
      <c r="BV59" s="97">
        <f t="shared" si="28"/>
        <v>0.45283133764367106</v>
      </c>
      <c r="BW59" s="97">
        <f t="shared" si="28"/>
        <v>0.41401370731162057</v>
      </c>
      <c r="BX59" s="97">
        <f t="shared" si="28"/>
        <v>0.36481722490606211</v>
      </c>
      <c r="BY59" s="97">
        <f t="shared" si="28"/>
        <v>0.31093055422887134</v>
      </c>
      <c r="BZ59" s="97">
        <f t="shared" si="28"/>
        <v>0.25750147701970344</v>
      </c>
      <c r="CA59" s="97">
        <f t="shared" si="26"/>
        <v>0.20826589678373938</v>
      </c>
      <c r="CB59" s="97">
        <f t="shared" si="26"/>
        <v>0.16554447059384877</v>
      </c>
      <c r="CC59" s="97">
        <f t="shared" si="26"/>
        <v>0.13059874923711307</v>
      </c>
      <c r="CD59" s="97">
        <f t="shared" si="26"/>
        <v>0.10386871630603148</v>
      </c>
      <c r="CE59" s="97">
        <f t="shared" si="26"/>
        <v>8.4979502112659311E-2</v>
      </c>
      <c r="CF59" s="97">
        <f t="shared" si="26"/>
        <v>7.272814397570912E-2</v>
      </c>
      <c r="CG59" s="97">
        <f t="shared" si="26"/>
        <v>6.5286403233374951E-2</v>
      </c>
      <c r="CH59" s="97">
        <f t="shared" si="26"/>
        <v>6.0637832718679174E-2</v>
      </c>
      <c r="CI59" s="97">
        <f t="shared" si="26"/>
        <v>5.7056743032708815E-2</v>
      </c>
      <c r="CJ59" s="97">
        <f t="shared" si="26"/>
        <v>5.3410651615911721E-2</v>
      </c>
      <c r="CK59" s="97">
        <f t="shared" si="26"/>
        <v>4.9200904981305457E-2</v>
      </c>
      <c r="CL59" s="97">
        <f t="shared" si="26"/>
        <v>4.44086836449092E-2</v>
      </c>
      <c r="CM59" s="97">
        <f t="shared" si="26"/>
        <v>3.9279803952102149E-2</v>
      </c>
      <c r="CN59" s="97">
        <f t="shared" si="26"/>
        <v>3.4151553123891606E-2</v>
      </c>
      <c r="CO59" s="97">
        <f t="shared" si="26"/>
        <v>2.9352400488333541E-2</v>
      </c>
      <c r="CP59" s="97">
        <f t="shared" si="32"/>
        <v>2.5150561037521241E-2</v>
      </c>
      <c r="CQ59" s="97">
        <f t="shared" si="32"/>
        <v>2.1717035039848415E-2</v>
      </c>
      <c r="CR59" s="97">
        <f t="shared" si="32"/>
        <v>1.9091690006527117E-2</v>
      </c>
      <c r="CS59" s="97">
        <f t="shared" si="32"/>
        <v>1.7167179981627954E-2</v>
      </c>
      <c r="CT59" s="97">
        <f t="shared" si="32"/>
        <v>1.5711763416573973E-2</v>
      </c>
      <c r="CU59" s="97">
        <f t="shared" si="32"/>
        <v>1.4435576839909552E-2</v>
      </c>
      <c r="CV59" s="97">
        <f t="shared" si="32"/>
        <v>1.3079891261837995E-2</v>
      </c>
      <c r="CW59" s="97">
        <f t="shared" si="32"/>
        <v>1.1493661771732774E-2</v>
      </c>
      <c r="CX59" s="97">
        <f t="shared" si="32"/>
        <v>9.6664336593081743E-3</v>
      </c>
      <c r="CY59" s="97">
        <f t="shared" si="32"/>
        <v>7.7080518716252152E-3</v>
      </c>
      <c r="CZ59" s="97">
        <f t="shared" si="32"/>
        <v>5.7902646631376462E-3</v>
      </c>
      <c r="DA59" s="97">
        <f t="shared" si="32"/>
        <v>4.0793277951101234E-3</v>
      </c>
      <c r="DB59" s="97">
        <f t="shared" si="32"/>
        <v>2.6864987643582991E-3</v>
      </c>
      <c r="DC59" s="97">
        <f t="shared" si="34"/>
        <v>1.6494700310704892E-3</v>
      </c>
      <c r="DD59" s="97">
        <f t="shared" si="34"/>
        <v>9.4202231802830902E-4</v>
      </c>
      <c r="DE59" s="97">
        <f t="shared" si="34"/>
        <v>4.9936556107750833E-4</v>
      </c>
      <c r="DF59" s="97">
        <f t="shared" si="34"/>
        <v>2.4522109467667861E-4</v>
      </c>
      <c r="DG59" s="97">
        <f t="shared" si="34"/>
        <v>1.1134707647791309E-4</v>
      </c>
      <c r="DH59" s="97">
        <f t="shared" si="34"/>
        <v>4.6671063300628452E-5</v>
      </c>
      <c r="DI59" s="97">
        <f t="shared" si="34"/>
        <v>1.8030372579024844E-5</v>
      </c>
      <c r="DJ59" s="97">
        <f t="shared" si="34"/>
        <v>6.4116336385623731E-6</v>
      </c>
      <c r="DK59" s="97">
        <f t="shared" si="34"/>
        <v>2.0962223059728113E-6</v>
      </c>
      <c r="DL59" s="97">
        <f t="shared" si="34"/>
        <v>6.2948217135935424E-7</v>
      </c>
    </row>
    <row r="60" spans="1:116" x14ac:dyDescent="0.25">
      <c r="A60" s="60">
        <v>6.6</v>
      </c>
      <c r="B60" s="25">
        <v>2.9</v>
      </c>
      <c r="C60" s="25">
        <v>4.5999999999999996</v>
      </c>
      <c r="D60" s="57">
        <v>1.3</v>
      </c>
      <c r="E60" s="82" t="s">
        <v>6</v>
      </c>
      <c r="L60" s="97" cm="1">
        <f t="array" ref="L60">EstymacjaGaussowska($O60,$D$2:$D$51,H$9)</f>
        <v>2.448041013001211E-48</v>
      </c>
      <c r="M60" s="97" cm="1">
        <f t="array" ref="M60">EstymacjaGaussowska($O60,$D$52:$D$101,I$9)</f>
        <v>1.8375016062664875</v>
      </c>
      <c r="N60" s="97" cm="1">
        <f t="array" ref="N60">EstymacjaGaussowska($O60,$D$102:$D$151,J$9)</f>
        <v>0.13379876851028488</v>
      </c>
      <c r="O60" s="97">
        <v>1.3500000000000101</v>
      </c>
      <c r="P60" s="97">
        <f t="shared" si="29"/>
        <v>4.6363590113546552E-40</v>
      </c>
      <c r="Q60" s="97">
        <f t="shared" si="29"/>
        <v>4.448474060544019E-38</v>
      </c>
      <c r="R60" s="97">
        <f t="shared" si="29"/>
        <v>3.7729112075353014E-36</v>
      </c>
      <c r="S60" s="97">
        <f t="shared" si="29"/>
        <v>2.8286136057545529E-34</v>
      </c>
      <c r="T60" s="97">
        <f t="shared" si="29"/>
        <v>1.874572278746724E-32</v>
      </c>
      <c r="U60" s="97">
        <f t="shared" si="29"/>
        <v>1.0981515606073205E-30</v>
      </c>
      <c r="V60" s="97">
        <f t="shared" si="29"/>
        <v>5.686616134208113E-29</v>
      </c>
      <c r="W60" s="97">
        <f t="shared" si="29"/>
        <v>2.6030175344671208E-27</v>
      </c>
      <c r="X60" s="97">
        <f t="shared" si="29"/>
        <v>1.0532509201905555E-25</v>
      </c>
      <c r="Y60" s="97">
        <f t="shared" si="29"/>
        <v>3.767195933440525E-24</v>
      </c>
      <c r="Z60" s="97">
        <f t="shared" si="29"/>
        <v>1.1910671127349122E-22</v>
      </c>
      <c r="AA60" s="97">
        <f t="shared" si="29"/>
        <v>3.3287870182168972E-21</v>
      </c>
      <c r="AB60" s="97">
        <f t="shared" si="29"/>
        <v>8.2237078980732394E-20</v>
      </c>
      <c r="AC60" s="97">
        <f t="shared" si="29"/>
        <v>1.7958971282839824E-18</v>
      </c>
      <c r="AD60" s="97">
        <f t="shared" si="29"/>
        <v>3.4667913297135814E-17</v>
      </c>
      <c r="AE60" s="97">
        <f t="shared" ref="AE60:AT75" si="35">$H$2*$L60*AE$1+$I$2*$M60*AE$2+$J$2*$N60*AE$3</f>
        <v>5.9157113287677324E-16</v>
      </c>
      <c r="AF60" s="97">
        <f t="shared" si="35"/>
        <v>8.923190417628313E-15</v>
      </c>
      <c r="AG60" s="97">
        <f t="shared" si="35"/>
        <v>1.1897855148863671E-13</v>
      </c>
      <c r="AH60" s="97">
        <f t="shared" si="35"/>
        <v>1.4023446707888927E-12</v>
      </c>
      <c r="AI60" s="97">
        <f t="shared" si="35"/>
        <v>1.4611069345711676E-11</v>
      </c>
      <c r="AJ60" s="97">
        <f t="shared" si="35"/>
        <v>1.3457241533098341E-10</v>
      </c>
      <c r="AK60" s="97">
        <f t="shared" si="35"/>
        <v>1.0956855014326816E-9</v>
      </c>
      <c r="AL60" s="97">
        <f t="shared" si="35"/>
        <v>7.8865294376547887E-9</v>
      </c>
      <c r="AM60" s="97">
        <f t="shared" si="35"/>
        <v>5.0185570376670237E-8</v>
      </c>
      <c r="AN60" s="97">
        <f t="shared" si="35"/>
        <v>2.8235855222274397E-7</v>
      </c>
      <c r="AO60" s="97">
        <f t="shared" si="35"/>
        <v>1.4047848141766189E-6</v>
      </c>
      <c r="AP60" s="97">
        <f t="shared" si="35"/>
        <v>6.18154642740663E-6</v>
      </c>
      <c r="AQ60" s="97">
        <f t="shared" si="35"/>
        <v>2.4066273538203979E-5</v>
      </c>
      <c r="AR60" s="97">
        <f t="shared" si="35"/>
        <v>8.2942477033086867E-5</v>
      </c>
      <c r="AS60" s="97">
        <f t="shared" si="35"/>
        <v>2.5326209272834288E-4</v>
      </c>
      <c r="AT60" s="97">
        <f t="shared" si="35"/>
        <v>6.860760031423259E-4</v>
      </c>
      <c r="AU60" s="97">
        <f t="shared" si="31"/>
        <v>1.6523522257807237E-3</v>
      </c>
      <c r="AV60" s="97">
        <f t="shared" si="31"/>
        <v>3.5497254776168615E-3</v>
      </c>
      <c r="AW60" s="97">
        <f t="shared" si="31"/>
        <v>6.8366399086142041E-3</v>
      </c>
      <c r="AX60" s="97">
        <f t="shared" si="31"/>
        <v>1.1893298888157879E-2</v>
      </c>
      <c r="AY60" s="97">
        <f t="shared" si="31"/>
        <v>1.8887079844389545E-2</v>
      </c>
      <c r="AZ60" s="97">
        <f t="shared" si="31"/>
        <v>2.7758763309583764E-2</v>
      </c>
      <c r="BA60" s="97">
        <f t="shared" si="31"/>
        <v>3.8358920002686377E-2</v>
      </c>
      <c r="BB60" s="97">
        <f t="shared" si="31"/>
        <v>5.0597206148536945E-2</v>
      </c>
      <c r="BC60" s="97">
        <f t="shared" si="31"/>
        <v>6.4417605890043139E-2</v>
      </c>
      <c r="BD60" s="97">
        <f t="shared" si="31"/>
        <v>7.9603039754237673E-2</v>
      </c>
      <c r="BE60" s="97">
        <f t="shared" si="31"/>
        <v>9.5676565919645462E-2</v>
      </c>
      <c r="BF60" s="97">
        <f t="shared" si="31"/>
        <v>0.11218635449597759</v>
      </c>
      <c r="BG60" s="97">
        <f t="shared" si="31"/>
        <v>0.12934140404984387</v>
      </c>
      <c r="BH60" s="97">
        <f t="shared" si="31"/>
        <v>0.14855234540368251</v>
      </c>
      <c r="BI60" s="97">
        <f t="shared" si="31"/>
        <v>0.17228059857075845</v>
      </c>
      <c r="BJ60" s="97">
        <f t="shared" si="31"/>
        <v>0.20291239909424327</v>
      </c>
      <c r="BK60" s="97">
        <f t="shared" si="30"/>
        <v>0.24108123956281613</v>
      </c>
      <c r="BL60" s="97">
        <f t="shared" si="30"/>
        <v>0.28453386749230702</v>
      </c>
      <c r="BM60" s="97">
        <f t="shared" si="30"/>
        <v>0.32861356729800623</v>
      </c>
      <c r="BN60" s="97">
        <f t="shared" si="30"/>
        <v>0.36841780804377305</v>
      </c>
      <c r="BO60" s="97">
        <f t="shared" si="28"/>
        <v>0.40129440819275086</v>
      </c>
      <c r="BP60" s="97">
        <f t="shared" si="28"/>
        <v>0.42780139781751741</v>
      </c>
      <c r="BQ60" s="97">
        <f t="shared" si="28"/>
        <v>0.45026164564649485</v>
      </c>
      <c r="BR60" s="97">
        <f t="shared" si="28"/>
        <v>0.4699199852876878</v>
      </c>
      <c r="BS60" s="97">
        <f t="shared" si="28"/>
        <v>0.48488925758902235</v>
      </c>
      <c r="BT60" s="97">
        <f t="shared" si="28"/>
        <v>0.49049630501856972</v>
      </c>
      <c r="BU60" s="97">
        <f t="shared" si="28"/>
        <v>0.48177699790849521</v>
      </c>
      <c r="BV60" s="97">
        <f t="shared" si="28"/>
        <v>0.4563103911807101</v>
      </c>
      <c r="BW60" s="97">
        <f t="shared" si="28"/>
        <v>0.41555562979892879</v>
      </c>
      <c r="BX60" s="97">
        <f t="shared" si="28"/>
        <v>0.36415177653771147</v>
      </c>
      <c r="BY60" s="97">
        <f t="shared" si="28"/>
        <v>0.30801444568644415</v>
      </c>
      <c r="BZ60" s="97">
        <f t="shared" si="28"/>
        <v>0.25251787976940249</v>
      </c>
      <c r="CA60" s="97">
        <f t="shared" si="26"/>
        <v>0.20156461804028275</v>
      </c>
      <c r="CB60" s="97">
        <f t="shared" si="26"/>
        <v>0.1575467031422354</v>
      </c>
      <c r="CC60" s="97">
        <f t="shared" si="26"/>
        <v>0.12170167865980949</v>
      </c>
      <c r="CD60" s="97">
        <f t="shared" si="26"/>
        <v>9.4383292097573679E-2</v>
      </c>
      <c r="CE60" s="97">
        <f t="shared" si="26"/>
        <v>7.5118949883335312E-2</v>
      </c>
      <c r="CF60" s="97">
        <f t="shared" si="26"/>
        <v>6.2641290949827774E-2</v>
      </c>
      <c r="CG60" s="97">
        <f t="shared" si="26"/>
        <v>5.5109990734010898E-2</v>
      </c>
      <c r="CH60" s="97">
        <f t="shared" si="26"/>
        <v>5.0536580349409319E-2</v>
      </c>
      <c r="CI60" s="97">
        <f t="shared" si="26"/>
        <v>4.7231709940188563E-2</v>
      </c>
      <c r="CJ60" s="97">
        <f t="shared" si="26"/>
        <v>4.4077022261620198E-2</v>
      </c>
      <c r="CK60" s="97">
        <f t="shared" si="26"/>
        <v>4.0552030716920789E-2</v>
      </c>
      <c r="CL60" s="97">
        <f t="shared" si="26"/>
        <v>3.6585422115499422E-2</v>
      </c>
      <c r="CM60" s="97">
        <f t="shared" si="26"/>
        <v>3.2355146738395582E-2</v>
      </c>
      <c r="CN60" s="97">
        <f t="shared" si="26"/>
        <v>2.8129671313188869E-2</v>
      </c>
      <c r="CO60" s="97">
        <f t="shared" si="26"/>
        <v>2.4176444668386005E-2</v>
      </c>
      <c r="CP60" s="97">
        <f t="shared" si="32"/>
        <v>2.0715488394326964E-2</v>
      </c>
      <c r="CQ60" s="97">
        <f t="shared" si="32"/>
        <v>1.7887421792607848E-2</v>
      </c>
      <c r="CR60" s="97">
        <f t="shared" si="32"/>
        <v>1.572503193508526E-2</v>
      </c>
      <c r="CS60" s="97">
        <f t="shared" si="32"/>
        <v>1.4139892688327606E-2</v>
      </c>
      <c r="CT60" s="97">
        <f t="shared" si="32"/>
        <v>1.2941126512773082E-2</v>
      </c>
      <c r="CU60" s="97">
        <f t="shared" si="32"/>
        <v>1.1889984666286097E-2</v>
      </c>
      <c r="CV60" s="97">
        <f t="shared" si="32"/>
        <v>1.0773362800714371E-2</v>
      </c>
      <c r="CW60" s="97">
        <f t="shared" si="32"/>
        <v>9.4668514971825417E-3</v>
      </c>
      <c r="CX60" s="97">
        <f t="shared" si="32"/>
        <v>7.9618396449655671E-3</v>
      </c>
      <c r="CY60" s="97">
        <f t="shared" si="32"/>
        <v>6.3488019615030693E-3</v>
      </c>
      <c r="CZ60" s="97">
        <f t="shared" si="32"/>
        <v>4.7692003457157775E-3</v>
      </c>
      <c r="DA60" s="97">
        <f t="shared" si="32"/>
        <v>3.3599727581683238E-3</v>
      </c>
      <c r="DB60" s="97">
        <f t="shared" si="32"/>
        <v>2.2127573748588819E-3</v>
      </c>
      <c r="DC60" s="97">
        <f t="shared" si="34"/>
        <v>1.3585999086553643E-3</v>
      </c>
      <c r="DD60" s="97">
        <f t="shared" si="34"/>
        <v>7.7590463064914109E-4</v>
      </c>
      <c r="DE60" s="97">
        <f t="shared" si="34"/>
        <v>4.1130665782708296E-4</v>
      </c>
      <c r="DF60" s="97">
        <f t="shared" si="34"/>
        <v>2.0197842370733358E-4</v>
      </c>
      <c r="DG60" s="97">
        <f t="shared" si="34"/>
        <v>9.1711959042843557E-5</v>
      </c>
      <c r="DH60" s="97">
        <f t="shared" si="34"/>
        <v>3.8441015079208112E-5</v>
      </c>
      <c r="DI60" s="97">
        <f t="shared" si="34"/>
        <v>1.4850868507739814E-5</v>
      </c>
      <c r="DJ60" s="97">
        <f t="shared" si="34"/>
        <v>5.2809961451856466E-6</v>
      </c>
      <c r="DK60" s="97">
        <f t="shared" si="34"/>
        <v>1.7265711893945248E-6</v>
      </c>
      <c r="DL60" s="97">
        <f t="shared" si="34"/>
        <v>5.1847830175730669E-7</v>
      </c>
    </row>
    <row r="61" spans="1:116" x14ac:dyDescent="0.25">
      <c r="A61" s="60">
        <v>5.2</v>
      </c>
      <c r="B61" s="25">
        <v>2.7</v>
      </c>
      <c r="C61" s="25">
        <v>3.9</v>
      </c>
      <c r="D61" s="57">
        <v>1.4</v>
      </c>
      <c r="E61" s="82" t="s">
        <v>6</v>
      </c>
      <c r="L61" s="97" cm="1">
        <f t="array" ref="L61">EstymacjaGaussowska($O61,$D$2:$D$51,H$9)</f>
        <v>1.1437134449854793E-44</v>
      </c>
      <c r="M61" s="97" cm="1">
        <f t="array" ref="M61">EstymacjaGaussowska($O61,$D$52:$D$101,I$9)</f>
        <v>1.8266288375155293</v>
      </c>
      <c r="N61" s="97" cm="1">
        <f t="array" ref="N61">EstymacjaGaussowska($O61,$D$102:$D$151,J$9)</f>
        <v>0.10668648828072912</v>
      </c>
      <c r="O61" s="97">
        <v>1.3200000000000101</v>
      </c>
      <c r="P61" s="97">
        <f t="shared" ref="P61:AE76" si="36">$H$2*$L61*P$1+$I$2*$M61*P$2+$J$2*$N61*P$3</f>
        <v>4.6089249894169517E-40</v>
      </c>
      <c r="Q61" s="97">
        <f t="shared" si="36"/>
        <v>4.4221517816464213E-38</v>
      </c>
      <c r="R61" s="97">
        <f t="shared" si="36"/>
        <v>3.7505863339474197E-36</v>
      </c>
      <c r="S61" s="97">
        <f t="shared" si="36"/>
        <v>2.8118762807278432E-34</v>
      </c>
      <c r="T61" s="97">
        <f t="shared" si="36"/>
        <v>1.8634801573443475E-32</v>
      </c>
      <c r="U61" s="97">
        <f t="shared" si="36"/>
        <v>1.0916536354184292E-30</v>
      </c>
      <c r="V61" s="97">
        <f t="shared" si="36"/>
        <v>5.6529675855527796E-29</v>
      </c>
      <c r="W61" s="97">
        <f t="shared" si="36"/>
        <v>2.5876150947574461E-27</v>
      </c>
      <c r="X61" s="97">
        <f t="shared" si="36"/>
        <v>1.0470186787313309E-25</v>
      </c>
      <c r="Y61" s="97">
        <f t="shared" si="36"/>
        <v>3.7449048779746893E-24</v>
      </c>
      <c r="Z61" s="97">
        <f t="shared" si="36"/>
        <v>1.1840193924828734E-22</v>
      </c>
      <c r="AA61" s="97">
        <f t="shared" si="36"/>
        <v>3.3090900931383921E-21</v>
      </c>
      <c r="AB61" s="97">
        <f t="shared" si="36"/>
        <v>8.1750470022425929E-20</v>
      </c>
      <c r="AC61" s="97">
        <f t="shared" si="36"/>
        <v>1.7852705393821006E-18</v>
      </c>
      <c r="AD61" s="97">
        <f t="shared" si="36"/>
        <v>3.4462778127146E-17</v>
      </c>
      <c r="AE61" s="97">
        <f t="shared" si="36"/>
        <v>5.88070718996548E-16</v>
      </c>
      <c r="AF61" s="97">
        <f t="shared" si="35"/>
        <v>8.8703905802835356E-15</v>
      </c>
      <c r="AG61" s="97">
        <f t="shared" si="35"/>
        <v>1.1827453780383328E-13</v>
      </c>
      <c r="AH61" s="97">
        <f t="shared" si="35"/>
        <v>1.3940467899801753E-12</v>
      </c>
      <c r="AI61" s="97">
        <f t="shared" si="35"/>
        <v>1.4524613487573453E-11</v>
      </c>
      <c r="AJ61" s="97">
        <f t="shared" si="35"/>
        <v>1.3377613044766046E-10</v>
      </c>
      <c r="AK61" s="97">
        <f t="shared" si="35"/>
        <v>1.0892021682806303E-9</v>
      </c>
      <c r="AL61" s="97">
        <f t="shared" si="35"/>
        <v>7.839863676639497E-9</v>
      </c>
      <c r="AM61" s="97">
        <f t="shared" si="35"/>
        <v>4.988861493484662E-8</v>
      </c>
      <c r="AN61" s="97">
        <f t="shared" si="35"/>
        <v>2.8068779491145594E-7</v>
      </c>
      <c r="AO61" s="97">
        <f t="shared" si="35"/>
        <v>1.3964724946786054E-6</v>
      </c>
      <c r="AP61" s="97">
        <f t="shared" si="35"/>
        <v>6.1449693030115846E-6</v>
      </c>
      <c r="AQ61" s="97">
        <f t="shared" si="35"/>
        <v>2.3923869838535996E-5</v>
      </c>
      <c r="AR61" s="97">
        <f t="shared" si="35"/>
        <v>8.2451694130183711E-5</v>
      </c>
      <c r="AS61" s="97">
        <f t="shared" si="35"/>
        <v>2.5176350347093422E-4</v>
      </c>
      <c r="AT61" s="97">
        <f t="shared" si="35"/>
        <v>6.8201638996846922E-4</v>
      </c>
      <c r="AU61" s="97">
        <f t="shared" si="31"/>
        <v>1.6425750132955119E-3</v>
      </c>
      <c r="AV61" s="97">
        <f t="shared" si="31"/>
        <v>3.5287212269979741E-3</v>
      </c>
      <c r="AW61" s="97">
        <f t="shared" si="31"/>
        <v>6.796186499195403E-3</v>
      </c>
      <c r="AX61" s="97">
        <f t="shared" si="31"/>
        <v>1.1822924479637436E-2</v>
      </c>
      <c r="AY61" s="97">
        <f t="shared" si="31"/>
        <v>1.8775322198995702E-2</v>
      </c>
      <c r="AZ61" s="97">
        <f t="shared" si="31"/>
        <v>2.759451059700296E-2</v>
      </c>
      <c r="BA61" s="97">
        <f t="shared" si="31"/>
        <v>3.813194457174595E-2</v>
      </c>
      <c r="BB61" s="97">
        <f t="shared" si="31"/>
        <v>5.0297814844909181E-2</v>
      </c>
      <c r="BC61" s="97">
        <f t="shared" si="31"/>
        <v>6.4036436644864567E-2</v>
      </c>
      <c r="BD61" s="97">
        <f t="shared" si="31"/>
        <v>7.9132013461174086E-2</v>
      </c>
      <c r="BE61" s="97">
        <f t="shared" si="31"/>
        <v>9.5110419863124865E-2</v>
      </c>
      <c r="BF61" s="97">
        <f t="shared" si="31"/>
        <v>0.11152247997331356</v>
      </c>
      <c r="BG61" s="97">
        <f t="shared" si="31"/>
        <v>0.12857589568528055</v>
      </c>
      <c r="BH61" s="97">
        <f t="shared" si="31"/>
        <v>0.147672784676255</v>
      </c>
      <c r="BI61" s="97">
        <f t="shared" si="31"/>
        <v>0.17125958770837413</v>
      </c>
      <c r="BJ61" s="97">
        <f t="shared" si="31"/>
        <v>0.20170749103237107</v>
      </c>
      <c r="BK61" s="97">
        <f t="shared" si="30"/>
        <v>0.23964436849805429</v>
      </c>
      <c r="BL61" s="97">
        <f t="shared" si="30"/>
        <v>0.28282692349519523</v>
      </c>
      <c r="BM61" s="97">
        <f t="shared" si="30"/>
        <v>0.32662050596861802</v>
      </c>
      <c r="BN61" s="97">
        <f t="shared" si="30"/>
        <v>0.36614348574406169</v>
      </c>
      <c r="BO61" s="97">
        <f t="shared" si="28"/>
        <v>0.39874826341047753</v>
      </c>
      <c r="BP61" s="97">
        <f t="shared" si="28"/>
        <v>0.4249749621050774</v>
      </c>
      <c r="BQ61" s="97">
        <f t="shared" si="28"/>
        <v>0.44711364432521322</v>
      </c>
      <c r="BR61" s="97">
        <f t="shared" si="28"/>
        <v>0.46637691228987993</v>
      </c>
      <c r="BS61" s="97">
        <f t="shared" si="28"/>
        <v>0.48085768965209519</v>
      </c>
      <c r="BT61" s="97">
        <f t="shared" si="28"/>
        <v>0.48587634023435078</v>
      </c>
      <c r="BU61" s="97">
        <f t="shared" si="28"/>
        <v>0.47647024610907429</v>
      </c>
      <c r="BV61" s="97">
        <f t="shared" si="28"/>
        <v>0.45022641299252125</v>
      </c>
      <c r="BW61" s="97">
        <f t="shared" si="28"/>
        <v>0.4086264295041937</v>
      </c>
      <c r="BX61" s="97">
        <f t="shared" si="28"/>
        <v>0.35635793150368916</v>
      </c>
      <c r="BY61" s="97">
        <f t="shared" si="28"/>
        <v>0.29941292017892834</v>
      </c>
      <c r="BZ61" s="97">
        <f t="shared" si="28"/>
        <v>0.24325234903635548</v>
      </c>
      <c r="CA61" s="97">
        <f t="shared" si="26"/>
        <v>0.19184359271698653</v>
      </c>
      <c r="CB61" s="97">
        <f t="shared" si="26"/>
        <v>0.1475921778442737</v>
      </c>
      <c r="CC61" s="97">
        <f t="shared" si="26"/>
        <v>0.1116905949378966</v>
      </c>
      <c r="CD61" s="97">
        <f t="shared" si="26"/>
        <v>8.4411944897569063E-2</v>
      </c>
      <c r="CE61" s="97">
        <f t="shared" si="26"/>
        <v>6.5209576099390293E-2</v>
      </c>
      <c r="CF61" s="97">
        <f t="shared" si="26"/>
        <v>5.2786292542272302E-2</v>
      </c>
      <c r="CG61" s="97">
        <f t="shared" si="26"/>
        <v>4.5327967560460619E-2</v>
      </c>
      <c r="CH61" s="97">
        <f t="shared" si="26"/>
        <v>4.0909476050901908E-2</v>
      </c>
      <c r="CI61" s="97">
        <f t="shared" si="26"/>
        <v>3.7906015410220865E-2</v>
      </c>
      <c r="CJ61" s="97">
        <f t="shared" si="26"/>
        <v>3.5233479460227542E-2</v>
      </c>
      <c r="CK61" s="97">
        <f t="shared" si="26"/>
        <v>3.2363068523052332E-2</v>
      </c>
      <c r="CL61" s="97">
        <f t="shared" si="26"/>
        <v>2.9180065932229781E-2</v>
      </c>
      <c r="CM61" s="97">
        <f t="shared" si="26"/>
        <v>2.5800947736220357E-2</v>
      </c>
      <c r="CN61" s="97">
        <f t="shared" si="26"/>
        <v>2.2430095474254286E-2</v>
      </c>
      <c r="CO61" s="97">
        <f t="shared" si="26"/>
        <v>1.9277552527334905E-2</v>
      </c>
      <c r="CP61" s="97">
        <f t="shared" si="32"/>
        <v>1.6517827740184132E-2</v>
      </c>
      <c r="CQ61" s="97">
        <f t="shared" si="32"/>
        <v>1.4262811258915466E-2</v>
      </c>
      <c r="CR61" s="97">
        <f t="shared" si="32"/>
        <v>1.2538594380932902E-2</v>
      </c>
      <c r="CS61" s="97">
        <f t="shared" si="32"/>
        <v>1.1274659093336834E-2</v>
      </c>
      <c r="CT61" s="97">
        <f t="shared" si="32"/>
        <v>1.031880456101692E-2</v>
      </c>
      <c r="CU61" s="97">
        <f t="shared" si="32"/>
        <v>9.4806605767132415E-3</v>
      </c>
      <c r="CV61" s="97">
        <f t="shared" si="32"/>
        <v>8.5903051050894158E-3</v>
      </c>
      <c r="CW61" s="97">
        <f t="shared" si="32"/>
        <v>7.5485383950481041E-3</v>
      </c>
      <c r="CX61" s="97">
        <f t="shared" si="32"/>
        <v>6.3484942457478731E-3</v>
      </c>
      <c r="CY61" s="97">
        <f t="shared" si="32"/>
        <v>5.0623140526925249E-3</v>
      </c>
      <c r="CZ61" s="97">
        <f t="shared" si="32"/>
        <v>3.8027946180427246E-3</v>
      </c>
      <c r="DA61" s="97">
        <f t="shared" si="32"/>
        <v>2.6791255127310044E-3</v>
      </c>
      <c r="DB61" s="97">
        <f t="shared" si="32"/>
        <v>1.7643758337195206E-3</v>
      </c>
      <c r="DC61" s="97">
        <f t="shared" si="34"/>
        <v>1.083300353559073E-3</v>
      </c>
      <c r="DD61" s="97">
        <f t="shared" si="34"/>
        <v>6.1867938850535833E-4</v>
      </c>
      <c r="DE61" s="97">
        <f t="shared" si="34"/>
        <v>3.2796163536200187E-4</v>
      </c>
      <c r="DF61" s="97">
        <f t="shared" si="34"/>
        <v>1.6105057597862868E-4</v>
      </c>
      <c r="DG61" s="97">
        <f t="shared" si="34"/>
        <v>7.3127928997903486E-5</v>
      </c>
      <c r="DH61" s="97">
        <f t="shared" si="34"/>
        <v>3.0651529535057115E-5</v>
      </c>
      <c r="DI61" s="97">
        <f t="shared" si="34"/>
        <v>1.1841566455731943E-5</v>
      </c>
      <c r="DJ61" s="97">
        <f t="shared" si="34"/>
        <v>4.2108828027861532E-6</v>
      </c>
      <c r="DK61" s="97">
        <f t="shared" si="34"/>
        <v>1.3767078652074756E-6</v>
      </c>
      <c r="DL61" s="97">
        <f t="shared" si="34"/>
        <v>4.1341657983938242E-7</v>
      </c>
    </row>
    <row r="62" spans="1:116" x14ac:dyDescent="0.25">
      <c r="A62" s="60">
        <v>5</v>
      </c>
      <c r="B62" s="25">
        <v>2</v>
      </c>
      <c r="C62" s="25">
        <v>3.5</v>
      </c>
      <c r="D62" s="57">
        <v>1</v>
      </c>
      <c r="E62" s="82" t="s">
        <v>6</v>
      </c>
      <c r="L62" s="97" cm="1">
        <f t="array" ref="L62">EstymacjaGaussowska($O62,$D$2:$D$51,H$9)</f>
        <v>3.7847771502051166E-41</v>
      </c>
      <c r="M62" s="97" cm="1">
        <f t="array" ref="M62">EstymacjaGaussowska($O62,$D$52:$D$101,I$9)</f>
        <v>1.7635453443629614</v>
      </c>
      <c r="N62" s="97" cm="1">
        <f t="array" ref="N62">EstymacjaGaussowska($O62,$D$102:$D$151,J$9)</f>
        <v>8.2091558029304318E-2</v>
      </c>
      <c r="O62" s="97">
        <v>1.29000000000001</v>
      </c>
      <c r="P62" s="97">
        <f t="shared" si="36"/>
        <v>4.4497535791998442E-40</v>
      </c>
      <c r="Q62" s="97">
        <f t="shared" si="36"/>
        <v>4.26943067273382E-38</v>
      </c>
      <c r="R62" s="97">
        <f t="shared" si="36"/>
        <v>3.6210580562500762E-36</v>
      </c>
      <c r="S62" s="97">
        <f t="shared" si="36"/>
        <v>2.714766799886389E-34</v>
      </c>
      <c r="T62" s="97">
        <f t="shared" si="36"/>
        <v>1.7991239863853532E-32</v>
      </c>
      <c r="U62" s="97">
        <f t="shared" si="36"/>
        <v>1.053952859420301E-30</v>
      </c>
      <c r="V62" s="97">
        <f t="shared" si="36"/>
        <v>5.457739669157928E-29</v>
      </c>
      <c r="W62" s="97">
        <f t="shared" si="36"/>
        <v>2.4982505803256931E-27</v>
      </c>
      <c r="X62" s="97">
        <f t="shared" si="36"/>
        <v>1.0108593921297928E-25</v>
      </c>
      <c r="Y62" s="97">
        <f t="shared" si="36"/>
        <v>3.6155728120537024E-24</v>
      </c>
      <c r="Z62" s="97">
        <f t="shared" si="36"/>
        <v>1.143128721261569E-22</v>
      </c>
      <c r="AA62" s="97">
        <f t="shared" si="36"/>
        <v>3.1948090974897885E-21</v>
      </c>
      <c r="AB62" s="97">
        <f t="shared" si="36"/>
        <v>7.8927178771372817E-20</v>
      </c>
      <c r="AC62" s="97">
        <f t="shared" si="36"/>
        <v>1.7236153746690698E-18</v>
      </c>
      <c r="AD62" s="97">
        <f t="shared" si="36"/>
        <v>3.3272589741113913E-17</v>
      </c>
      <c r="AE62" s="97">
        <f t="shared" si="36"/>
        <v>5.6776141783304388E-16</v>
      </c>
      <c r="AF62" s="97">
        <f t="shared" si="35"/>
        <v>8.5640474349552176E-15</v>
      </c>
      <c r="AG62" s="97">
        <f t="shared" si="35"/>
        <v>1.1418987055100513E-13</v>
      </c>
      <c r="AH62" s="97">
        <f t="shared" si="35"/>
        <v>1.34590272298423E-12</v>
      </c>
      <c r="AI62" s="97">
        <f t="shared" si="35"/>
        <v>1.4022999072718774E-11</v>
      </c>
      <c r="AJ62" s="97">
        <f t="shared" si="35"/>
        <v>1.2915610834149996E-10</v>
      </c>
      <c r="AK62" s="97">
        <f t="shared" si="35"/>
        <v>1.0515860548626744E-9</v>
      </c>
      <c r="AL62" s="97">
        <f t="shared" si="35"/>
        <v>7.5691102666391212E-9</v>
      </c>
      <c r="AM62" s="97">
        <f t="shared" si="35"/>
        <v>4.8165687959208788E-8</v>
      </c>
      <c r="AN62" s="97">
        <f t="shared" si="35"/>
        <v>2.7099410880257467E-7</v>
      </c>
      <c r="AO62" s="97">
        <f t="shared" si="35"/>
        <v>1.3482446548205488E-6</v>
      </c>
      <c r="AP62" s="97">
        <f t="shared" si="35"/>
        <v>5.9327498739804931E-6</v>
      </c>
      <c r="AQ62" s="97">
        <f t="shared" si="35"/>
        <v>2.3097647648156614E-5</v>
      </c>
      <c r="AR62" s="97">
        <f t="shared" si="35"/>
        <v>7.960418577202498E-5</v>
      </c>
      <c r="AS62" s="97">
        <f t="shared" si="35"/>
        <v>2.4306873148382407E-4</v>
      </c>
      <c r="AT62" s="97">
        <f t="shared" si="35"/>
        <v>6.5846263050573113E-4</v>
      </c>
      <c r="AU62" s="97">
        <f t="shared" si="31"/>
        <v>1.585847906246763E-3</v>
      </c>
      <c r="AV62" s="97">
        <f t="shared" si="31"/>
        <v>3.406855165983695E-3</v>
      </c>
      <c r="AW62" s="97">
        <f t="shared" si="31"/>
        <v>6.5614769754536867E-3</v>
      </c>
      <c r="AX62" s="97">
        <f t="shared" si="31"/>
        <v>1.1414614175817614E-2</v>
      </c>
      <c r="AY62" s="97">
        <f t="shared" si="31"/>
        <v>1.8126907542359641E-2</v>
      </c>
      <c r="AZ62" s="97">
        <f t="shared" si="31"/>
        <v>2.6641521083430368E-2</v>
      </c>
      <c r="BA62" s="97">
        <f t="shared" si="31"/>
        <v>3.6815039759933776E-2</v>
      </c>
      <c r="BB62" s="97">
        <f t="shared" si="31"/>
        <v>4.8560755835512018E-2</v>
      </c>
      <c r="BC62" s="97">
        <f t="shared" si="31"/>
        <v>6.1824907345660561E-2</v>
      </c>
      <c r="BD62" s="97">
        <f t="shared" si="31"/>
        <v>7.6399149200194652E-2</v>
      </c>
      <c r="BE62" s="97">
        <f t="shared" si="31"/>
        <v>9.1825725551237497E-2</v>
      </c>
      <c r="BF62" s="97">
        <f t="shared" si="31"/>
        <v>0.1076709575065475</v>
      </c>
      <c r="BG62" s="97">
        <f t="shared" si="31"/>
        <v>0.12413532621095748</v>
      </c>
      <c r="BH62" s="97">
        <f t="shared" si="31"/>
        <v>0.14257239447764766</v>
      </c>
      <c r="BI62" s="97">
        <f t="shared" si="31"/>
        <v>0.16534378464502772</v>
      </c>
      <c r="BJ62" s="97">
        <f t="shared" si="31"/>
        <v>0.19473805441137831</v>
      </c>
      <c r="BK62" s="97">
        <f t="shared" si="30"/>
        <v>0.23135990786385291</v>
      </c>
      <c r="BL62" s="97">
        <f t="shared" si="30"/>
        <v>0.27304083887262881</v>
      </c>
      <c r="BM62" s="97">
        <f t="shared" si="30"/>
        <v>0.31530189651033513</v>
      </c>
      <c r="BN62" s="97">
        <f t="shared" si="30"/>
        <v>0.35342359840017368</v>
      </c>
      <c r="BO62" s="97">
        <f t="shared" si="28"/>
        <v>0.38484095388516243</v>
      </c>
      <c r="BP62" s="97">
        <f t="shared" si="28"/>
        <v>0.41006382971463645</v>
      </c>
      <c r="BQ62" s="97">
        <f t="shared" si="28"/>
        <v>0.43128805654441232</v>
      </c>
      <c r="BR62" s="97">
        <f t="shared" si="28"/>
        <v>0.44966460430698957</v>
      </c>
      <c r="BS62" s="97">
        <f t="shared" si="28"/>
        <v>0.46332756382334278</v>
      </c>
      <c r="BT62" s="97">
        <f t="shared" si="28"/>
        <v>0.46773179735959519</v>
      </c>
      <c r="BU62" s="97">
        <f t="shared" si="28"/>
        <v>0.4580639384978617</v>
      </c>
      <c r="BV62" s="97">
        <f t="shared" si="28"/>
        <v>0.43198926277710964</v>
      </c>
      <c r="BW62" s="97">
        <f t="shared" si="28"/>
        <v>0.39096288117361722</v>
      </c>
      <c r="BX62" s="97">
        <f t="shared" si="28"/>
        <v>0.33957093661391313</v>
      </c>
      <c r="BY62" s="97">
        <f t="shared" si="28"/>
        <v>0.28368698818571159</v>
      </c>
      <c r="BZ62" s="97">
        <f t="shared" si="28"/>
        <v>0.22867754434662607</v>
      </c>
      <c r="CA62" s="97">
        <f t="shared" si="26"/>
        <v>0.17844281868338424</v>
      </c>
      <c r="CB62" s="97">
        <f t="shared" si="26"/>
        <v>0.13532721895242858</v>
      </c>
      <c r="CC62" s="97">
        <f t="shared" si="26"/>
        <v>0.10045207746381261</v>
      </c>
      <c r="CD62" s="97">
        <f t="shared" si="26"/>
        <v>7.4018656430742555E-2</v>
      </c>
      <c r="CE62" s="97">
        <f t="shared" si="26"/>
        <v>5.5438125837632975E-2</v>
      </c>
      <c r="CF62" s="97">
        <f t="shared" si="26"/>
        <v>4.3428428772388415E-2</v>
      </c>
      <c r="CG62" s="97">
        <f t="shared" si="26"/>
        <v>3.6250252119926045E-2</v>
      </c>
      <c r="CH62" s="97">
        <f t="shared" si="26"/>
        <v>3.2085931965996121E-2</v>
      </c>
      <c r="CI62" s="97">
        <f t="shared" si="26"/>
        <v>2.9410117343482207E-2</v>
      </c>
      <c r="CJ62" s="97">
        <f t="shared" si="26"/>
        <v>2.7198095780439947E-2</v>
      </c>
      <c r="CK62" s="97">
        <f t="shared" si="26"/>
        <v>2.4930278839621629E-2</v>
      </c>
      <c r="CL62" s="97">
        <f t="shared" si="26"/>
        <v>2.246109438570874E-2</v>
      </c>
      <c r="CM62" s="97">
        <f t="shared" si="26"/>
        <v>1.9854994040805912E-2</v>
      </c>
      <c r="CN62" s="97">
        <f t="shared" si="26"/>
        <v>1.7259650286447145E-2</v>
      </c>
      <c r="CO62" s="97">
        <f t="shared" si="26"/>
        <v>1.4833503867553173E-2</v>
      </c>
      <c r="CP62" s="97">
        <f t="shared" si="32"/>
        <v>1.2709913438551582E-2</v>
      </c>
      <c r="CQ62" s="97">
        <f t="shared" si="32"/>
        <v>1.0974742035524329E-2</v>
      </c>
      <c r="CR62" s="97">
        <f t="shared" si="32"/>
        <v>9.6480145301917238E-3</v>
      </c>
      <c r="CS62" s="97">
        <f t="shared" si="32"/>
        <v>8.6754597630172847E-3</v>
      </c>
      <c r="CT62" s="97">
        <f t="shared" si="32"/>
        <v>7.93996276034333E-3</v>
      </c>
      <c r="CU62" s="97">
        <f t="shared" si="32"/>
        <v>7.2950399857300337E-3</v>
      </c>
      <c r="CV62" s="97">
        <f t="shared" si="32"/>
        <v>6.6099422840979376E-3</v>
      </c>
      <c r="CW62" s="97">
        <f t="shared" si="32"/>
        <v>5.8083388785215703E-3</v>
      </c>
      <c r="CX62" s="97">
        <f t="shared" si="32"/>
        <v>4.8849464648437462E-3</v>
      </c>
      <c r="CY62" s="97">
        <f t="shared" si="32"/>
        <v>3.8952753485113826E-3</v>
      </c>
      <c r="CZ62" s="97">
        <f t="shared" si="32"/>
        <v>2.9261187624728432E-3</v>
      </c>
      <c r="DA62" s="97">
        <f t="shared" si="32"/>
        <v>2.0614943001725345E-3</v>
      </c>
      <c r="DB62" s="97">
        <f t="shared" si="32"/>
        <v>1.3576261012375162E-3</v>
      </c>
      <c r="DC62" s="97">
        <f t="shared" si="34"/>
        <v>8.3356210585313652E-4</v>
      </c>
      <c r="DD62" s="97">
        <f t="shared" si="34"/>
        <v>4.7605236371995279E-4</v>
      </c>
      <c r="DE62" s="97">
        <f t="shared" si="34"/>
        <v>2.5235512063966238E-4</v>
      </c>
      <c r="DF62" s="97">
        <f t="shared" si="34"/>
        <v>1.2392284080823556E-4</v>
      </c>
      <c r="DG62" s="97">
        <f t="shared" si="34"/>
        <v>5.6269408841143773E-5</v>
      </c>
      <c r="DH62" s="97">
        <f t="shared" si="34"/>
        <v>2.358529047176995E-5</v>
      </c>
      <c r="DI62" s="97">
        <f t="shared" si="34"/>
        <v>9.1116752976315969E-6</v>
      </c>
      <c r="DJ62" s="97">
        <f t="shared" si="34"/>
        <v>3.2401284879667304E-6</v>
      </c>
      <c r="DK62" s="97">
        <f t="shared" si="34"/>
        <v>1.0593290249529506E-6</v>
      </c>
      <c r="DL62" s="97">
        <f t="shared" si="34"/>
        <v>3.1810974099042905E-7</v>
      </c>
    </row>
    <row r="63" spans="1:116" x14ac:dyDescent="0.25">
      <c r="A63" s="60">
        <v>5.9</v>
      </c>
      <c r="B63" s="25">
        <v>3</v>
      </c>
      <c r="C63" s="25">
        <v>4.2</v>
      </c>
      <c r="D63" s="57">
        <v>1.5</v>
      </c>
      <c r="E63" s="82" t="s">
        <v>6</v>
      </c>
      <c r="L63" s="97" cm="1">
        <f t="array" ref="L63">EstymacjaGaussowska($O63,$D$2:$D$51,H$9)</f>
        <v>8.8713139552172202E-38</v>
      </c>
      <c r="M63" s="97" cm="1">
        <f t="array" ref="M63">EstymacjaGaussowska($O63,$D$52:$D$101,I$9)</f>
        <v>1.647962579976388</v>
      </c>
      <c r="N63" s="97" cm="1">
        <f t="array" ref="N63">EstymacjaGaussowska($O63,$D$102:$D$151,J$9)</f>
        <v>6.0815369941744503E-2</v>
      </c>
      <c r="O63" s="97">
        <v>1.26000000000001</v>
      </c>
      <c r="P63" s="97">
        <f t="shared" si="36"/>
        <v>4.1581167232681632E-40</v>
      </c>
      <c r="Q63" s="97">
        <f t="shared" si="36"/>
        <v>3.9896121803492889E-38</v>
      </c>
      <c r="R63" s="97">
        <f t="shared" si="36"/>
        <v>3.3837339060752813E-36</v>
      </c>
      <c r="S63" s="97">
        <f t="shared" si="36"/>
        <v>2.5368409799471764E-34</v>
      </c>
      <c r="T63" s="97">
        <f t="shared" si="36"/>
        <v>1.6812093977498526E-32</v>
      </c>
      <c r="U63" s="97">
        <f t="shared" si="36"/>
        <v>9.8487678750963747E-31</v>
      </c>
      <c r="V63" s="97">
        <f t="shared" si="36"/>
        <v>5.1000394034517434E-29</v>
      </c>
      <c r="W63" s="97">
        <f t="shared" si="36"/>
        <v>2.3345152337255124E-27</v>
      </c>
      <c r="X63" s="97">
        <f t="shared" si="36"/>
        <v>9.446076661268543E-26</v>
      </c>
      <c r="Y63" s="97">
        <f t="shared" si="36"/>
        <v>3.3786081647913664E-24</v>
      </c>
      <c r="Z63" s="97">
        <f t="shared" si="36"/>
        <v>1.0682080632385523E-22</v>
      </c>
      <c r="AA63" s="97">
        <f t="shared" si="36"/>
        <v>2.9854213046805077E-21</v>
      </c>
      <c r="AB63" s="97">
        <f t="shared" si="36"/>
        <v>7.3754291362048009E-20</v>
      </c>
      <c r="AC63" s="97">
        <f t="shared" si="36"/>
        <v>1.6106496205532242E-18</v>
      </c>
      <c r="AD63" s="97">
        <f t="shared" si="36"/>
        <v>3.1091904161992912E-17</v>
      </c>
      <c r="AE63" s="97">
        <f t="shared" si="36"/>
        <v>5.3055033369792715E-16</v>
      </c>
      <c r="AF63" s="97">
        <f t="shared" si="35"/>
        <v>8.0027597538451912E-15</v>
      </c>
      <c r="AG63" s="97">
        <f t="shared" si="35"/>
        <v>1.0670586627211445E-13</v>
      </c>
      <c r="AH63" s="97">
        <f t="shared" si="35"/>
        <v>1.2576922565989001E-12</v>
      </c>
      <c r="AI63" s="97">
        <f t="shared" si="35"/>
        <v>1.3103931693478422E-11</v>
      </c>
      <c r="AJ63" s="97">
        <f t="shared" si="35"/>
        <v>1.2069121681645963E-10</v>
      </c>
      <c r="AK63" s="97">
        <f t="shared" si="35"/>
        <v>9.8266510332609549E-10</v>
      </c>
      <c r="AL63" s="97">
        <f t="shared" si="35"/>
        <v>7.0730307689605601E-9</v>
      </c>
      <c r="AM63" s="97">
        <f t="shared" si="35"/>
        <v>4.5008908701617633E-8</v>
      </c>
      <c r="AN63" s="97">
        <f t="shared" si="35"/>
        <v>2.5323315452487683E-7</v>
      </c>
      <c r="AO63" s="97">
        <f t="shared" si="35"/>
        <v>1.2598806982193242E-6</v>
      </c>
      <c r="AP63" s="97">
        <f t="shared" si="35"/>
        <v>5.5439174387722776E-6</v>
      </c>
      <c r="AQ63" s="97">
        <f t="shared" si="35"/>
        <v>2.1583827788330239E-5</v>
      </c>
      <c r="AR63" s="97">
        <f t="shared" si="35"/>
        <v>7.4386927322911075E-5</v>
      </c>
      <c r="AS63" s="97">
        <f t="shared" si="35"/>
        <v>2.2713800647545271E-4</v>
      </c>
      <c r="AT63" s="97">
        <f t="shared" si="35"/>
        <v>6.1530698876258161E-4</v>
      </c>
      <c r="AU63" s="97">
        <f t="shared" si="31"/>
        <v>1.4819114322078321E-3</v>
      </c>
      <c r="AV63" s="97">
        <f t="shared" si="31"/>
        <v>3.1835698735416559E-3</v>
      </c>
      <c r="AW63" s="97">
        <f t="shared" si="31"/>
        <v>6.131437765108997E-3</v>
      </c>
      <c r="AX63" s="97">
        <f t="shared" si="31"/>
        <v>1.066650034637745E-2</v>
      </c>
      <c r="AY63" s="97">
        <f t="shared" si="31"/>
        <v>1.6938869995703276E-2</v>
      </c>
      <c r="AZ63" s="97">
        <f t="shared" si="31"/>
        <v>2.4895435750665367E-2</v>
      </c>
      <c r="BA63" s="97">
        <f t="shared" si="31"/>
        <v>3.4402181984363289E-2</v>
      </c>
      <c r="BB63" s="97">
        <f t="shared" si="31"/>
        <v>4.5378083736906445E-2</v>
      </c>
      <c r="BC63" s="97">
        <f t="shared" si="31"/>
        <v>5.7772902380382365E-2</v>
      </c>
      <c r="BD63" s="97">
        <f t="shared" si="31"/>
        <v>7.1391946838809353E-2</v>
      </c>
      <c r="BE63" s="97">
        <f t="shared" si="31"/>
        <v>8.5807459113912798E-2</v>
      </c>
      <c r="BF63" s="97">
        <f t="shared" si="31"/>
        <v>0.10061417183297997</v>
      </c>
      <c r="BG63" s="97">
        <f t="shared" si="31"/>
        <v>0.1159993903716675</v>
      </c>
      <c r="BH63" s="97">
        <f t="shared" si="31"/>
        <v>0.13322786463995878</v>
      </c>
      <c r="BI63" s="97">
        <f t="shared" si="31"/>
        <v>0.15450618581431938</v>
      </c>
      <c r="BJ63" s="97">
        <f t="shared" ref="BJ63:BY78" si="37">$H$2*$L63*BJ$1+$I$2*$M63*BJ$2+$J$2*$N63*BJ$3</f>
        <v>0.18197235811029233</v>
      </c>
      <c r="BK63" s="97">
        <f t="shared" si="37"/>
        <v>0.21619032378763725</v>
      </c>
      <c r="BL63" s="97">
        <f t="shared" si="37"/>
        <v>0.25513166115155272</v>
      </c>
      <c r="BM63" s="97">
        <f t="shared" si="37"/>
        <v>0.29460765476036949</v>
      </c>
      <c r="BN63" s="97">
        <f t="shared" si="37"/>
        <v>0.33020324027234832</v>
      </c>
      <c r="BO63" s="97">
        <f t="shared" si="37"/>
        <v>0.35951482606782242</v>
      </c>
      <c r="BP63" s="97">
        <f t="shared" si="37"/>
        <v>0.38301004176915732</v>
      </c>
      <c r="BQ63" s="97">
        <f t="shared" si="37"/>
        <v>0.40272929140283831</v>
      </c>
      <c r="BR63" s="97">
        <f t="shared" si="37"/>
        <v>0.4197330931774641</v>
      </c>
      <c r="BS63" s="97">
        <f t="shared" si="37"/>
        <v>0.43225905702224937</v>
      </c>
      <c r="BT63" s="97">
        <f t="shared" si="37"/>
        <v>0.43603932099830855</v>
      </c>
      <c r="BU63" s="97">
        <f t="shared" si="37"/>
        <v>0.42655916005274591</v>
      </c>
      <c r="BV63" s="97">
        <f t="shared" si="37"/>
        <v>0.40163301791071054</v>
      </c>
      <c r="BW63" s="97">
        <f t="shared" si="37"/>
        <v>0.36263940643336445</v>
      </c>
      <c r="BX63" s="97">
        <f t="shared" si="37"/>
        <v>0.31390980572420701</v>
      </c>
      <c r="BY63" s="97">
        <f t="shared" si="37"/>
        <v>0.26100009436514149</v>
      </c>
      <c r="BZ63" s="97">
        <f t="shared" si="28"/>
        <v>0.20899663284888956</v>
      </c>
      <c r="CA63" s="97">
        <f t="shared" si="26"/>
        <v>0.16159711709858077</v>
      </c>
      <c r="CB63" s="97">
        <f t="shared" si="26"/>
        <v>0.12100899396042995</v>
      </c>
      <c r="CC63" s="97">
        <f t="shared" si="26"/>
        <v>8.8257316964115221E-2</v>
      </c>
      <c r="CD63" s="97">
        <f t="shared" si="26"/>
        <v>6.3482716456328844E-2</v>
      </c>
      <c r="CE63" s="97">
        <f t="shared" si="26"/>
        <v>4.6088539268175903E-2</v>
      </c>
      <c r="CF63" s="97">
        <f t="shared" si="26"/>
        <v>3.4854207143182298E-2</v>
      </c>
      <c r="CG63" s="97">
        <f t="shared" si="26"/>
        <v>2.8163646839073731E-2</v>
      </c>
      <c r="CH63" s="97">
        <f t="shared" si="26"/>
        <v>2.4349473711002691E-2</v>
      </c>
      <c r="CI63" s="97">
        <f t="shared" si="26"/>
        <v>2.2019253610048379E-2</v>
      </c>
      <c r="CJ63" s="97">
        <f t="shared" si="26"/>
        <v>2.023212259960153E-2</v>
      </c>
      <c r="CK63" s="97">
        <f t="shared" si="26"/>
        <v>1.8495665515504477E-2</v>
      </c>
      <c r="CL63" s="97">
        <f t="shared" si="26"/>
        <v>1.6647383312767286E-2</v>
      </c>
      <c r="CM63" s="97">
        <f t="shared" si="26"/>
        <v>1.4711012950243307E-2</v>
      </c>
      <c r="CN63" s="97">
        <f t="shared" si="26"/>
        <v>1.2786804571136257E-2</v>
      </c>
      <c r="CO63" s="97">
        <f t="shared" si="26"/>
        <v>1.0989101319742751E-2</v>
      </c>
      <c r="CP63" s="97">
        <f t="shared" si="32"/>
        <v>9.4158210607793412E-3</v>
      </c>
      <c r="CQ63" s="97">
        <f t="shared" si="32"/>
        <v>8.1303513461621207E-3</v>
      </c>
      <c r="CR63" s="97">
        <f t="shared" si="32"/>
        <v>7.1474779739262844E-3</v>
      </c>
      <c r="CS63" s="97">
        <f t="shared" si="32"/>
        <v>6.426986054631126E-3</v>
      </c>
      <c r="CT63" s="97">
        <f t="shared" si="32"/>
        <v>5.8821124193762031E-3</v>
      </c>
      <c r="CU63" s="97">
        <f t="shared" si="32"/>
        <v>5.4043383529699812E-3</v>
      </c>
      <c r="CV63" s="97">
        <f t="shared" si="32"/>
        <v>4.8968017534890213E-3</v>
      </c>
      <c r="CW63" s="97">
        <f t="shared" si="32"/>
        <v>4.3029549703330538E-3</v>
      </c>
      <c r="CX63" s="97">
        <f t="shared" si="32"/>
        <v>3.6188840063074335E-3</v>
      </c>
      <c r="CY63" s="97">
        <f t="shared" si="32"/>
        <v>2.8857122100193876E-3</v>
      </c>
      <c r="CZ63" s="97">
        <f t="shared" si="32"/>
        <v>2.1677380635136871E-3</v>
      </c>
      <c r="DA63" s="97">
        <f t="shared" si="32"/>
        <v>1.527203789371822E-3</v>
      </c>
      <c r="DB63" s="97">
        <f t="shared" si="32"/>
        <v>1.005761561497647E-3</v>
      </c>
      <c r="DC63" s="97">
        <f t="shared" si="34"/>
        <v>6.1752254499521141E-4</v>
      </c>
      <c r="DD63" s="97">
        <f t="shared" si="34"/>
        <v>3.5267086295202312E-4</v>
      </c>
      <c r="DE63" s="97">
        <f t="shared" si="34"/>
        <v>1.8695064860282186E-4</v>
      </c>
      <c r="DF63" s="97">
        <f t="shared" si="34"/>
        <v>9.1804974700254499E-5</v>
      </c>
      <c r="DG63" s="97">
        <f t="shared" si="34"/>
        <v>4.168571040953877E-5</v>
      </c>
      <c r="DH63" s="97">
        <f t="shared" si="34"/>
        <v>1.7472541631042867E-5</v>
      </c>
      <c r="DI63" s="97">
        <f t="shared" si="34"/>
        <v>6.7501448055927026E-6</v>
      </c>
      <c r="DJ63" s="97">
        <f t="shared" si="34"/>
        <v>2.4003639032425347E-6</v>
      </c>
      <c r="DK63" s="97">
        <f t="shared" si="34"/>
        <v>7.8477602434520557E-7</v>
      </c>
      <c r="DL63" s="97">
        <f t="shared" si="34"/>
        <v>2.3566322828834017E-7</v>
      </c>
    </row>
    <row r="64" spans="1:116" x14ac:dyDescent="0.25">
      <c r="A64" s="60">
        <v>6</v>
      </c>
      <c r="B64" s="25">
        <v>2.2000000000000002</v>
      </c>
      <c r="C64" s="25">
        <v>4</v>
      </c>
      <c r="D64" s="57">
        <v>1</v>
      </c>
      <c r="E64" s="82" t="s">
        <v>6</v>
      </c>
      <c r="L64" s="97" cm="1">
        <f t="array" ref="L64">EstymacjaGaussowska($O64,$D$2:$D$51,H$9)</f>
        <v>1.4728554793662489E-34</v>
      </c>
      <c r="M64" s="97" cm="1">
        <f t="array" ref="M64">EstymacjaGaussowska($O64,$D$52:$D$101,I$9)</f>
        <v>1.4942265405775659</v>
      </c>
      <c r="N64" s="97" cm="1">
        <f t="array" ref="N64">EstymacjaGaussowska($O64,$D$102:$D$151,J$9)</f>
        <v>4.3300840760541637E-2</v>
      </c>
      <c r="O64" s="97">
        <v>1.23000000000001</v>
      </c>
      <c r="P64" s="97">
        <f t="shared" si="36"/>
        <v>3.7702120437805893E-40</v>
      </c>
      <c r="Q64" s="97">
        <f t="shared" si="36"/>
        <v>3.6174270453245679E-38</v>
      </c>
      <c r="R64" s="97">
        <f t="shared" si="36"/>
        <v>3.0680702766820863E-36</v>
      </c>
      <c r="S64" s="97">
        <f t="shared" si="36"/>
        <v>2.3001827635650463E-34</v>
      </c>
      <c r="T64" s="97">
        <f t="shared" si="36"/>
        <v>1.5243718109316831E-32</v>
      </c>
      <c r="U64" s="97">
        <f t="shared" si="36"/>
        <v>8.9299906015873101E-31</v>
      </c>
      <c r="V64" s="97">
        <f t="shared" si="36"/>
        <v>4.6242641229985696E-29</v>
      </c>
      <c r="W64" s="97">
        <f t="shared" si="36"/>
        <v>2.1167316928187065E-27</v>
      </c>
      <c r="X64" s="97">
        <f t="shared" si="36"/>
        <v>8.5648658671606716E-26</v>
      </c>
      <c r="Y64" s="97">
        <f t="shared" si="36"/>
        <v>3.0634227083697887E-24</v>
      </c>
      <c r="Z64" s="97">
        <f t="shared" si="36"/>
        <v>9.6855648201239767E-23</v>
      </c>
      <c r="AA64" s="97">
        <f t="shared" si="36"/>
        <v>2.7069156802839752E-21</v>
      </c>
      <c r="AB64" s="97">
        <f t="shared" si="36"/>
        <v>6.6873860470934891E-20</v>
      </c>
      <c r="AC64" s="97">
        <f t="shared" si="36"/>
        <v>1.4603944530319955E-18</v>
      </c>
      <c r="AD64" s="97">
        <f t="shared" si="36"/>
        <v>2.8191385508650047E-17</v>
      </c>
      <c r="AE64" s="97">
        <f t="shared" si="36"/>
        <v>4.8105606241076513E-16</v>
      </c>
      <c r="AF64" s="97">
        <f t="shared" si="35"/>
        <v>7.2561939010974422E-15</v>
      </c>
      <c r="AG64" s="97">
        <f t="shared" si="35"/>
        <v>9.6751430740252861E-14</v>
      </c>
      <c r="AH64" s="97">
        <f t="shared" si="35"/>
        <v>1.1403639697425005E-12</v>
      </c>
      <c r="AI64" s="97">
        <f t="shared" si="35"/>
        <v>1.1881484907619403E-11</v>
      </c>
      <c r="AJ64" s="97">
        <f t="shared" si="35"/>
        <v>1.0943210821227466E-10</v>
      </c>
      <c r="AK64" s="97">
        <f t="shared" si="35"/>
        <v>8.909937007855398E-10</v>
      </c>
      <c r="AL64" s="97">
        <f t="shared" si="35"/>
        <v>6.4131979850258773E-9</v>
      </c>
      <c r="AM64" s="97">
        <f t="shared" si="35"/>
        <v>4.081009287562417E-8</v>
      </c>
      <c r="AN64" s="97">
        <f t="shared" si="35"/>
        <v>2.2960940074905855E-7</v>
      </c>
      <c r="AO64" s="97">
        <f t="shared" si="35"/>
        <v>1.1423482548175833E-6</v>
      </c>
      <c r="AP64" s="97">
        <f t="shared" si="35"/>
        <v>5.0267334200652963E-6</v>
      </c>
      <c r="AQ64" s="97">
        <f t="shared" si="35"/>
        <v>1.9570303792359603E-5</v>
      </c>
      <c r="AR64" s="97">
        <f t="shared" si="35"/>
        <v>6.7447478740385408E-5</v>
      </c>
      <c r="AS64" s="97">
        <f t="shared" si="35"/>
        <v>2.0594863122096017E-4</v>
      </c>
      <c r="AT64" s="97">
        <f t="shared" si="35"/>
        <v>5.5790589202885359E-4</v>
      </c>
      <c r="AU64" s="97">
        <f t="shared" ref="AU64:BJ79" si="38">$H$2*$L64*AU$1+$I$2*$M64*AU$2+$J$2*$N64*AU$3</f>
        <v>1.3436660635958398E-3</v>
      </c>
      <c r="AV64" s="97">
        <f t="shared" si="38"/>
        <v>2.8865792564877336E-3</v>
      </c>
      <c r="AW64" s="97">
        <f t="shared" si="38"/>
        <v>5.5594448271065779E-3</v>
      </c>
      <c r="AX64" s="97">
        <f t="shared" si="38"/>
        <v>9.6714379963560183E-3</v>
      </c>
      <c r="AY64" s="97">
        <f t="shared" si="38"/>
        <v>1.5358667376277868E-2</v>
      </c>
      <c r="AZ64" s="97">
        <f t="shared" si="38"/>
        <v>2.2572976647819553E-2</v>
      </c>
      <c r="BA64" s="97">
        <f t="shared" si="38"/>
        <v>3.1192852300375586E-2</v>
      </c>
      <c r="BB64" s="97">
        <f t="shared" si="38"/>
        <v>4.1144828038794837E-2</v>
      </c>
      <c r="BC64" s="97">
        <f t="shared" si="38"/>
        <v>5.2383351758065126E-2</v>
      </c>
      <c r="BD64" s="97">
        <f t="shared" si="38"/>
        <v>6.4731894142577559E-2</v>
      </c>
      <c r="BE64" s="97">
        <f t="shared" si="38"/>
        <v>7.7802599533070227E-2</v>
      </c>
      <c r="BF64" s="97">
        <f t="shared" si="38"/>
        <v>9.1227998575535221E-2</v>
      </c>
      <c r="BG64" s="97">
        <f t="shared" si="38"/>
        <v>0.10517789620688506</v>
      </c>
      <c r="BH64" s="97">
        <f t="shared" si="38"/>
        <v>0.12079898086630898</v>
      </c>
      <c r="BI64" s="97">
        <f t="shared" si="38"/>
        <v>0.14009180748890482</v>
      </c>
      <c r="BJ64" s="97">
        <f t="shared" si="38"/>
        <v>0.16499451077422442</v>
      </c>
      <c r="BK64" s="97">
        <f t="shared" si="37"/>
        <v>0.19601758222582011</v>
      </c>
      <c r="BL64" s="97">
        <f t="shared" si="37"/>
        <v>0.23132030943655957</v>
      </c>
      <c r="BM64" s="97">
        <f t="shared" si="37"/>
        <v>0.26710226677677851</v>
      </c>
      <c r="BN64" s="97">
        <f t="shared" si="37"/>
        <v>0.29935661710448996</v>
      </c>
      <c r="BO64" s="97">
        <f t="shared" si="37"/>
        <v>0.32589899763711949</v>
      </c>
      <c r="BP64" s="97">
        <f t="shared" si="37"/>
        <v>0.3471468429863675</v>
      </c>
      <c r="BQ64" s="97">
        <f t="shared" si="37"/>
        <v>0.36494163543254377</v>
      </c>
      <c r="BR64" s="97">
        <f t="shared" si="37"/>
        <v>0.38023377242707884</v>
      </c>
      <c r="BS64" s="97">
        <f t="shared" si="37"/>
        <v>0.39141129067422359</v>
      </c>
      <c r="BT64" s="97">
        <f t="shared" si="37"/>
        <v>0.3945891162303245</v>
      </c>
      <c r="BU64" s="97">
        <f t="shared" si="37"/>
        <v>0.3856611616971195</v>
      </c>
      <c r="BV64" s="97">
        <f t="shared" si="37"/>
        <v>0.36264289049462872</v>
      </c>
      <c r="BW64" s="97">
        <f t="shared" si="37"/>
        <v>0.32679819637815738</v>
      </c>
      <c r="BX64" s="97">
        <f t="shared" si="37"/>
        <v>0.28208868337847809</v>
      </c>
      <c r="BY64" s="97">
        <f t="shared" si="37"/>
        <v>0.2336020427830007</v>
      </c>
      <c r="BZ64" s="97">
        <f t="shared" si="28"/>
        <v>0.18600345192932929</v>
      </c>
      <c r="CA64" s="97">
        <f t="shared" si="26"/>
        <v>0.14268521095271741</v>
      </c>
      <c r="CB64" s="97">
        <f t="shared" si="26"/>
        <v>0.10566127104486202</v>
      </c>
      <c r="CC64" s="97">
        <f t="shared" si="26"/>
        <v>7.5844085779667877E-2</v>
      </c>
      <c r="CD64" s="97">
        <f t="shared" si="26"/>
        <v>5.3325826530876974E-2</v>
      </c>
      <c r="CE64" s="97">
        <f t="shared" si="26"/>
        <v>3.7530925603028148E-2</v>
      </c>
      <c r="CF64" s="97">
        <f t="shared" si="26"/>
        <v>2.7335874777979011E-2</v>
      </c>
      <c r="CG64" s="97">
        <f t="shared" si="26"/>
        <v>2.1282248927161344E-2</v>
      </c>
      <c r="CH64" s="97">
        <f t="shared" si="26"/>
        <v>1.7881415187626377E-2</v>
      </c>
      <c r="CI64" s="97">
        <f t="shared" si="26"/>
        <v>1.5895379138622826E-2</v>
      </c>
      <c r="CJ64" s="97">
        <f t="shared" si="26"/>
        <v>1.4483480526087314E-2</v>
      </c>
      <c r="CK64" s="97">
        <f t="shared" si="26"/>
        <v>1.3194115432325801E-2</v>
      </c>
      <c r="CL64" s="97">
        <f t="shared" si="26"/>
        <v>1.1860227834019185E-2</v>
      </c>
      <c r="CM64" s="97">
        <f t="shared" si="26"/>
        <v>1.0476157861074848E-2</v>
      </c>
      <c r="CN64" s="97">
        <f t="shared" si="26"/>
        <v>9.1046873582140732E-3</v>
      </c>
      <c r="CO64" s="97">
        <f t="shared" si="26"/>
        <v>7.8243788409750291E-3</v>
      </c>
      <c r="CP64" s="97">
        <f t="shared" si="32"/>
        <v>6.704125895909129E-3</v>
      </c>
      <c r="CQ64" s="97">
        <f t="shared" si="32"/>
        <v>5.7888523439705948E-3</v>
      </c>
      <c r="CR64" s="97">
        <f t="shared" si="32"/>
        <v>5.0890396090621411E-3</v>
      </c>
      <c r="CS64" s="97">
        <f t="shared" si="32"/>
        <v>4.5760455391785455E-3</v>
      </c>
      <c r="CT64" s="97">
        <f t="shared" si="32"/>
        <v>4.1880928084574564E-3</v>
      </c>
      <c r="CU64" s="97">
        <f t="shared" si="32"/>
        <v>3.8479153327626147E-3</v>
      </c>
      <c r="CV64" s="97">
        <f t="shared" si="32"/>
        <v>3.4865467918611549E-3</v>
      </c>
      <c r="CW64" s="97">
        <f t="shared" si="32"/>
        <v>3.0637249785513332E-3</v>
      </c>
      <c r="CX64" s="97">
        <f t="shared" si="32"/>
        <v>2.5766631073379453E-3</v>
      </c>
      <c r="CY64" s="97">
        <f t="shared" si="32"/>
        <v>2.0546412034736471E-3</v>
      </c>
      <c r="CZ64" s="97">
        <f t="shared" si="32"/>
        <v>1.5434401005647912E-3</v>
      </c>
      <c r="DA64" s="97">
        <f t="shared" si="32"/>
        <v>1.0873765654279618E-3</v>
      </c>
      <c r="DB64" s="97">
        <f t="shared" si="32"/>
        <v>7.1610714954460522E-4</v>
      </c>
      <c r="DC64" s="97">
        <f t="shared" si="34"/>
        <v>4.3967907146656807E-4</v>
      </c>
      <c r="DD64" s="97">
        <f t="shared" si="34"/>
        <v>2.5110337883657552E-4</v>
      </c>
      <c r="DE64" s="97">
        <f t="shared" si="34"/>
        <v>1.3310977591660038E-4</v>
      </c>
      <c r="DF64" s="97">
        <f t="shared" si="34"/>
        <v>6.5365590874957735E-5</v>
      </c>
      <c r="DG64" s="97">
        <f t="shared" si="34"/>
        <v>2.9680429637483743E-5</v>
      </c>
      <c r="DH64" s="97">
        <f t="shared" si="34"/>
        <v>1.2440535074808413E-5</v>
      </c>
      <c r="DI64" s="97">
        <f t="shared" si="34"/>
        <v>4.8061361069997732E-6</v>
      </c>
      <c r="DJ64" s="97">
        <f t="shared" si="34"/>
        <v>1.7090708358959248E-6</v>
      </c>
      <c r="DK64" s="97">
        <f t="shared" si="34"/>
        <v>5.5876436656413979E-7</v>
      </c>
      <c r="DL64" s="97">
        <f t="shared" si="34"/>
        <v>1.677933708370676E-7</v>
      </c>
    </row>
    <row r="65" spans="1:116" x14ac:dyDescent="0.25">
      <c r="A65" s="60">
        <v>6.1</v>
      </c>
      <c r="B65" s="25">
        <v>2.9</v>
      </c>
      <c r="C65" s="25">
        <v>4.7</v>
      </c>
      <c r="D65" s="57">
        <v>1.4</v>
      </c>
      <c r="E65" s="82" t="s">
        <v>6</v>
      </c>
      <c r="L65" s="97" cm="1">
        <f t="array" ref="L65">EstymacjaGaussowska($O65,$D$2:$D$51,H$9)</f>
        <v>1.7320358220180437E-31</v>
      </c>
      <c r="M65" s="97" cm="1">
        <f t="array" ref="M65">EstymacjaGaussowska($O65,$D$52:$D$101,I$9)</f>
        <v>1.327501212343126</v>
      </c>
      <c r="N65" s="97" cm="1">
        <f t="array" ref="N65">EstymacjaGaussowska($O65,$D$102:$D$151,J$9)</f>
        <v>2.9590389365827859E-2</v>
      </c>
      <c r="O65" s="97">
        <v>1.2000000000000099</v>
      </c>
      <c r="P65" s="97">
        <f t="shared" si="36"/>
        <v>3.3495329677217563E-40</v>
      </c>
      <c r="Q65" s="97">
        <f t="shared" si="36"/>
        <v>3.2137956714214149E-38</v>
      </c>
      <c r="R65" s="97">
        <f t="shared" si="36"/>
        <v>2.7257359585348333E-36</v>
      </c>
      <c r="S65" s="97">
        <f t="shared" si="36"/>
        <v>2.0435290930270103E-34</v>
      </c>
      <c r="T65" s="97">
        <f t="shared" si="36"/>
        <v>1.3542828828962639E-32</v>
      </c>
      <c r="U65" s="97">
        <f t="shared" si="36"/>
        <v>7.9335850541363914E-31</v>
      </c>
      <c r="V65" s="97">
        <f t="shared" si="36"/>
        <v>4.1082901841001204E-29</v>
      </c>
      <c r="W65" s="97">
        <f t="shared" si="36"/>
        <v>1.8805474351557684E-27</v>
      </c>
      <c r="X65" s="97">
        <f t="shared" si="36"/>
        <v>7.6092008229511907E-26</v>
      </c>
      <c r="Y65" s="97">
        <f t="shared" si="36"/>
        <v>2.7216069644421178E-24</v>
      </c>
      <c r="Z65" s="97">
        <f t="shared" si="36"/>
        <v>8.6048525386168366E-23</v>
      </c>
      <c r="AA65" s="97">
        <f t="shared" si="36"/>
        <v>2.404878878606714E-21</v>
      </c>
      <c r="AB65" s="97">
        <f t="shared" si="36"/>
        <v>5.9412096116911175E-20</v>
      </c>
      <c r="AC65" s="97">
        <f t="shared" si="36"/>
        <v>1.29744409850316E-18</v>
      </c>
      <c r="AD65" s="97">
        <f t="shared" si="36"/>
        <v>2.5045799565238469E-17</v>
      </c>
      <c r="AE65" s="97">
        <f t="shared" si="36"/>
        <v>4.273799780108718E-16</v>
      </c>
      <c r="AF65" s="97">
        <f t="shared" si="35"/>
        <v>6.4465500639416727E-15</v>
      </c>
      <c r="AG65" s="97">
        <f t="shared" si="35"/>
        <v>8.5955936476655299E-14</v>
      </c>
      <c r="AH65" s="97">
        <f t="shared" si="35"/>
        <v>1.0131225160546569E-12</v>
      </c>
      <c r="AI65" s="97">
        <f t="shared" si="35"/>
        <v>1.0555752552223218E-11</v>
      </c>
      <c r="AJ65" s="97">
        <f t="shared" si="35"/>
        <v>9.722170793787856E-11</v>
      </c>
      <c r="AK65" s="97">
        <f t="shared" si="35"/>
        <v>7.9157690340964274E-10</v>
      </c>
      <c r="AL65" s="97">
        <f t="shared" si="35"/>
        <v>5.6976153674981553E-9</v>
      </c>
      <c r="AM65" s="97">
        <f t="shared" si="35"/>
        <v>3.6256515526277643E-8</v>
      </c>
      <c r="AN65" s="97">
        <f t="shared" si="35"/>
        <v>2.0398965590715342E-7</v>
      </c>
      <c r="AO65" s="97">
        <f t="shared" si="35"/>
        <v>1.0148853952240956E-6</v>
      </c>
      <c r="AP65" s="97">
        <f t="shared" si="35"/>
        <v>4.465852083368205E-6</v>
      </c>
      <c r="AQ65" s="97">
        <f t="shared" si="35"/>
        <v>1.7386655439970103E-5</v>
      </c>
      <c r="AR65" s="97">
        <f t="shared" si="35"/>
        <v>5.9921710239961371E-5</v>
      </c>
      <c r="AS65" s="97">
        <f t="shared" si="35"/>
        <v>1.8296894761389695E-4</v>
      </c>
      <c r="AT65" s="97">
        <f t="shared" si="35"/>
        <v>4.9565492776978352E-4</v>
      </c>
      <c r="AU65" s="97">
        <f t="shared" si="38"/>
        <v>1.1937402261093797E-3</v>
      </c>
      <c r="AV65" s="97">
        <f t="shared" si="38"/>
        <v>2.5644956493879201E-3</v>
      </c>
      <c r="AW65" s="97">
        <f t="shared" si="38"/>
        <v>4.9391237188698848E-3</v>
      </c>
      <c r="AX65" s="97">
        <f t="shared" si="38"/>
        <v>8.5923019813626562E-3</v>
      </c>
      <c r="AY65" s="97">
        <f t="shared" si="38"/>
        <v>1.3644952092552315E-2</v>
      </c>
      <c r="AZ65" s="97">
        <f t="shared" si="38"/>
        <v>2.0054290999370859E-2</v>
      </c>
      <c r="BA65" s="97">
        <f t="shared" si="38"/>
        <v>2.7712363625170697E-2</v>
      </c>
      <c r="BB65" s="97">
        <f t="shared" si="38"/>
        <v>3.6553900993745572E-2</v>
      </c>
      <c r="BC65" s="97">
        <f t="shared" si="38"/>
        <v>4.6538433565299138E-2</v>
      </c>
      <c r="BD65" s="97">
        <f t="shared" si="38"/>
        <v>5.750912859410142E-2</v>
      </c>
      <c r="BE65" s="97">
        <f t="shared" si="38"/>
        <v>6.9121405295716185E-2</v>
      </c>
      <c r="BF65" s="97">
        <f t="shared" si="38"/>
        <v>8.1048789842573632E-2</v>
      </c>
      <c r="BG65" s="97">
        <f t="shared" si="38"/>
        <v>9.3442120150493857E-2</v>
      </c>
      <c r="BH65" s="97">
        <f t="shared" si="38"/>
        <v>0.10732008144543806</v>
      </c>
      <c r="BI65" s="97">
        <f t="shared" si="38"/>
        <v>0.12445986748832669</v>
      </c>
      <c r="BJ65" s="97">
        <f t="shared" si="38"/>
        <v>0.14658304293255087</v>
      </c>
      <c r="BK65" s="97">
        <f t="shared" si="37"/>
        <v>0.17414250788503086</v>
      </c>
      <c r="BL65" s="97">
        <f t="shared" si="37"/>
        <v>0.20550179687252737</v>
      </c>
      <c r="BM65" s="97">
        <f t="shared" si="37"/>
        <v>0.23728268292827315</v>
      </c>
      <c r="BN65" s="97">
        <f t="shared" si="37"/>
        <v>0.26592267531494729</v>
      </c>
      <c r="BO65" s="97">
        <f t="shared" si="37"/>
        <v>0.28947739351343937</v>
      </c>
      <c r="BP65" s="97">
        <f t="shared" si="37"/>
        <v>0.30831276807943903</v>
      </c>
      <c r="BQ65" s="97">
        <f t="shared" si="37"/>
        <v>0.32405837909929663</v>
      </c>
      <c r="BR65" s="97">
        <f t="shared" si="37"/>
        <v>0.33755019086278348</v>
      </c>
      <c r="BS65" s="97">
        <f t="shared" si="37"/>
        <v>0.34734561665473268</v>
      </c>
      <c r="BT65" s="97">
        <f t="shared" si="37"/>
        <v>0.34998156434219629</v>
      </c>
      <c r="BU65" s="97">
        <f t="shared" si="37"/>
        <v>0.34180070361353748</v>
      </c>
      <c r="BV65" s="97">
        <f t="shared" si="37"/>
        <v>0.32103778155838675</v>
      </c>
      <c r="BW65" s="97">
        <f t="shared" si="37"/>
        <v>0.28882615076269247</v>
      </c>
      <c r="BX65" s="97">
        <f t="shared" si="37"/>
        <v>0.24871102628568165</v>
      </c>
      <c r="BY65" s="97">
        <f t="shared" si="37"/>
        <v>0.20524999277156827</v>
      </c>
      <c r="BZ65" s="97">
        <f t="shared" si="28"/>
        <v>0.16262766698110853</v>
      </c>
      <c r="CA65" s="97">
        <f t="shared" si="26"/>
        <v>0.12388749857395535</v>
      </c>
      <c r="CB65" s="97">
        <f t="shared" si="26"/>
        <v>9.0828046093888892E-2</v>
      </c>
      <c r="CC65" s="97">
        <f t="shared" si="26"/>
        <v>6.4247223915613147E-2</v>
      </c>
      <c r="CD65" s="97">
        <f t="shared" si="26"/>
        <v>4.4200419820835085E-2</v>
      </c>
      <c r="CE65" s="97">
        <f t="shared" si="26"/>
        <v>3.0150361766935356E-2</v>
      </c>
      <c r="CF65" s="97">
        <f t="shared" si="26"/>
        <v>2.1086307981217897E-2</v>
      </c>
      <c r="CG65" s="97">
        <f t="shared" si="26"/>
        <v>1.5717728082502651E-2</v>
      </c>
      <c r="CH65" s="97">
        <f t="shared" si="26"/>
        <v>1.2739489574078314E-2</v>
      </c>
      <c r="CI65" s="97">
        <f t="shared" si="26"/>
        <v>1.1070135286878311E-2</v>
      </c>
      <c r="CJ65" s="97">
        <f t="shared" si="26"/>
        <v>9.9721274601530813E-3</v>
      </c>
      <c r="CK65" s="97">
        <f t="shared" si="26"/>
        <v>9.0404087371400588E-3</v>
      </c>
      <c r="CL65" s="97">
        <f t="shared" si="26"/>
        <v>8.1117791185648051E-3</v>
      </c>
      <c r="CM65" s="97">
        <f t="shared" si="26"/>
        <v>7.1608278054398023E-3</v>
      </c>
      <c r="CN65" s="97">
        <f t="shared" si="26"/>
        <v>6.2222489097250033E-3</v>
      </c>
      <c r="CO65" s="97">
        <f t="shared" si="26"/>
        <v>5.3470077175315593E-3</v>
      </c>
      <c r="CP65" s="97">
        <f t="shared" si="32"/>
        <v>4.5813966460185656E-3</v>
      </c>
      <c r="CQ65" s="97">
        <f t="shared" si="32"/>
        <v>3.9559161523247677E-3</v>
      </c>
      <c r="CR65" s="97">
        <f t="shared" si="32"/>
        <v>3.4776848459450583E-3</v>
      </c>
      <c r="CS65" s="97">
        <f t="shared" si="32"/>
        <v>3.1271210595154109E-3</v>
      </c>
      <c r="CT65" s="97">
        <f t="shared" si="32"/>
        <v>2.8620067167925319E-3</v>
      </c>
      <c r="CU65" s="97">
        <f t="shared" si="32"/>
        <v>2.6295404653267208E-3</v>
      </c>
      <c r="CV65" s="97">
        <f t="shared" si="32"/>
        <v>2.3825929312911096E-3</v>
      </c>
      <c r="CW65" s="97">
        <f t="shared" si="32"/>
        <v>2.0936502255606924E-3</v>
      </c>
      <c r="CX65" s="97">
        <f t="shared" si="32"/>
        <v>1.7608079490267325E-3</v>
      </c>
      <c r="CY65" s="97">
        <f t="shared" si="32"/>
        <v>1.4040751207136234E-3</v>
      </c>
      <c r="CZ65" s="97">
        <f t="shared" si="32"/>
        <v>1.0547368766142503E-3</v>
      </c>
      <c r="DA65" s="97">
        <f t="shared" si="32"/>
        <v>7.4307785699188119E-4</v>
      </c>
      <c r="DB65" s="97">
        <f t="shared" si="32"/>
        <v>4.8936438670695525E-4</v>
      </c>
      <c r="DC65" s="97">
        <f t="shared" si="34"/>
        <v>3.00462408862905E-4</v>
      </c>
      <c r="DD65" s="97">
        <f t="shared" si="34"/>
        <v>1.7159590022603307E-4</v>
      </c>
      <c r="DE65" s="97">
        <f t="shared" si="34"/>
        <v>9.0962901149012983E-5</v>
      </c>
      <c r="DF65" s="97">
        <f t="shared" si="34"/>
        <v>4.4668723543122484E-5</v>
      </c>
      <c r="DG65" s="97">
        <f t="shared" si="34"/>
        <v>2.028264241738513E-5</v>
      </c>
      <c r="DH65" s="97">
        <f t="shared" si="34"/>
        <v>8.5014579467074211E-6</v>
      </c>
      <c r="DI65" s="97">
        <f t="shared" si="34"/>
        <v>3.2843574455691112E-6</v>
      </c>
      <c r="DJ65" s="97">
        <f t="shared" si="34"/>
        <v>1.1679235460486868E-6</v>
      </c>
      <c r="DK65" s="97">
        <f t="shared" si="34"/>
        <v>3.8184143494622161E-7</v>
      </c>
      <c r="DL65" s="97">
        <f t="shared" si="34"/>
        <v>1.1466454435679343E-7</v>
      </c>
    </row>
    <row r="66" spans="1:116" x14ac:dyDescent="0.25">
      <c r="A66" s="60">
        <v>5.6</v>
      </c>
      <c r="B66" s="25">
        <v>2.9</v>
      </c>
      <c r="C66" s="25">
        <v>3.6</v>
      </c>
      <c r="D66" s="57">
        <v>1.3</v>
      </c>
      <c r="E66" s="82" t="s">
        <v>6</v>
      </c>
      <c r="L66" s="97" cm="1">
        <f t="array" ref="L66">EstymacjaGaussowska($O66,$D$2:$D$51,H$9)</f>
        <v>1.442707051473362E-28</v>
      </c>
      <c r="M66" s="97" cm="1">
        <f t="array" ref="M66">EstymacjaGaussowska($O66,$D$52:$D$101,I$9)</f>
        <v>1.1748521716757503</v>
      </c>
      <c r="N66" s="97" cm="1">
        <f t="array" ref="N66">EstymacjaGaussowska($O66,$D$102:$D$151,J$9)</f>
        <v>1.938579405765516E-2</v>
      </c>
      <c r="O66" s="97">
        <v>1.1700000000000099</v>
      </c>
      <c r="P66" s="97">
        <f t="shared" si="36"/>
        <v>2.9643709886196874E-40</v>
      </c>
      <c r="Q66" s="97">
        <f t="shared" si="36"/>
        <v>2.8442420909184391E-38</v>
      </c>
      <c r="R66" s="97">
        <f t="shared" si="36"/>
        <v>2.4123042453927404E-36</v>
      </c>
      <c r="S66" s="97">
        <f t="shared" si="36"/>
        <v>1.8085441809787496E-34</v>
      </c>
      <c r="T66" s="97">
        <f t="shared" si="36"/>
        <v>1.1985542244642005E-32</v>
      </c>
      <c r="U66" s="97">
        <f t="shared" si="36"/>
        <v>7.0213040436652295E-31</v>
      </c>
      <c r="V66" s="97">
        <f t="shared" si="36"/>
        <v>3.6358788984342052E-29</v>
      </c>
      <c r="W66" s="97">
        <f t="shared" si="36"/>
        <v>1.664303745797783E-27</v>
      </c>
      <c r="X66" s="97">
        <f t="shared" si="36"/>
        <v>6.7342206906313876E-26</v>
      </c>
      <c r="Y66" s="97">
        <f t="shared" si="36"/>
        <v>2.4086500487846541E-24</v>
      </c>
      <c r="Z66" s="97">
        <f t="shared" si="36"/>
        <v>7.6153826520472871E-23</v>
      </c>
      <c r="AA66" s="97">
        <f t="shared" si="36"/>
        <v>2.128342443379073E-21</v>
      </c>
      <c r="AB66" s="97">
        <f t="shared" si="36"/>
        <v>5.2580313674968169E-20</v>
      </c>
      <c r="AC66" s="97">
        <f t="shared" si="36"/>
        <v>1.1482513180289744E-18</v>
      </c>
      <c r="AD66" s="97">
        <f t="shared" si="36"/>
        <v>2.2165789181197699E-17</v>
      </c>
      <c r="AE66" s="97">
        <f t="shared" si="36"/>
        <v>3.7823565856528728E-16</v>
      </c>
      <c r="AF66" s="97">
        <f t="shared" si="35"/>
        <v>5.7052628442200787E-15</v>
      </c>
      <c r="AG66" s="97">
        <f t="shared" si="35"/>
        <v>7.6071884303423987E-14</v>
      </c>
      <c r="AH66" s="97">
        <f t="shared" si="35"/>
        <v>8.9662380500542917E-13</v>
      </c>
      <c r="AI66" s="97">
        <f t="shared" si="35"/>
        <v>9.3419491404922545E-12</v>
      </c>
      <c r="AJ66" s="97">
        <f t="shared" si="35"/>
        <v>8.6042207451723845E-11</v>
      </c>
      <c r="AK66" s="97">
        <f t="shared" si="35"/>
        <v>7.0055366832976294E-10</v>
      </c>
      <c r="AL66" s="97">
        <f t="shared" si="35"/>
        <v>5.0424479658766146E-9</v>
      </c>
      <c r="AM66" s="97">
        <f t="shared" si="35"/>
        <v>3.2087387647848593E-8</v>
      </c>
      <c r="AN66" s="97">
        <f t="shared" si="35"/>
        <v>1.8053293512169139E-7</v>
      </c>
      <c r="AO66" s="97">
        <f t="shared" si="35"/>
        <v>8.9818397112909038E-7</v>
      </c>
      <c r="AP66" s="97">
        <f t="shared" si="35"/>
        <v>3.9523248413965775E-6</v>
      </c>
      <c r="AQ66" s="97">
        <f t="shared" si="35"/>
        <v>1.5387368171040933E-5</v>
      </c>
      <c r="AR66" s="97">
        <f t="shared" si="35"/>
        <v>5.3031327392676745E-5</v>
      </c>
      <c r="AS66" s="97">
        <f t="shared" si="35"/>
        <v>1.6192939294872047E-4</v>
      </c>
      <c r="AT66" s="97">
        <f t="shared" si="35"/>
        <v>4.3865968850173483E-4</v>
      </c>
      <c r="AU66" s="97">
        <f t="shared" si="38"/>
        <v>1.0564723286284573E-3</v>
      </c>
      <c r="AV66" s="97">
        <f t="shared" si="38"/>
        <v>2.269604920072246E-3</v>
      </c>
      <c r="AW66" s="97">
        <f t="shared" si="38"/>
        <v>4.3711750869458053E-3</v>
      </c>
      <c r="AX66" s="97">
        <f t="shared" si="38"/>
        <v>7.6042752719169011E-3</v>
      </c>
      <c r="AY66" s="97">
        <f t="shared" si="38"/>
        <v>1.2075922378851042E-2</v>
      </c>
      <c r="AZ66" s="97">
        <f t="shared" si="38"/>
        <v>1.7748252966772016E-2</v>
      </c>
      <c r="BA66" s="97">
        <f t="shared" si="38"/>
        <v>2.4525725682830245E-2</v>
      </c>
      <c r="BB66" s="97">
        <f t="shared" si="38"/>
        <v>3.2350576793638106E-2</v>
      </c>
      <c r="BC66" s="97">
        <f t="shared" si="38"/>
        <v>4.1186990246642123E-2</v>
      </c>
      <c r="BD66" s="97">
        <f t="shared" si="38"/>
        <v>5.0896167060206089E-2</v>
      </c>
      <c r="BE66" s="97">
        <f t="shared" si="38"/>
        <v>6.1173148225708532E-2</v>
      </c>
      <c r="BF66" s="97">
        <f t="shared" si="38"/>
        <v>7.1728996013911861E-2</v>
      </c>
      <c r="BG66" s="97">
        <f t="shared" si="38"/>
        <v>8.2697188020340734E-2</v>
      </c>
      <c r="BH66" s="97">
        <f t="shared" si="38"/>
        <v>9.4979228145534278E-2</v>
      </c>
      <c r="BI66" s="97">
        <f t="shared" si="38"/>
        <v>0.11014784391175157</v>
      </c>
      <c r="BJ66" s="97">
        <f t="shared" si="38"/>
        <v>0.12972639744116085</v>
      </c>
      <c r="BK66" s="97">
        <f t="shared" si="37"/>
        <v>0.15411522663564844</v>
      </c>
      <c r="BL66" s="97">
        <f t="shared" si="37"/>
        <v>0.18186517008420197</v>
      </c>
      <c r="BM66" s="97">
        <f t="shared" si="37"/>
        <v>0.20998504381158639</v>
      </c>
      <c r="BN66" s="97">
        <f t="shared" si="37"/>
        <v>0.2353199116162438</v>
      </c>
      <c r="BO66" s="97">
        <f t="shared" si="37"/>
        <v>0.25614610535632365</v>
      </c>
      <c r="BP66" s="97">
        <f t="shared" si="37"/>
        <v>0.27278370296711796</v>
      </c>
      <c r="BQ66" s="97">
        <f t="shared" si="37"/>
        <v>0.28666997347769468</v>
      </c>
      <c r="BR66" s="97">
        <f t="shared" si="37"/>
        <v>0.29853832787137052</v>
      </c>
      <c r="BS66" s="97">
        <f t="shared" si="37"/>
        <v>0.30710402916854013</v>
      </c>
      <c r="BT66" s="97">
        <f t="shared" si="37"/>
        <v>0.30929338506287557</v>
      </c>
      <c r="BU66" s="97">
        <f t="shared" si="37"/>
        <v>0.30186242047488443</v>
      </c>
      <c r="BV66" s="97">
        <f t="shared" si="37"/>
        <v>0.28324722119196677</v>
      </c>
      <c r="BW66" s="97">
        <f t="shared" si="37"/>
        <v>0.25445884722907847</v>
      </c>
      <c r="BX66" s="97">
        <f t="shared" si="37"/>
        <v>0.21865449681780466</v>
      </c>
      <c r="BY66" s="97">
        <f t="shared" si="37"/>
        <v>0.17989646559960668</v>
      </c>
      <c r="BZ66" s="97">
        <f t="shared" si="28"/>
        <v>0.14191880901674966</v>
      </c>
      <c r="CA66" s="97">
        <f t="shared" si="26"/>
        <v>0.1074377341703867</v>
      </c>
      <c r="CB66" s="97">
        <f t="shared" si="26"/>
        <v>7.8052126274158848E-2</v>
      </c>
      <c r="CC66" s="97">
        <f t="shared" si="26"/>
        <v>5.4458397104186478E-2</v>
      </c>
      <c r="CD66" s="97">
        <f t="shared" si="26"/>
        <v>3.6685264917969224E-2</v>
      </c>
      <c r="CE66" s="97">
        <f t="shared" si="26"/>
        <v>2.4237377020943564E-2</v>
      </c>
      <c r="CF66" s="97">
        <f t="shared" si="26"/>
        <v>1.6210568371052236E-2</v>
      </c>
      <c r="CG66" s="97">
        <f t="shared" si="26"/>
        <v>1.1466662504281981E-2</v>
      </c>
      <c r="CH66" s="97">
        <f t="shared" si="26"/>
        <v>8.8639329781076241E-3</v>
      </c>
      <c r="CI66" s="97">
        <f t="shared" si="26"/>
        <v>7.4593767196898834E-3</v>
      </c>
      <c r="CJ66" s="97">
        <f t="shared" si="26"/>
        <v>6.6074065787828911E-3</v>
      </c>
      <c r="CK66" s="97">
        <f t="shared" si="26"/>
        <v>5.9465983935772576E-3</v>
      </c>
      <c r="CL66" s="97">
        <f t="shared" si="26"/>
        <v>5.3211927194936302E-3</v>
      </c>
      <c r="CM66" s="97">
        <f t="shared" si="26"/>
        <v>4.6930861198135401E-3</v>
      </c>
      <c r="CN66" s="97">
        <f t="shared" si="26"/>
        <v>4.0768322870552995E-3</v>
      </c>
      <c r="CO66" s="97">
        <f t="shared" si="26"/>
        <v>3.5031097528344171E-3</v>
      </c>
      <c r="CP66" s="97">
        <f t="shared" si="32"/>
        <v>3.001462408850286E-3</v>
      </c>
      <c r="CQ66" s="97">
        <f t="shared" si="32"/>
        <v>2.5916740504565773E-3</v>
      </c>
      <c r="CR66" s="97">
        <f t="shared" si="32"/>
        <v>2.2783644733949649E-3</v>
      </c>
      <c r="CS66" s="97">
        <f t="shared" si="32"/>
        <v>2.0486964640125224E-3</v>
      </c>
      <c r="CT66" s="97">
        <f t="shared" si="32"/>
        <v>1.8750098976895013E-3</v>
      </c>
      <c r="CU66" s="97">
        <f t="shared" si="32"/>
        <v>1.7227123749550255E-3</v>
      </c>
      <c r="CV66" s="97">
        <f t="shared" si="32"/>
        <v>1.5609276146841546E-3</v>
      </c>
      <c r="CW66" s="97">
        <f t="shared" si="32"/>
        <v>1.3716302141141214E-3</v>
      </c>
      <c r="CX66" s="97">
        <f t="shared" si="32"/>
        <v>1.1535725283270664E-3</v>
      </c>
      <c r="CY66" s="97">
        <f t="shared" si="32"/>
        <v>9.1986322975072673E-4</v>
      </c>
      <c r="CZ66" s="97">
        <f t="shared" si="32"/>
        <v>6.9099840567394535E-4</v>
      </c>
      <c r="DA66" s="97">
        <f t="shared" si="32"/>
        <v>4.8681868042885505E-4</v>
      </c>
      <c r="DB66" s="97">
        <f t="shared" si="32"/>
        <v>3.2060129735255827E-4</v>
      </c>
      <c r="DC66" s="97">
        <f t="shared" si="34"/>
        <v>1.9684439796557234E-4</v>
      </c>
      <c r="DD66" s="97">
        <f t="shared" si="34"/>
        <v>1.1241902706293613E-4</v>
      </c>
      <c r="DE66" s="97">
        <f t="shared" si="34"/>
        <v>5.9593270191910333E-5</v>
      </c>
      <c r="DF66" s="97">
        <f t="shared" si="34"/>
        <v>2.9264186581651577E-5</v>
      </c>
      <c r="DG66" s="97">
        <f t="shared" si="34"/>
        <v>1.3287933591795393E-5</v>
      </c>
      <c r="DH66" s="97">
        <f t="shared" si="34"/>
        <v>5.5696297506315399E-6</v>
      </c>
      <c r="DI66" s="97">
        <f t="shared" si="34"/>
        <v>2.1517079841151946E-6</v>
      </c>
      <c r="DJ66" s="97">
        <f t="shared" si="34"/>
        <v>7.6515131514061901E-7</v>
      </c>
      <c r="DK66" s="97">
        <f t="shared" si="34"/>
        <v>2.5015890561735722E-7</v>
      </c>
      <c r="DL66" s="97">
        <f t="shared" si="34"/>
        <v>7.5121121764714332E-8</v>
      </c>
    </row>
    <row r="67" spans="1:116" x14ac:dyDescent="0.25">
      <c r="A67" s="60">
        <v>6.7</v>
      </c>
      <c r="B67" s="25">
        <v>3.1</v>
      </c>
      <c r="C67" s="25">
        <v>4.4000000000000004</v>
      </c>
      <c r="D67" s="57">
        <v>1.4</v>
      </c>
      <c r="E67" s="82" t="s">
        <v>6</v>
      </c>
      <c r="L67" s="97" cm="1">
        <f t="array" ref="L67">EstymacjaGaussowska($O67,$D$2:$D$51,H$9)</f>
        <v>8.5118505287158551E-26</v>
      </c>
      <c r="M67" s="97" cm="1">
        <f t="array" ref="M67">EstymacjaGaussowska($O67,$D$52:$D$101,I$9)</f>
        <v>1.0557371276534808</v>
      </c>
      <c r="N67" s="97" cm="1">
        <f t="array" ref="N67">EstymacjaGaussowska($O67,$D$102:$D$151,J$9)</f>
        <v>1.216385551137106E-2</v>
      </c>
      <c r="O67" s="97">
        <v>1.1400000000000099</v>
      </c>
      <c r="P67" s="97">
        <f t="shared" si="36"/>
        <v>2.6638215328493275E-40</v>
      </c>
      <c r="Q67" s="97">
        <f t="shared" si="36"/>
        <v>2.5558721750791515E-38</v>
      </c>
      <c r="R67" s="97">
        <f t="shared" si="36"/>
        <v>2.1677273247279153E-36</v>
      </c>
      <c r="S67" s="97">
        <f t="shared" si="36"/>
        <v>1.6251808396936186E-34</v>
      </c>
      <c r="T67" s="97">
        <f t="shared" si="36"/>
        <v>1.0770360947707673E-32</v>
      </c>
      <c r="U67" s="97">
        <f t="shared" si="36"/>
        <v>6.309433331516022E-31</v>
      </c>
      <c r="V67" s="97">
        <f t="shared" si="36"/>
        <v>3.2672475123814021E-29</v>
      </c>
      <c r="W67" s="97">
        <f t="shared" si="36"/>
        <v>1.4955654897255942E-27</v>
      </c>
      <c r="X67" s="97">
        <f t="shared" si="36"/>
        <v>6.0514651334638341E-26</v>
      </c>
      <c r="Y67" s="97">
        <f t="shared" si="36"/>
        <v>2.1644468374776763E-24</v>
      </c>
      <c r="Z67" s="97">
        <f t="shared" si="36"/>
        <v>6.8432847954775847E-23</v>
      </c>
      <c r="AA67" s="97">
        <f t="shared" si="36"/>
        <v>1.9125559514295078E-21</v>
      </c>
      <c r="AB67" s="97">
        <f t="shared" si="36"/>
        <v>4.7249340628397555E-20</v>
      </c>
      <c r="AC67" s="97">
        <f t="shared" si="36"/>
        <v>1.0318332633620177E-18</v>
      </c>
      <c r="AD67" s="97">
        <f t="shared" si="36"/>
        <v>1.9918460526095216E-17</v>
      </c>
      <c r="AE67" s="97">
        <f t="shared" si="36"/>
        <v>3.3988738105383407E-16</v>
      </c>
      <c r="AF67" s="97">
        <f t="shared" si="35"/>
        <v>5.1268218699262995E-15</v>
      </c>
      <c r="AG67" s="97">
        <f t="shared" si="35"/>
        <v>6.8359164298221037E-14</v>
      </c>
      <c r="AH67" s="97">
        <f t="shared" si="35"/>
        <v>8.057175730730517E-13</v>
      </c>
      <c r="AI67" s="97">
        <f t="shared" si="35"/>
        <v>8.3947945026995506E-12</v>
      </c>
      <c r="AJ67" s="97">
        <f t="shared" si="35"/>
        <v>7.7318623689039251E-11</v>
      </c>
      <c r="AK67" s="97">
        <f t="shared" si="35"/>
        <v>6.2952645056155793E-10</v>
      </c>
      <c r="AL67" s="97">
        <f t="shared" si="35"/>
        <v>4.531207976781914E-9</v>
      </c>
      <c r="AM67" s="97">
        <f t="shared" si="35"/>
        <v>2.8834135294591692E-8</v>
      </c>
      <c r="AN67" s="97">
        <f t="shared" si="35"/>
        <v>1.6222919527004923E-7</v>
      </c>
      <c r="AO67" s="97">
        <f t="shared" si="35"/>
        <v>8.0711955822636985E-7</v>
      </c>
      <c r="AP67" s="97">
        <f t="shared" si="35"/>
        <v>3.5516094502833586E-6</v>
      </c>
      <c r="AQ67" s="97">
        <f t="shared" si="35"/>
        <v>1.3827285054825469E-5</v>
      </c>
      <c r="AR67" s="97">
        <f t="shared" si="35"/>
        <v>4.7654626349576068E-5</v>
      </c>
      <c r="AS67" s="97">
        <f t="shared" si="35"/>
        <v>1.4551181528694974E-4</v>
      </c>
      <c r="AT67" s="97">
        <f t="shared" si="35"/>
        <v>3.9418518407778217E-4</v>
      </c>
      <c r="AU67" s="97">
        <f t="shared" si="38"/>
        <v>9.4935949267613707E-4</v>
      </c>
      <c r="AV67" s="97">
        <f t="shared" si="38"/>
        <v>2.0394958931787962E-3</v>
      </c>
      <c r="AW67" s="97">
        <f t="shared" si="38"/>
        <v>3.9279936165730134E-3</v>
      </c>
      <c r="AX67" s="97">
        <f t="shared" si="38"/>
        <v>6.833298628527518E-3</v>
      </c>
      <c r="AY67" s="97">
        <f t="shared" si="38"/>
        <v>1.0851577682026116E-2</v>
      </c>
      <c r="AZ67" s="97">
        <f t="shared" si="38"/>
        <v>1.5948806206096251E-2</v>
      </c>
      <c r="BA67" s="97">
        <f t="shared" si="38"/>
        <v>2.2039129520788674E-2</v>
      </c>
      <c r="BB67" s="97">
        <f t="shared" si="38"/>
        <v>2.9070640383338384E-2</v>
      </c>
      <c r="BC67" s="97">
        <f t="shared" si="38"/>
        <v>3.7011153959045806E-2</v>
      </c>
      <c r="BD67" s="97">
        <f t="shared" si="38"/>
        <v>4.5735943409563738E-2</v>
      </c>
      <c r="BE67" s="97">
        <f t="shared" si="38"/>
        <v>5.4970967537701948E-2</v>
      </c>
      <c r="BF67" s="97">
        <f t="shared" si="38"/>
        <v>6.4456579318649357E-2</v>
      </c>
      <c r="BG67" s="97">
        <f t="shared" si="38"/>
        <v>7.4312711437993006E-2</v>
      </c>
      <c r="BH67" s="97">
        <f t="shared" si="38"/>
        <v>8.5349433586322757E-2</v>
      </c>
      <c r="BI67" s="97">
        <f t="shared" si="38"/>
        <v>9.8979935937295094E-2</v>
      </c>
      <c r="BJ67" s="97">
        <f t="shared" si="38"/>
        <v>0.11657294545303519</v>
      </c>
      <c r="BK67" s="97">
        <f t="shared" si="37"/>
        <v>0.13848783736158035</v>
      </c>
      <c r="BL67" s="97">
        <f t="shared" si="37"/>
        <v>0.16342170234892406</v>
      </c>
      <c r="BM67" s="97">
        <f t="shared" si="37"/>
        <v>0.18868552819689188</v>
      </c>
      <c r="BN67" s="97">
        <f t="shared" si="37"/>
        <v>0.21144262975319866</v>
      </c>
      <c r="BO67" s="97">
        <f t="shared" si="37"/>
        <v>0.2301418778521041</v>
      </c>
      <c r="BP67" s="97">
        <f t="shared" si="37"/>
        <v>0.24506798185003162</v>
      </c>
      <c r="BQ67" s="97">
        <f t="shared" si="37"/>
        <v>0.25750868325008547</v>
      </c>
      <c r="BR67" s="97">
        <f t="shared" si="37"/>
        <v>0.26811806862556065</v>
      </c>
      <c r="BS67" s="97">
        <f t="shared" si="37"/>
        <v>0.27573544923447613</v>
      </c>
      <c r="BT67" s="97">
        <f t="shared" si="37"/>
        <v>0.27759194985145935</v>
      </c>
      <c r="BU67" s="97">
        <f t="shared" si="37"/>
        <v>0.27076692889246684</v>
      </c>
      <c r="BV67" s="97">
        <f t="shared" si="37"/>
        <v>0.25385376011689448</v>
      </c>
      <c r="BW67" s="97">
        <f t="shared" si="37"/>
        <v>0.22776720142929388</v>
      </c>
      <c r="BX67" s="97">
        <f t="shared" si="37"/>
        <v>0.19535953390854779</v>
      </c>
      <c r="BY67" s="97">
        <f t="shared" si="37"/>
        <v>0.16030343388980961</v>
      </c>
      <c r="BZ67" s="97">
        <f t="shared" si="28"/>
        <v>0.12597803895597515</v>
      </c>
      <c r="CA67" s="97">
        <f t="shared" si="26"/>
        <v>9.4841727315863461E-2</v>
      </c>
      <c r="CB67" s="97">
        <f t="shared" si="26"/>
        <v>6.833679716887936E-2</v>
      </c>
      <c r="CC67" s="97">
        <f t="shared" si="26"/>
        <v>4.7081517905464151E-2</v>
      </c>
      <c r="CD67" s="97">
        <f t="shared" si="26"/>
        <v>3.1086008259220678E-2</v>
      </c>
      <c r="CE67" s="97">
        <f t="shared" si="26"/>
        <v>1.9889789430646371E-2</v>
      </c>
      <c r="CF67" s="97">
        <f t="shared" si="26"/>
        <v>1.2672911224778337E-2</v>
      </c>
      <c r="CG67" s="97">
        <f t="shared" si="26"/>
        <v>8.4156510084463856E-3</v>
      </c>
      <c r="CH67" s="97">
        <f t="shared" si="26"/>
        <v>6.1023394117190495E-3</v>
      </c>
      <c r="CI67" s="97">
        <f t="shared" si="26"/>
        <v>4.8964762322164269E-3</v>
      </c>
      <c r="CJ67" s="97">
        <f t="shared" si="26"/>
        <v>4.2234473187992474E-3</v>
      </c>
      <c r="CK67" s="97">
        <f t="shared" si="26"/>
        <v>3.7561970508324699E-3</v>
      </c>
      <c r="CL67" s="97">
        <f t="shared" si="26"/>
        <v>3.3460056534041394E-3</v>
      </c>
      <c r="CM67" s="97">
        <f t="shared" si="26"/>
        <v>2.9465661961607464E-3</v>
      </c>
      <c r="CN67" s="97">
        <f t="shared" si="26"/>
        <v>2.558475647644397E-3</v>
      </c>
      <c r="CO67" s="97">
        <f t="shared" si="26"/>
        <v>2.1981537664243424E-3</v>
      </c>
      <c r="CP67" s="97">
        <f t="shared" si="32"/>
        <v>1.8833197483508325E-3</v>
      </c>
      <c r="CQ67" s="97">
        <f t="shared" si="32"/>
        <v>1.6261802526689859E-3</v>
      </c>
      <c r="CR67" s="97">
        <f t="shared" si="32"/>
        <v>1.4295882223689322E-3</v>
      </c>
      <c r="CS67" s="97">
        <f t="shared" si="32"/>
        <v>1.2854798997619359E-3</v>
      </c>
      <c r="CT67" s="97">
        <f t="shared" si="32"/>
        <v>1.1764980842018827E-3</v>
      </c>
      <c r="CU67" s="97">
        <f t="shared" si="32"/>
        <v>1.0809371214446507E-3</v>
      </c>
      <c r="CV67" s="97">
        <f t="shared" si="32"/>
        <v>9.7942327835732817E-4</v>
      </c>
      <c r="CW67" s="97">
        <f t="shared" si="32"/>
        <v>8.6064629026567062E-4</v>
      </c>
      <c r="CX67" s="97">
        <f t="shared" si="32"/>
        <v>7.2382330663007003E-4</v>
      </c>
      <c r="CY67" s="97">
        <f t="shared" si="32"/>
        <v>5.7717952556567088E-4</v>
      </c>
      <c r="CZ67" s="97">
        <f t="shared" si="32"/>
        <v>4.3357546975933945E-4</v>
      </c>
      <c r="DA67" s="97">
        <f t="shared" si="32"/>
        <v>3.054603835861223E-4</v>
      </c>
      <c r="DB67" s="97">
        <f t="shared" si="32"/>
        <v>2.0116523708837582E-4</v>
      </c>
      <c r="DC67" s="97">
        <f t="shared" si="34"/>
        <v>1.2351244462594182E-4</v>
      </c>
      <c r="DD67" s="97">
        <f t="shared" si="34"/>
        <v>7.05387046749567E-5</v>
      </c>
      <c r="DE67" s="97">
        <f t="shared" si="34"/>
        <v>3.7392532176325648E-5</v>
      </c>
      <c r="DF67" s="97">
        <f t="shared" si="34"/>
        <v>1.8362174702688959E-5</v>
      </c>
      <c r="DG67" s="97">
        <f t="shared" si="34"/>
        <v>8.337677774486971E-6</v>
      </c>
      <c r="DH67" s="97">
        <f t="shared" si="34"/>
        <v>3.494732861446185E-6</v>
      </c>
      <c r="DI67" s="97">
        <f t="shared" si="34"/>
        <v>1.3501157055315654E-6</v>
      </c>
      <c r="DJ67" s="97">
        <f t="shared" si="34"/>
        <v>4.8010362712126112E-7</v>
      </c>
      <c r="DK67" s="97">
        <f t="shared" si="34"/>
        <v>1.5696528982833432E-7</v>
      </c>
      <c r="DL67" s="97">
        <f t="shared" si="34"/>
        <v>4.7135674106538118E-8</v>
      </c>
    </row>
    <row r="68" spans="1:116" x14ac:dyDescent="0.25">
      <c r="A68" s="60">
        <v>5.6</v>
      </c>
      <c r="B68" s="25">
        <v>3</v>
      </c>
      <c r="C68" s="25">
        <v>4.5</v>
      </c>
      <c r="D68" s="57">
        <v>1.5</v>
      </c>
      <c r="E68" s="82" t="s">
        <v>6</v>
      </c>
      <c r="L68" s="97" cm="1">
        <f t="array" ref="L68">EstymacjaGaussowska($O68,$D$2:$D$51,H$9)</f>
        <v>3.5570860582829374E-23</v>
      </c>
      <c r="M68" s="97" cm="1">
        <f t="array" ref="M68">EstymacjaGaussowska($O68,$D$52:$D$101,I$9)</f>
        <v>0.97577898595893087</v>
      </c>
      <c r="N68" s="97" cm="1">
        <f t="array" ref="N68">EstymacjaGaussowska($O68,$D$102:$D$151,J$9)</f>
        <v>7.3036255772240335E-3</v>
      </c>
      <c r="O68" s="97">
        <v>1.1100000000000101</v>
      </c>
      <c r="P68" s="97">
        <f t="shared" si="36"/>
        <v>2.4620722393997663E-40</v>
      </c>
      <c r="Q68" s="97">
        <f t="shared" si="36"/>
        <v>2.3622986195275452E-38</v>
      </c>
      <c r="R68" s="97">
        <f t="shared" si="36"/>
        <v>2.0035506144838343E-36</v>
      </c>
      <c r="S68" s="97">
        <f t="shared" si="36"/>
        <v>1.5020948655943863E-34</v>
      </c>
      <c r="T68" s="97">
        <f t="shared" si="36"/>
        <v>9.9546506580649838E-33</v>
      </c>
      <c r="U68" s="97">
        <f t="shared" si="36"/>
        <v>5.8316084288117802E-31</v>
      </c>
      <c r="V68" s="97">
        <f t="shared" si="36"/>
        <v>3.019971057411808E-29</v>
      </c>
      <c r="W68" s="97">
        <f t="shared" si="36"/>
        <v>1.3826897773522637E-27</v>
      </c>
      <c r="X68" s="97">
        <f t="shared" si="36"/>
        <v>5.5967526865901846E-26</v>
      </c>
      <c r="Y68" s="97">
        <f t="shared" si="36"/>
        <v>2.0018634399021571E-24</v>
      </c>
      <c r="Z68" s="97">
        <f t="shared" si="36"/>
        <v>6.327056708842743E-23</v>
      </c>
      <c r="AA68" s="97">
        <f t="shared" si="36"/>
        <v>1.767838452619359E-21</v>
      </c>
      <c r="AB68" s="97">
        <f t="shared" si="36"/>
        <v>4.3671224327931127E-20</v>
      </c>
      <c r="AC68" s="97">
        <f t="shared" si="36"/>
        <v>9.5368621602920325E-19</v>
      </c>
      <c r="AD68" s="97">
        <f t="shared" si="36"/>
        <v>1.8409901387554954E-17</v>
      </c>
      <c r="AE68" s="97">
        <f t="shared" si="36"/>
        <v>3.1414540395986074E-16</v>
      </c>
      <c r="AF68" s="97">
        <f t="shared" si="35"/>
        <v>4.7385328403477831E-15</v>
      </c>
      <c r="AG68" s="97">
        <f t="shared" si="35"/>
        <v>6.3181860597769267E-14</v>
      </c>
      <c r="AH68" s="97">
        <f t="shared" si="35"/>
        <v>7.4469511002110566E-13</v>
      </c>
      <c r="AI68" s="97">
        <f t="shared" si="35"/>
        <v>7.7589997098921659E-12</v>
      </c>
      <c r="AJ68" s="97">
        <f t="shared" si="35"/>
        <v>7.1462759282441248E-11</v>
      </c>
      <c r="AK68" s="97">
        <f t="shared" si="35"/>
        <v>5.8184813764066758E-10</v>
      </c>
      <c r="AL68" s="97">
        <f t="shared" si="35"/>
        <v>4.1880288273848689E-9</v>
      </c>
      <c r="AM68" s="97">
        <f t="shared" si="35"/>
        <v>2.6650330429597389E-8</v>
      </c>
      <c r="AN68" s="97">
        <f t="shared" si="35"/>
        <v>1.4994247668961393E-7</v>
      </c>
      <c r="AO68" s="97">
        <f t="shared" si="35"/>
        <v>7.4599091331023799E-7</v>
      </c>
      <c r="AP68" s="97">
        <f t="shared" si="35"/>
        <v>3.2826219492937477E-6</v>
      </c>
      <c r="AQ68" s="97">
        <f t="shared" si="35"/>
        <v>1.2780050862994E-5</v>
      </c>
      <c r="AR68" s="97">
        <f t="shared" si="35"/>
        <v>4.4045417895830261E-5</v>
      </c>
      <c r="AS68" s="97">
        <f t="shared" si="35"/>
        <v>1.3449121741254761E-4</v>
      </c>
      <c r="AT68" s="97">
        <f t="shared" si="35"/>
        <v>3.6433086336023747E-4</v>
      </c>
      <c r="AU68" s="97">
        <f t="shared" si="38"/>
        <v>8.7745805163918882E-4</v>
      </c>
      <c r="AV68" s="97">
        <f t="shared" si="38"/>
        <v>1.8850310199248208E-3</v>
      </c>
      <c r="AW68" s="97">
        <f t="shared" si="38"/>
        <v>3.6304999868192241E-3</v>
      </c>
      <c r="AX68" s="97">
        <f t="shared" si="38"/>
        <v>6.315766521635984E-3</v>
      </c>
      <c r="AY68" s="97">
        <f t="shared" si="38"/>
        <v>1.0029714016060981E-2</v>
      </c>
      <c r="AZ68" s="97">
        <f t="shared" si="38"/>
        <v>1.4740894810493831E-2</v>
      </c>
      <c r="BA68" s="97">
        <f t="shared" si="38"/>
        <v>2.0369956580500264E-2</v>
      </c>
      <c r="BB68" s="97">
        <f t="shared" si="38"/>
        <v>2.6868923359220573E-2</v>
      </c>
      <c r="BC68" s="97">
        <f t="shared" si="38"/>
        <v>3.4208047832869758E-2</v>
      </c>
      <c r="BD68" s="97">
        <f t="shared" si="38"/>
        <v>4.2272049344736912E-2</v>
      </c>
      <c r="BE68" s="97">
        <f t="shared" si="38"/>
        <v>5.0807640838688897E-2</v>
      </c>
      <c r="BF68" s="97">
        <f t="shared" si="38"/>
        <v>5.9574837199293983E-2</v>
      </c>
      <c r="BG68" s="97">
        <f t="shared" si="38"/>
        <v>6.8684478816566877E-2</v>
      </c>
      <c r="BH68" s="97">
        <f t="shared" si="38"/>
        <v>7.8885258425042251E-2</v>
      </c>
      <c r="BI68" s="97">
        <f t="shared" si="38"/>
        <v>9.1483273653959696E-2</v>
      </c>
      <c r="BJ68" s="97">
        <f t="shared" si="38"/>
        <v>0.10774344936229642</v>
      </c>
      <c r="BK68" s="97">
        <f t="shared" si="37"/>
        <v>0.12799766295843915</v>
      </c>
      <c r="BL68" s="97">
        <f t="shared" si="37"/>
        <v>0.15104117792353283</v>
      </c>
      <c r="BM68" s="97">
        <f t="shared" si="37"/>
        <v>0.17438781775199966</v>
      </c>
      <c r="BN68" s="97">
        <f t="shared" si="37"/>
        <v>0.19541452529053754</v>
      </c>
      <c r="BO68" s="97">
        <f t="shared" si="37"/>
        <v>0.2126859860791267</v>
      </c>
      <c r="BP68" s="97">
        <f t="shared" si="37"/>
        <v>0.22646316080656576</v>
      </c>
      <c r="BQ68" s="97">
        <f t="shared" si="37"/>
        <v>0.23793340894211409</v>
      </c>
      <c r="BR68" s="97">
        <f t="shared" si="37"/>
        <v>0.2476975574165447</v>
      </c>
      <c r="BS68" s="97">
        <f t="shared" si="37"/>
        <v>0.25467817251437253</v>
      </c>
      <c r="BT68" s="97">
        <f t="shared" si="37"/>
        <v>0.25631097698147109</v>
      </c>
      <c r="BU68" s="97">
        <f t="shared" si="37"/>
        <v>0.24989235963198778</v>
      </c>
      <c r="BV68" s="97">
        <f t="shared" si="37"/>
        <v>0.23412127364352939</v>
      </c>
      <c r="BW68" s="97">
        <f t="shared" si="37"/>
        <v>0.20984784698424822</v>
      </c>
      <c r="BX68" s="97">
        <f t="shared" si="37"/>
        <v>0.17971971527882599</v>
      </c>
      <c r="BY68" s="97">
        <f t="shared" si="37"/>
        <v>0.14714806817040768</v>
      </c>
      <c r="BZ68" s="97">
        <f t="shared" si="28"/>
        <v>0.1152738538750009</v>
      </c>
      <c r="CA68" s="97">
        <f t="shared" si="26"/>
        <v>8.6382419594865867E-2</v>
      </c>
      <c r="CB68" s="97">
        <f t="shared" si="26"/>
        <v>6.1810964637066458E-2</v>
      </c>
      <c r="CC68" s="97">
        <f t="shared" si="26"/>
        <v>4.2125286157662589E-2</v>
      </c>
      <c r="CD68" s="97">
        <f t="shared" si="26"/>
        <v>2.7322980696526691E-2</v>
      </c>
      <c r="CE68" s="97">
        <f t="shared" si="26"/>
        <v>1.6966943064958124E-2</v>
      </c>
      <c r="CF68" s="97">
        <f t="shared" si="26"/>
        <v>1.0293736267952124E-2</v>
      </c>
      <c r="CG68" s="97">
        <f t="shared" si="26"/>
        <v>6.3631591585083993E-3</v>
      </c>
      <c r="CH68" s="97">
        <f t="shared" si="26"/>
        <v>4.2441847160000394E-3</v>
      </c>
      <c r="CI68" s="97">
        <f t="shared" si="26"/>
        <v>3.1718303708732475E-3</v>
      </c>
      <c r="CJ68" s="97">
        <f t="shared" si="26"/>
        <v>2.6191368790523207E-3</v>
      </c>
      <c r="CK68" s="97">
        <f t="shared" si="26"/>
        <v>2.2821137734959761E-3</v>
      </c>
      <c r="CL68" s="97">
        <f t="shared" si="26"/>
        <v>2.0167461851741102E-3</v>
      </c>
      <c r="CM68" s="97">
        <f t="shared" si="26"/>
        <v>1.7711920377447836E-3</v>
      </c>
      <c r="CN68" s="97">
        <f t="shared" si="26"/>
        <v>1.5366502176227029E-3</v>
      </c>
      <c r="CO68" s="97">
        <f t="shared" si="26"/>
        <v>1.3199427823522238E-3</v>
      </c>
      <c r="CP68" s="97">
        <f t="shared" si="32"/>
        <v>1.130830603741653E-3</v>
      </c>
      <c r="CQ68" s="97">
        <f t="shared" si="32"/>
        <v>9.764209372165409E-4</v>
      </c>
      <c r="CR68" s="97">
        <f t="shared" si="32"/>
        <v>8.5837763748032017E-4</v>
      </c>
      <c r="CS68" s="97">
        <f t="shared" si="32"/>
        <v>7.7184938797659759E-4</v>
      </c>
      <c r="CT68" s="97">
        <f t="shared" si="32"/>
        <v>7.064126627477277E-4</v>
      </c>
      <c r="CU68" s="97">
        <f t="shared" si="32"/>
        <v>6.4903434657145832E-4</v>
      </c>
      <c r="CV68" s="97">
        <f t="shared" si="32"/>
        <v>5.8808170654266081E-4</v>
      </c>
      <c r="CW68" s="97">
        <f t="shared" si="32"/>
        <v>5.1676364066406688E-4</v>
      </c>
      <c r="CX68" s="97">
        <f t="shared" si="32"/>
        <v>4.3461009634281062E-4</v>
      </c>
      <c r="CY68" s="97">
        <f t="shared" si="32"/>
        <v>3.465597845708443E-4</v>
      </c>
      <c r="CZ68" s="97">
        <f t="shared" si="32"/>
        <v>2.6033463548058138E-4</v>
      </c>
      <c r="DA68" s="97">
        <f t="shared" si="32"/>
        <v>1.8340963260396391E-4</v>
      </c>
      <c r="DB68" s="97">
        <f t="shared" si="32"/>
        <v>1.20786996316548E-4</v>
      </c>
      <c r="DC68" s="97">
        <f t="shared" si="34"/>
        <v>7.4161407855609769E-5</v>
      </c>
      <c r="DD68" s="97">
        <f t="shared" si="34"/>
        <v>4.2354028882261554E-5</v>
      </c>
      <c r="DE68" s="97">
        <f t="shared" si="34"/>
        <v>2.2451849592005043E-5</v>
      </c>
      <c r="DF68" s="97">
        <f t="shared" si="34"/>
        <v>1.1025324058366655E-5</v>
      </c>
      <c r="DG68" s="97">
        <f t="shared" si="34"/>
        <v>5.0062479442861725E-6</v>
      </c>
      <c r="DH68" s="97">
        <f t="shared" si="34"/>
        <v>2.0983659571229737E-6</v>
      </c>
      <c r="DI68" s="97">
        <f t="shared" si="34"/>
        <v>8.1065905377732895E-7</v>
      </c>
      <c r="DJ68" s="97">
        <f t="shared" si="34"/>
        <v>2.8827184994781601E-7</v>
      </c>
      <c r="DK68" s="97">
        <f t="shared" si="34"/>
        <v>9.4247724700027007E-8</v>
      </c>
      <c r="DL68" s="97">
        <f t="shared" si="34"/>
        <v>2.8301989832285062E-8</v>
      </c>
    </row>
    <row r="69" spans="1:116" x14ac:dyDescent="0.25">
      <c r="A69" s="60">
        <v>5.8</v>
      </c>
      <c r="B69" s="25">
        <v>2.7</v>
      </c>
      <c r="C69" s="25">
        <v>4.0999999999999996</v>
      </c>
      <c r="D69" s="57">
        <v>1</v>
      </c>
      <c r="E69" s="82" t="s">
        <v>6</v>
      </c>
      <c r="L69" s="97" cm="1">
        <f t="array" ref="L69">EstymacjaGaussowska($O69,$D$2:$D$51,H$9)</f>
        <v>1.0529052859082231E-20</v>
      </c>
      <c r="M69" s="97" cm="1">
        <f t="array" ref="M69">EstymacjaGaussowska($O69,$D$52:$D$101,I$9)</f>
        <v>0.92572234389494723</v>
      </c>
      <c r="N69" s="97" cm="1">
        <f t="array" ref="N69">EstymacjaGaussowska($O69,$D$102:$D$151,J$9)</f>
        <v>4.1932196779271647E-3</v>
      </c>
      <c r="O69" s="97">
        <v>1.0800000000000101</v>
      </c>
      <c r="P69" s="97">
        <f t="shared" si="36"/>
        <v>2.3357700023189299E-40</v>
      </c>
      <c r="Q69" s="97">
        <f t="shared" si="36"/>
        <v>2.2411146854248903E-38</v>
      </c>
      <c r="R69" s="97">
        <f t="shared" si="36"/>
        <v>1.9007701753044751E-36</v>
      </c>
      <c r="S69" s="97">
        <f t="shared" si="36"/>
        <v>1.4250406525023389E-34</v>
      </c>
      <c r="T69" s="97">
        <f t="shared" si="36"/>
        <v>9.4446600751420892E-33</v>
      </c>
      <c r="U69" s="97">
        <f t="shared" si="36"/>
        <v>5.5417157130278143E-31</v>
      </c>
      <c r="V69" s="97">
        <f t="shared" si="36"/>
        <v>2.9166161799458324E-29</v>
      </c>
      <c r="W69" s="97">
        <f t="shared" si="36"/>
        <v>1.4281547080113799E-27</v>
      </c>
      <c r="X69" s="97">
        <f t="shared" si="36"/>
        <v>6.375994934725404E-26</v>
      </c>
      <c r="Y69" s="97">
        <f t="shared" si="36"/>
        <v>2.2968544855666933E-24</v>
      </c>
      <c r="Z69" s="97">
        <f t="shared" si="36"/>
        <v>6.6117421685646712E-23</v>
      </c>
      <c r="AA69" s="97">
        <f t="shared" si="36"/>
        <v>1.7165826186438787E-21</v>
      </c>
      <c r="AB69" s="97">
        <f t="shared" si="36"/>
        <v>4.1548356662418368E-20</v>
      </c>
      <c r="AC69" s="97">
        <f t="shared" si="36"/>
        <v>9.04967662075515E-19</v>
      </c>
      <c r="AD69" s="97">
        <f t="shared" si="36"/>
        <v>1.7465824264466764E-17</v>
      </c>
      <c r="AE69" s="97">
        <f t="shared" si="36"/>
        <v>2.9803068574458008E-16</v>
      </c>
      <c r="AF69" s="97">
        <f t="shared" si="35"/>
        <v>4.4954514126053155E-15</v>
      </c>
      <c r="AG69" s="97">
        <f t="shared" si="35"/>
        <v>5.9940686304069097E-14</v>
      </c>
      <c r="AH69" s="97">
        <f t="shared" si="35"/>
        <v>7.0649287907450691E-13</v>
      </c>
      <c r="AI69" s="97">
        <f t="shared" si="35"/>
        <v>7.3609695466448795E-12</v>
      </c>
      <c r="AJ69" s="97">
        <f t="shared" si="35"/>
        <v>6.779677978072095E-11</v>
      </c>
      <c r="AK69" s="97">
        <f t="shared" si="35"/>
        <v>5.5199981708895764E-10</v>
      </c>
      <c r="AL69" s="97">
        <f t="shared" si="35"/>
        <v>3.9731864676064824E-9</v>
      </c>
      <c r="AM69" s="97">
        <f t="shared" si="35"/>
        <v>2.5283190871975133E-8</v>
      </c>
      <c r="AN69" s="97">
        <f t="shared" si="35"/>
        <v>1.4225055362727929E-7</v>
      </c>
      <c r="AO69" s="97">
        <f t="shared" si="35"/>
        <v>7.0772220628960289E-7</v>
      </c>
      <c r="AP69" s="97">
        <f t="shared" si="35"/>
        <v>3.1142262015766624E-6</v>
      </c>
      <c r="AQ69" s="97">
        <f t="shared" si="35"/>
        <v>1.2124444992388254E-5</v>
      </c>
      <c r="AR69" s="97">
        <f t="shared" si="35"/>
        <v>4.1785924967722703E-5</v>
      </c>
      <c r="AS69" s="97">
        <f t="shared" si="35"/>
        <v>1.2759193096792968E-4</v>
      </c>
      <c r="AT69" s="97">
        <f t="shared" si="35"/>
        <v>3.4564099620536622E-4</v>
      </c>
      <c r="AU69" s="97">
        <f t="shared" si="38"/>
        <v>8.3244519088986871E-4</v>
      </c>
      <c r="AV69" s="97">
        <f t="shared" si="38"/>
        <v>1.7883305125334613E-3</v>
      </c>
      <c r="AW69" s="97">
        <f t="shared" si="38"/>
        <v>3.4442583880863373E-3</v>
      </c>
      <c r="AX69" s="97">
        <f t="shared" si="38"/>
        <v>5.9917730060003276E-3</v>
      </c>
      <c r="AY69" s="97">
        <f t="shared" si="38"/>
        <v>9.5151981146043771E-3</v>
      </c>
      <c r="AZ69" s="97">
        <f t="shared" si="38"/>
        <v>1.3984699292510727E-2</v>
      </c>
      <c r="BA69" s="97">
        <f t="shared" si="38"/>
        <v>1.9324994921186899E-2</v>
      </c>
      <c r="BB69" s="97">
        <f t="shared" si="38"/>
        <v>2.5490570152179443E-2</v>
      </c>
      <c r="BC69" s="97">
        <f t="shared" si="38"/>
        <v>3.2453203645588062E-2</v>
      </c>
      <c r="BD69" s="97">
        <f t="shared" si="38"/>
        <v>4.010352838662077E-2</v>
      </c>
      <c r="BE69" s="97">
        <f t="shared" si="38"/>
        <v>4.8201250135213952E-2</v>
      </c>
      <c r="BF69" s="97">
        <f t="shared" si="38"/>
        <v>5.6518692780630493E-2</v>
      </c>
      <c r="BG69" s="97">
        <f t="shared" si="38"/>
        <v>6.516100445791348E-2</v>
      </c>
      <c r="BH69" s="97">
        <f t="shared" si="38"/>
        <v>7.4838453315208456E-2</v>
      </c>
      <c r="BI69" s="97">
        <f t="shared" si="38"/>
        <v>8.6790092170961286E-2</v>
      </c>
      <c r="BJ69" s="97">
        <f t="shared" si="38"/>
        <v>0.1022158596816751</v>
      </c>
      <c r="BK69" s="97">
        <f t="shared" si="37"/>
        <v>0.12143041382946525</v>
      </c>
      <c r="BL69" s="97">
        <f t="shared" si="37"/>
        <v>0.14329046906909015</v>
      </c>
      <c r="BM69" s="97">
        <f t="shared" si="37"/>
        <v>0.16543681714475686</v>
      </c>
      <c r="BN69" s="97">
        <f t="shared" si="37"/>
        <v>0.18538011876822061</v>
      </c>
      <c r="BO69" s="97">
        <f t="shared" si="37"/>
        <v>0.20175753501479932</v>
      </c>
      <c r="BP69" s="97">
        <f t="shared" si="37"/>
        <v>0.2148151214801855</v>
      </c>
      <c r="BQ69" s="97">
        <f t="shared" si="37"/>
        <v>0.22567734585865076</v>
      </c>
      <c r="BR69" s="97">
        <f t="shared" si="37"/>
        <v>0.23491162866464524</v>
      </c>
      <c r="BS69" s="97">
        <f t="shared" si="37"/>
        <v>0.24149257680606331</v>
      </c>
      <c r="BT69" s="97">
        <f t="shared" si="37"/>
        <v>0.2429839108139854</v>
      </c>
      <c r="BU69" s="97">
        <f t="shared" si="37"/>
        <v>0.23681781656018286</v>
      </c>
      <c r="BV69" s="97">
        <f t="shared" si="37"/>
        <v>0.22175932729261841</v>
      </c>
      <c r="BW69" s="97">
        <f t="shared" si="37"/>
        <v>0.19861819030939407</v>
      </c>
      <c r="BX69" s="97">
        <f t="shared" si="37"/>
        <v>0.16991412152369409</v>
      </c>
      <c r="BY69" s="97">
        <f t="shared" si="37"/>
        <v>0.13889489723806905</v>
      </c>
      <c r="BZ69" s="97">
        <f t="shared" si="28"/>
        <v>0.10855265560575657</v>
      </c>
      <c r="CA69" s="97">
        <f t="shared" si="26"/>
        <v>8.106464651901997E-2</v>
      </c>
      <c r="CB69" s="97">
        <f t="shared" si="26"/>
        <v>5.7702344757488193E-2</v>
      </c>
      <c r="CC69" s="97">
        <f t="shared" si="26"/>
        <v>3.8998600902237099E-2</v>
      </c>
      <c r="CD69" s="97">
        <f t="shared" si="26"/>
        <v>2.494297001786323E-2</v>
      </c>
      <c r="CE69" s="97">
        <f t="shared" si="26"/>
        <v>1.5112781863253483E-2</v>
      </c>
      <c r="CF69" s="97">
        <f t="shared" si="26"/>
        <v>8.7798826482518837E-3</v>
      </c>
      <c r="CG69" s="97">
        <f t="shared" si="26"/>
        <v>5.0538938981910747E-3</v>
      </c>
      <c r="CH69" s="97">
        <f t="shared" si="26"/>
        <v>3.0569104367268686E-3</v>
      </c>
      <c r="CI69" s="97">
        <f t="shared" si="26"/>
        <v>2.0688626502778501E-3</v>
      </c>
      <c r="CJ69" s="97">
        <f t="shared" si="26"/>
        <v>1.5926960701053896E-3</v>
      </c>
      <c r="CK69" s="97">
        <f t="shared" si="26"/>
        <v>1.3388305195621425E-3</v>
      </c>
      <c r="CL69" s="97">
        <f t="shared" si="26"/>
        <v>1.1660837949774632E-3</v>
      </c>
      <c r="CM69" s="97">
        <f t="shared" si="26"/>
        <v>1.0189931435427306E-3</v>
      </c>
      <c r="CN69" s="97">
        <f t="shared" si="26"/>
        <v>8.8271309933877769E-4</v>
      </c>
      <c r="CO69" s="97">
        <f t="shared" si="26"/>
        <v>7.5791357208333657E-4</v>
      </c>
      <c r="CP69" s="97">
        <f t="shared" si="32"/>
        <v>6.4925947466111858E-4</v>
      </c>
      <c r="CQ69" s="97">
        <f t="shared" si="32"/>
        <v>5.6059386848667165E-4</v>
      </c>
      <c r="CR69" s="97">
        <f t="shared" si="32"/>
        <v>4.9281946610664875E-4</v>
      </c>
      <c r="CS69" s="97">
        <f t="shared" si="32"/>
        <v>4.4314078882859594E-4</v>
      </c>
      <c r="CT69" s="97">
        <f t="shared" si="32"/>
        <v>4.0557165567700479E-4</v>
      </c>
      <c r="CU69" s="97">
        <f t="shared" si="32"/>
        <v>3.7262912355063795E-4</v>
      </c>
      <c r="CV69" s="97">
        <f t="shared" si="32"/>
        <v>3.3763447460004477E-4</v>
      </c>
      <c r="CW69" s="97">
        <f t="shared" si="32"/>
        <v>2.9668873958341852E-4</v>
      </c>
      <c r="CX69" s="97">
        <f t="shared" si="32"/>
        <v>2.495220475013624E-4</v>
      </c>
      <c r="CY69" s="97">
        <f t="shared" si="32"/>
        <v>1.9896985310590134E-4</v>
      </c>
      <c r="CZ69" s="97">
        <f t="shared" si="32"/>
        <v>1.4946553664352635E-4</v>
      </c>
      <c r="DA69" s="97">
        <f t="shared" si="32"/>
        <v>1.0530069927936321E-4</v>
      </c>
      <c r="DB69" s="97">
        <f t="shared" si="32"/>
        <v>6.9347258349567635E-5</v>
      </c>
      <c r="DC69" s="97">
        <f t="shared" si="34"/>
        <v>4.2578178669602711E-5</v>
      </c>
      <c r="DD69" s="97">
        <f t="shared" si="34"/>
        <v>2.4316655539192749E-5</v>
      </c>
      <c r="DE69" s="97">
        <f t="shared" si="34"/>
        <v>1.2890246976603562E-5</v>
      </c>
      <c r="DF69" s="97">
        <f t="shared" si="34"/>
        <v>6.3299528854871266E-6</v>
      </c>
      <c r="DG69" s="97">
        <f t="shared" si="34"/>
        <v>2.874229678206199E-6</v>
      </c>
      <c r="DH69" s="97">
        <f t="shared" si="34"/>
        <v>1.204731722603559E-6</v>
      </c>
      <c r="DI69" s="97">
        <f t="shared" si="34"/>
        <v>4.6542247551536028E-7</v>
      </c>
      <c r="DJ69" s="97">
        <f t="shared" si="34"/>
        <v>1.655050879885173E-7</v>
      </c>
      <c r="DK69" s="97">
        <f t="shared" si="34"/>
        <v>5.4110305851990811E-8</v>
      </c>
      <c r="DL69" s="97">
        <f t="shared" si="34"/>
        <v>1.6248979282196294E-8</v>
      </c>
    </row>
    <row r="70" spans="1:116" x14ac:dyDescent="0.25">
      <c r="A70" s="60">
        <v>6.2</v>
      </c>
      <c r="B70" s="25">
        <v>2.2000000000000002</v>
      </c>
      <c r="C70" s="25">
        <v>4.5</v>
      </c>
      <c r="D70" s="57">
        <v>1.5</v>
      </c>
      <c r="E70" s="82" t="s">
        <v>6</v>
      </c>
      <c r="L70" s="97" cm="1">
        <f t="array" ref="L70">EstymacjaGaussowska($O70,$D$2:$D$51,H$9)</f>
        <v>2.2075410594215705E-18</v>
      </c>
      <c r="M70" s="97" cm="1">
        <f t="array" ref="M70">EstymacjaGaussowska($O70,$D$52:$D$101,I$9)</f>
        <v>0.8856670907226144</v>
      </c>
      <c r="N70" s="97" cm="1">
        <f t="array" ref="N70">EstymacjaGaussowska($O70,$D$102:$D$151,J$9)</f>
        <v>2.3003416318065645E-3</v>
      </c>
      <c r="O70" s="97">
        <v>1.05000000000001</v>
      </c>
      <c r="P70" s="97">
        <f t="shared" si="36"/>
        <v>2.2347031334373111E-40</v>
      </c>
      <c r="Q70" s="97">
        <f t="shared" si="36"/>
        <v>2.1441434992882621E-38</v>
      </c>
      <c r="R70" s="97">
        <f t="shared" si="36"/>
        <v>1.8185303835014235E-36</v>
      </c>
      <c r="S70" s="97">
        <f t="shared" si="36"/>
        <v>1.3637972435980933E-34</v>
      </c>
      <c r="T70" s="97">
        <f t="shared" si="36"/>
        <v>9.1772490520684552E-33</v>
      </c>
      <c r="U70" s="97">
        <f t="shared" si="36"/>
        <v>7.2415697535942265E-31</v>
      </c>
      <c r="V70" s="97">
        <f t="shared" si="36"/>
        <v>1.3587340761360621E-28</v>
      </c>
      <c r="W70" s="97">
        <f t="shared" si="36"/>
        <v>2.5736861967948171E-26</v>
      </c>
      <c r="X70" s="97">
        <f t="shared" si="36"/>
        <v>2.2936863695853222E-24</v>
      </c>
      <c r="Y70" s="97">
        <f t="shared" si="36"/>
        <v>8.5463242232230691E-23</v>
      </c>
      <c r="Z70" s="97">
        <f t="shared" si="36"/>
        <v>1.3388982261220063E-21</v>
      </c>
      <c r="AA70" s="97">
        <f t="shared" si="36"/>
        <v>9.8985964187919594E-21</v>
      </c>
      <c r="AB70" s="97">
        <f t="shared" si="36"/>
        <v>6.4337526040974801E-20</v>
      </c>
      <c r="AC70" s="97">
        <f t="shared" si="36"/>
        <v>9.0867971950199308E-19</v>
      </c>
      <c r="AD70" s="97">
        <f t="shared" si="36"/>
        <v>1.6780306320410374E-17</v>
      </c>
      <c r="AE70" s="97">
        <f t="shared" si="36"/>
        <v>2.8527689668488505E-16</v>
      </c>
      <c r="AF70" s="97">
        <f t="shared" si="35"/>
        <v>4.3012143776556075E-15</v>
      </c>
      <c r="AG70" s="97">
        <f t="shared" si="35"/>
        <v>5.734753396214483E-14</v>
      </c>
      <c r="AH70" s="97">
        <f t="shared" si="35"/>
        <v>6.7592402043851061E-13</v>
      </c>
      <c r="AI70" s="97">
        <f t="shared" si="35"/>
        <v>7.0424668464808309E-12</v>
      </c>
      <c r="AJ70" s="97">
        <f t="shared" si="35"/>
        <v>6.4863268578086967E-11</v>
      </c>
      <c r="AK70" s="97">
        <f t="shared" si="35"/>
        <v>5.2811523400446601E-10</v>
      </c>
      <c r="AL70" s="97">
        <f t="shared" si="35"/>
        <v>3.8012699196084765E-9</v>
      </c>
      <c r="AM70" s="97">
        <f t="shared" si="35"/>
        <v>2.4189207759210754E-8</v>
      </c>
      <c r="AN70" s="97">
        <f t="shared" si="35"/>
        <v>1.3609548782706168E-7</v>
      </c>
      <c r="AO70" s="97">
        <f t="shared" si="35"/>
        <v>6.7709964182894659E-7</v>
      </c>
      <c r="AP70" s="97">
        <f t="shared" si="35"/>
        <v>2.9794761658205656E-6</v>
      </c>
      <c r="AQ70" s="97">
        <f t="shared" si="35"/>
        <v>1.1599830115209436E-5</v>
      </c>
      <c r="AR70" s="97">
        <f t="shared" si="35"/>
        <v>3.9977881967939403E-5</v>
      </c>
      <c r="AS70" s="97">
        <f t="shared" si="35"/>
        <v>1.2207113185211258E-4</v>
      </c>
      <c r="AT70" s="97">
        <f t="shared" si="35"/>
        <v>3.3068539131903159E-4</v>
      </c>
      <c r="AU70" s="97">
        <f t="shared" si="38"/>
        <v>7.9642596429012726E-4</v>
      </c>
      <c r="AV70" s="97">
        <f t="shared" si="38"/>
        <v>1.7109509052377703E-3</v>
      </c>
      <c r="AW70" s="97">
        <f t="shared" si="38"/>
        <v>3.2952281279479481E-3</v>
      </c>
      <c r="AX70" s="97">
        <f t="shared" si="38"/>
        <v>5.7325138595663927E-3</v>
      </c>
      <c r="AY70" s="97">
        <f t="shared" si="38"/>
        <v>9.103483228359471E-3</v>
      </c>
      <c r="AZ70" s="97">
        <f t="shared" si="38"/>
        <v>1.3379592723908406E-2</v>
      </c>
      <c r="BA70" s="97">
        <f t="shared" si="38"/>
        <v>1.8488818101066472E-2</v>
      </c>
      <c r="BB70" s="97">
        <f t="shared" si="38"/>
        <v>2.4387613896624444E-2</v>
      </c>
      <c r="BC70" s="97">
        <f t="shared" si="38"/>
        <v>3.1048979861144008E-2</v>
      </c>
      <c r="BD70" s="97">
        <f t="shared" si="38"/>
        <v>3.8368281102235516E-2</v>
      </c>
      <c r="BE70" s="97">
        <f t="shared" si="38"/>
        <v>4.6115620342708233E-2</v>
      </c>
      <c r="BF70" s="97">
        <f t="shared" si="38"/>
        <v>5.4073171562038544E-2</v>
      </c>
      <c r="BG70" s="97">
        <f t="shared" si="38"/>
        <v>6.2341529319733087E-2</v>
      </c>
      <c r="BH70" s="97">
        <f t="shared" si="38"/>
        <v>7.1600218229619456E-2</v>
      </c>
      <c r="BI70" s="97">
        <f t="shared" si="38"/>
        <v>8.3034651339360055E-2</v>
      </c>
      <c r="BJ70" s="97">
        <f t="shared" si="38"/>
        <v>9.7792786491121178E-2</v>
      </c>
      <c r="BK70" s="97">
        <f t="shared" si="37"/>
        <v>0.11617554506155205</v>
      </c>
      <c r="BL70" s="97">
        <f t="shared" si="37"/>
        <v>0.13708889096195212</v>
      </c>
      <c r="BM70" s="97">
        <f t="shared" si="37"/>
        <v>0.15827534005231425</v>
      </c>
      <c r="BN70" s="97">
        <f t="shared" si="37"/>
        <v>0.1773527375100124</v>
      </c>
      <c r="BO70" s="97">
        <f t="shared" si="37"/>
        <v>0.19301649085819361</v>
      </c>
      <c r="BP70" s="97">
        <f t="shared" si="37"/>
        <v>0.20550105940777558</v>
      </c>
      <c r="BQ70" s="97">
        <f t="shared" si="37"/>
        <v>0.21588101661725145</v>
      </c>
      <c r="BR70" s="97">
        <f t="shared" si="37"/>
        <v>0.22469761434743724</v>
      </c>
      <c r="BS70" s="97">
        <f t="shared" si="37"/>
        <v>0.23096780627216562</v>
      </c>
      <c r="BT70" s="97">
        <f t="shared" si="37"/>
        <v>0.23235850949502795</v>
      </c>
      <c r="BU70" s="97">
        <f t="shared" si="37"/>
        <v>0.22641120546477006</v>
      </c>
      <c r="BV70" s="97">
        <f t="shared" si="37"/>
        <v>0.21194394896124205</v>
      </c>
      <c r="BW70" s="97">
        <f t="shared" si="37"/>
        <v>0.18973347093409035</v>
      </c>
      <c r="BX70" s="97">
        <f t="shared" si="37"/>
        <v>0.16219540448279315</v>
      </c>
      <c r="BY70" s="97">
        <f t="shared" si="37"/>
        <v>0.13244424020438078</v>
      </c>
      <c r="BZ70" s="97">
        <f t="shared" si="28"/>
        <v>0.10335035481068486</v>
      </c>
      <c r="CA70" s="97">
        <f t="shared" si="26"/>
        <v>7.700250765147762E-2</v>
      </c>
      <c r="CB70" s="97">
        <f t="shared" si="26"/>
        <v>5.4618954933505215E-2</v>
      </c>
      <c r="CC70" s="97">
        <f t="shared" si="26"/>
        <v>3.670703788932192E-2</v>
      </c>
      <c r="CD70" s="97">
        <f t="shared" si="26"/>
        <v>2.3251655753134384E-2</v>
      </c>
      <c r="CE70" s="97">
        <f t="shared" si="26"/>
        <v>1.3843429579324822E-2</v>
      </c>
      <c r="CF70" s="97">
        <f t="shared" ref="CF70:CU87" si="39">$H$2*$L70*CF$1+$I$2*$M70*CF$2+$J$2*$N70*CF$3</f>
        <v>7.7832846277856452E-3</v>
      </c>
      <c r="CG70" s="97">
        <f t="shared" si="39"/>
        <v>4.22036377519524E-3</v>
      </c>
      <c r="CH70" s="97">
        <f t="shared" si="39"/>
        <v>2.3181018229370461E-3</v>
      </c>
      <c r="CI70" s="97">
        <f t="shared" si="39"/>
        <v>1.3911330579068756E-3</v>
      </c>
      <c r="CJ70" s="97">
        <f t="shared" si="39"/>
        <v>9.6570697058688884E-4</v>
      </c>
      <c r="CK70" s="97">
        <f t="shared" si="39"/>
        <v>7.6403248484909511E-4</v>
      </c>
      <c r="CL70" s="97">
        <f t="shared" si="39"/>
        <v>6.4818657715168704E-4</v>
      </c>
      <c r="CM70" s="97">
        <f t="shared" si="39"/>
        <v>5.6117755447962893E-4</v>
      </c>
      <c r="CN70" s="97">
        <f t="shared" si="39"/>
        <v>4.847385879576959E-4</v>
      </c>
      <c r="CO70" s="97">
        <f t="shared" si="39"/>
        <v>4.1588083135697847E-4</v>
      </c>
      <c r="CP70" s="97">
        <f t="shared" si="39"/>
        <v>3.5619263177963465E-4</v>
      </c>
      <c r="CQ70" s="97">
        <f t="shared" si="39"/>
        <v>3.0753681388981982E-4</v>
      </c>
      <c r="CR70" s="97">
        <f t="shared" si="39"/>
        <v>2.7035426654442812E-4</v>
      </c>
      <c r="CS70" s="97">
        <f t="shared" si="39"/>
        <v>2.431008856650805E-4</v>
      </c>
      <c r="CT70" s="97">
        <f t="shared" si="39"/>
        <v>2.2249093999656883E-4</v>
      </c>
      <c r="CU70" s="97">
        <f t="shared" si="39"/>
        <v>2.0441912283950241E-4</v>
      </c>
      <c r="CV70" s="97">
        <f t="shared" si="32"/>
        <v>1.8522154766764865E-4</v>
      </c>
      <c r="CW70" s="97">
        <f t="shared" si="32"/>
        <v>1.6275929042304282E-4</v>
      </c>
      <c r="CX70" s="97">
        <f t="shared" si="32"/>
        <v>1.3688430323445061E-4</v>
      </c>
      <c r="CY70" s="97">
        <f t="shared" si="32"/>
        <v>1.0915207685953121E-4</v>
      </c>
      <c r="CZ70" s="97">
        <f t="shared" si="32"/>
        <v>8.1994701654023079E-5</v>
      </c>
      <c r="DA70" s="97">
        <f t="shared" si="32"/>
        <v>5.7766489956567995E-5</v>
      </c>
      <c r="DB70" s="97">
        <f t="shared" si="32"/>
        <v>3.8042935425699559E-5</v>
      </c>
      <c r="DC70" s="97">
        <f t="shared" si="34"/>
        <v>2.3357792942677929E-5</v>
      </c>
      <c r="DD70" s="97">
        <f t="shared" si="34"/>
        <v>1.3339776920715955E-5</v>
      </c>
      <c r="DE70" s="97">
        <f t="shared" si="34"/>
        <v>7.0714090942184404E-6</v>
      </c>
      <c r="DF70" s="97">
        <f t="shared" si="34"/>
        <v>3.4725235662010669E-6</v>
      </c>
      <c r="DG70" s="97">
        <f t="shared" si="34"/>
        <v>1.576762177034348E-6</v>
      </c>
      <c r="DH70" s="97">
        <f t="shared" si="34"/>
        <v>6.6089896297370687E-7</v>
      </c>
      <c r="DI70" s="97">
        <f t="shared" si="34"/>
        <v>2.5532425654734593E-7</v>
      </c>
      <c r="DJ70" s="97">
        <f t="shared" si="34"/>
        <v>9.0793775050677865E-8</v>
      </c>
      <c r="DK70" s="97">
        <f t="shared" si="34"/>
        <v>2.9684156524480303E-8</v>
      </c>
      <c r="DL70" s="97">
        <f t="shared" si="34"/>
        <v>8.913962632092688E-9</v>
      </c>
    </row>
    <row r="71" spans="1:116" x14ac:dyDescent="0.25">
      <c r="A71" s="60">
        <v>5.6</v>
      </c>
      <c r="B71" s="25">
        <v>2.5</v>
      </c>
      <c r="C71" s="25">
        <v>3.9</v>
      </c>
      <c r="D71" s="57">
        <v>1.1000000000000001</v>
      </c>
      <c r="E71" s="82" t="s">
        <v>6</v>
      </c>
      <c r="L71" s="97" cm="1">
        <f t="array" ref="L71">EstymacjaGaussowska($O71,$D$2:$D$51,H$9)</f>
        <v>3.2783311979585313E-16</v>
      </c>
      <c r="M71" s="97" cm="1">
        <f t="array" ref="M71">EstymacjaGaussowska($O71,$D$52:$D$101,I$9)</f>
        <v>0.8331806472627924</v>
      </c>
      <c r="N71" s="97" cm="1">
        <f t="array" ref="N71">EstymacjaGaussowska($O71,$D$102:$D$151,J$9)</f>
        <v>1.2050213669288548E-3</v>
      </c>
      <c r="O71" s="97">
        <v>1.02000000000001</v>
      </c>
      <c r="P71" s="97">
        <f t="shared" si="36"/>
        <v>2.1022700616325254E-40</v>
      </c>
      <c r="Q71" s="97">
        <f t="shared" si="36"/>
        <v>2.0170807554108021E-38</v>
      </c>
      <c r="R71" s="97">
        <f t="shared" si="36"/>
        <v>1.7115000247962899E-36</v>
      </c>
      <c r="S71" s="97">
        <f t="shared" si="36"/>
        <v>1.3447839618973368E-34</v>
      </c>
      <c r="T71" s="97">
        <f t="shared" si="36"/>
        <v>2.9572789049147279E-32</v>
      </c>
      <c r="U71" s="97">
        <f t="shared" si="36"/>
        <v>2.9434794989507382E-29</v>
      </c>
      <c r="V71" s="97">
        <f t="shared" si="36"/>
        <v>1.6133368724405233E-26</v>
      </c>
      <c r="W71" s="97">
        <f t="shared" si="36"/>
        <v>3.6369371276356353E-24</v>
      </c>
      <c r="X71" s="97">
        <f t="shared" si="36"/>
        <v>3.3313488855644885E-22</v>
      </c>
      <c r="Y71" s="97">
        <f t="shared" si="36"/>
        <v>1.2423860612656042E-20</v>
      </c>
      <c r="Z71" s="97">
        <f t="shared" si="36"/>
        <v>1.9036288053694414E-19</v>
      </c>
      <c r="AA71" s="97">
        <f t="shared" si="36"/>
        <v>1.2332385589881413E-18</v>
      </c>
      <c r="AB71" s="97">
        <f t="shared" si="36"/>
        <v>3.7053342900742377E-18</v>
      </c>
      <c r="AC71" s="97">
        <f t="shared" si="36"/>
        <v>7.2098447003511092E-18</v>
      </c>
      <c r="AD71" s="97">
        <f t="shared" si="36"/>
        <v>2.6194526627737058E-17</v>
      </c>
      <c r="AE71" s="97">
        <f t="shared" si="36"/>
        <v>2.8938501883714568E-16</v>
      </c>
      <c r="AF71" s="97">
        <f t="shared" si="35"/>
        <v>4.0874516136158429E-15</v>
      </c>
      <c r="AG71" s="97">
        <f t="shared" si="35"/>
        <v>5.4013104536491747E-14</v>
      </c>
      <c r="AH71" s="97">
        <f t="shared" si="35"/>
        <v>6.3594355223623416E-13</v>
      </c>
      <c r="AI71" s="97">
        <f t="shared" si="35"/>
        <v>6.625185138816779E-12</v>
      </c>
      <c r="AJ71" s="97">
        <f t="shared" si="35"/>
        <v>6.1019388571149597E-11</v>
      </c>
      <c r="AK71" s="97">
        <f t="shared" si="35"/>
        <v>4.9681807516862082E-10</v>
      </c>
      <c r="AL71" s="97">
        <f t="shared" si="35"/>
        <v>3.5759989035636625E-9</v>
      </c>
      <c r="AM71" s="97">
        <f t="shared" si="35"/>
        <v>2.2755705835784291E-8</v>
      </c>
      <c r="AN71" s="97">
        <f t="shared" si="35"/>
        <v>1.2803019083668434E-7</v>
      </c>
      <c r="AO71" s="97">
        <f t="shared" si="35"/>
        <v>6.3697333202578488E-7</v>
      </c>
      <c r="AP71" s="97">
        <f t="shared" si="35"/>
        <v>2.8029063136099796E-6</v>
      </c>
      <c r="AQ71" s="97">
        <f t="shared" si="35"/>
        <v>1.091240045471625E-5</v>
      </c>
      <c r="AR71" s="97">
        <f t="shared" si="35"/>
        <v>3.7608710906336907E-5</v>
      </c>
      <c r="AS71" s="97">
        <f t="shared" si="35"/>
        <v>1.1483694687770546E-4</v>
      </c>
      <c r="AT71" s="97">
        <f t="shared" si="35"/>
        <v>3.1108829860071132E-4</v>
      </c>
      <c r="AU71" s="97">
        <f t="shared" si="38"/>
        <v>7.4922813252859238E-4</v>
      </c>
      <c r="AV71" s="97">
        <f t="shared" si="38"/>
        <v>1.609556454782262E-3</v>
      </c>
      <c r="AW71" s="97">
        <f t="shared" si="38"/>
        <v>3.0999461685786564E-3</v>
      </c>
      <c r="AX71" s="97">
        <f t="shared" si="38"/>
        <v>5.3927933621831245E-3</v>
      </c>
      <c r="AY71" s="97">
        <f t="shared" si="38"/>
        <v>8.5639921907198352E-3</v>
      </c>
      <c r="AZ71" s="97">
        <f t="shared" si="38"/>
        <v>1.2586690690478885E-2</v>
      </c>
      <c r="BA71" s="97">
        <f t="shared" si="38"/>
        <v>1.7393132919825628E-2</v>
      </c>
      <c r="BB71" s="97">
        <f t="shared" si="38"/>
        <v>2.2942354005836513E-2</v>
      </c>
      <c r="BC71" s="97">
        <f t="shared" si="38"/>
        <v>2.9208953775653176E-2</v>
      </c>
      <c r="BD71" s="97">
        <f t="shared" si="38"/>
        <v>3.6094498158940565E-2</v>
      </c>
      <c r="BE71" s="97">
        <f t="shared" si="38"/>
        <v>4.3382713852113799E-2</v>
      </c>
      <c r="BF71" s="97">
        <f t="shared" si="38"/>
        <v>5.0868682938564599E-2</v>
      </c>
      <c r="BG71" s="97">
        <f t="shared" si="38"/>
        <v>5.8647036352402905E-2</v>
      </c>
      <c r="BH71" s="97">
        <f t="shared" si="38"/>
        <v>6.7357022632067054E-2</v>
      </c>
      <c r="BI71" s="97">
        <f t="shared" si="38"/>
        <v>7.8113789714781029E-2</v>
      </c>
      <c r="BJ71" s="97">
        <f t="shared" si="38"/>
        <v>9.1997231243153399E-2</v>
      </c>
      <c r="BK71" s="97">
        <f t="shared" si="37"/>
        <v>0.10929036723372322</v>
      </c>
      <c r="BL71" s="97">
        <f t="shared" si="37"/>
        <v>0.12896387337404053</v>
      </c>
      <c r="BM71" s="97">
        <f t="shared" si="37"/>
        <v>0.1488938486607706</v>
      </c>
      <c r="BN71" s="97">
        <f t="shared" si="37"/>
        <v>0.16683901421295363</v>
      </c>
      <c r="BO71" s="97">
        <f t="shared" si="37"/>
        <v>0.18157168553198488</v>
      </c>
      <c r="BP71" s="97">
        <f t="shared" si="37"/>
        <v>0.19331189525363848</v>
      </c>
      <c r="BQ71" s="97">
        <f t="shared" si="37"/>
        <v>0.20306984090516231</v>
      </c>
      <c r="BR71" s="97">
        <f t="shared" si="37"/>
        <v>0.21135379267273452</v>
      </c>
      <c r="BS71" s="97">
        <f t="shared" si="37"/>
        <v>0.21723782901973149</v>
      </c>
      <c r="BT71" s="97">
        <f t="shared" si="37"/>
        <v>0.21852588676373033</v>
      </c>
      <c r="BU71" s="97">
        <f t="shared" si="37"/>
        <v>0.21290412904132627</v>
      </c>
      <c r="BV71" s="97">
        <f t="shared" si="37"/>
        <v>0.19926042287461077</v>
      </c>
      <c r="BW71" s="97">
        <f t="shared" si="37"/>
        <v>0.17832660087039678</v>
      </c>
      <c r="BX71" s="97">
        <f t="shared" si="37"/>
        <v>0.15237791069216397</v>
      </c>
      <c r="BY71" s="97">
        <f t="shared" si="37"/>
        <v>0.12434833039549362</v>
      </c>
      <c r="BZ71" s="97">
        <f t="shared" si="28"/>
        <v>9.6942450283859088E-2</v>
      </c>
      <c r="CA71" s="97">
        <f t="shared" ref="CA71:CP88" si="40">$H$2*$L71*CA$1+$I$2*$M71*CA$2+$J$2*$N71*CA$3</f>
        <v>7.212844921027721E-2</v>
      </c>
      <c r="CB71" s="97">
        <f t="shared" si="40"/>
        <v>5.1053394026655791E-2</v>
      </c>
      <c r="CC71" s="97">
        <f t="shared" si="40"/>
        <v>3.4193185171146855E-2</v>
      </c>
      <c r="CD71" s="97">
        <f t="shared" si="40"/>
        <v>2.1530754664472736E-2</v>
      </c>
      <c r="CE71" s="97">
        <f t="shared" si="40"/>
        <v>1.2678183981445313E-2</v>
      </c>
      <c r="CF71" s="97">
        <f t="shared" si="40"/>
        <v>6.9764667029666326E-3</v>
      </c>
      <c r="CG71" s="97">
        <f t="shared" si="40"/>
        <v>3.6257270059614466E-3</v>
      </c>
      <c r="CH71" s="97">
        <f t="shared" si="40"/>
        <v>1.8408555050695814E-3</v>
      </c>
      <c r="CI71" s="97">
        <f t="shared" si="40"/>
        <v>9.7909024631492327E-4</v>
      </c>
      <c r="CJ71" s="97">
        <f t="shared" si="40"/>
        <v>5.9576298157609873E-4</v>
      </c>
      <c r="CK71" s="97">
        <f t="shared" si="40"/>
        <v>4.2912999951472369E-4</v>
      </c>
      <c r="CL71" s="97">
        <f t="shared" si="40"/>
        <v>3.4784508490236796E-4</v>
      </c>
      <c r="CM71" s="97">
        <f t="shared" si="40"/>
        <v>2.9609252329342809E-4</v>
      </c>
      <c r="CN71" s="97">
        <f t="shared" si="40"/>
        <v>2.5441093353320793E-4</v>
      </c>
      <c r="CO71" s="97">
        <f t="shared" si="40"/>
        <v>2.1795467135141613E-4</v>
      </c>
      <c r="CP71" s="97">
        <f t="shared" si="40"/>
        <v>1.8660712085404385E-4</v>
      </c>
      <c r="CQ71" s="97">
        <f t="shared" si="39"/>
        <v>1.6110427375526731E-4</v>
      </c>
      <c r="CR71" s="97">
        <f t="shared" si="39"/>
        <v>1.4162399721462222E-4</v>
      </c>
      <c r="CS71" s="97">
        <f t="shared" si="39"/>
        <v>1.2734711716496839E-4</v>
      </c>
      <c r="CT71" s="97">
        <f t="shared" si="39"/>
        <v>1.1655066601660944E-4</v>
      </c>
      <c r="CU71" s="97">
        <f t="shared" si="39"/>
        <v>1.07083838618512E-4</v>
      </c>
      <c r="CV71" s="97">
        <f t="shared" si="32"/>
        <v>9.7027293501332794E-5</v>
      </c>
      <c r="CW71" s="97">
        <f t="shared" si="32"/>
        <v>8.5260563006104038E-5</v>
      </c>
      <c r="CX71" s="97">
        <f t="shared" si="32"/>
        <v>7.1706092657942199E-5</v>
      </c>
      <c r="CY71" s="97">
        <f t="shared" si="32"/>
        <v>5.717871773556195E-5</v>
      </c>
      <c r="CZ71" s="97">
        <f t="shared" si="32"/>
        <v>4.2952475450552929E-5</v>
      </c>
      <c r="DA71" s="97">
        <f t="shared" si="32"/>
        <v>3.0260659428868303E-5</v>
      </c>
      <c r="DB71" s="97">
        <f t="shared" si="32"/>
        <v>1.9928583395962957E-5</v>
      </c>
      <c r="DC71" s="97">
        <f t="shared" si="34"/>
        <v>1.2235851923491061E-5</v>
      </c>
      <c r="DD71" s="97">
        <f t="shared" si="34"/>
        <v>6.9879690900098664E-6</v>
      </c>
      <c r="DE71" s="97">
        <f t="shared" si="34"/>
        <v>3.7043189302869541E-6</v>
      </c>
      <c r="DF71" s="97">
        <f t="shared" si="34"/>
        <v>1.8190624542798966E-6</v>
      </c>
      <c r="DG71" s="97">
        <f t="shared" si="34"/>
        <v>8.2597823193742918E-7</v>
      </c>
      <c r="DH71" s="97">
        <f t="shared" si="34"/>
        <v>3.46208302607205E-7</v>
      </c>
      <c r="DI71" s="97">
        <f t="shared" si="34"/>
        <v>1.3375021361203119E-7</v>
      </c>
      <c r="DJ71" s="97">
        <f t="shared" si="34"/>
        <v>4.7561821864813749E-8</v>
      </c>
      <c r="DK71" s="97">
        <f t="shared" si="34"/>
        <v>1.5549882842040061E-8</v>
      </c>
      <c r="DL71" s="97">
        <f t="shared" si="34"/>
        <v>4.6695305111011946E-9</v>
      </c>
    </row>
    <row r="72" spans="1:116" x14ac:dyDescent="0.25">
      <c r="A72" s="60">
        <v>5.9</v>
      </c>
      <c r="B72" s="25">
        <v>3.2</v>
      </c>
      <c r="C72" s="25">
        <v>4.8</v>
      </c>
      <c r="D72" s="57">
        <v>1.8</v>
      </c>
      <c r="E72" s="82" t="s">
        <v>6</v>
      </c>
      <c r="L72" s="97" cm="1">
        <f t="array" ref="L72">EstymacjaGaussowska($O72,$D$2:$D$51,H$9)</f>
        <v>3.448430061921386E-14</v>
      </c>
      <c r="M72" s="97" cm="1">
        <f t="array" ref="M72">EstymacjaGaussowska($O72,$D$52:$D$101,I$9)</f>
        <v>0.7523808208030982</v>
      </c>
      <c r="N72" s="97" cm="1">
        <f t="array" ref="N72">EstymacjaGaussowska($O72,$D$102:$D$151,J$9)</f>
        <v>6.024256321707067E-4</v>
      </c>
      <c r="O72" s="97">
        <v>0.99000000000000998</v>
      </c>
      <c r="P72" s="97">
        <f t="shared" si="36"/>
        <v>1.8983977796161639E-40</v>
      </c>
      <c r="Q72" s="97">
        <f t="shared" si="36"/>
        <v>1.8218455172093091E-38</v>
      </c>
      <c r="R72" s="97">
        <f t="shared" si="36"/>
        <v>1.6231307667961454E-36</v>
      </c>
      <c r="S72" s="97">
        <f t="shared" si="36"/>
        <v>7.7011574376322326E-34</v>
      </c>
      <c r="T72" s="97">
        <f t="shared" si="36"/>
        <v>2.2243032599235197E-30</v>
      </c>
      <c r="U72" s="97">
        <f t="shared" si="36"/>
        <v>3.0442767537567782E-27</v>
      </c>
      <c r="V72" s="97">
        <f t="shared" si="36"/>
        <v>1.6943571679451682E-24</v>
      </c>
      <c r="W72" s="97">
        <f t="shared" si="36"/>
        <v>3.8244116786225238E-22</v>
      </c>
      <c r="X72" s="97">
        <f t="shared" si="36"/>
        <v>3.5037005713854266E-20</v>
      </c>
      <c r="Y72" s="97">
        <f t="shared" si="36"/>
        <v>1.306670129356596E-18</v>
      </c>
      <c r="Z72" s="97">
        <f t="shared" si="36"/>
        <v>2.001836912633971E-17</v>
      </c>
      <c r="AA72" s="97">
        <f t="shared" si="36"/>
        <v>1.2956520771580935E-16</v>
      </c>
      <c r="AB72" s="97">
        <f t="shared" si="36"/>
        <v>3.8587016572893979E-16</v>
      </c>
      <c r="AC72" s="97">
        <f t="shared" si="36"/>
        <v>6.7347194608583816E-16</v>
      </c>
      <c r="AD72" s="97">
        <f t="shared" si="36"/>
        <v>1.116046660598905E-15</v>
      </c>
      <c r="AE72" s="97">
        <f t="shared" si="36"/>
        <v>2.4667710865473848E-15</v>
      </c>
      <c r="AF72" s="97">
        <f t="shared" si="35"/>
        <v>8.0082994008924246E-15</v>
      </c>
      <c r="AG72" s="97">
        <f t="shared" si="35"/>
        <v>5.550265305704893E-14</v>
      </c>
      <c r="AH72" s="97">
        <f t="shared" si="35"/>
        <v>5.8226556575296224E-13</v>
      </c>
      <c r="AI72" s="97">
        <f t="shared" si="35"/>
        <v>5.9899621539759188E-12</v>
      </c>
      <c r="AJ72" s="97">
        <f t="shared" si="35"/>
        <v>5.5107121415807825E-11</v>
      </c>
      <c r="AK72" s="97">
        <f t="shared" si="35"/>
        <v>4.4864104085585032E-10</v>
      </c>
      <c r="AL72" s="97">
        <f t="shared" si="35"/>
        <v>3.229208831069467E-9</v>
      </c>
      <c r="AM72" s="97">
        <f t="shared" si="35"/>
        <v>2.0548913868993646E-8</v>
      </c>
      <c r="AN72" s="97">
        <f t="shared" si="35"/>
        <v>1.1561413595908547E-7</v>
      </c>
      <c r="AO72" s="97">
        <f t="shared" si="35"/>
        <v>5.7520121263288371E-7</v>
      </c>
      <c r="AP72" s="97">
        <f t="shared" si="35"/>
        <v>2.531087297636011E-6</v>
      </c>
      <c r="AQ72" s="97">
        <f t="shared" si="35"/>
        <v>9.8541424816201972E-6</v>
      </c>
      <c r="AR72" s="97">
        <f t="shared" si="35"/>
        <v>3.3961509876658854E-5</v>
      </c>
      <c r="AS72" s="97">
        <f t="shared" si="35"/>
        <v>1.0370033993734628E-4</v>
      </c>
      <c r="AT72" s="97">
        <f t="shared" si="35"/>
        <v>2.8091971436491924E-4</v>
      </c>
      <c r="AU72" s="97">
        <f t="shared" si="38"/>
        <v>6.7656981612876377E-4</v>
      </c>
      <c r="AV72" s="97">
        <f t="shared" si="38"/>
        <v>1.4534655966343122E-3</v>
      </c>
      <c r="AW72" s="97">
        <f t="shared" si="38"/>
        <v>2.7993209520921218E-3</v>
      </c>
      <c r="AX72" s="97">
        <f t="shared" si="38"/>
        <v>4.8698134187212111E-3</v>
      </c>
      <c r="AY72" s="97">
        <f t="shared" si="38"/>
        <v>7.7334771216321114E-3</v>
      </c>
      <c r="AZ72" s="97">
        <f t="shared" si="38"/>
        <v>1.1366064134991404E-2</v>
      </c>
      <c r="BA72" s="97">
        <f t="shared" si="38"/>
        <v>1.570638932278438E-2</v>
      </c>
      <c r="BB72" s="97">
        <f t="shared" si="38"/>
        <v>2.0717460484033504E-2</v>
      </c>
      <c r="BC72" s="97">
        <f t="shared" si="38"/>
        <v>2.6376340685872166E-2</v>
      </c>
      <c r="BD72" s="97">
        <f t="shared" si="38"/>
        <v>3.2594141725742987E-2</v>
      </c>
      <c r="BE72" s="97">
        <f t="shared" si="38"/>
        <v>3.9175563851387478E-2</v>
      </c>
      <c r="BF72" s="97">
        <f t="shared" si="38"/>
        <v>4.5935561225367426E-2</v>
      </c>
      <c r="BG72" s="97">
        <f t="shared" si="38"/>
        <v>5.2959586597441356E-2</v>
      </c>
      <c r="BH72" s="97">
        <f t="shared" si="38"/>
        <v>6.0824892674582721E-2</v>
      </c>
      <c r="BI72" s="97">
        <f t="shared" si="38"/>
        <v>7.053847541521574E-2</v>
      </c>
      <c r="BJ72" s="97">
        <f t="shared" si="38"/>
        <v>8.307548585600702E-2</v>
      </c>
      <c r="BK72" s="97">
        <f t="shared" si="37"/>
        <v>9.8691462907695912E-2</v>
      </c>
      <c r="BL72" s="97">
        <f t="shared" si="37"/>
        <v>0.11645684129806351</v>
      </c>
      <c r="BM72" s="97">
        <f t="shared" si="37"/>
        <v>0.1344535894650942</v>
      </c>
      <c r="BN72" s="97">
        <f t="shared" si="37"/>
        <v>0.15065763265133439</v>
      </c>
      <c r="BO72" s="97">
        <f t="shared" si="37"/>
        <v>0.16396013915244295</v>
      </c>
      <c r="BP72" s="97">
        <f t="shared" si="37"/>
        <v>0.17455953384673262</v>
      </c>
      <c r="BQ72" s="97">
        <f t="shared" si="37"/>
        <v>0.18336769599793543</v>
      </c>
      <c r="BR72" s="97">
        <f t="shared" si="37"/>
        <v>0.19084314610624306</v>
      </c>
      <c r="BS72" s="97">
        <f t="shared" si="37"/>
        <v>0.19614918260762074</v>
      </c>
      <c r="BT72" s="97">
        <f t="shared" si="37"/>
        <v>0.19730208130620855</v>
      </c>
      <c r="BU72" s="97">
        <f t="shared" si="37"/>
        <v>0.19221188141505197</v>
      </c>
      <c r="BV72" s="97">
        <f t="shared" si="37"/>
        <v>0.17987418426407711</v>
      </c>
      <c r="BW72" s="97">
        <f t="shared" si="37"/>
        <v>0.16095042464467807</v>
      </c>
      <c r="BX72" s="97">
        <f t="shared" si="37"/>
        <v>0.13749660522901314</v>
      </c>
      <c r="BY72" s="97">
        <f t="shared" si="37"/>
        <v>0.11216422970553125</v>
      </c>
      <c r="BZ72" s="97">
        <f t="shared" si="28"/>
        <v>8.7397790884946078E-2</v>
      </c>
      <c r="CA72" s="97">
        <f t="shared" si="40"/>
        <v>6.4976221100008183E-2</v>
      </c>
      <c r="CB72" s="97">
        <f t="shared" si="40"/>
        <v>4.5935857507048559E-2</v>
      </c>
      <c r="CC72" s="97">
        <f t="shared" si="40"/>
        <v>3.0705752582438042E-2</v>
      </c>
      <c r="CD72" s="97">
        <f t="shared" si="40"/>
        <v>1.9269043885625906E-2</v>
      </c>
      <c r="CE72" s="97">
        <f t="shared" si="40"/>
        <v>1.1274013965158597E-2</v>
      </c>
      <c r="CF72" s="97">
        <f t="shared" si="40"/>
        <v>6.1248762507867633E-3</v>
      </c>
      <c r="CG72" s="97">
        <f t="shared" si="40"/>
        <v>3.0996074361842874E-3</v>
      </c>
      <c r="CH72" s="97">
        <f t="shared" si="40"/>
        <v>1.4901879750280583E-3</v>
      </c>
      <c r="CI72" s="97">
        <f t="shared" si="40"/>
        <v>7.1719611869296433E-4</v>
      </c>
      <c r="CJ72" s="97">
        <f t="shared" si="40"/>
        <v>3.7959642764905013E-4</v>
      </c>
      <c r="CK72" s="97">
        <f t="shared" si="40"/>
        <v>2.4081820609129714E-4</v>
      </c>
      <c r="CL72" s="97">
        <f t="shared" si="40"/>
        <v>1.8144409312305729E-4</v>
      </c>
      <c r="CM72" s="97">
        <f t="shared" si="40"/>
        <v>1.4995619553745214E-4</v>
      </c>
      <c r="CN72" s="97">
        <f t="shared" si="40"/>
        <v>1.2762709899008978E-4</v>
      </c>
      <c r="CO72" s="97">
        <f t="shared" si="40"/>
        <v>1.090508883218261E-4</v>
      </c>
      <c r="CP72" s="97">
        <f t="shared" si="40"/>
        <v>9.3306363207265388E-5</v>
      </c>
      <c r="CQ72" s="97">
        <f t="shared" si="39"/>
        <v>8.0543310980647406E-5</v>
      </c>
      <c r="CR72" s="97">
        <f t="shared" si="39"/>
        <v>7.080236212812087E-5</v>
      </c>
      <c r="CS72" s="97">
        <f t="shared" si="39"/>
        <v>6.3664615311876286E-5</v>
      </c>
      <c r="CT72" s="97">
        <f t="shared" si="39"/>
        <v>5.8267111762400058E-5</v>
      </c>
      <c r="CU72" s="97">
        <f t="shared" si="39"/>
        <v>5.3534361742500083E-5</v>
      </c>
      <c r="CV72" s="97">
        <f t="shared" si="32"/>
        <v>4.8506798535480327E-5</v>
      </c>
      <c r="CW72" s="97">
        <f t="shared" si="32"/>
        <v>4.2624263753118959E-5</v>
      </c>
      <c r="CX72" s="97">
        <f t="shared" si="32"/>
        <v>3.5847985260472388E-5</v>
      </c>
      <c r="CY72" s="97">
        <f t="shared" si="32"/>
        <v>2.8585323151872481E-5</v>
      </c>
      <c r="CZ72" s="97">
        <f t="shared" si="32"/>
        <v>2.1473206107991513E-5</v>
      </c>
      <c r="DA72" s="97">
        <f t="shared" si="32"/>
        <v>1.5128193894851311E-5</v>
      </c>
      <c r="DB72" s="97">
        <f t="shared" si="32"/>
        <v>9.962885123918677E-6</v>
      </c>
      <c r="DC72" s="97">
        <f t="shared" si="34"/>
        <v>6.1170623463239052E-6</v>
      </c>
      <c r="DD72" s="97">
        <f t="shared" si="34"/>
        <v>3.493491329010681E-6</v>
      </c>
      <c r="DE72" s="97">
        <f t="shared" si="34"/>
        <v>1.8518980115908503E-6</v>
      </c>
      <c r="DF72" s="97">
        <f t="shared" si="34"/>
        <v>9.0940283637498651E-7</v>
      </c>
      <c r="DG72" s="97">
        <f t="shared" si="34"/>
        <v>4.1293081781804328E-7</v>
      </c>
      <c r="DH72" s="97">
        <f t="shared" si="34"/>
        <v>1.7307971566715514E-7</v>
      </c>
      <c r="DI72" s="97">
        <f t="shared" si="34"/>
        <v>6.6865666617637755E-8</v>
      </c>
      <c r="DJ72" s="97">
        <f t="shared" si="34"/>
        <v>2.3777553984063607E-8</v>
      </c>
      <c r="DK72" s="97">
        <f t="shared" si="34"/>
        <v>7.7738438988604947E-9</v>
      </c>
      <c r="DL72" s="97">
        <f t="shared" si="34"/>
        <v>2.3344356766552045E-9</v>
      </c>
    </row>
    <row r="73" spans="1:116" x14ac:dyDescent="0.25">
      <c r="A73" s="60">
        <v>6.1</v>
      </c>
      <c r="B73" s="25">
        <v>2.8</v>
      </c>
      <c r="C73" s="25">
        <v>4</v>
      </c>
      <c r="D73" s="57">
        <v>1.3</v>
      </c>
      <c r="E73" s="82" t="s">
        <v>6</v>
      </c>
      <c r="L73" s="97" cm="1">
        <f t="array" ref="L73">EstymacjaGaussowska($O73,$D$2:$D$51,H$9)</f>
        <v>2.5692987060707658E-12</v>
      </c>
      <c r="M73" s="97" cm="1">
        <f t="array" ref="M73">EstymacjaGaussowska($O73,$D$52:$D$101,I$9)</f>
        <v>0.64015733091606264</v>
      </c>
      <c r="N73" s="97" cm="1">
        <f t="array" ref="N73">EstymacjaGaussowska($O73,$D$102:$D$151,J$9)</f>
        <v>2.8727130080836516E-4</v>
      </c>
      <c r="O73" s="97">
        <v>0.96000000000000996</v>
      </c>
      <c r="P73" s="97">
        <f t="shared" si="36"/>
        <v>1.6152918390595569E-40</v>
      </c>
      <c r="Q73" s="97">
        <f t="shared" si="36"/>
        <v>1.5780619625061511E-38</v>
      </c>
      <c r="R73" s="97">
        <f t="shared" si="36"/>
        <v>7.1467690967543087E-36</v>
      </c>
      <c r="S73" s="97">
        <f t="shared" si="36"/>
        <v>4.8847718537556158E-32</v>
      </c>
      <c r="T73" s="97">
        <f t="shared" si="36"/>
        <v>1.6515932440629187E-28</v>
      </c>
      <c r="U73" s="97">
        <f t="shared" si="36"/>
        <v>2.2678477156032986E-25</v>
      </c>
      <c r="V73" s="97">
        <f t="shared" si="36"/>
        <v>1.2623862046823723E-22</v>
      </c>
      <c r="W73" s="97">
        <f t="shared" si="36"/>
        <v>2.8494209623932336E-20</v>
      </c>
      <c r="X73" s="97">
        <f t="shared" si="36"/>
        <v>2.6104755581484258E-18</v>
      </c>
      <c r="Y73" s="97">
        <f t="shared" si="36"/>
        <v>9.735508316599406E-17</v>
      </c>
      <c r="Z73" s="97">
        <f t="shared" si="36"/>
        <v>1.4914916381805842E-15</v>
      </c>
      <c r="AA73" s="97">
        <f t="shared" si="36"/>
        <v>9.6533278214910976E-15</v>
      </c>
      <c r="AB73" s="97">
        <f t="shared" si="36"/>
        <v>2.8747289999457983E-14</v>
      </c>
      <c r="AC73" s="97">
        <f t="shared" si="36"/>
        <v>5.0123761302941378E-14</v>
      </c>
      <c r="AD73" s="97">
        <f t="shared" si="36"/>
        <v>8.2106996395115008E-14</v>
      </c>
      <c r="AE73" s="97">
        <f t="shared" si="36"/>
        <v>1.6594894389397962E-13</v>
      </c>
      <c r="AF73" s="97">
        <f t="shared" si="35"/>
        <v>3.2755564019679855E-13</v>
      </c>
      <c r="AG73" s="97">
        <f t="shared" si="35"/>
        <v>5.4704004238814616E-13</v>
      </c>
      <c r="AH73" s="97">
        <f t="shared" si="35"/>
        <v>1.0893364758460578E-12</v>
      </c>
      <c r="AI73" s="97">
        <f t="shared" si="35"/>
        <v>5.6367216170548926E-12</v>
      </c>
      <c r="AJ73" s="97">
        <f t="shared" si="35"/>
        <v>4.7277077527343871E-11</v>
      </c>
      <c r="AK73" s="97">
        <f t="shared" si="35"/>
        <v>3.8195826618991515E-10</v>
      </c>
      <c r="AL73" s="97">
        <f t="shared" si="35"/>
        <v>2.7476641980969454E-9</v>
      </c>
      <c r="AM73" s="97">
        <f t="shared" si="35"/>
        <v>1.7483946975495263E-8</v>
      </c>
      <c r="AN73" s="97">
        <f t="shared" si="35"/>
        <v>9.8369432524299198E-8</v>
      </c>
      <c r="AO73" s="97">
        <f t="shared" si="35"/>
        <v>4.894054724086543E-7</v>
      </c>
      <c r="AP73" s="97">
        <f t="shared" si="35"/>
        <v>2.1535558159585232E-6</v>
      </c>
      <c r="AQ73" s="97">
        <f t="shared" si="35"/>
        <v>8.3843199818338267E-6</v>
      </c>
      <c r="AR73" s="97">
        <f t="shared" si="35"/>
        <v>2.8895884790531471E-5</v>
      </c>
      <c r="AS73" s="97">
        <f t="shared" si="35"/>
        <v>8.8232622355419226E-5</v>
      </c>
      <c r="AT73" s="97">
        <f t="shared" si="35"/>
        <v>2.3901833961901647E-4</v>
      </c>
      <c r="AU73" s="97">
        <f t="shared" si="38"/>
        <v>5.7565413112079704E-4</v>
      </c>
      <c r="AV73" s="97">
        <f t="shared" si="38"/>
        <v>1.2366698235696195E-3</v>
      </c>
      <c r="AW73" s="97">
        <f t="shared" si="38"/>
        <v>2.381780315925397E-3</v>
      </c>
      <c r="AX73" s="97">
        <f t="shared" si="38"/>
        <v>4.143442621064565E-3</v>
      </c>
      <c r="AY73" s="97">
        <f t="shared" si="38"/>
        <v>6.5799684627728793E-3</v>
      </c>
      <c r="AZ73" s="97">
        <f t="shared" si="38"/>
        <v>9.6707266831696573E-3</v>
      </c>
      <c r="BA73" s="97">
        <f t="shared" si="38"/>
        <v>1.3363658388164222E-2</v>
      </c>
      <c r="BB73" s="97">
        <f t="shared" si="38"/>
        <v>1.762728905248025E-2</v>
      </c>
      <c r="BC73" s="97">
        <f t="shared" si="38"/>
        <v>2.2442102963208189E-2</v>
      </c>
      <c r="BD73" s="97">
        <f t="shared" si="38"/>
        <v>2.7732470276030367E-2</v>
      </c>
      <c r="BE73" s="97">
        <f t="shared" si="38"/>
        <v>3.3332221676587039E-2</v>
      </c>
      <c r="BF73" s="97">
        <f t="shared" si="38"/>
        <v>3.9083912195652042E-2</v>
      </c>
      <c r="BG73" s="97">
        <f t="shared" si="38"/>
        <v>4.5060248122773844E-2</v>
      </c>
      <c r="BH73" s="97">
        <f t="shared" si="38"/>
        <v>5.1752378981388396E-2</v>
      </c>
      <c r="BI73" s="97">
        <f t="shared" si="38"/>
        <v>6.001709584941687E-2</v>
      </c>
      <c r="BJ73" s="97">
        <f t="shared" si="38"/>
        <v>7.0684090394836599E-2</v>
      </c>
      <c r="BK73" s="97">
        <f t="shared" si="37"/>
        <v>8.3970769890149219E-2</v>
      </c>
      <c r="BL73" s="97">
        <f t="shared" si="37"/>
        <v>9.9086192095222889E-2</v>
      </c>
      <c r="BM73" s="97">
        <f t="shared" si="37"/>
        <v>0.11439836788791341</v>
      </c>
      <c r="BN73" s="97">
        <f t="shared" si="37"/>
        <v>0.12818505970293348</v>
      </c>
      <c r="BO73" s="97">
        <f t="shared" si="37"/>
        <v>0.13950273165636429</v>
      </c>
      <c r="BP73" s="97">
        <f t="shared" si="37"/>
        <v>0.14852008698720667</v>
      </c>
      <c r="BQ73" s="97">
        <f t="shared" si="37"/>
        <v>0.15601282786614601</v>
      </c>
      <c r="BR73" s="97">
        <f t="shared" si="37"/>
        <v>0.16237087002800576</v>
      </c>
      <c r="BS73" s="97">
        <f t="shared" si="37"/>
        <v>0.16688204642777363</v>
      </c>
      <c r="BT73" s="97">
        <f t="shared" si="37"/>
        <v>0.16785822871600389</v>
      </c>
      <c r="BU73" s="97">
        <f t="shared" si="37"/>
        <v>0.16352095162969615</v>
      </c>
      <c r="BV73" s="97">
        <f t="shared" si="37"/>
        <v>0.15301557586150327</v>
      </c>
      <c r="BW73" s="97">
        <f t="shared" si="37"/>
        <v>0.13690514404236875</v>
      </c>
      <c r="BX73" s="97">
        <f t="shared" si="37"/>
        <v>0.11693964068891079</v>
      </c>
      <c r="BY73" s="97">
        <f t="shared" si="37"/>
        <v>9.5376030431372175E-2</v>
      </c>
      <c r="BZ73" s="97">
        <f t="shared" si="28"/>
        <v>7.4295205266936531E-2</v>
      </c>
      <c r="CA73" s="97">
        <f t="shared" si="40"/>
        <v>5.521150848012283E-2</v>
      </c>
      <c r="CB73" s="97">
        <f t="shared" si="40"/>
        <v>3.9006936001931801E-2</v>
      </c>
      <c r="CC73" s="97">
        <f t="shared" si="40"/>
        <v>2.6046220810102834E-2</v>
      </c>
      <c r="CD73" s="97">
        <f t="shared" si="40"/>
        <v>1.6314343230487638E-2</v>
      </c>
      <c r="CE73" s="97">
        <f t="shared" si="40"/>
        <v>9.5113893673093898E-3</v>
      </c>
      <c r="CF73" s="97">
        <f t="shared" si="40"/>
        <v>5.1301193107755397E-3</v>
      </c>
      <c r="CG73" s="97">
        <f t="shared" si="40"/>
        <v>2.5563362199569231E-3</v>
      </c>
      <c r="CH73" s="97">
        <f t="shared" si="40"/>
        <v>1.1880686999994135E-3</v>
      </c>
      <c r="CI73" s="97">
        <f t="shared" si="40"/>
        <v>5.3278723701544878E-4</v>
      </c>
      <c r="CJ73" s="97">
        <f t="shared" si="40"/>
        <v>2.4951050389637362E-4</v>
      </c>
      <c r="CK73" s="97">
        <f t="shared" si="40"/>
        <v>1.3685665593844755E-4</v>
      </c>
      <c r="CL73" s="97">
        <f t="shared" si="40"/>
        <v>9.284523117730806E-5</v>
      </c>
      <c r="CM73" s="97">
        <f t="shared" si="40"/>
        <v>7.3125441810095753E-5</v>
      </c>
      <c r="CN73" s="97">
        <f t="shared" si="40"/>
        <v>6.1228257696649803E-5</v>
      </c>
      <c r="CO73" s="97">
        <f t="shared" si="40"/>
        <v>5.2076267416656663E-5</v>
      </c>
      <c r="CP73" s="97">
        <f t="shared" si="40"/>
        <v>4.450724058806851E-5</v>
      </c>
      <c r="CQ73" s="97">
        <f t="shared" si="39"/>
        <v>3.8409830148643401E-5</v>
      </c>
      <c r="CR73" s="97">
        <f t="shared" si="39"/>
        <v>3.3762952640909347E-5</v>
      </c>
      <c r="CS73" s="97">
        <f t="shared" si="39"/>
        <v>3.0358999655724714E-5</v>
      </c>
      <c r="CT73" s="97">
        <f t="shared" si="39"/>
        <v>2.778512502270292E-5</v>
      </c>
      <c r="CU73" s="97">
        <f t="shared" si="39"/>
        <v>2.5528272970800569E-5</v>
      </c>
      <c r="CV73" s="97">
        <f t="shared" si="32"/>
        <v>2.3130840373735902E-5</v>
      </c>
      <c r="CW73" s="97">
        <f t="shared" si="32"/>
        <v>2.0325708339940847E-5</v>
      </c>
      <c r="CX73" s="97">
        <f t="shared" si="32"/>
        <v>1.7094387767234025E-5</v>
      </c>
      <c r="CY73" s="97">
        <f t="shared" si="32"/>
        <v>1.3631131424941936E-5</v>
      </c>
      <c r="CZ73" s="97">
        <f t="shared" si="32"/>
        <v>1.0239663655980085E-5</v>
      </c>
      <c r="DA73" s="97">
        <f t="shared" si="32"/>
        <v>7.2139957315488915E-6</v>
      </c>
      <c r="DB73" s="97">
        <f t="shared" si="32"/>
        <v>4.7508784761359928E-6</v>
      </c>
      <c r="DC73" s="97">
        <f t="shared" si="34"/>
        <v>2.9169682754408302E-6</v>
      </c>
      <c r="DD73" s="97">
        <f t="shared" si="34"/>
        <v>1.6658982368188189E-6</v>
      </c>
      <c r="DE73" s="97">
        <f t="shared" si="34"/>
        <v>8.830918246907839E-7</v>
      </c>
      <c r="DF73" s="97">
        <f t="shared" si="34"/>
        <v>4.3365574406739598E-7</v>
      </c>
      <c r="DG73" s="97">
        <f t="shared" si="34"/>
        <v>1.9690923965339777E-7</v>
      </c>
      <c r="DH73" s="97">
        <f t="shared" si="34"/>
        <v>8.2534394966043634E-8</v>
      </c>
      <c r="DI73" s="97">
        <f t="shared" si="34"/>
        <v>3.1885407929030856E-8</v>
      </c>
      <c r="DJ73" s="97">
        <f t="shared" si="34"/>
        <v>1.1338509681984311E-8</v>
      </c>
      <c r="DK73" s="97">
        <f t="shared" si="34"/>
        <v>3.7070173144193411E-9</v>
      </c>
      <c r="DL73" s="97">
        <f t="shared" si="34"/>
        <v>1.1131936253604943E-9</v>
      </c>
    </row>
    <row r="74" spans="1:116" x14ac:dyDescent="0.25">
      <c r="A74" s="60">
        <v>6.3</v>
      </c>
      <c r="B74" s="25">
        <v>2.5</v>
      </c>
      <c r="C74" s="25">
        <v>4.9000000000000004</v>
      </c>
      <c r="D74" s="57">
        <v>1.5</v>
      </c>
      <c r="E74" s="82" t="s">
        <v>6</v>
      </c>
      <c r="L74" s="97" cm="1">
        <f t="array" ref="L74">EstymacjaGaussowska($O74,$D$2:$D$51,H$9)</f>
        <v>1.3559148576447905E-10</v>
      </c>
      <c r="M74" s="97" cm="1">
        <f t="array" ref="M74">EstymacjaGaussowska($O74,$D$52:$D$101,I$9)</f>
        <v>0.50661605991338787</v>
      </c>
      <c r="N74" s="97" cm="1">
        <f t="array" ref="N74">EstymacjaGaussowska($O74,$D$102:$D$151,J$9)</f>
        <v>1.3060473717408101E-4</v>
      </c>
      <c r="O74" s="97">
        <v>0.93000000000001004</v>
      </c>
      <c r="P74" s="97">
        <f t="shared" si="36"/>
        <v>1.2812202080115375E-40</v>
      </c>
      <c r="Q74" s="97">
        <f t="shared" si="36"/>
        <v>2.7190286879691978E-38</v>
      </c>
      <c r="R74" s="97">
        <f t="shared" si="36"/>
        <v>3.0883483735955561E-34</v>
      </c>
      <c r="S74" s="97">
        <f t="shared" si="36"/>
        <v>2.5727539144880474E-30</v>
      </c>
      <c r="T74" s="97">
        <f t="shared" si="36"/>
        <v>8.7157347255884789E-27</v>
      </c>
      <c r="U74" s="97">
        <f t="shared" si="36"/>
        <v>1.196825925899595E-23</v>
      </c>
      <c r="V74" s="97">
        <f t="shared" si="36"/>
        <v>6.66208231208856E-21</v>
      </c>
      <c r="W74" s="97">
        <f t="shared" si="36"/>
        <v>1.5037457841500566E-18</v>
      </c>
      <c r="X74" s="97">
        <f t="shared" si="36"/>
        <v>1.3776454008408246E-16</v>
      </c>
      <c r="Y74" s="97">
        <f t="shared" si="36"/>
        <v>5.1377911671870104E-15</v>
      </c>
      <c r="Z74" s="97">
        <f t="shared" si="36"/>
        <v>7.8711580403778536E-14</v>
      </c>
      <c r="AA74" s="97">
        <f t="shared" si="36"/>
        <v>5.0944209169128124E-13</v>
      </c>
      <c r="AB74" s="97">
        <f t="shared" si="36"/>
        <v>1.5171003383372949E-12</v>
      </c>
      <c r="AC74" s="97">
        <f t="shared" si="36"/>
        <v>2.6451855086822628E-12</v>
      </c>
      <c r="AD74" s="97">
        <f t="shared" si="36"/>
        <v>4.3324649337339415E-12</v>
      </c>
      <c r="AE74" s="97">
        <f t="shared" si="36"/>
        <v>8.7470321125442244E-12</v>
      </c>
      <c r="AF74" s="97">
        <f t="shared" si="35"/>
        <v>1.7124736504373564E-11</v>
      </c>
      <c r="AG74" s="97">
        <f t="shared" si="35"/>
        <v>2.671466194084108E-11</v>
      </c>
      <c r="AH74" s="97">
        <f t="shared" si="35"/>
        <v>3.2092103001258143E-11</v>
      </c>
      <c r="AI74" s="97">
        <f t="shared" si="35"/>
        <v>3.2866587413386664E-11</v>
      </c>
      <c r="AJ74" s="97">
        <f t="shared" si="35"/>
        <v>5.7901791435238303E-11</v>
      </c>
      <c r="AK74" s="97">
        <f t="shared" si="35"/>
        <v>3.1466494860097356E-10</v>
      </c>
      <c r="AL74" s="97">
        <f t="shared" si="35"/>
        <v>2.1806422047750489E-9</v>
      </c>
      <c r="AM74" s="97">
        <f t="shared" si="35"/>
        <v>1.3840065092419766E-8</v>
      </c>
      <c r="AN74" s="97">
        <f t="shared" si="35"/>
        <v>7.7851519118611787E-8</v>
      </c>
      <c r="AO74" s="97">
        <f t="shared" si="35"/>
        <v>3.873133466716875E-7</v>
      </c>
      <c r="AP74" s="97">
        <f t="shared" si="35"/>
        <v>1.7043093541255315E-6</v>
      </c>
      <c r="AQ74" s="97">
        <f t="shared" si="35"/>
        <v>6.6352925489793271E-6</v>
      </c>
      <c r="AR74" s="97">
        <f t="shared" si="35"/>
        <v>2.2868002276576007E-5</v>
      </c>
      <c r="AS74" s="97">
        <f t="shared" si="35"/>
        <v>6.9826683745961561E-5</v>
      </c>
      <c r="AT74" s="97">
        <f t="shared" si="35"/>
        <v>1.8915745179633582E-4</v>
      </c>
      <c r="AU74" s="97">
        <f t="shared" si="38"/>
        <v>4.5556867616270683E-4</v>
      </c>
      <c r="AV74" s="97">
        <f t="shared" si="38"/>
        <v>9.7869189834017532E-4</v>
      </c>
      <c r="AW74" s="97">
        <f t="shared" si="38"/>
        <v>1.884924378678358E-3</v>
      </c>
      <c r="AX74" s="97">
        <f t="shared" si="38"/>
        <v>3.2790916760366104E-3</v>
      </c>
      <c r="AY74" s="97">
        <f t="shared" si="38"/>
        <v>5.207341283106624E-3</v>
      </c>
      <c r="AZ74" s="97">
        <f t="shared" si="38"/>
        <v>7.653345845003926E-3</v>
      </c>
      <c r="BA74" s="97">
        <f t="shared" si="38"/>
        <v>1.0575906314913565E-2</v>
      </c>
      <c r="BB74" s="97">
        <f t="shared" si="38"/>
        <v>1.3950113972115218E-2</v>
      </c>
      <c r="BC74" s="97">
        <f t="shared" si="38"/>
        <v>1.7760524215773236E-2</v>
      </c>
      <c r="BD74" s="97">
        <f t="shared" si="38"/>
        <v>2.1947284107419598E-2</v>
      </c>
      <c r="BE74" s="97">
        <f t="shared" si="38"/>
        <v>2.6378888386128736E-2</v>
      </c>
      <c r="BF74" s="97">
        <f t="shared" si="38"/>
        <v>3.0930736126370231E-2</v>
      </c>
      <c r="BG74" s="97">
        <f t="shared" si="38"/>
        <v>3.5660366359561713E-2</v>
      </c>
      <c r="BH74" s="97">
        <f t="shared" si="38"/>
        <v>4.0956470792021221E-2</v>
      </c>
      <c r="BI74" s="97">
        <f t="shared" si="38"/>
        <v>4.749710640045321E-2</v>
      </c>
      <c r="BJ74" s="97">
        <f t="shared" si="38"/>
        <v>5.5938881984431567E-2</v>
      </c>
      <c r="BK74" s="97">
        <f t="shared" si="37"/>
        <v>6.6453845273453813E-2</v>
      </c>
      <c r="BL74" s="97">
        <f t="shared" si="37"/>
        <v>7.8416037667235983E-2</v>
      </c>
      <c r="BM74" s="97">
        <f t="shared" si="37"/>
        <v>9.0533894149363442E-2</v>
      </c>
      <c r="BN74" s="97">
        <f t="shared" si="37"/>
        <v>0.1014444180860582</v>
      </c>
      <c r="BO74" s="97">
        <f t="shared" si="37"/>
        <v>0.11040086090163641</v>
      </c>
      <c r="BP74" s="97">
        <f t="shared" si="37"/>
        <v>0.11753667948644177</v>
      </c>
      <c r="BQ74" s="97">
        <f t="shared" si="37"/>
        <v>0.12346568908461393</v>
      </c>
      <c r="BR74" s="97">
        <f t="shared" si="37"/>
        <v>0.12849637490532159</v>
      </c>
      <c r="BS74" s="97">
        <f t="shared" si="37"/>
        <v>0.13206501865496159</v>
      </c>
      <c r="BT74" s="97">
        <f t="shared" si="37"/>
        <v>0.1328355218529583</v>
      </c>
      <c r="BU74" s="97">
        <f t="shared" si="37"/>
        <v>0.12940031705367519</v>
      </c>
      <c r="BV74" s="97">
        <f t="shared" si="37"/>
        <v>0.12108302522423692</v>
      </c>
      <c r="BW74" s="97">
        <f t="shared" si="37"/>
        <v>0.10832934861134226</v>
      </c>
      <c r="BX74" s="97">
        <f t="shared" si="37"/>
        <v>9.2524492210333084E-2</v>
      </c>
      <c r="BY74" s="97">
        <f t="shared" si="37"/>
        <v>7.5455011543554801E-2</v>
      </c>
      <c r="BZ74" s="97">
        <f t="shared" si="28"/>
        <v>5.8768145647745504E-2</v>
      </c>
      <c r="CA74" s="97">
        <f t="shared" si="40"/>
        <v>4.3662658439008323E-2</v>
      </c>
      <c r="CB74" s="97">
        <f t="shared" si="40"/>
        <v>3.0836656945658261E-2</v>
      </c>
      <c r="CC74" s="97">
        <f t="shared" si="40"/>
        <v>2.0578649634147017E-2</v>
      </c>
      <c r="CD74" s="97">
        <f t="shared" si="40"/>
        <v>1.2876461320135396E-2</v>
      </c>
      <c r="CE74" s="97">
        <f t="shared" si="40"/>
        <v>7.4924597579656754E-3</v>
      </c>
      <c r="CF74" s="97">
        <f t="shared" si="40"/>
        <v>4.0250815911158028E-3</v>
      </c>
      <c r="CG74" s="97">
        <f t="shared" si="40"/>
        <v>1.9883119761599315E-3</v>
      </c>
      <c r="CH74" s="97">
        <f t="shared" si="40"/>
        <v>9.0594450841033683E-4</v>
      </c>
      <c r="CI74" s="97">
        <f t="shared" si="40"/>
        <v>3.8839525526201599E-4</v>
      </c>
      <c r="CJ74" s="97">
        <f t="shared" si="40"/>
        <v>1.6591553134863939E-4</v>
      </c>
      <c r="CK74" s="97">
        <f t="shared" si="40"/>
        <v>7.9091271344936719E-5</v>
      </c>
      <c r="CL74" s="97">
        <f t="shared" si="40"/>
        <v>4.7054768902200557E-5</v>
      </c>
      <c r="CM74" s="97">
        <f t="shared" si="40"/>
        <v>3.4485044012252928E-5</v>
      </c>
      <c r="CN74" s="97">
        <f t="shared" si="40"/>
        <v>2.8118917930955443E-5</v>
      </c>
      <c r="CO74" s="97">
        <f t="shared" si="40"/>
        <v>2.3732988620530054E-5</v>
      </c>
      <c r="CP74" s="97">
        <f t="shared" si="40"/>
        <v>2.0244980586445188E-5</v>
      </c>
      <c r="CQ74" s="97">
        <f t="shared" si="39"/>
        <v>1.7464240366123263E-5</v>
      </c>
      <c r="CR74" s="97">
        <f t="shared" si="39"/>
        <v>1.5350185776867347E-5</v>
      </c>
      <c r="CS74" s="97">
        <f t="shared" si="39"/>
        <v>1.3802414143923136E-5</v>
      </c>
      <c r="CT74" s="97">
        <f t="shared" si="39"/>
        <v>1.2632204679247755E-5</v>
      </c>
      <c r="CU74" s="97">
        <f t="shared" si="39"/>
        <v>1.1606148831078142E-5</v>
      </c>
      <c r="CV74" s="97">
        <f t="shared" si="32"/>
        <v>1.051618218375217E-5</v>
      </c>
      <c r="CW74" s="97">
        <f t="shared" si="32"/>
        <v>9.240859733455571E-6</v>
      </c>
      <c r="CX74" s="97">
        <f t="shared" si="32"/>
        <v>7.771775374880703E-6</v>
      </c>
      <c r="CY74" s="97">
        <f t="shared" si="32"/>
        <v>6.1972439715792275E-6</v>
      </c>
      <c r="CZ74" s="97">
        <f t="shared" si="32"/>
        <v>4.6553504536554003E-6</v>
      </c>
      <c r="DA74" s="97">
        <f t="shared" si="32"/>
        <v>3.279763811569916E-6</v>
      </c>
      <c r="DB74" s="97">
        <f t="shared" si="32"/>
        <v>2.159934643578124E-6</v>
      </c>
      <c r="DC74" s="97">
        <f t="shared" si="34"/>
        <v>1.3261675422746874E-6</v>
      </c>
      <c r="DD74" s="97">
        <f t="shared" si="34"/>
        <v>7.5738230991486222E-7</v>
      </c>
      <c r="DE74" s="97">
        <f t="shared" si="34"/>
        <v>4.0148798484140454E-7</v>
      </c>
      <c r="DF74" s="97">
        <f t="shared" si="34"/>
        <v>1.971568141982095E-7</v>
      </c>
      <c r="DG74" s="97">
        <f t="shared" si="34"/>
        <v>8.9522619975309689E-8</v>
      </c>
      <c r="DH74" s="97">
        <f t="shared" si="34"/>
        <v>3.7523354863605774E-8</v>
      </c>
      <c r="DI74" s="97">
        <f t="shared" si="34"/>
        <v>1.4496350002736401E-8</v>
      </c>
      <c r="DJ74" s="97">
        <f t="shared" si="34"/>
        <v>5.1549287130119482E-9</v>
      </c>
      <c r="DK74" s="97">
        <f t="shared" si="34"/>
        <v>1.6853546479830173E-9</v>
      </c>
      <c r="DL74" s="97">
        <f t="shared" si="34"/>
        <v>5.0610123759301803E-10</v>
      </c>
    </row>
    <row r="75" spans="1:116" x14ac:dyDescent="0.25">
      <c r="A75" s="60">
        <v>6.1</v>
      </c>
      <c r="B75" s="25">
        <v>2.8</v>
      </c>
      <c r="C75" s="25">
        <v>4.7</v>
      </c>
      <c r="D75" s="57">
        <v>1.2</v>
      </c>
      <c r="E75" s="82" t="s">
        <v>6</v>
      </c>
      <c r="L75" s="97" cm="1">
        <f t="array" ref="L75">EstymacjaGaussowska($O75,$D$2:$D$51,H$9)</f>
        <v>5.0684491549900096E-9</v>
      </c>
      <c r="M75" s="97" cm="1">
        <f t="array" ref="M75">EstymacjaGaussowska($O75,$D$52:$D$101,I$9)</f>
        <v>0.36974970815978664</v>
      </c>
      <c r="N75" s="97" cm="1">
        <f t="array" ref="N75">EstymacjaGaussowska($O75,$D$102:$D$151,J$9)</f>
        <v>5.6587940847308148E-5</v>
      </c>
      <c r="O75" s="97">
        <v>0.90000000000001001</v>
      </c>
      <c r="P75" s="97">
        <f t="shared" si="36"/>
        <v>1.0426013797045716E-40</v>
      </c>
      <c r="Q75" s="97">
        <f t="shared" si="36"/>
        <v>5.6686852424363165E-37</v>
      </c>
      <c r="R75" s="97">
        <f t="shared" si="36"/>
        <v>1.1506211241452941E-32</v>
      </c>
      <c r="S75" s="97">
        <f t="shared" si="36"/>
        <v>9.6167430959921541E-29</v>
      </c>
      <c r="T75" s="97">
        <f t="shared" si="36"/>
        <v>3.2579650832657632E-25</v>
      </c>
      <c r="U75" s="97">
        <f t="shared" si="36"/>
        <v>4.473769992366011E-22</v>
      </c>
      <c r="V75" s="97">
        <f t="shared" si="36"/>
        <v>2.4903057295143762E-19</v>
      </c>
      <c r="W75" s="97">
        <f t="shared" si="36"/>
        <v>5.6210454531543392E-17</v>
      </c>
      <c r="X75" s="97">
        <f t="shared" si="36"/>
        <v>5.1496785561100992E-15</v>
      </c>
      <c r="Y75" s="97">
        <f t="shared" si="36"/>
        <v>1.9205212737262041E-13</v>
      </c>
      <c r="Z75" s="97">
        <f t="shared" si="36"/>
        <v>2.942261756134391E-12</v>
      </c>
      <c r="AA75" s="97">
        <f t="shared" si="36"/>
        <v>1.9043093451112274E-11</v>
      </c>
      <c r="AB75" s="97">
        <f t="shared" si="36"/>
        <v>5.6709650844605685E-11</v>
      </c>
      <c r="AC75" s="97">
        <f t="shared" si="36"/>
        <v>9.8877785135720777E-11</v>
      </c>
      <c r="AD75" s="97">
        <f t="shared" si="36"/>
        <v>1.6194844837731516E-10</v>
      </c>
      <c r="AE75" s="97">
        <f t="shared" si="36"/>
        <v>3.2696062542578121E-10</v>
      </c>
      <c r="AF75" s="97">
        <f t="shared" si="35"/>
        <v>6.4003746114326085E-10</v>
      </c>
      <c r="AG75" s="97">
        <f t="shared" si="35"/>
        <v>9.9739956721780741E-10</v>
      </c>
      <c r="AH75" s="97">
        <f t="shared" si="35"/>
        <v>1.1854416357710714E-9</v>
      </c>
      <c r="AI75" s="97">
        <f t="shared" si="35"/>
        <v>1.0809197070093357E-9</v>
      </c>
      <c r="AJ75" s="97">
        <f t="shared" si="35"/>
        <v>8.0454969053370628E-10</v>
      </c>
      <c r="AK75" s="97">
        <f t="shared" si="35"/>
        <v>6.9051304858275027E-10</v>
      </c>
      <c r="AL75" s="97">
        <f t="shared" si="35"/>
        <v>1.8207233137488602E-9</v>
      </c>
      <c r="AM75" s="97">
        <f t="shared" si="35"/>
        <v>1.0227236955649923E-8</v>
      </c>
      <c r="AN75" s="97">
        <f t="shared" si="35"/>
        <v>5.6917331079443739E-8</v>
      </c>
      <c r="AO75" s="97">
        <f t="shared" si="35"/>
        <v>2.8272442407381976E-7</v>
      </c>
      <c r="AP75" s="97">
        <f t="shared" si="35"/>
        <v>1.2438862328320855E-6</v>
      </c>
      <c r="AQ75" s="97">
        <f t="shared" si="35"/>
        <v>4.8427163736390349E-6</v>
      </c>
      <c r="AR75" s="97">
        <f t="shared" si="35"/>
        <v>1.6690029887924107E-5</v>
      </c>
      <c r="AS75" s="97">
        <f t="shared" si="35"/>
        <v>5.0962450620765384E-5</v>
      </c>
      <c r="AT75" s="97">
        <f t="shared" si="35"/>
        <v>1.3805506404574372E-4</v>
      </c>
      <c r="AU75" s="97">
        <f t="shared" si="38"/>
        <v>3.3249318050971184E-4</v>
      </c>
      <c r="AV75" s="97">
        <f t="shared" si="38"/>
        <v>7.1429050996032854E-4</v>
      </c>
      <c r="AW75" s="97">
        <f t="shared" si="38"/>
        <v>1.3756970891106997E-3</v>
      </c>
      <c r="AX75" s="97">
        <f t="shared" si="38"/>
        <v>2.3932190196475872E-3</v>
      </c>
      <c r="AY75" s="97">
        <f t="shared" si="38"/>
        <v>3.8005366826422554E-3</v>
      </c>
      <c r="AZ75" s="97">
        <f t="shared" si="38"/>
        <v>5.5857336877877294E-3</v>
      </c>
      <c r="BA75" s="97">
        <f t="shared" si="38"/>
        <v>7.7187412379147412E-3</v>
      </c>
      <c r="BB75" s="97">
        <f t="shared" si="38"/>
        <v>1.0181379900893442E-2</v>
      </c>
      <c r="BC75" s="97">
        <f t="shared" si="38"/>
        <v>1.2962377556910975E-2</v>
      </c>
      <c r="BD75" s="97">
        <f t="shared" si="38"/>
        <v>1.6018051011884204E-2</v>
      </c>
      <c r="BE75" s="97">
        <f t="shared" si="38"/>
        <v>1.9252422186990033E-2</v>
      </c>
      <c r="BF75" s="97">
        <f t="shared" si="38"/>
        <v>2.2574552057475935E-2</v>
      </c>
      <c r="BG75" s="97">
        <f t="shared" si="38"/>
        <v>2.6026434940198392E-2</v>
      </c>
      <c r="BH75" s="97">
        <f t="shared" si="38"/>
        <v>2.9891754145686112E-2</v>
      </c>
      <c r="BI75" s="97">
        <f t="shared" si="38"/>
        <v>3.4665383563549063E-2</v>
      </c>
      <c r="BJ75" s="97">
        <f t="shared" si="38"/>
        <v>4.0826542543898343E-2</v>
      </c>
      <c r="BK75" s="97">
        <f t="shared" si="37"/>
        <v>4.8500796003577061E-2</v>
      </c>
      <c r="BL75" s="97">
        <f t="shared" si="37"/>
        <v>5.7231288059599594E-2</v>
      </c>
      <c r="BM75" s="97">
        <f t="shared" si="37"/>
        <v>6.607537216394993E-2</v>
      </c>
      <c r="BN75" s="97">
        <f t="shared" si="37"/>
        <v>7.403826411543038E-2</v>
      </c>
      <c r="BO75" s="97">
        <f t="shared" si="37"/>
        <v>8.0574939045118574E-2</v>
      </c>
      <c r="BP75" s="97">
        <f t="shared" si="37"/>
        <v>8.5782777912173383E-2</v>
      </c>
      <c r="BQ75" s="97">
        <f t="shared" si="37"/>
        <v>9.0109740847539352E-2</v>
      </c>
      <c r="BR75" s="97">
        <f t="shared" si="37"/>
        <v>9.3780936739702614E-2</v>
      </c>
      <c r="BS75" s="97">
        <f t="shared" si="37"/>
        <v>9.6384894526346354E-2</v>
      </c>
      <c r="BT75" s="97">
        <f t="shared" si="37"/>
        <v>9.694642311601627E-2</v>
      </c>
      <c r="BU75" s="97">
        <f t="shared" si="37"/>
        <v>9.4438179585511678E-2</v>
      </c>
      <c r="BV75" s="97">
        <f t="shared" si="37"/>
        <v>8.8366504688687078E-2</v>
      </c>
      <c r="BW75" s="97">
        <f t="shared" si="37"/>
        <v>7.9056736404153324E-2</v>
      </c>
      <c r="BX75" s="97">
        <f t="shared" si="37"/>
        <v>6.7519967471748835E-2</v>
      </c>
      <c r="BY75" s="97">
        <f t="shared" si="37"/>
        <v>5.5060265172195436E-2</v>
      </c>
      <c r="BZ75" s="97">
        <f t="shared" si="28"/>
        <v>4.2880028234248475E-2</v>
      </c>
      <c r="CA75" s="97">
        <f t="shared" si="40"/>
        <v>3.185429437462637E-2</v>
      </c>
      <c r="CB75" s="97">
        <f t="shared" si="40"/>
        <v>2.2492612135763552E-2</v>
      </c>
      <c r="CC75" s="97">
        <f t="shared" si="40"/>
        <v>1.5005491607484992E-2</v>
      </c>
      <c r="CD75" s="97">
        <f t="shared" si="40"/>
        <v>9.3839312303523031E-3</v>
      </c>
      <c r="CE75" s="97">
        <f t="shared" si="40"/>
        <v>5.4543838993114224E-3</v>
      </c>
      <c r="CF75" s="97">
        <f t="shared" si="40"/>
        <v>2.9237168473266011E-3</v>
      </c>
      <c r="CG75" s="97">
        <f t="shared" si="40"/>
        <v>1.4372385280986689E-3</v>
      </c>
      <c r="CH75" s="97">
        <f t="shared" si="40"/>
        <v>6.4746937970144847E-4</v>
      </c>
      <c r="CI75" s="97">
        <f t="shared" si="40"/>
        <v>2.701549391707262E-4</v>
      </c>
      <c r="CJ75" s="97">
        <f t="shared" si="40"/>
        <v>1.0846193572437848E-4</v>
      </c>
      <c r="CK75" s="97">
        <f t="shared" si="40"/>
        <v>4.6026514176257435E-5</v>
      </c>
      <c r="CL75" s="97">
        <f t="shared" si="40"/>
        <v>2.3763528487697888E-5</v>
      </c>
      <c r="CM75" s="97">
        <f t="shared" si="40"/>
        <v>1.5805327014960594E-5</v>
      </c>
      <c r="CN75" s="97">
        <f t="shared" si="40"/>
        <v>1.2379915142227222E-5</v>
      </c>
      <c r="CO75" s="97">
        <f t="shared" si="40"/>
        <v>1.0322728420569824E-5</v>
      </c>
      <c r="CP75" s="97">
        <f t="shared" si="40"/>
        <v>8.7788167776935835E-6</v>
      </c>
      <c r="CQ75" s="97">
        <f t="shared" si="39"/>
        <v>7.5679804338247499E-6</v>
      </c>
      <c r="CR75" s="97">
        <f t="shared" si="39"/>
        <v>6.6510329177846272E-6</v>
      </c>
      <c r="CS75" s="97">
        <f t="shared" si="39"/>
        <v>5.9802794310876778E-6</v>
      </c>
      <c r="CT75" s="97">
        <f t="shared" si="39"/>
        <v>5.4732374792139873E-6</v>
      </c>
      <c r="CU75" s="97">
        <f t="shared" si="39"/>
        <v>5.028669758201031E-6</v>
      </c>
      <c r="CV75" s="97">
        <f t="shared" si="32"/>
        <v>4.5564128125282144E-6</v>
      </c>
      <c r="CW75" s="97">
        <f t="shared" si="32"/>
        <v>4.0038457676228523E-6</v>
      </c>
      <c r="CX75" s="97">
        <f t="shared" si="32"/>
        <v>3.367326290922439E-6</v>
      </c>
      <c r="CY75" s="97">
        <f t="shared" si="32"/>
        <v>2.6851191072297419E-6</v>
      </c>
      <c r="CZ75" s="97">
        <f t="shared" si="32"/>
        <v>2.0170531467312086E-6</v>
      </c>
      <c r="DA75" s="97">
        <f t="shared" si="32"/>
        <v>1.4210440186016033E-6</v>
      </c>
      <c r="DB75" s="97">
        <f t="shared" si="32"/>
        <v>9.3584854952035239E-7</v>
      </c>
      <c r="DC75" s="97">
        <f t="shared" si="34"/>
        <v>5.7459700206611675E-7</v>
      </c>
      <c r="DD75" s="97">
        <f t="shared" si="34"/>
        <v>3.2815582558184037E-7</v>
      </c>
      <c r="DE75" s="97">
        <f t="shared" si="34"/>
        <v>1.7395523951652725E-7</v>
      </c>
      <c r="DF75" s="97">
        <f t="shared" si="34"/>
        <v>8.5423380352746433E-8</v>
      </c>
      <c r="DG75" s="97">
        <f t="shared" si="34"/>
        <v>3.8788031990804524E-8</v>
      </c>
      <c r="DH75" s="97">
        <f t="shared" si="34"/>
        <v>1.6257981382283783E-8</v>
      </c>
      <c r="DI75" s="97">
        <f t="shared" si="34"/>
        <v>6.2809252880569946E-9</v>
      </c>
      <c r="DJ75" s="97">
        <f t="shared" si="34"/>
        <v>2.233508580130589E-9</v>
      </c>
      <c r="DK75" s="97">
        <f t="shared" si="34"/>
        <v>7.3022427203142446E-10</v>
      </c>
      <c r="DL75" s="97">
        <f t="shared" si="34"/>
        <v>2.1928168545288198E-10</v>
      </c>
    </row>
    <row r="76" spans="1:116" x14ac:dyDescent="0.25">
      <c r="A76" s="60">
        <v>6.4</v>
      </c>
      <c r="B76" s="25">
        <v>2.9</v>
      </c>
      <c r="C76" s="25">
        <v>4.3</v>
      </c>
      <c r="D76" s="57">
        <v>1.3</v>
      </c>
      <c r="E76" s="82" t="s">
        <v>6</v>
      </c>
      <c r="L76" s="97" cm="1">
        <f t="array" ref="L76">EstymacjaGaussowska($O76,$D$2:$D$51,H$9)</f>
        <v>1.3419714505681671E-7</v>
      </c>
      <c r="M76" s="97" cm="1">
        <f t="array" ref="M76">EstymacjaGaussowska($O76,$D$52:$D$101,I$9)</f>
        <v>0.24748989749538153</v>
      </c>
      <c r="N76" s="97" cm="1">
        <f t="array" ref="N76">EstymacjaGaussowska($O76,$D$102:$D$151,J$9)</f>
        <v>2.3357619340972686E-5</v>
      </c>
      <c r="O76" s="97">
        <v>0.87000000000000999</v>
      </c>
      <c r="P76" s="97">
        <f t="shared" si="36"/>
        <v>3.5277669404144499E-40</v>
      </c>
      <c r="Q76" s="97">
        <f t="shared" si="36"/>
        <v>1.4777942987832037E-35</v>
      </c>
      <c r="R76" s="97">
        <f t="shared" si="36"/>
        <v>3.046299459336827E-31</v>
      </c>
      <c r="S76" s="97">
        <f t="shared" si="36"/>
        <v>2.5462201242281983E-27</v>
      </c>
      <c r="T76" s="97">
        <f t="shared" si="36"/>
        <v>8.6261022763648679E-24</v>
      </c>
      <c r="U76" s="97">
        <f t="shared" si="36"/>
        <v>1.1845184630810681E-20</v>
      </c>
      <c r="V76" s="97">
        <f t="shared" si="36"/>
        <v>6.593573477509876E-18</v>
      </c>
      <c r="W76" s="97">
        <f t="shared" si="36"/>
        <v>1.488282172661054E-15</v>
      </c>
      <c r="X76" s="97">
        <f t="shared" si="36"/>
        <v>1.3634785297335697E-13</v>
      </c>
      <c r="Y76" s="97">
        <f t="shared" si="36"/>
        <v>5.0849572339145673E-12</v>
      </c>
      <c r="Z76" s="97">
        <f t="shared" si="36"/>
        <v>7.7902158156449803E-11</v>
      </c>
      <c r="AA76" s="97">
        <f t="shared" si="36"/>
        <v>5.0420329689720457E-10</v>
      </c>
      <c r="AB76" s="97">
        <f t="shared" si="36"/>
        <v>1.5014993749829601E-9</v>
      </c>
      <c r="AC76" s="97">
        <f t="shared" si="36"/>
        <v>2.6179835333696545E-9</v>
      </c>
      <c r="AD76" s="97">
        <f t="shared" si="36"/>
        <v>4.2879030333616977E-9</v>
      </c>
      <c r="AE76" s="97">
        <f t="shared" ref="AE76:AT91" si="41">$H$2*$L76*AE$1+$I$2*$M76*AE$2+$J$2*$N76*AE$3</f>
        <v>8.6569215879696945E-9</v>
      </c>
      <c r="AF76" s="97">
        <f t="shared" si="41"/>
        <v>1.6946202382747997E-8</v>
      </c>
      <c r="AG76" s="97">
        <f t="shared" si="41"/>
        <v>2.6407494416664326E-8</v>
      </c>
      <c r="AH76" s="97">
        <f t="shared" si="41"/>
        <v>3.1379612798534106E-8</v>
      </c>
      <c r="AI76" s="97">
        <f t="shared" si="41"/>
        <v>2.8543595024114599E-8</v>
      </c>
      <c r="AJ76" s="97">
        <f t="shared" si="41"/>
        <v>2.0603182853071688E-8</v>
      </c>
      <c r="AK76" s="97">
        <f t="shared" si="41"/>
        <v>1.2592666659609661E-8</v>
      </c>
      <c r="AL76" s="97">
        <f t="shared" si="41"/>
        <v>7.251559858061405E-9</v>
      </c>
      <c r="AM76" s="97">
        <f t="shared" si="41"/>
        <v>1.0166673706973536E-8</v>
      </c>
      <c r="AN76" s="97">
        <f t="shared" si="41"/>
        <v>4.0677284211256091E-8</v>
      </c>
      <c r="AO76" s="97">
        <f t="shared" si="41"/>
        <v>1.9047327391912747E-7</v>
      </c>
      <c r="AP76" s="97">
        <f t="shared" si="41"/>
        <v>8.3284058144691833E-7</v>
      </c>
      <c r="AQ76" s="97">
        <f t="shared" si="41"/>
        <v>3.2414661372357226E-6</v>
      </c>
      <c r="AR76" s="97">
        <f t="shared" si="41"/>
        <v>1.1171378795166088E-5</v>
      </c>
      <c r="AS76" s="97">
        <f t="shared" si="41"/>
        <v>3.4111431072185704E-5</v>
      </c>
      <c r="AT76" s="97">
        <f t="shared" si="41"/>
        <v>9.2406384360563663E-5</v>
      </c>
      <c r="AU76" s="97">
        <f t="shared" si="38"/>
        <v>2.2255244925494593E-4</v>
      </c>
      <c r="AV76" s="97">
        <f t="shared" si="38"/>
        <v>4.7810635462519461E-4</v>
      </c>
      <c r="AW76" s="97">
        <f t="shared" si="38"/>
        <v>9.2081514617873596E-4</v>
      </c>
      <c r="AX76" s="97">
        <f t="shared" si="38"/>
        <v>1.6018877548392722E-3</v>
      </c>
      <c r="AY76" s="97">
        <f t="shared" si="38"/>
        <v>2.5438679551518083E-3</v>
      </c>
      <c r="AZ76" s="97">
        <f t="shared" si="38"/>
        <v>3.738779577964365E-3</v>
      </c>
      <c r="BA76" s="97">
        <f t="shared" si="38"/>
        <v>5.1664962421919241E-3</v>
      </c>
      <c r="BB76" s="97">
        <f t="shared" si="38"/>
        <v>6.8148496466526433E-3</v>
      </c>
      <c r="BC76" s="97">
        <f t="shared" si="38"/>
        <v>8.676294860841734E-3</v>
      </c>
      <c r="BD76" s="97">
        <f t="shared" si="38"/>
        <v>1.0721592782471501E-2</v>
      </c>
      <c r="BE76" s="97">
        <f t="shared" si="38"/>
        <v>1.2886501018546874E-2</v>
      </c>
      <c r="BF76" s="97">
        <f t="shared" si="38"/>
        <v>1.5110150031103739E-2</v>
      </c>
      <c r="BG76" s="97">
        <f t="shared" si="38"/>
        <v>1.7420648447971764E-2</v>
      </c>
      <c r="BH76" s="97">
        <f t="shared" si="38"/>
        <v>2.0007878013446126E-2</v>
      </c>
      <c r="BI76" s="97">
        <f t="shared" si="38"/>
        <v>2.3203079566756199E-2</v>
      </c>
      <c r="BJ76" s="97">
        <f t="shared" si="38"/>
        <v>2.7327015384699106E-2</v>
      </c>
      <c r="BK76" s="97">
        <f t="shared" si="37"/>
        <v>3.2463730609822786E-2</v>
      </c>
      <c r="BL76" s="97">
        <f t="shared" si="37"/>
        <v>3.8307429451258757E-2</v>
      </c>
      <c r="BM76" s="97">
        <f t="shared" si="37"/>
        <v>4.422715369066077E-2</v>
      </c>
      <c r="BN76" s="97">
        <f t="shared" si="37"/>
        <v>4.9557045618484868E-2</v>
      </c>
      <c r="BO76" s="97">
        <f t="shared" si="37"/>
        <v>5.3932289760197753E-2</v>
      </c>
      <c r="BP76" s="97">
        <f t="shared" si="37"/>
        <v>5.7418059459184476E-2</v>
      </c>
      <c r="BQ76" s="97">
        <f t="shared" si="37"/>
        <v>6.0314183806782044E-2</v>
      </c>
      <c r="BR76" s="97">
        <f t="shared" si="37"/>
        <v>6.2771324460904845E-2</v>
      </c>
      <c r="BS76" s="97">
        <f t="shared" si="37"/>
        <v>6.4514048422451162E-2</v>
      </c>
      <c r="BT76" s="97">
        <f t="shared" si="37"/>
        <v>6.4889598165617193E-2</v>
      </c>
      <c r="BU76" s="97">
        <f t="shared" si="37"/>
        <v>6.3210312085915418E-2</v>
      </c>
      <c r="BV76" s="97">
        <f t="shared" si="37"/>
        <v>5.9145758613930191E-2</v>
      </c>
      <c r="BW76" s="97">
        <f t="shared" si="37"/>
        <v>5.2913718047912263E-2</v>
      </c>
      <c r="BX76" s="97">
        <f t="shared" si="37"/>
        <v>4.5191001590295952E-2</v>
      </c>
      <c r="BY76" s="97">
        <f t="shared" si="37"/>
        <v>3.6850540822215297E-2</v>
      </c>
      <c r="BZ76" s="97">
        <f t="shared" si="28"/>
        <v>2.869721997662314E-2</v>
      </c>
      <c r="CA76" s="97">
        <f t="shared" si="40"/>
        <v>2.1316789154489497E-2</v>
      </c>
      <c r="CB76" s="97">
        <f t="shared" si="40"/>
        <v>1.5050327066473598E-2</v>
      </c>
      <c r="CC76" s="97">
        <f t="shared" si="40"/>
        <v>1.0038716649713656E-2</v>
      </c>
      <c r="CD76" s="97">
        <f t="shared" si="40"/>
        <v>6.2758894284043873E-3</v>
      </c>
      <c r="CE76" s="97">
        <f t="shared" si="40"/>
        <v>3.6456402240229824E-3</v>
      </c>
      <c r="CF76" s="97">
        <f t="shared" si="40"/>
        <v>1.9517416651691499E-3</v>
      </c>
      <c r="CG76" s="97">
        <f t="shared" si="40"/>
        <v>9.5679139527857595E-4</v>
      </c>
      <c r="CH76" s="97">
        <f t="shared" si="40"/>
        <v>4.2823436636741838E-4</v>
      </c>
      <c r="CI76" s="97">
        <f t="shared" si="40"/>
        <v>1.7583653675688689E-4</v>
      </c>
      <c r="CJ76" s="97">
        <f t="shared" si="40"/>
        <v>6.7863901912531202E-5</v>
      </c>
      <c r="CK76" s="97">
        <f t="shared" si="40"/>
        <v>2.6422682062101048E-5</v>
      </c>
      <c r="CL76" s="97">
        <f t="shared" si="40"/>
        <v>1.1940390026652855E-5</v>
      </c>
      <c r="CM76" s="97">
        <f t="shared" si="40"/>
        <v>7.0693278200232544E-6</v>
      </c>
      <c r="CN76" s="97">
        <f t="shared" si="40"/>
        <v>5.2341905650854311E-6</v>
      </c>
      <c r="CO76" s="97">
        <f t="shared" si="40"/>
        <v>4.286001201033106E-6</v>
      </c>
      <c r="CP76" s="97">
        <f t="shared" si="40"/>
        <v>3.6281156801895505E-6</v>
      </c>
      <c r="CQ76" s="97">
        <f t="shared" si="39"/>
        <v>3.1245294332904352E-6</v>
      </c>
      <c r="CR76" s="97">
        <f t="shared" si="39"/>
        <v>2.7454266485029861E-6</v>
      </c>
      <c r="CS76" s="97">
        <f t="shared" si="39"/>
        <v>2.4684730959847805E-6</v>
      </c>
      <c r="CT76" s="97">
        <f t="shared" si="39"/>
        <v>2.2591717490376449E-6</v>
      </c>
      <c r="CU76" s="97">
        <f t="shared" si="39"/>
        <v>2.0756677141057401E-6</v>
      </c>
      <c r="CV76" s="97">
        <f t="shared" si="32"/>
        <v>1.8807356323831873E-6</v>
      </c>
      <c r="CW76" s="97">
        <f t="shared" si="32"/>
        <v>1.6526543286787701E-6</v>
      </c>
      <c r="CX76" s="97">
        <f t="shared" ref="CX76:DL91" si="42">$H$2*$L76*CX$1+$I$2*$M76*CX$2+$J$2*$N76*CX$3</f>
        <v>1.3899202643898493E-6</v>
      </c>
      <c r="CY76" s="97">
        <f t="shared" si="42"/>
        <v>1.1083278354533357E-6</v>
      </c>
      <c r="CZ76" s="97">
        <f t="shared" si="42"/>
        <v>8.3257243303828804E-7</v>
      </c>
      <c r="DA76" s="97">
        <f t="shared" si="42"/>
        <v>5.8655969374863411E-7</v>
      </c>
      <c r="DB76" s="97">
        <f t="shared" si="42"/>
        <v>3.8628714622220901E-7</v>
      </c>
      <c r="DC76" s="97">
        <f t="shared" si="42"/>
        <v>2.3717452601675445E-7</v>
      </c>
      <c r="DD76" s="97">
        <f t="shared" si="42"/>
        <v>1.3545180728780433E-7</v>
      </c>
      <c r="DE76" s="97">
        <f t="shared" si="42"/>
        <v>7.1802935504553797E-8</v>
      </c>
      <c r="DF76" s="97">
        <f t="shared" si="42"/>
        <v>3.5259929434125905E-8</v>
      </c>
      <c r="DG76" s="97">
        <f t="shared" si="42"/>
        <v>1.6010409155394822E-8</v>
      </c>
      <c r="DH76" s="97">
        <f t="shared" si="42"/>
        <v>6.7107538230571589E-9</v>
      </c>
      <c r="DI76" s="97">
        <f t="shared" si="42"/>
        <v>2.5925569969648976E-9</v>
      </c>
      <c r="DJ76" s="97">
        <f t="shared" si="42"/>
        <v>9.2191803462607093E-10</v>
      </c>
      <c r="DK76" s="97">
        <f t="shared" si="42"/>
        <v>3.0141228544915782E-10</v>
      </c>
      <c r="DL76" s="97">
        <f t="shared" si="42"/>
        <v>9.0512184408261079E-11</v>
      </c>
    </row>
    <row r="77" spans="1:116" x14ac:dyDescent="0.25">
      <c r="A77" s="60">
        <v>6.6</v>
      </c>
      <c r="B77" s="25">
        <v>3</v>
      </c>
      <c r="C77" s="25">
        <v>4.4000000000000004</v>
      </c>
      <c r="D77" s="57">
        <v>1.4</v>
      </c>
      <c r="E77" s="82" t="s">
        <v>6</v>
      </c>
      <c r="L77" s="97" cm="1">
        <f t="array" ref="L77">EstymacjaGaussowska($O77,$D$2:$D$51,H$9)</f>
        <v>2.5167439555717289E-6</v>
      </c>
      <c r="M77" s="97" cm="1">
        <f t="array" ref="M77">EstymacjaGaussowska($O77,$D$52:$D$101,I$9)</f>
        <v>0.15137228096169242</v>
      </c>
      <c r="N77" s="97" cm="1">
        <f t="array" ref="N77">EstymacjaGaussowska($O77,$D$102:$D$151,J$9)</f>
        <v>9.1819272094739446E-6</v>
      </c>
      <c r="O77" s="97">
        <v>0.84000000000000996</v>
      </c>
      <c r="P77" s="97">
        <f t="shared" ref="P77:AE92" si="43">$H$2*$L77*P$1+$I$2*$M77*P$2+$J$2*$N77*P$3</f>
        <v>5.4830731443320958E-39</v>
      </c>
      <c r="Q77" s="97">
        <f t="shared" si="43"/>
        <v>2.7703801897911379E-34</v>
      </c>
      <c r="R77" s="97">
        <f t="shared" si="43"/>
        <v>5.7130450694321693E-30</v>
      </c>
      <c r="S77" s="97">
        <f t="shared" si="43"/>
        <v>4.7752014483893686E-26</v>
      </c>
      <c r="T77" s="97">
        <f t="shared" si="43"/>
        <v>1.6177460965243488E-22</v>
      </c>
      <c r="U77" s="97">
        <f t="shared" si="43"/>
        <v>2.2214553677160747E-19</v>
      </c>
      <c r="V77" s="97">
        <f t="shared" si="43"/>
        <v>1.2365640258663214E-16</v>
      </c>
      <c r="W77" s="97">
        <f t="shared" si="43"/>
        <v>2.7911362500619384E-14</v>
      </c>
      <c r="X77" s="97">
        <f t="shared" si="43"/>
        <v>2.5570785032763519E-12</v>
      </c>
      <c r="Y77" s="97">
        <f t="shared" si="43"/>
        <v>9.5363693298957575E-11</v>
      </c>
      <c r="Z77" s="97">
        <f t="shared" si="43"/>
        <v>1.4609832838335762E-9</v>
      </c>
      <c r="AA77" s="97">
        <f t="shared" si="43"/>
        <v>9.455868821255731E-9</v>
      </c>
      <c r="AB77" s="97">
        <f t="shared" si="43"/>
        <v>2.8159238966344709E-8</v>
      </c>
      <c r="AC77" s="97">
        <f t="shared" si="43"/>
        <v>4.9097871866170508E-8</v>
      </c>
      <c r="AD77" s="97">
        <f t="shared" si="43"/>
        <v>8.0415675201983234E-8</v>
      </c>
      <c r="AE77" s="97">
        <f t="shared" si="43"/>
        <v>1.6235259607921115E-7</v>
      </c>
      <c r="AF77" s="97">
        <f t="shared" si="41"/>
        <v>3.1781040850399367E-7</v>
      </c>
      <c r="AG77" s="97">
        <f t="shared" si="41"/>
        <v>4.9524796456180441E-7</v>
      </c>
      <c r="AH77" s="97">
        <f t="shared" si="41"/>
        <v>5.8849233303350491E-7</v>
      </c>
      <c r="AI77" s="97">
        <f t="shared" si="41"/>
        <v>5.352731531168879E-7</v>
      </c>
      <c r="AJ77" s="97">
        <f t="shared" si="41"/>
        <v>3.8606489576602708E-7</v>
      </c>
      <c r="AK77" s="97">
        <f t="shared" si="41"/>
        <v>2.3348648462850936E-7</v>
      </c>
      <c r="AL77" s="97">
        <f t="shared" si="41"/>
        <v>1.1672500545893341E-7</v>
      </c>
      <c r="AM77" s="97">
        <f t="shared" si="41"/>
        <v>6.8034404055262635E-8</v>
      </c>
      <c r="AN77" s="97">
        <f t="shared" si="41"/>
        <v>7.2900731772435618E-8</v>
      </c>
      <c r="AO77" s="97">
        <f t="shared" si="41"/>
        <v>1.3945391204003824E-7</v>
      </c>
      <c r="AP77" s="97">
        <f t="shared" si="41"/>
        <v>5.1408635042213455E-7</v>
      </c>
      <c r="AQ77" s="97">
        <f t="shared" si="41"/>
        <v>1.9829699990039087E-6</v>
      </c>
      <c r="AR77" s="97">
        <f t="shared" si="41"/>
        <v>6.8327652345826002E-6</v>
      </c>
      <c r="AS77" s="97">
        <f t="shared" si="41"/>
        <v>2.0863579586291602E-5</v>
      </c>
      <c r="AT77" s="97">
        <f t="shared" si="41"/>
        <v>5.6518529919355897E-5</v>
      </c>
      <c r="AU77" s="97">
        <f t="shared" si="38"/>
        <v>1.3611978597211907E-4</v>
      </c>
      <c r="AV77" s="97">
        <f t="shared" si="38"/>
        <v>2.9242425720931082E-4</v>
      </c>
      <c r="AW77" s="97">
        <f t="shared" si="38"/>
        <v>5.6319829791739247E-4</v>
      </c>
      <c r="AX77" s="97">
        <f t="shared" si="38"/>
        <v>9.7976283375019292E-4</v>
      </c>
      <c r="AY77" s="97">
        <f t="shared" si="38"/>
        <v>1.555906316716766E-3</v>
      </c>
      <c r="AZ77" s="97">
        <f t="shared" si="38"/>
        <v>2.286750281351536E-3</v>
      </c>
      <c r="BA77" s="97">
        <f t="shared" si="38"/>
        <v>3.1599848263456271E-3</v>
      </c>
      <c r="BB77" s="97">
        <f t="shared" si="38"/>
        <v>4.1681674519128452E-3</v>
      </c>
      <c r="BC77" s="97">
        <f t="shared" si="38"/>
        <v>5.3066834510713768E-3</v>
      </c>
      <c r="BD77" s="97">
        <f t="shared" si="38"/>
        <v>6.5576493072626533E-3</v>
      </c>
      <c r="BE77" s="97">
        <f t="shared" si="38"/>
        <v>7.8817724354711908E-3</v>
      </c>
      <c r="BF77" s="97">
        <f t="shared" si="38"/>
        <v>9.2418231878068236E-3</v>
      </c>
      <c r="BG77" s="97">
        <f t="shared" si="38"/>
        <v>1.0654993636643979E-2</v>
      </c>
      <c r="BH77" s="97">
        <f t="shared" si="38"/>
        <v>1.2237421147828234E-2</v>
      </c>
      <c r="BI77" s="97">
        <f t="shared" si="38"/>
        <v>1.4191702522228258E-2</v>
      </c>
      <c r="BJ77" s="97">
        <f t="shared" si="38"/>
        <v>1.6714025456235043E-2</v>
      </c>
      <c r="BK77" s="97">
        <f t="shared" si="37"/>
        <v>1.9855794129558409E-2</v>
      </c>
      <c r="BL77" s="97">
        <f t="shared" si="37"/>
        <v>2.3429973964551414E-2</v>
      </c>
      <c r="BM77" s="97">
        <f t="shared" si="37"/>
        <v>2.7050650832547238E-2</v>
      </c>
      <c r="BN77" s="97">
        <f t="shared" si="37"/>
        <v>3.031056451619402E-2</v>
      </c>
      <c r="BO77" s="97">
        <f t="shared" si="37"/>
        <v>3.2986580720496914E-2</v>
      </c>
      <c r="BP77" s="97">
        <f t="shared" si="37"/>
        <v>3.5118558594359216E-2</v>
      </c>
      <c r="BQ77" s="97">
        <f t="shared" si="37"/>
        <v>3.6889878950710712E-2</v>
      </c>
      <c r="BR77" s="97">
        <f t="shared" si="37"/>
        <v>3.8392686178539616E-2</v>
      </c>
      <c r="BS77" s="97">
        <f t="shared" si="37"/>
        <v>3.9458511125682966E-2</v>
      </c>
      <c r="BT77" s="97">
        <f t="shared" si="37"/>
        <v>3.9688100995591953E-2</v>
      </c>
      <c r="BU77" s="97">
        <f t="shared" si="37"/>
        <v>3.866085582081142E-2</v>
      </c>
      <c r="BV77" s="97">
        <f t="shared" si="37"/>
        <v>3.61746724577134E-2</v>
      </c>
      <c r="BW77" s="97">
        <f t="shared" si="37"/>
        <v>3.2362757927701227E-2</v>
      </c>
      <c r="BX77" s="97">
        <f t="shared" si="37"/>
        <v>2.7639085105126492E-2</v>
      </c>
      <c r="BY77" s="97">
        <f t="shared" si="37"/>
        <v>2.2537586857987717E-2</v>
      </c>
      <c r="BZ77" s="97">
        <f t="shared" si="28"/>
        <v>1.7550577626008673E-2</v>
      </c>
      <c r="CA77" s="97">
        <f t="shared" si="40"/>
        <v>1.3036336877745323E-2</v>
      </c>
      <c r="CB77" s="97">
        <f t="shared" si="40"/>
        <v>9.2034839929662528E-3</v>
      </c>
      <c r="CC77" s="97">
        <f t="shared" si="40"/>
        <v>6.1381799054425496E-3</v>
      </c>
      <c r="CD77" s="97">
        <f t="shared" si="40"/>
        <v>3.836697718748905E-3</v>
      </c>
      <c r="CE77" s="97">
        <f t="shared" si="40"/>
        <v>2.2279479388987336E-3</v>
      </c>
      <c r="CF77" s="97">
        <f t="shared" si="40"/>
        <v>1.1919047508787365E-3</v>
      </c>
      <c r="CG77" s="97">
        <f t="shared" si="40"/>
        <v>5.8336868654428964E-4</v>
      </c>
      <c r="CH77" s="97">
        <f t="shared" si="40"/>
        <v>2.6011207141516448E-4</v>
      </c>
      <c r="CI77" s="97">
        <f t="shared" si="40"/>
        <v>1.0579261070080702E-4</v>
      </c>
      <c r="CJ77" s="97">
        <f t="shared" si="40"/>
        <v>3.9843175527001358E-5</v>
      </c>
      <c r="CK77" s="97">
        <f t="shared" si="40"/>
        <v>1.4619372971372684E-5</v>
      </c>
      <c r="CL77" s="97">
        <f t="shared" si="40"/>
        <v>5.9089781288964056E-6</v>
      </c>
      <c r="CM77" s="97">
        <f t="shared" si="40"/>
        <v>3.0898986515065064E-6</v>
      </c>
      <c r="CN77" s="97">
        <f t="shared" si="40"/>
        <v>2.128360040154346E-6</v>
      </c>
      <c r="CO77" s="97">
        <f t="shared" si="40"/>
        <v>1.6991575242027467E-6</v>
      </c>
      <c r="CP77" s="97">
        <f t="shared" si="40"/>
        <v>1.4287918985072722E-6</v>
      </c>
      <c r="CQ77" s="97">
        <f t="shared" si="39"/>
        <v>1.2286686414917999E-6</v>
      </c>
      <c r="CR77" s="97">
        <f t="shared" si="39"/>
        <v>1.0792906288188709E-6</v>
      </c>
      <c r="CS77" s="97">
        <f t="shared" si="39"/>
        <v>9.7036898975110574E-7</v>
      </c>
      <c r="CT77" s="97">
        <f t="shared" si="39"/>
        <v>8.8808576781624283E-7</v>
      </c>
      <c r="CU77" s="97">
        <f t="shared" si="39"/>
        <v>8.1594923798177088E-7</v>
      </c>
      <c r="CV77" s="97">
        <f t="shared" ref="CV77:DK92" si="44">$H$2*$L77*CV$1+$I$2*$M77*CV$2+$J$2*$N77*CV$3</f>
        <v>7.3932097208106456E-7</v>
      </c>
      <c r="CW77" s="97">
        <f t="shared" si="44"/>
        <v>6.4966174587924427E-7</v>
      </c>
      <c r="CX77" s="97">
        <f t="shared" si="44"/>
        <v>5.4638045552225903E-7</v>
      </c>
      <c r="CY77" s="97">
        <f t="shared" si="44"/>
        <v>4.3568590449478786E-7</v>
      </c>
      <c r="CZ77" s="97">
        <f t="shared" si="44"/>
        <v>3.2728590038134044E-7</v>
      </c>
      <c r="DA77" s="97">
        <f t="shared" si="44"/>
        <v>2.305777970516037E-7</v>
      </c>
      <c r="DB77" s="97">
        <f t="shared" si="44"/>
        <v>1.5185025523324775E-7</v>
      </c>
      <c r="DC77" s="97">
        <f t="shared" si="44"/>
        <v>9.3233783890265118E-8</v>
      </c>
      <c r="DD77" s="97">
        <f t="shared" si="44"/>
        <v>5.3246378269666571E-8</v>
      </c>
      <c r="DE77" s="97">
        <f t="shared" si="44"/>
        <v>2.8225878571146814E-8</v>
      </c>
      <c r="DF77" s="97">
        <f t="shared" si="44"/>
        <v>1.3860749280532187E-8</v>
      </c>
      <c r="DG77" s="97">
        <f t="shared" si="44"/>
        <v>6.2937240868918389E-9</v>
      </c>
      <c r="DH77" s="97">
        <f t="shared" si="44"/>
        <v>2.6380108445351464E-9</v>
      </c>
      <c r="DI77" s="97">
        <f t="shared" si="44"/>
        <v>1.0191393773931051E-9</v>
      </c>
      <c r="DJ77" s="97">
        <f t="shared" si="44"/>
        <v>3.6240783632384318E-10</v>
      </c>
      <c r="DK77" s="97">
        <f t="shared" si="44"/>
        <v>1.1848577650979479E-10</v>
      </c>
      <c r="DL77" s="97">
        <f t="shared" si="42"/>
        <v>3.5580521999059475E-11</v>
      </c>
    </row>
    <row r="78" spans="1:116" x14ac:dyDescent="0.25">
      <c r="A78" s="60">
        <v>6.8</v>
      </c>
      <c r="B78" s="25">
        <v>2.8</v>
      </c>
      <c r="C78" s="25">
        <v>4.8</v>
      </c>
      <c r="D78" s="57">
        <v>1.4</v>
      </c>
      <c r="E78" s="82" t="s">
        <v>6</v>
      </c>
      <c r="L78" s="97" cm="1">
        <f t="array" ref="L78">EstymacjaGaussowska($O78,$D$2:$D$51,H$9)</f>
        <v>3.3432503019192923E-5</v>
      </c>
      <c r="M78" s="97" cm="1">
        <f t="array" ref="M78">EstymacjaGaussowska($O78,$D$52:$D$101,I$9)</f>
        <v>8.4396808032490306E-2</v>
      </c>
      <c r="N78" s="97" cm="1">
        <f t="array" ref="N78">EstymacjaGaussowska($O78,$D$102:$D$151,J$9)</f>
        <v>3.4365148835857008E-6</v>
      </c>
      <c r="O78" s="97">
        <v>0.81000000000001005</v>
      </c>
      <c r="P78" s="97">
        <f t="shared" si="43"/>
        <v>7.2351233909096417E-38</v>
      </c>
      <c r="Q78" s="97">
        <f t="shared" si="43"/>
        <v>3.6801348067252474E-33</v>
      </c>
      <c r="R78" s="97">
        <f t="shared" si="43"/>
        <v>7.5892259979284485E-29</v>
      </c>
      <c r="S78" s="97">
        <f t="shared" si="43"/>
        <v>6.3433920805674661E-25</v>
      </c>
      <c r="T78" s="97">
        <f t="shared" si="43"/>
        <v>2.1490188199759346E-21</v>
      </c>
      <c r="U78" s="97">
        <f t="shared" si="43"/>
        <v>2.9509880464287972E-18</v>
      </c>
      <c r="V78" s="97">
        <f t="shared" si="43"/>
        <v>1.6426554015030149E-15</v>
      </c>
      <c r="W78" s="97">
        <f t="shared" si="43"/>
        <v>3.7077538579396556E-13</v>
      </c>
      <c r="X78" s="97">
        <f t="shared" si="43"/>
        <v>3.3968308373935887E-11</v>
      </c>
      <c r="Y78" s="97">
        <f t="shared" si="43"/>
        <v>1.2668141934265627E-9</v>
      </c>
      <c r="Z78" s="97">
        <f t="shared" si="43"/>
        <v>1.940774624276793E-8</v>
      </c>
      <c r="AA78" s="97">
        <f t="shared" si="43"/>
        <v>1.2561204814492129E-7</v>
      </c>
      <c r="AB78" s="97">
        <f t="shared" si="43"/>
        <v>3.7406818428075324E-7</v>
      </c>
      <c r="AC78" s="97">
        <f t="shared" si="43"/>
        <v>6.5221761862702571E-7</v>
      </c>
      <c r="AD78" s="97">
        <f t="shared" si="43"/>
        <v>1.0682442677322424E-6</v>
      </c>
      <c r="AE78" s="97">
        <f t="shared" si="43"/>
        <v>2.1566968085945382E-6</v>
      </c>
      <c r="AF78" s="97">
        <f t="shared" si="41"/>
        <v>4.2218030939435185E-6</v>
      </c>
      <c r="AG78" s="97">
        <f t="shared" si="41"/>
        <v>6.5788888535420688E-6</v>
      </c>
      <c r="AH78" s="97">
        <f t="shared" si="41"/>
        <v>7.8175485262192462E-6</v>
      </c>
      <c r="AI78" s="97">
        <f t="shared" si="41"/>
        <v>7.1105694784504256E-6</v>
      </c>
      <c r="AJ78" s="97">
        <f t="shared" si="41"/>
        <v>5.1283566959628664E-6</v>
      </c>
      <c r="AK78" s="97">
        <f t="shared" si="41"/>
        <v>3.100492824679414E-6</v>
      </c>
      <c r="AL78" s="97">
        <f t="shared" si="41"/>
        <v>1.5423102723681828E-6</v>
      </c>
      <c r="AM78" s="97">
        <f t="shared" si="41"/>
        <v>8.5115652138384361E-7</v>
      </c>
      <c r="AN78" s="97">
        <f t="shared" si="41"/>
        <v>6.723907517472257E-7</v>
      </c>
      <c r="AO78" s="97">
        <f t="shared" si="41"/>
        <v>3.7973323132532978E-7</v>
      </c>
      <c r="AP78" s="97">
        <f t="shared" si="41"/>
        <v>3.4840378405158969E-7</v>
      </c>
      <c r="AQ78" s="97">
        <f t="shared" si="41"/>
        <v>1.1107461542945539E-6</v>
      </c>
      <c r="AR78" s="97">
        <f t="shared" si="41"/>
        <v>3.8097460541409629E-6</v>
      </c>
      <c r="AS78" s="97">
        <f t="shared" si="41"/>
        <v>1.1632379928341381E-5</v>
      </c>
      <c r="AT78" s="97">
        <f t="shared" si="41"/>
        <v>3.151160497540784E-5</v>
      </c>
      <c r="AU78" s="97">
        <f t="shared" si="38"/>
        <v>7.5892860787533454E-5</v>
      </c>
      <c r="AV78" s="97">
        <f t="shared" si="38"/>
        <v>1.6303958520637882E-4</v>
      </c>
      <c r="AW78" s="97">
        <f t="shared" si="38"/>
        <v>3.1400820765585356E-4</v>
      </c>
      <c r="AX78" s="97">
        <f t="shared" si="38"/>
        <v>5.4626154321020407E-4</v>
      </c>
      <c r="AY78" s="97">
        <f t="shared" si="38"/>
        <v>8.6748726975784932E-4</v>
      </c>
      <c r="AZ78" s="97">
        <f t="shared" si="38"/>
        <v>1.2749654248934959E-3</v>
      </c>
      <c r="BA78" s="97">
        <f t="shared" si="38"/>
        <v>1.7618326887859387E-3</v>
      </c>
      <c r="BB78" s="97">
        <f t="shared" si="38"/>
        <v>2.3239395353625908E-3</v>
      </c>
      <c r="BC78" s="97">
        <f t="shared" si="38"/>
        <v>2.9587130593308588E-3</v>
      </c>
      <c r="BD78" s="97">
        <f t="shared" si="38"/>
        <v>3.6561824013025749E-3</v>
      </c>
      <c r="BE78" s="97">
        <f t="shared" si="38"/>
        <v>4.3944401896692789E-3</v>
      </c>
      <c r="BF78" s="97">
        <f t="shared" si="38"/>
        <v>5.1527292315343082E-3</v>
      </c>
      <c r="BG78" s="97">
        <f t="shared" si="38"/>
        <v>5.9406348713344753E-3</v>
      </c>
      <c r="BH78" s="97">
        <f t="shared" si="38"/>
        <v>6.8229088674470317E-3</v>
      </c>
      <c r="BI78" s="97">
        <f t="shared" si="38"/>
        <v>7.9125079593035681E-3</v>
      </c>
      <c r="BJ78" s="97">
        <f t="shared" si="38"/>
        <v>9.318815491390138E-3</v>
      </c>
      <c r="BK78" s="97">
        <f t="shared" si="37"/>
        <v>1.1070491470406008E-2</v>
      </c>
      <c r="BL78" s="97">
        <f t="shared" si="37"/>
        <v>1.3063255549069574E-2</v>
      </c>
      <c r="BM78" s="97">
        <f t="shared" si="37"/>
        <v>1.5081943011954908E-2</v>
      </c>
      <c r="BN78" s="97">
        <f t="shared" si="37"/>
        <v>1.6899487578255386E-2</v>
      </c>
      <c r="BO78" s="97">
        <f t="shared" si="37"/>
        <v>1.8391481201295159E-2</v>
      </c>
      <c r="BP78" s="97">
        <f t="shared" si="37"/>
        <v>1.9580146203212124E-2</v>
      </c>
      <c r="BQ78" s="97">
        <f t="shared" si="37"/>
        <v>2.0567724359641475E-2</v>
      </c>
      <c r="BR78" s="97">
        <f t="shared" si="37"/>
        <v>2.1405588693498061E-2</v>
      </c>
      <c r="BS78" s="97">
        <f t="shared" si="37"/>
        <v>2.1999808140024269E-2</v>
      </c>
      <c r="BT78" s="97">
        <f t="shared" si="37"/>
        <v>2.2127779249440139E-2</v>
      </c>
      <c r="BU78" s="97">
        <f t="shared" si="37"/>
        <v>2.1554996971454309E-2</v>
      </c>
      <c r="BV78" s="97">
        <f t="shared" si="37"/>
        <v>2.0168779368541487E-2</v>
      </c>
      <c r="BW78" s="97">
        <f t="shared" si="37"/>
        <v>1.8043397292101374E-2</v>
      </c>
      <c r="BX78" s="97">
        <f t="shared" si="37"/>
        <v>1.5409663971227137E-2</v>
      </c>
      <c r="BY78" s="97">
        <f t="shared" si="37"/>
        <v>1.2565277950993874E-2</v>
      </c>
      <c r="BZ78" s="97">
        <f t="shared" ref="BZ78:CO102" si="45">$H$2*$L78*BZ$1+$I$2*$M78*BZ$2+$J$2*$N78*BZ$3</f>
        <v>9.784734098995369E-3</v>
      </c>
      <c r="CA78" s="97">
        <f t="shared" si="45"/>
        <v>7.2677948440179573E-3</v>
      </c>
      <c r="CB78" s="97">
        <f t="shared" si="45"/>
        <v>5.1307765758075597E-3</v>
      </c>
      <c r="CC78" s="97">
        <f t="shared" si="40"/>
        <v>3.4217154512119537E-3</v>
      </c>
      <c r="CD78" s="97">
        <f t="shared" si="40"/>
        <v>2.1385285366487834E-3</v>
      </c>
      <c r="CE78" s="97">
        <f t="shared" si="40"/>
        <v>1.241575350112176E-3</v>
      </c>
      <c r="CF78" s="97">
        <f t="shared" si="40"/>
        <v>6.6393375152387819E-4</v>
      </c>
      <c r="CG78" s="97">
        <f t="shared" si="40"/>
        <v>3.246495304721844E-4</v>
      </c>
      <c r="CH78" s="97">
        <f t="shared" si="40"/>
        <v>1.4442770315177132E-4</v>
      </c>
      <c r="CI78" s="97">
        <f t="shared" si="40"/>
        <v>5.8405731271157229E-5</v>
      </c>
      <c r="CJ78" s="97">
        <f t="shared" si="40"/>
        <v>2.1665608531587666E-5</v>
      </c>
      <c r="CK78" s="97">
        <f t="shared" si="40"/>
        <v>7.6427293211992929E-6</v>
      </c>
      <c r="CL78" s="97">
        <f t="shared" si="40"/>
        <v>2.8348947569400357E-6</v>
      </c>
      <c r="CM78" s="97">
        <f t="shared" si="40"/>
        <v>1.3159508282900822E-6</v>
      </c>
      <c r="CN78" s="97">
        <f t="shared" si="40"/>
        <v>8.3289231914328979E-7</v>
      </c>
      <c r="CO78" s="97">
        <f t="shared" si="40"/>
        <v>6.4328930922575029E-7</v>
      </c>
      <c r="CP78" s="97">
        <f t="shared" si="40"/>
        <v>5.3607266483748306E-7</v>
      </c>
      <c r="CQ78" s="97">
        <f t="shared" si="39"/>
        <v>4.6006336779867535E-7</v>
      </c>
      <c r="CR78" s="97">
        <f t="shared" si="39"/>
        <v>4.039752064225306E-7</v>
      </c>
      <c r="CS78" s="97">
        <f t="shared" si="39"/>
        <v>3.6318318777159717E-7</v>
      </c>
      <c r="CT78" s="97">
        <f t="shared" si="39"/>
        <v>3.3238378729610344E-7</v>
      </c>
      <c r="CU78" s="97">
        <f t="shared" si="39"/>
        <v>3.0538491622801845E-7</v>
      </c>
      <c r="CV78" s="97">
        <f t="shared" si="44"/>
        <v>2.7670526008064427E-7</v>
      </c>
      <c r="CW78" s="97">
        <f t="shared" si="44"/>
        <v>2.4314854720092699E-7</v>
      </c>
      <c r="CX78" s="97">
        <f t="shared" si="44"/>
        <v>2.0449351479651846E-7</v>
      </c>
      <c r="CY78" s="97">
        <f t="shared" si="44"/>
        <v>1.6306392560269034E-7</v>
      </c>
      <c r="CZ78" s="97">
        <f t="shared" si="44"/>
        <v>1.2249311524581357E-7</v>
      </c>
      <c r="DA78" s="97">
        <f t="shared" si="44"/>
        <v>8.6298226212758472E-8</v>
      </c>
      <c r="DB78" s="97">
        <f t="shared" si="44"/>
        <v>5.6832912119681429E-8</v>
      </c>
      <c r="DC78" s="97">
        <f t="shared" si="44"/>
        <v>3.4894557393280107E-8</v>
      </c>
      <c r="DD78" s="97">
        <f t="shared" si="44"/>
        <v>1.9928492923788588E-8</v>
      </c>
      <c r="DE78" s="97">
        <f t="shared" si="44"/>
        <v>1.0564084162194747E-8</v>
      </c>
      <c r="DF78" s="97">
        <f t="shared" si="44"/>
        <v>5.1876550656000729E-9</v>
      </c>
      <c r="DG78" s="97">
        <f t="shared" si="44"/>
        <v>2.3555486777840378E-9</v>
      </c>
      <c r="DH78" s="97">
        <f t="shared" si="44"/>
        <v>9.8732687849579491E-10</v>
      </c>
      <c r="DI78" s="97">
        <f t="shared" si="44"/>
        <v>3.8143273835214E-10</v>
      </c>
      <c r="DJ78" s="97">
        <f t="shared" si="44"/>
        <v>1.3563818303525092E-10</v>
      </c>
      <c r="DK78" s="97">
        <f t="shared" si="44"/>
        <v>4.4345606884030937E-11</v>
      </c>
      <c r="DL78" s="97">
        <f t="shared" si="42"/>
        <v>1.3316702542507049E-11</v>
      </c>
    </row>
    <row r="79" spans="1:116" x14ac:dyDescent="0.25">
      <c r="A79" s="60">
        <v>6.7</v>
      </c>
      <c r="B79" s="25">
        <v>3</v>
      </c>
      <c r="C79" s="25">
        <v>5</v>
      </c>
      <c r="D79" s="57">
        <v>1.7</v>
      </c>
      <c r="E79" s="82" t="s">
        <v>6</v>
      </c>
      <c r="L79" s="97" cm="1">
        <f t="array" ref="L79">EstymacjaGaussowska($O79,$D$2:$D$51,H$9)</f>
        <v>3.1459618353959741E-4</v>
      </c>
      <c r="M79" s="97" cm="1">
        <f t="array" ref="M79">EstymacjaGaussowska($O79,$D$52:$D$101,I$9)</f>
        <v>4.2824354132838902E-2</v>
      </c>
      <c r="N79" s="97" cm="1">
        <f t="array" ref="N79">EstymacjaGaussowska($O79,$D$102:$D$151,J$9)</f>
        <v>1.2242671043158996E-6</v>
      </c>
      <c r="O79" s="97">
        <v>0.78000000000001002</v>
      </c>
      <c r="P79" s="97">
        <f t="shared" si="43"/>
        <v>6.8062759194980136E-37</v>
      </c>
      <c r="Q79" s="97">
        <f t="shared" si="43"/>
        <v>3.4629646375051299E-32</v>
      </c>
      <c r="R79" s="97">
        <f t="shared" si="43"/>
        <v>7.1413783420268071E-28</v>
      </c>
      <c r="S79" s="97">
        <f t="shared" si="43"/>
        <v>5.969062316565188E-24</v>
      </c>
      <c r="T79" s="97">
        <f t="shared" si="43"/>
        <v>2.0222031199124459E-20</v>
      </c>
      <c r="U79" s="97">
        <f t="shared" si="43"/>
        <v>2.7768473588247304E-17</v>
      </c>
      <c r="V79" s="97">
        <f t="shared" si="43"/>
        <v>1.5457207014589477E-14</v>
      </c>
      <c r="W79" s="97">
        <f t="shared" si="43"/>
        <v>3.4889556804717897E-12</v>
      </c>
      <c r="X79" s="97">
        <f t="shared" si="43"/>
        <v>3.1963805311261281E-10</v>
      </c>
      <c r="Y79" s="97">
        <f t="shared" si="43"/>
        <v>1.1920582502512573E-8</v>
      </c>
      <c r="Z79" s="97">
        <f t="shared" si="43"/>
        <v>1.8262476176476068E-7</v>
      </c>
      <c r="AA79" s="97">
        <f t="shared" si="43"/>
        <v>1.1819955846649712E-6</v>
      </c>
      <c r="AB79" s="97">
        <f t="shared" si="43"/>
        <v>3.5199405527834018E-6</v>
      </c>
      <c r="AC79" s="97">
        <f t="shared" si="43"/>
        <v>6.1372961976412515E-6</v>
      </c>
      <c r="AD79" s="97">
        <f t="shared" si="43"/>
        <v>1.0052061298647398E-5</v>
      </c>
      <c r="AE79" s="97">
        <f t="shared" si="43"/>
        <v>2.0294280228981895E-5</v>
      </c>
      <c r="AF79" s="97">
        <f t="shared" si="41"/>
        <v>3.9726703684909305E-5</v>
      </c>
      <c r="AG79" s="97">
        <f t="shared" si="41"/>
        <v>6.1906621901473895E-5</v>
      </c>
      <c r="AH79" s="97">
        <f t="shared" si="41"/>
        <v>7.3562272929485407E-5</v>
      </c>
      <c r="AI79" s="97">
        <f t="shared" si="41"/>
        <v>6.6909672293810445E-5</v>
      </c>
      <c r="AJ79" s="97">
        <f t="shared" si="41"/>
        <v>4.8257218545942915E-5</v>
      </c>
      <c r="AK79" s="97">
        <f t="shared" si="41"/>
        <v>2.9174849123096186E-5</v>
      </c>
      <c r="AL79" s="97">
        <f t="shared" si="41"/>
        <v>1.4509745622735896E-5</v>
      </c>
      <c r="AM79" s="97">
        <f t="shared" si="41"/>
        <v>7.9887689394685716E-6</v>
      </c>
      <c r="AN79" s="97">
        <f t="shared" si="41"/>
        <v>6.2116689146626812E-6</v>
      </c>
      <c r="AO79" s="97">
        <f t="shared" si="41"/>
        <v>2.9988422632745917E-6</v>
      </c>
      <c r="AP79" s="97">
        <f t="shared" si="41"/>
        <v>7.5085433414494431E-7</v>
      </c>
      <c r="AQ79" s="97">
        <f t="shared" si="41"/>
        <v>6.1148430408438483E-7</v>
      </c>
      <c r="AR79" s="97">
        <f t="shared" si="41"/>
        <v>1.9347480369055969E-6</v>
      </c>
      <c r="AS79" s="97">
        <f t="shared" si="41"/>
        <v>5.9024866255128758E-6</v>
      </c>
      <c r="AT79" s="97">
        <f t="shared" si="41"/>
        <v>1.5989516341060622E-5</v>
      </c>
      <c r="AU79" s="97">
        <f t="shared" si="38"/>
        <v>3.8509308850778272E-5</v>
      </c>
      <c r="AV79" s="97">
        <f t="shared" si="38"/>
        <v>8.2729016621828358E-5</v>
      </c>
      <c r="AW79" s="97">
        <f t="shared" si="38"/>
        <v>1.5933302453921582E-4</v>
      </c>
      <c r="AX79" s="97">
        <f t="shared" si="38"/>
        <v>2.7718225749223766E-4</v>
      </c>
      <c r="AY79" s="97">
        <f t="shared" si="38"/>
        <v>4.4017757201832706E-4</v>
      </c>
      <c r="AZ79" s="97">
        <f t="shared" si="38"/>
        <v>6.4693881363069028E-4</v>
      </c>
      <c r="BA79" s="97">
        <f t="shared" si="38"/>
        <v>8.9398341887868163E-4</v>
      </c>
      <c r="BB79" s="97">
        <f t="shared" si="38"/>
        <v>1.1792058487224612E-3</v>
      </c>
      <c r="BC79" s="97">
        <f t="shared" si="38"/>
        <v>1.5013005679103662E-3</v>
      </c>
      <c r="BD79" s="97">
        <f t="shared" si="38"/>
        <v>1.8552081953360649E-3</v>
      </c>
      <c r="BE79" s="97">
        <f t="shared" si="38"/>
        <v>2.2298125635600513E-3</v>
      </c>
      <c r="BF79" s="97">
        <f t="shared" si="38"/>
        <v>2.6145811248158061E-3</v>
      </c>
      <c r="BG79" s="97">
        <f t="shared" si="38"/>
        <v>3.0143776422512317E-3</v>
      </c>
      <c r="BH79" s="97">
        <f t="shared" si="38"/>
        <v>3.4620582394475326E-3</v>
      </c>
      <c r="BI79" s="97">
        <f t="shared" si="38"/>
        <v>4.0149390499549008E-3</v>
      </c>
      <c r="BJ79" s="97">
        <f t="shared" ref="BJ79:BY94" si="46">$H$2*$L79*BJ$1+$I$2*$M79*BJ$2+$J$2*$N79*BJ$3</f>
        <v>4.7285229967072217E-3</v>
      </c>
      <c r="BK79" s="97">
        <f t="shared" si="46"/>
        <v>5.6173526102768602E-3</v>
      </c>
      <c r="BL79" s="97">
        <f t="shared" si="46"/>
        <v>6.62851422899582E-3</v>
      </c>
      <c r="BM79" s="97">
        <f t="shared" si="46"/>
        <v>7.6528295636839614E-3</v>
      </c>
      <c r="BN79" s="97">
        <f t="shared" si="46"/>
        <v>8.5750812198270888E-3</v>
      </c>
      <c r="BO79" s="97">
        <f t="shared" si="46"/>
        <v>9.3321422512759305E-3</v>
      </c>
      <c r="BP79" s="97">
        <f t="shared" si="46"/>
        <v>9.935288348278476E-3</v>
      </c>
      <c r="BQ79" s="97">
        <f t="shared" si="46"/>
        <v>1.0436398324243239E-2</v>
      </c>
      <c r="BR79" s="97">
        <f t="shared" si="46"/>
        <v>1.0861539220790082E-2</v>
      </c>
      <c r="BS79" s="97">
        <f t="shared" si="46"/>
        <v>1.116304822872698E-2</v>
      </c>
      <c r="BT79" s="97">
        <f t="shared" si="46"/>
        <v>1.1227971955171202E-2</v>
      </c>
      <c r="BU79" s="97">
        <f t="shared" si="46"/>
        <v>1.0937318059497865E-2</v>
      </c>
      <c r="BV79" s="97">
        <f t="shared" si="46"/>
        <v>1.0233909713256391E-2</v>
      </c>
      <c r="BW79" s="97">
        <f t="shared" si="46"/>
        <v>9.1554338039296947E-3</v>
      </c>
      <c r="BX79" s="97">
        <f t="shared" si="46"/>
        <v>7.8190103307652133E-3</v>
      </c>
      <c r="BY79" s="97">
        <f t="shared" si="46"/>
        <v>6.3756987207711814E-3</v>
      </c>
      <c r="BZ79" s="97">
        <f t="shared" si="45"/>
        <v>4.964784606853706E-3</v>
      </c>
      <c r="CA79" s="97">
        <f t="shared" si="45"/>
        <v>3.687632526998177E-3</v>
      </c>
      <c r="CB79" s="97">
        <f t="shared" si="45"/>
        <v>2.603263911266702E-3</v>
      </c>
      <c r="CC79" s="97">
        <f t="shared" si="40"/>
        <v>1.7360523656332219E-3</v>
      </c>
      <c r="CD79" s="97">
        <f t="shared" si="40"/>
        <v>1.0849394243306013E-3</v>
      </c>
      <c r="CE79" s="97">
        <f t="shared" si="40"/>
        <v>6.2980932592422451E-4</v>
      </c>
      <c r="CF79" s="97">
        <f t="shared" si="40"/>
        <v>3.3670391867327481E-4</v>
      </c>
      <c r="CG79" s="97">
        <f t="shared" si="40"/>
        <v>1.6454598228086376E-4</v>
      </c>
      <c r="CH79" s="97">
        <f t="shared" si="40"/>
        <v>7.3100931655857701E-5</v>
      </c>
      <c r="CI79" s="97">
        <f t="shared" si="40"/>
        <v>2.9457505004565322E-5</v>
      </c>
      <c r="CJ79" s="97">
        <f t="shared" si="40"/>
        <v>1.0824098898568649E-5</v>
      </c>
      <c r="CK79" s="97">
        <f t="shared" si="40"/>
        <v>3.7211626083010799E-6</v>
      </c>
      <c r="CL79" s="97">
        <f t="shared" si="40"/>
        <v>1.2965892797146296E-6</v>
      </c>
      <c r="CM79" s="97">
        <f t="shared" si="40"/>
        <v>5.4215658907585799E-7</v>
      </c>
      <c r="CN79" s="97">
        <f t="shared" si="40"/>
        <v>3.134184796808589E-7</v>
      </c>
      <c r="CO79" s="97">
        <f t="shared" si="40"/>
        <v>2.3255182005812873E-7</v>
      </c>
      <c r="CP79" s="97">
        <f t="shared" si="40"/>
        <v>1.9158402522155638E-7</v>
      </c>
      <c r="CQ79" s="97">
        <f t="shared" si="39"/>
        <v>1.6399541087247246E-7</v>
      </c>
      <c r="CR79" s="97">
        <f t="shared" si="39"/>
        <v>1.4393084146681423E-7</v>
      </c>
      <c r="CS79" s="97">
        <f t="shared" si="39"/>
        <v>1.2938663639764231E-7</v>
      </c>
      <c r="CT79" s="97">
        <f t="shared" si="39"/>
        <v>1.1841275286992612E-7</v>
      </c>
      <c r="CU79" s="97">
        <f t="shared" si="39"/>
        <v>1.0879416607473019E-7</v>
      </c>
      <c r="CV79" s="97">
        <f t="shared" si="44"/>
        <v>9.8576949185949034E-8</v>
      </c>
      <c r="CW79" s="97">
        <f t="shared" si="44"/>
        <v>8.6622284003082661E-8</v>
      </c>
      <c r="CX79" s="97">
        <f t="shared" si="44"/>
        <v>7.2851330991210013E-8</v>
      </c>
      <c r="CY79" s="97">
        <f t="shared" si="44"/>
        <v>5.8091935225211083E-8</v>
      </c>
      <c r="CZ79" s="97">
        <f t="shared" si="44"/>
        <v>4.3638481595704396E-8</v>
      </c>
      <c r="DA79" s="97">
        <f t="shared" si="44"/>
        <v>3.0743960987259862E-8</v>
      </c>
      <c r="DB79" s="97">
        <f t="shared" si="44"/>
        <v>2.0246868443067341E-8</v>
      </c>
      <c r="DC79" s="97">
        <f t="shared" si="44"/>
        <v>1.2431274178472693E-8</v>
      </c>
      <c r="DD79" s="97">
        <f t="shared" si="44"/>
        <v>7.099575922607265E-9</v>
      </c>
      <c r="DE79" s="97">
        <f t="shared" si="44"/>
        <v>3.7634816565976579E-9</v>
      </c>
      <c r="DF79" s="97">
        <f t="shared" si="44"/>
        <v>1.8481152157051395E-9</v>
      </c>
      <c r="DG79" s="97">
        <f t="shared" si="44"/>
        <v>8.3917016411021528E-10</v>
      </c>
      <c r="DH79" s="97">
        <f t="shared" si="44"/>
        <v>3.5173769341807037E-10</v>
      </c>
      <c r="DI79" s="97">
        <f t="shared" si="44"/>
        <v>1.3588637613767898E-10</v>
      </c>
      <c r="DJ79" s="97">
        <f t="shared" si="44"/>
        <v>4.83214451863425E-11</v>
      </c>
      <c r="DK79" s="97">
        <f t="shared" si="44"/>
        <v>1.5798234423008244E-11</v>
      </c>
      <c r="DL79" s="97">
        <f t="shared" si="42"/>
        <v>4.7441089048158954E-12</v>
      </c>
    </row>
    <row r="80" spans="1:116" x14ac:dyDescent="0.25">
      <c r="A80" s="60">
        <v>6</v>
      </c>
      <c r="B80" s="25">
        <v>2.9</v>
      </c>
      <c r="C80" s="25">
        <v>4.5</v>
      </c>
      <c r="D80" s="57">
        <v>1.5</v>
      </c>
      <c r="E80" s="82" t="s">
        <v>6</v>
      </c>
      <c r="L80" s="97" cm="1">
        <f t="array" ref="L80">EstymacjaGaussowska($O80,$D$2:$D$51,H$9)</f>
        <v>2.0972862762931844E-3</v>
      </c>
      <c r="M80" s="97" cm="1">
        <f t="array" ref="M80">EstymacjaGaussowska($O80,$D$52:$D$101,I$9)</f>
        <v>1.9754173905085045E-2</v>
      </c>
      <c r="N80" s="97" cm="1">
        <f t="array" ref="N80">EstymacjaGaussowska($O80,$D$102:$D$151,J$9)</f>
        <v>4.1506523807431264E-7</v>
      </c>
      <c r="O80" s="97">
        <v>0.75000000000000999</v>
      </c>
      <c r="P80" s="97">
        <f t="shared" si="43"/>
        <v>4.537403467129598E-36</v>
      </c>
      <c r="Q80" s="97">
        <f t="shared" si="43"/>
        <v>2.308619235434198E-31</v>
      </c>
      <c r="R80" s="97">
        <f t="shared" si="43"/>
        <v>4.7608698301161893E-27</v>
      </c>
      <c r="S80" s="97">
        <f t="shared" si="43"/>
        <v>3.9793338679464271E-23</v>
      </c>
      <c r="T80" s="97">
        <f t="shared" si="43"/>
        <v>1.3481215199598016E-19</v>
      </c>
      <c r="U80" s="97">
        <f t="shared" si="43"/>
        <v>1.8512124945377938E-16</v>
      </c>
      <c r="V80" s="97">
        <f t="shared" si="43"/>
        <v>1.0304698479420957E-13</v>
      </c>
      <c r="W80" s="97">
        <f t="shared" si="43"/>
        <v>2.3259464831770974E-11</v>
      </c>
      <c r="X80" s="97">
        <f t="shared" si="43"/>
        <v>2.1308983937174074E-9</v>
      </c>
      <c r="Y80" s="97">
        <f t="shared" si="43"/>
        <v>7.9469731026770357E-8</v>
      </c>
      <c r="Z80" s="97">
        <f t="shared" si="43"/>
        <v>1.2174858647397913E-6</v>
      </c>
      <c r="AA80" s="97">
        <f t="shared" si="43"/>
        <v>7.8798893567790531E-6</v>
      </c>
      <c r="AB80" s="97">
        <f t="shared" si="43"/>
        <v>2.3466028518401513E-5</v>
      </c>
      <c r="AC80" s="97">
        <f t="shared" si="43"/>
        <v>4.091488632836239E-5</v>
      </c>
      <c r="AD80" s="97">
        <f t="shared" si="43"/>
        <v>6.7013051375608673E-5</v>
      </c>
      <c r="AE80" s="97">
        <f t="shared" si="43"/>
        <v>1.3529380723115999E-4</v>
      </c>
      <c r="AF80" s="97">
        <f t="shared" si="41"/>
        <v>2.6484196185372078E-4</v>
      </c>
      <c r="AG80" s="97">
        <f t="shared" si="41"/>
        <v>4.1270655943566781E-4</v>
      </c>
      <c r="AH80" s="97">
        <f t="shared" si="41"/>
        <v>4.9041009864864518E-4</v>
      </c>
      <c r="AI80" s="97">
        <f t="shared" si="41"/>
        <v>4.4605988289322029E-4</v>
      </c>
      <c r="AJ80" s="97">
        <f t="shared" si="41"/>
        <v>3.2171145538751006E-4</v>
      </c>
      <c r="AK80" s="97">
        <f t="shared" si="41"/>
        <v>1.9449683127185222E-4</v>
      </c>
      <c r="AL80" s="97">
        <f t="shared" si="41"/>
        <v>9.6729500063429889E-5</v>
      </c>
      <c r="AM80" s="97">
        <f t="shared" si="41"/>
        <v>5.3250652924735715E-5</v>
      </c>
      <c r="AN80" s="97">
        <f t="shared" si="41"/>
        <v>4.1369864777264646E-5</v>
      </c>
      <c r="AO80" s="97">
        <f t="shared" si="41"/>
        <v>1.9788916434566537E-5</v>
      </c>
      <c r="AP80" s="97">
        <f t="shared" si="41"/>
        <v>4.1116717718114069E-6</v>
      </c>
      <c r="AQ80" s="97">
        <f t="shared" si="41"/>
        <v>5.9606737913857357E-7</v>
      </c>
      <c r="AR80" s="97">
        <f t="shared" si="41"/>
        <v>9.0308710651381803E-7</v>
      </c>
      <c r="AS80" s="97">
        <f t="shared" si="41"/>
        <v>2.7228660859173031E-6</v>
      </c>
      <c r="AT80" s="97">
        <f t="shared" si="41"/>
        <v>7.375703089850123E-6</v>
      </c>
      <c r="AU80" s="97">
        <f t="shared" ref="AU80:BJ95" si="47">$H$2*$L80*AU$1+$I$2*$M80*AU$2+$J$2*$N80*AU$3</f>
        <v>1.7763714117466877E-5</v>
      </c>
      <c r="AV80" s="97">
        <f t="shared" si="47"/>
        <v>3.8161541824425471E-5</v>
      </c>
      <c r="AW80" s="97">
        <f t="shared" si="47"/>
        <v>7.3497717345776954E-5</v>
      </c>
      <c r="AX80" s="97">
        <f t="shared" si="47"/>
        <v>1.2785964035606849E-4</v>
      </c>
      <c r="AY80" s="97">
        <f t="shared" si="47"/>
        <v>2.0304671215344992E-4</v>
      </c>
      <c r="AZ80" s="97">
        <f t="shared" si="47"/>
        <v>2.9842229005408439E-4</v>
      </c>
      <c r="BA80" s="97">
        <f t="shared" si="47"/>
        <v>4.1237992451689874E-4</v>
      </c>
      <c r="BB80" s="97">
        <f t="shared" si="47"/>
        <v>5.4394836483143149E-4</v>
      </c>
      <c r="BC80" s="97">
        <f t="shared" si="47"/>
        <v>6.9252538894407404E-4</v>
      </c>
      <c r="BD80" s="97">
        <f t="shared" si="47"/>
        <v>8.5577718711915953E-4</v>
      </c>
      <c r="BE80" s="97">
        <f t="shared" si="47"/>
        <v>1.0285760531576456E-3</v>
      </c>
      <c r="BF80" s="97">
        <f t="shared" si="47"/>
        <v>1.206063494988543E-3</v>
      </c>
      <c r="BG80" s="97">
        <f t="shared" si="47"/>
        <v>1.3904830866339696E-3</v>
      </c>
      <c r="BH80" s="97">
        <f t="shared" si="47"/>
        <v>1.5969908193921504E-3</v>
      </c>
      <c r="BI80" s="97">
        <f t="shared" si="47"/>
        <v>1.8520256855530293E-3</v>
      </c>
      <c r="BJ80" s="97">
        <f t="shared" si="47"/>
        <v>2.181190270087458E-3</v>
      </c>
      <c r="BK80" s="97">
        <f t="shared" si="46"/>
        <v>2.5911927937806137E-3</v>
      </c>
      <c r="BL80" s="97">
        <f t="shared" si="46"/>
        <v>3.0576250310315918E-3</v>
      </c>
      <c r="BM80" s="97">
        <f t="shared" si="46"/>
        <v>3.5301247921134707E-3</v>
      </c>
      <c r="BN80" s="97">
        <f t="shared" si="46"/>
        <v>3.9555441319212015E-3</v>
      </c>
      <c r="BO80" s="97">
        <f t="shared" si="46"/>
        <v>4.3047635598438124E-3</v>
      </c>
      <c r="BP80" s="97">
        <f t="shared" si="46"/>
        <v>4.5829842842595317E-3</v>
      </c>
      <c r="BQ80" s="97">
        <f t="shared" si="46"/>
        <v>4.8141370446047526E-3</v>
      </c>
      <c r="BR80" s="97">
        <f t="shared" si="46"/>
        <v>5.0102459992963366E-3</v>
      </c>
      <c r="BS80" s="97">
        <f t="shared" si="46"/>
        <v>5.1493248975184687E-3</v>
      </c>
      <c r="BT80" s="97">
        <f t="shared" si="46"/>
        <v>5.1792699931046682E-3</v>
      </c>
      <c r="BU80" s="97">
        <f t="shared" si="46"/>
        <v>5.0451919077453113E-3</v>
      </c>
      <c r="BV80" s="97">
        <f t="shared" si="46"/>
        <v>4.7207158697090057E-3</v>
      </c>
      <c r="BW80" s="97">
        <f t="shared" si="46"/>
        <v>4.2232264003098348E-3</v>
      </c>
      <c r="BX80" s="97">
        <f t="shared" si="46"/>
        <v>3.6067494712781418E-3</v>
      </c>
      <c r="BY80" s="97">
        <f t="shared" si="46"/>
        <v>2.9409669581944207E-3</v>
      </c>
      <c r="BZ80" s="97">
        <f t="shared" si="45"/>
        <v>2.2901297185440065E-3</v>
      </c>
      <c r="CA80" s="97">
        <f t="shared" si="45"/>
        <v>1.7009960552466644E-3</v>
      </c>
      <c r="CB80" s="97">
        <f t="shared" si="45"/>
        <v>1.2007917454914356E-3</v>
      </c>
      <c r="CC80" s="97">
        <f t="shared" si="40"/>
        <v>8.0075972038391404E-4</v>
      </c>
      <c r="CD80" s="97">
        <f t="shared" si="40"/>
        <v>5.0041128029771785E-4</v>
      </c>
      <c r="CE80" s="97">
        <f t="shared" si="40"/>
        <v>2.9046691657566267E-4</v>
      </c>
      <c r="CF80" s="97">
        <f t="shared" si="40"/>
        <v>1.5526207711830884E-4</v>
      </c>
      <c r="CG80" s="97">
        <f t="shared" si="40"/>
        <v>7.5848599323680185E-5</v>
      </c>
      <c r="CH80" s="97">
        <f t="shared" si="40"/>
        <v>3.3667220665214428E-5</v>
      </c>
      <c r="CI80" s="97">
        <f t="shared" si="40"/>
        <v>1.3536824743273479E-5</v>
      </c>
      <c r="CJ80" s="97">
        <f t="shared" si="40"/>
        <v>4.9441749289780246E-6</v>
      </c>
      <c r="CK80" s="97">
        <f t="shared" si="40"/>
        <v>1.6713102275666724E-6</v>
      </c>
      <c r="CL80" s="97">
        <f t="shared" si="40"/>
        <v>5.5721664697664388E-7</v>
      </c>
      <c r="CM80" s="97">
        <f t="shared" si="40"/>
        <v>2.13906868129411E-7</v>
      </c>
      <c r="CN80" s="97">
        <f t="shared" si="40"/>
        <v>1.1311126907815986E-7</v>
      </c>
      <c r="CO80" s="97">
        <f t="shared" si="40"/>
        <v>8.0228789828534858E-8</v>
      </c>
      <c r="CP80" s="97">
        <f t="shared" si="40"/>
        <v>6.520204320232691E-8</v>
      </c>
      <c r="CQ80" s="97">
        <f t="shared" si="39"/>
        <v>5.5639298881305927E-8</v>
      </c>
      <c r="CR80" s="97">
        <f t="shared" si="39"/>
        <v>4.8802707019053496E-8</v>
      </c>
      <c r="CS80" s="97">
        <f t="shared" si="39"/>
        <v>4.3866859866868768E-8</v>
      </c>
      <c r="CT80" s="97">
        <f t="shared" si="39"/>
        <v>4.0145743063788994E-8</v>
      </c>
      <c r="CU80" s="97">
        <f t="shared" si="39"/>
        <v>3.6884668077136441E-8</v>
      </c>
      <c r="CV80" s="97">
        <f t="shared" si="44"/>
        <v>3.3420701699295068E-8</v>
      </c>
      <c r="CW80" s="97">
        <f t="shared" si="44"/>
        <v>2.9367691795264057E-8</v>
      </c>
      <c r="CX80" s="97">
        <f t="shared" si="44"/>
        <v>2.4698903482369021E-8</v>
      </c>
      <c r="CY80" s="97">
        <f t="shared" si="44"/>
        <v>1.969500188292514E-8</v>
      </c>
      <c r="CZ80" s="97">
        <f t="shared" si="44"/>
        <v>1.4794824339299127E-8</v>
      </c>
      <c r="DA80" s="97">
        <f t="shared" si="44"/>
        <v>1.0423174355938881E-8</v>
      </c>
      <c r="DB80" s="97">
        <f t="shared" si="44"/>
        <v>6.8643282507185791E-9</v>
      </c>
      <c r="DC80" s="97">
        <f t="shared" si="44"/>
        <v>4.2145948039157927E-9</v>
      </c>
      <c r="DD80" s="97">
        <f t="shared" si="44"/>
        <v>2.4069806010104785E-9</v>
      </c>
      <c r="DE80" s="97">
        <f t="shared" si="44"/>
        <v>1.2759392164317654E-9</v>
      </c>
      <c r="DF80" s="97">
        <f t="shared" si="44"/>
        <v>6.2656946289841689E-10</v>
      </c>
      <c r="DG80" s="97">
        <f t="shared" si="44"/>
        <v>2.8450520537827949E-10</v>
      </c>
      <c r="DH80" s="97">
        <f t="shared" si="44"/>
        <v>1.1925019380461102E-10</v>
      </c>
      <c r="DI80" s="97">
        <f t="shared" si="44"/>
        <v>4.6069775838792692E-11</v>
      </c>
      <c r="DJ80" s="97">
        <f t="shared" si="44"/>
        <v>1.6382496989144679E-11</v>
      </c>
      <c r="DK80" s="97">
        <f t="shared" si="44"/>
        <v>5.356100730652097E-12</v>
      </c>
      <c r="DL80" s="97">
        <f t="shared" si="42"/>
        <v>1.6084028436982183E-12</v>
      </c>
    </row>
    <row r="81" spans="1:116" x14ac:dyDescent="0.25">
      <c r="A81" s="60">
        <v>5.7</v>
      </c>
      <c r="B81" s="25">
        <v>2.6</v>
      </c>
      <c r="C81" s="25">
        <v>3.5</v>
      </c>
      <c r="D81" s="57">
        <v>1</v>
      </c>
      <c r="E81" s="82" t="s">
        <v>6</v>
      </c>
      <c r="L81" s="97" cm="1">
        <f t="array" ref="L81">EstymacjaGaussowska($O81,$D$2:$D$51,H$9)</f>
        <v>9.9102987265041603E-3</v>
      </c>
      <c r="M81" s="97" cm="1">
        <f t="array" ref="M81">EstymacjaGaussowska($O81,$D$52:$D$101,I$9)</f>
        <v>8.2774568480669629E-3</v>
      </c>
      <c r="N81" s="97" cm="1">
        <f t="array" ref="N81">EstymacjaGaussowska($O81,$D$102:$D$151,J$9)</f>
        <v>1.3389366191388604E-7</v>
      </c>
      <c r="O81" s="97">
        <v>0.72000000000000997</v>
      </c>
      <c r="P81" s="97">
        <f t="shared" si="43"/>
        <v>2.1440553583055519E-35</v>
      </c>
      <c r="Q81" s="97">
        <f t="shared" si="43"/>
        <v>1.0908909520045132E-30</v>
      </c>
      <c r="R81" s="97">
        <f t="shared" si="43"/>
        <v>2.2496519787216019E-26</v>
      </c>
      <c r="S81" s="97">
        <f t="shared" si="43"/>
        <v>1.8803530929283926E-22</v>
      </c>
      <c r="T81" s="97">
        <f t="shared" si="43"/>
        <v>6.3702734020859987E-19</v>
      </c>
      <c r="U81" s="97">
        <f t="shared" si="43"/>
        <v>8.7475272376892484E-16</v>
      </c>
      <c r="V81" s="97">
        <f t="shared" si="43"/>
        <v>4.8692751853652481E-13</v>
      </c>
      <c r="W81" s="97">
        <f t="shared" si="43"/>
        <v>1.099078591735585E-10</v>
      </c>
      <c r="X81" s="97">
        <f t="shared" si="43"/>
        <v>1.0069125934916134E-8</v>
      </c>
      <c r="Y81" s="97">
        <f t="shared" si="43"/>
        <v>3.7551801253484885E-7</v>
      </c>
      <c r="Z81" s="97">
        <f t="shared" si="43"/>
        <v>5.752981245933107E-6</v>
      </c>
      <c r="AA81" s="97">
        <f t="shared" si="43"/>
        <v>3.7234810688554979E-5</v>
      </c>
      <c r="AB81" s="97">
        <f t="shared" si="43"/>
        <v>1.1088393376275324E-4</v>
      </c>
      <c r="AC81" s="97">
        <f t="shared" si="43"/>
        <v>1.9333495405867487E-4</v>
      </c>
      <c r="AD81" s="97">
        <f t="shared" si="43"/>
        <v>3.1665651237685894E-4</v>
      </c>
      <c r="AE81" s="97">
        <f t="shared" si="43"/>
        <v>6.3930330382773795E-4</v>
      </c>
      <c r="AF81" s="97">
        <f t="shared" si="41"/>
        <v>1.2514566976149031E-3</v>
      </c>
      <c r="AG81" s="97">
        <f t="shared" si="41"/>
        <v>1.9501607084429823E-3</v>
      </c>
      <c r="AH81" s="97">
        <f t="shared" si="41"/>
        <v>2.3173329415744882E-3</v>
      </c>
      <c r="AI81" s="97">
        <f t="shared" si="41"/>
        <v>2.1077650380546672E-3</v>
      </c>
      <c r="AJ81" s="97">
        <f t="shared" si="41"/>
        <v>1.5201818891398843E-3</v>
      </c>
      <c r="AK81" s="97">
        <f t="shared" si="41"/>
        <v>9.1905507353306874E-4</v>
      </c>
      <c r="AL81" s="97">
        <f t="shared" si="41"/>
        <v>4.5707516727620394E-4</v>
      </c>
      <c r="AM81" s="97">
        <f t="shared" si="41"/>
        <v>2.516227808931646E-4</v>
      </c>
      <c r="AN81" s="97">
        <f t="shared" si="41"/>
        <v>1.9547179021551137E-4</v>
      </c>
      <c r="AO81" s="97">
        <f t="shared" si="41"/>
        <v>9.3443455955685934E-5</v>
      </c>
      <c r="AP81" s="97">
        <f t="shared" si="41"/>
        <v>1.9142692938191623E-5</v>
      </c>
      <c r="AQ81" s="97">
        <f t="shared" si="41"/>
        <v>1.7024503118212567E-6</v>
      </c>
      <c r="AR81" s="97">
        <f t="shared" si="41"/>
        <v>4.2754432221685879E-7</v>
      </c>
      <c r="AS81" s="97">
        <f t="shared" si="41"/>
        <v>1.1416175133564019E-6</v>
      </c>
      <c r="AT81" s="97">
        <f t="shared" si="41"/>
        <v>3.090594335446419E-6</v>
      </c>
      <c r="AU81" s="97">
        <f t="shared" si="47"/>
        <v>7.4434080585547778E-6</v>
      </c>
      <c r="AV81" s="97">
        <f t="shared" si="47"/>
        <v>1.5990570763691797E-5</v>
      </c>
      <c r="AW81" s="97">
        <f t="shared" si="47"/>
        <v>3.0797247542934999E-5</v>
      </c>
      <c r="AX81" s="97">
        <f t="shared" si="47"/>
        <v>5.3576153614010547E-5</v>
      </c>
      <c r="AY81" s="97">
        <f t="shared" si="47"/>
        <v>8.5081279838251835E-5</v>
      </c>
      <c r="AZ81" s="97">
        <f t="shared" si="47"/>
        <v>1.2504585817116838E-4</v>
      </c>
      <c r="BA81" s="97">
        <f t="shared" si="47"/>
        <v>1.7279674901101322E-4</v>
      </c>
      <c r="BB81" s="97">
        <f t="shared" si="47"/>
        <v>2.2792697579245125E-4</v>
      </c>
      <c r="BC81" s="97">
        <f t="shared" si="47"/>
        <v>2.9018419351251122E-4</v>
      </c>
      <c r="BD81" s="97">
        <f t="shared" si="47"/>
        <v>3.5859048178245252E-4</v>
      </c>
      <c r="BE81" s="97">
        <f t="shared" si="47"/>
        <v>4.3099721281512226E-4</v>
      </c>
      <c r="BF81" s="97">
        <f t="shared" si="47"/>
        <v>5.0536856576352963E-4</v>
      </c>
      <c r="BG81" s="97">
        <f t="shared" si="47"/>
        <v>5.8264465006683923E-4</v>
      </c>
      <c r="BH81" s="97">
        <f t="shared" si="47"/>
        <v>6.691761772035208E-4</v>
      </c>
      <c r="BI81" s="97">
        <f t="shared" si="47"/>
        <v>7.7604169727546631E-4</v>
      </c>
      <c r="BJ81" s="97">
        <f t="shared" si="47"/>
        <v>9.139692855434676E-4</v>
      </c>
      <c r="BK81" s="97">
        <f t="shared" si="46"/>
        <v>1.0857698391959637E-3</v>
      </c>
      <c r="BL81" s="97">
        <f t="shared" si="46"/>
        <v>1.2812157406888853E-3</v>
      </c>
      <c r="BM81" s="97">
        <f t="shared" si="46"/>
        <v>1.4792040565793398E-3</v>
      </c>
      <c r="BN81" s="97">
        <f t="shared" si="46"/>
        <v>1.6574645533524786E-3</v>
      </c>
      <c r="BO81" s="97">
        <f t="shared" si="46"/>
        <v>1.8037954724365213E-3</v>
      </c>
      <c r="BP81" s="97">
        <f t="shared" si="46"/>
        <v>1.9203762185157932E-3</v>
      </c>
      <c r="BQ81" s="97">
        <f t="shared" si="46"/>
        <v>2.0172342972370355E-3</v>
      </c>
      <c r="BR81" s="97">
        <f t="shared" si="46"/>
        <v>2.0994080719301919E-3</v>
      </c>
      <c r="BS81" s="97">
        <f t="shared" si="46"/>
        <v>2.1576847465008104E-3</v>
      </c>
      <c r="BT81" s="97">
        <f t="shared" si="46"/>
        <v>2.170231591423581E-3</v>
      </c>
      <c r="BU81" s="97">
        <f t="shared" si="46"/>
        <v>2.1140486422563409E-3</v>
      </c>
      <c r="BV81" s="97">
        <f t="shared" si="46"/>
        <v>1.9780842484754817E-3</v>
      </c>
      <c r="BW81" s="97">
        <f t="shared" si="46"/>
        <v>1.7696229748181108E-3</v>
      </c>
      <c r="BX81" s="97">
        <f t="shared" si="46"/>
        <v>1.511303071596141E-3</v>
      </c>
      <c r="BY81" s="97">
        <f t="shared" si="46"/>
        <v>1.2323230295886536E-3</v>
      </c>
      <c r="BZ81" s="97">
        <f t="shared" si="45"/>
        <v>9.5960562790900212E-4</v>
      </c>
      <c r="CA81" s="97">
        <f t="shared" si="45"/>
        <v>7.1274381324730766E-4</v>
      </c>
      <c r="CB81" s="97">
        <f t="shared" si="45"/>
        <v>5.0314585948158289E-4</v>
      </c>
      <c r="CC81" s="97">
        <f t="shared" si="40"/>
        <v>3.3552275802154467E-4</v>
      </c>
      <c r="CD81" s="97">
        <f t="shared" si="40"/>
        <v>2.0966961292974136E-4</v>
      </c>
      <c r="CE81" s="97">
        <f t="shared" si="40"/>
        <v>1.2169797806201586E-4</v>
      </c>
      <c r="CF81" s="97">
        <f t="shared" si="40"/>
        <v>6.504398614323068E-5</v>
      </c>
      <c r="CG81" s="97">
        <f t="shared" si="40"/>
        <v>3.1767941028964864E-5</v>
      </c>
      <c r="CH81" s="97">
        <f t="shared" si="40"/>
        <v>1.4093159880975025E-5</v>
      </c>
      <c r="CI81" s="97">
        <f t="shared" si="40"/>
        <v>5.6584859292655425E-6</v>
      </c>
      <c r="CJ81" s="97">
        <f t="shared" si="40"/>
        <v>2.0586713120063206E-6</v>
      </c>
      <c r="CK81" s="97">
        <f t="shared" si="40"/>
        <v>6.8822888857437527E-7</v>
      </c>
      <c r="CL81" s="97">
        <f t="shared" si="40"/>
        <v>2.2255386148996856E-7</v>
      </c>
      <c r="CM81" s="97">
        <f t="shared" si="40"/>
        <v>7.9955476285116369E-8</v>
      </c>
      <c r="CN81" s="97">
        <f t="shared" si="40"/>
        <v>3.8981469131858113E-8</v>
      </c>
      <c r="CO81" s="97">
        <f t="shared" si="40"/>
        <v>2.6385052513310212E-8</v>
      </c>
      <c r="CP81" s="97">
        <f t="shared" si="40"/>
        <v>2.1123784868603897E-8</v>
      </c>
      <c r="CQ81" s="97">
        <f t="shared" si="39"/>
        <v>1.7962818042748239E-8</v>
      </c>
      <c r="CR81" s="97">
        <f t="shared" si="39"/>
        <v>1.5745041593975968E-8</v>
      </c>
      <c r="CS81" s="97">
        <f t="shared" si="39"/>
        <v>1.4151029458973752E-8</v>
      </c>
      <c r="CT81" s="97">
        <f t="shared" si="39"/>
        <v>1.2950427534037047E-8</v>
      </c>
      <c r="CU81" s="97">
        <f t="shared" si="39"/>
        <v>1.189842939436171E-8</v>
      </c>
      <c r="CV81" s="97">
        <f t="shared" si="44"/>
        <v>1.0781004583940772E-8</v>
      </c>
      <c r="CW81" s="97">
        <f t="shared" si="44"/>
        <v>9.4735657034574974E-9</v>
      </c>
      <c r="CX81" s="97">
        <f t="shared" si="44"/>
        <v>7.9674863844972248E-9</v>
      </c>
      <c r="CY81" s="97">
        <f t="shared" si="44"/>
        <v>6.3533046895752696E-9</v>
      </c>
      <c r="CZ81" s="97">
        <f t="shared" si="44"/>
        <v>4.7725827808506143E-9</v>
      </c>
      <c r="DA81" s="97">
        <f t="shared" si="44"/>
        <v>3.3623557341455337E-9</v>
      </c>
      <c r="DB81" s="97">
        <f t="shared" si="44"/>
        <v>2.2143267172451118E-9</v>
      </c>
      <c r="DC81" s="97">
        <f t="shared" si="44"/>
        <v>1.3595634613913134E-9</v>
      </c>
      <c r="DD81" s="97">
        <f t="shared" si="44"/>
        <v>7.7645492144846598E-10</v>
      </c>
      <c r="DE81" s="97">
        <f t="shared" si="44"/>
        <v>4.115983667054202E-10</v>
      </c>
      <c r="DF81" s="97">
        <f t="shared" si="44"/>
        <v>2.0212167181262625E-10</v>
      </c>
      <c r="DG81" s="97">
        <f t="shared" si="44"/>
        <v>9.1777003437806265E-11</v>
      </c>
      <c r="DH81" s="97">
        <f t="shared" si="44"/>
        <v>3.8468278400084416E-11</v>
      </c>
      <c r="DI81" s="97">
        <f t="shared" si="44"/>
        <v>1.4861401111849878E-11</v>
      </c>
      <c r="DJ81" s="97">
        <f t="shared" si="44"/>
        <v>5.2847415585717403E-12</v>
      </c>
      <c r="DK81" s="97">
        <f t="shared" si="44"/>
        <v>1.7277957164850623E-12</v>
      </c>
      <c r="DL81" s="97">
        <f t="shared" si="42"/>
        <v>5.1884601942238614E-13</v>
      </c>
    </row>
    <row r="82" spans="1:116" x14ac:dyDescent="0.25">
      <c r="A82" s="60">
        <v>5.5</v>
      </c>
      <c r="B82" s="25">
        <v>2.4</v>
      </c>
      <c r="C82" s="25">
        <v>3.8</v>
      </c>
      <c r="D82" s="57">
        <v>1.1000000000000001</v>
      </c>
      <c r="E82" s="82" t="s">
        <v>6</v>
      </c>
      <c r="L82" s="97" cm="1">
        <f t="array" ref="L82">EstymacjaGaussowska($O82,$D$2:$D$51,H$9)</f>
        <v>3.3241930112721051E-2</v>
      </c>
      <c r="M82" s="97" cm="1">
        <f t="array" ref="M82">EstymacjaGaussowska($O82,$D$52:$D$101,I$9)</f>
        <v>3.1489961550236673E-3</v>
      </c>
      <c r="N82" s="97" cm="1">
        <f t="array" ref="N82">EstymacjaGaussowska($O82,$D$102:$D$151,J$9)</f>
        <v>4.1090313239751872E-8</v>
      </c>
      <c r="O82" s="97">
        <v>0.69000000000002004</v>
      </c>
      <c r="P82" s="97">
        <f t="shared" si="43"/>
        <v>7.1917642636386341E-35</v>
      </c>
      <c r="Q82" s="97">
        <f t="shared" si="43"/>
        <v>3.6591551659532747E-30</v>
      </c>
      <c r="R82" s="97">
        <f t="shared" si="43"/>
        <v>7.5459656583871204E-26</v>
      </c>
      <c r="S82" s="97">
        <f t="shared" si="43"/>
        <v>6.3072332961261999E-22</v>
      </c>
      <c r="T82" s="97">
        <f t="shared" si="43"/>
        <v>2.1367689216545594E-18</v>
      </c>
      <c r="U82" s="97">
        <f t="shared" si="43"/>
        <v>2.9341667402690247E-15</v>
      </c>
      <c r="V82" s="97">
        <f t="shared" si="43"/>
        <v>1.6332918903708534E-12</v>
      </c>
      <c r="W82" s="97">
        <f t="shared" si="43"/>
        <v>3.6866188137347917E-10</v>
      </c>
      <c r="X82" s="97">
        <f t="shared" si="43"/>
        <v>3.3774681254511481E-8</v>
      </c>
      <c r="Y82" s="97">
        <f t="shared" si="43"/>
        <v>1.2595930630594307E-6</v>
      </c>
      <c r="Z82" s="97">
        <f t="shared" si="43"/>
        <v>1.9297117654551552E-5</v>
      </c>
      <c r="AA82" s="97">
        <f t="shared" si="43"/>
        <v>1.2489603076838431E-4</v>
      </c>
      <c r="AB82" s="97">
        <f t="shared" si="43"/>
        <v>3.7193591015649043E-4</v>
      </c>
      <c r="AC82" s="97">
        <f t="shared" si="43"/>
        <v>6.4849982917030151E-4</v>
      </c>
      <c r="AD82" s="97">
        <f t="shared" si="43"/>
        <v>1.0621550313128301E-3</v>
      </c>
      <c r="AE82" s="97">
        <f t="shared" si="43"/>
        <v>2.1444031439574723E-3</v>
      </c>
      <c r="AF82" s="97">
        <f t="shared" si="41"/>
        <v>4.1977378512266829E-3</v>
      </c>
      <c r="AG82" s="97">
        <f t="shared" si="41"/>
        <v>6.5413876783801074E-3</v>
      </c>
      <c r="AH82" s="97">
        <f t="shared" si="41"/>
        <v>7.7729866492846243E-3</v>
      </c>
      <c r="AI82" s="97">
        <f t="shared" si="41"/>
        <v>7.0700369404329737E-3</v>
      </c>
      <c r="AJ82" s="97">
        <f t="shared" si="41"/>
        <v>5.0991177455022921E-3</v>
      </c>
      <c r="AK82" s="97">
        <f t="shared" si="41"/>
        <v>3.082769270814805E-3</v>
      </c>
      <c r="AL82" s="97">
        <f t="shared" si="41"/>
        <v>1.5331585998700607E-3</v>
      </c>
      <c r="AM82" s="97">
        <f t="shared" si="41"/>
        <v>8.4401292688501502E-4</v>
      </c>
      <c r="AN82" s="97">
        <f t="shared" si="41"/>
        <v>6.556635962316255E-4</v>
      </c>
      <c r="AO82" s="97">
        <f t="shared" si="41"/>
        <v>3.1341682177952237E-4</v>
      </c>
      <c r="AP82" s="97">
        <f t="shared" si="41"/>
        <v>6.4127167235977919E-5</v>
      </c>
      <c r="AQ82" s="97">
        <f t="shared" si="41"/>
        <v>5.3880956752357934E-6</v>
      </c>
      <c r="AR82" s="97">
        <f t="shared" si="41"/>
        <v>3.2297260367816174E-7</v>
      </c>
      <c r="AS82" s="97">
        <f t="shared" si="41"/>
        <v>4.3650376649655028E-7</v>
      </c>
      <c r="AT82" s="97">
        <f t="shared" si="41"/>
        <v>1.1757682264297839E-6</v>
      </c>
      <c r="AU82" s="97">
        <f t="shared" si="47"/>
        <v>2.8316986744260495E-6</v>
      </c>
      <c r="AV82" s="97">
        <f t="shared" si="47"/>
        <v>6.0832991069553377E-6</v>
      </c>
      <c r="AW82" s="97">
        <f t="shared" si="47"/>
        <v>1.17162089610485E-5</v>
      </c>
      <c r="AX82" s="97">
        <f t="shared" si="47"/>
        <v>2.0381997131265672E-5</v>
      </c>
      <c r="AY82" s="97">
        <f t="shared" si="47"/>
        <v>3.2367504656664314E-5</v>
      </c>
      <c r="AZ82" s="97">
        <f t="shared" si="47"/>
        <v>4.7571244865454785E-5</v>
      </c>
      <c r="BA82" s="97">
        <f t="shared" si="47"/>
        <v>6.5737134994941655E-5</v>
      </c>
      <c r="BB82" s="97">
        <f t="shared" si="47"/>
        <v>8.6710348790733344E-5</v>
      </c>
      <c r="BC82" s="97">
        <f t="shared" si="47"/>
        <v>1.10394886544245E-4</v>
      </c>
      <c r="BD82" s="97">
        <f t="shared" si="47"/>
        <v>1.3641871761788815E-4</v>
      </c>
      <c r="BE82" s="97">
        <f t="shared" si="47"/>
        <v>1.6396443869778256E-4</v>
      </c>
      <c r="BF82" s="97">
        <f t="shared" si="47"/>
        <v>1.9225756165337744E-4</v>
      </c>
      <c r="BG82" s="97">
        <f t="shared" si="47"/>
        <v>2.2165573266486716E-4</v>
      </c>
      <c r="BH82" s="97">
        <f t="shared" si="47"/>
        <v>2.5457495532848389E-4</v>
      </c>
      <c r="BI82" s="97">
        <f t="shared" si="47"/>
        <v>2.9522984664922516E-4</v>
      </c>
      <c r="BJ82" s="97">
        <f t="shared" si="47"/>
        <v>3.4770169215819817E-4</v>
      </c>
      <c r="BK82" s="97">
        <f t="shared" si="46"/>
        <v>4.1305984187550439E-4</v>
      </c>
      <c r="BL82" s="97">
        <f t="shared" si="46"/>
        <v>4.8741339798434439E-4</v>
      </c>
      <c r="BM82" s="97">
        <f t="shared" si="46"/>
        <v>5.6273416118524263E-4</v>
      </c>
      <c r="BN82" s="97">
        <f t="shared" si="46"/>
        <v>6.3054985477463323E-4</v>
      </c>
      <c r="BO82" s="97">
        <f t="shared" si="46"/>
        <v>6.8621855479681021E-4</v>
      </c>
      <c r="BP82" s="97">
        <f t="shared" si="46"/>
        <v>7.3056936756662962E-4</v>
      </c>
      <c r="BQ82" s="97">
        <f t="shared" si="46"/>
        <v>7.6741705385877015E-4</v>
      </c>
      <c r="BR82" s="97">
        <f t="shared" si="46"/>
        <v>7.9867835090827448E-4</v>
      </c>
      <c r="BS82" s="97">
        <f t="shared" si="46"/>
        <v>8.2084841945489334E-4</v>
      </c>
      <c r="BT82" s="97">
        <f t="shared" si="46"/>
        <v>8.2562141287411642E-4</v>
      </c>
      <c r="BU82" s="97">
        <f t="shared" si="46"/>
        <v>8.0424743524943622E-4</v>
      </c>
      <c r="BV82" s="97">
        <f t="shared" si="46"/>
        <v>7.5252210045312329E-4</v>
      </c>
      <c r="BW82" s="97">
        <f t="shared" si="46"/>
        <v>6.7321668993161924E-4</v>
      </c>
      <c r="BX82" s="97">
        <f t="shared" si="46"/>
        <v>5.749435105708566E-4</v>
      </c>
      <c r="BY82" s="97">
        <f t="shared" si="46"/>
        <v>4.688105973419738E-4</v>
      </c>
      <c r="BZ82" s="97">
        <f t="shared" si="45"/>
        <v>3.6506023799857002E-4</v>
      </c>
      <c r="CA82" s="97">
        <f t="shared" si="45"/>
        <v>2.7114621782893701E-4</v>
      </c>
      <c r="CB82" s="97">
        <f t="shared" si="45"/>
        <v>1.9140860127845959E-4</v>
      </c>
      <c r="CC82" s="97">
        <f t="shared" si="40"/>
        <v>1.2763957854126584E-4</v>
      </c>
      <c r="CD82" s="97">
        <f t="shared" si="40"/>
        <v>7.9761171587545561E-5</v>
      </c>
      <c r="CE82" s="97">
        <f t="shared" si="40"/>
        <v>4.6294068573319597E-5</v>
      </c>
      <c r="CF82" s="97">
        <f t="shared" si="40"/>
        <v>2.4741160929619212E-5</v>
      </c>
      <c r="CG82" s="97">
        <f t="shared" si="40"/>
        <v>1.2081952665476161E-5</v>
      </c>
      <c r="CH82" s="97">
        <f t="shared" si="40"/>
        <v>5.3579765747878619E-6</v>
      </c>
      <c r="CI82" s="97">
        <f t="shared" si="40"/>
        <v>2.1492757011385345E-6</v>
      </c>
      <c r="CJ82" s="97">
        <f t="shared" si="40"/>
        <v>7.7997021089016766E-7</v>
      </c>
      <c r="CK82" s="97">
        <f t="shared" si="40"/>
        <v>2.5884934705727396E-7</v>
      </c>
      <c r="CL82" s="97">
        <f t="shared" si="40"/>
        <v>8.1976791311376752E-8</v>
      </c>
      <c r="CM82" s="97">
        <f t="shared" si="40"/>
        <v>2.8037097330453509E-8</v>
      </c>
      <c r="CN82" s="97">
        <f t="shared" si="40"/>
        <v>1.2759712646881005E-8</v>
      </c>
      <c r="CO82" s="97">
        <f t="shared" si="40"/>
        <v>8.2584490042031258E-9</v>
      </c>
      <c r="CP82" s="97">
        <f t="shared" si="40"/>
        <v>6.5115821935544249E-9</v>
      </c>
      <c r="CQ82" s="97">
        <f t="shared" si="39"/>
        <v>5.5171801754704108E-9</v>
      </c>
      <c r="CR82" s="97">
        <f t="shared" si="39"/>
        <v>4.8326105656508793E-9</v>
      </c>
      <c r="CS82" s="97">
        <f t="shared" si="39"/>
        <v>4.3428579190234656E-9</v>
      </c>
      <c r="CT82" s="97">
        <f t="shared" si="39"/>
        <v>3.974335501409227E-9</v>
      </c>
      <c r="CU82" s="97">
        <f t="shared" si="39"/>
        <v>3.6514820987744671E-9</v>
      </c>
      <c r="CV82" s="97">
        <f t="shared" si="44"/>
        <v>3.3085573982783849E-9</v>
      </c>
      <c r="CW82" s="97">
        <f t="shared" si="44"/>
        <v>2.9073204622312749E-9</v>
      </c>
      <c r="CX82" s="97">
        <f t="shared" si="44"/>
        <v>2.4451232914739137E-9</v>
      </c>
      <c r="CY82" s="97">
        <f t="shared" si="44"/>
        <v>1.9497508401359424E-9</v>
      </c>
      <c r="CZ82" s="97">
        <f t="shared" si="44"/>
        <v>1.464646784805221E-9</v>
      </c>
      <c r="DA82" s="97">
        <f t="shared" si="44"/>
        <v>1.0318654995662305E-9</v>
      </c>
      <c r="DB82" s="97">
        <f t="shared" si="44"/>
        <v>6.7954955541713506E-10</v>
      </c>
      <c r="DC82" s="97">
        <f t="shared" si="44"/>
        <v>4.1723325584910797E-10</v>
      </c>
      <c r="DD82" s="97">
        <f t="shared" si="44"/>
        <v>2.3828443768596018E-10</v>
      </c>
      <c r="DE82" s="97">
        <f t="shared" si="44"/>
        <v>1.2631446160441419E-10</v>
      </c>
      <c r="DF82" s="97">
        <f t="shared" si="44"/>
        <v>6.2028647873300163E-11</v>
      </c>
      <c r="DG82" s="97">
        <f t="shared" si="44"/>
        <v>2.8165230269754391E-11</v>
      </c>
      <c r="DH82" s="97">
        <f t="shared" si="44"/>
        <v>1.1805440128077628E-11</v>
      </c>
      <c r="DI82" s="97">
        <f t="shared" si="44"/>
        <v>4.5607806832578465E-12</v>
      </c>
      <c r="DJ82" s="97">
        <f t="shared" si="44"/>
        <v>1.6218219961188964E-12</v>
      </c>
      <c r="DK82" s="97">
        <f t="shared" si="44"/>
        <v>5.3023919272843337E-13</v>
      </c>
      <c r="DL82" s="97">
        <f t="shared" si="42"/>
        <v>1.5922744330479163E-13</v>
      </c>
    </row>
    <row r="83" spans="1:116" x14ac:dyDescent="0.25">
      <c r="A83" s="60">
        <v>5.5</v>
      </c>
      <c r="B83" s="25">
        <v>2.4</v>
      </c>
      <c r="C83" s="25">
        <v>3.7</v>
      </c>
      <c r="D83" s="57">
        <v>1</v>
      </c>
      <c r="E83" s="82" t="s">
        <v>6</v>
      </c>
      <c r="L83" s="97" cm="1">
        <f t="array" ref="L83">EstymacjaGaussowska($O83,$D$2:$D$51,H$9)</f>
        <v>7.9520352485611304E-2</v>
      </c>
      <c r="M83" s="97" cm="1">
        <f t="array" ref="M83">EstymacjaGaussowska($O83,$D$52:$D$101,I$9)</f>
        <v>1.0872275883511897E-3</v>
      </c>
      <c r="N83" s="97" cm="1">
        <f t="array" ref="N83">EstymacjaGaussowska($O83,$D$102:$D$151,J$9)</f>
        <v>1.1994899715419805E-8</v>
      </c>
      <c r="O83" s="97">
        <v>0.66000000000002002</v>
      </c>
      <c r="P83" s="97">
        <f t="shared" si="43"/>
        <v>1.7203923535497135E-34</v>
      </c>
      <c r="Q83" s="97">
        <f t="shared" si="43"/>
        <v>8.7533217115937323E-30</v>
      </c>
      <c r="R83" s="97">
        <f t="shared" si="43"/>
        <v>1.805123369685406E-25</v>
      </c>
      <c r="S83" s="97">
        <f t="shared" si="43"/>
        <v>1.5087975133098672E-21</v>
      </c>
      <c r="T83" s="97">
        <f t="shared" si="43"/>
        <v>5.1115148023624031E-18</v>
      </c>
      <c r="U83" s="97">
        <f t="shared" si="43"/>
        <v>7.019026050730448E-15</v>
      </c>
      <c r="V83" s="97">
        <f t="shared" si="43"/>
        <v>3.9071120838581547E-12</v>
      </c>
      <c r="W83" s="97">
        <f t="shared" si="43"/>
        <v>8.8190194298040979E-10</v>
      </c>
      <c r="X83" s="97">
        <f t="shared" si="43"/>
        <v>8.0794783857033836E-8</v>
      </c>
      <c r="Y83" s="97">
        <f t="shared" si="43"/>
        <v>3.0131609092272956E-6</v>
      </c>
      <c r="Z83" s="97">
        <f t="shared" si="43"/>
        <v>4.6161988568137426E-5</v>
      </c>
      <c r="AA83" s="97">
        <f t="shared" si="43"/>
        <v>2.987725549352194E-4</v>
      </c>
      <c r="AB83" s="97">
        <f t="shared" si="43"/>
        <v>8.8973397686021932E-4</v>
      </c>
      <c r="AC83" s="97">
        <f t="shared" si="43"/>
        <v>1.5513219246780935E-3</v>
      </c>
      <c r="AD83" s="97">
        <f t="shared" si="43"/>
        <v>2.5408555459311135E-3</v>
      </c>
      <c r="AE83" s="97">
        <f t="shared" si="43"/>
        <v>5.129777160968612E-3</v>
      </c>
      <c r="AF83" s="97">
        <f t="shared" si="41"/>
        <v>1.0041703127340261E-2</v>
      </c>
      <c r="AG83" s="97">
        <f t="shared" si="41"/>
        <v>1.5648112253588621E-2</v>
      </c>
      <c r="AH83" s="97">
        <f t="shared" si="41"/>
        <v>1.8594306531568135E-2</v>
      </c>
      <c r="AI83" s="97">
        <f t="shared" si="41"/>
        <v>1.6912731230749791E-2</v>
      </c>
      <c r="AJ83" s="97">
        <f t="shared" si="41"/>
        <v>1.2197957191333932E-2</v>
      </c>
      <c r="AK83" s="97">
        <f t="shared" si="41"/>
        <v>7.3745085826236933E-3</v>
      </c>
      <c r="AL83" s="97">
        <f t="shared" si="41"/>
        <v>3.6675761890168999E-3</v>
      </c>
      <c r="AM83" s="97">
        <f t="shared" si="41"/>
        <v>2.0190223422248323E-3</v>
      </c>
      <c r="AN83" s="97">
        <f t="shared" si="41"/>
        <v>1.5684578838293627E-3</v>
      </c>
      <c r="AO83" s="97">
        <f t="shared" si="41"/>
        <v>7.4974143345161364E-4</v>
      </c>
      <c r="AP83" s="97">
        <f t="shared" si="41"/>
        <v>1.5338141035326999E-4</v>
      </c>
      <c r="AQ83" s="97">
        <f t="shared" si="41"/>
        <v>1.2804820334562615E-5</v>
      </c>
      <c r="AR83" s="97">
        <f t="shared" si="41"/>
        <v>4.816544321880778E-7</v>
      </c>
      <c r="AS83" s="97">
        <f t="shared" si="41"/>
        <v>1.5578212625308301E-7</v>
      </c>
      <c r="AT83" s="97">
        <f t="shared" si="41"/>
        <v>4.0597586338165691E-7</v>
      </c>
      <c r="AU83" s="97">
        <f t="shared" si="47"/>
        <v>9.776770021625744E-7</v>
      </c>
      <c r="AV83" s="97">
        <f t="shared" si="47"/>
        <v>2.1003298485789283E-6</v>
      </c>
      <c r="AW83" s="97">
        <f t="shared" si="47"/>
        <v>4.0451575633135972E-6</v>
      </c>
      <c r="AX83" s="97">
        <f t="shared" si="47"/>
        <v>7.0371218305410293E-6</v>
      </c>
      <c r="AY83" s="97">
        <f t="shared" si="47"/>
        <v>1.1175257858816392E-5</v>
      </c>
      <c r="AZ83" s="97">
        <f t="shared" si="47"/>
        <v>1.6424526193028115E-5</v>
      </c>
      <c r="BA83" s="97">
        <f t="shared" si="47"/>
        <v>2.2696511277614563E-5</v>
      </c>
      <c r="BB83" s="97">
        <f t="shared" si="47"/>
        <v>2.9937757545496613E-5</v>
      </c>
      <c r="BC83" s="97">
        <f t="shared" si="47"/>
        <v>3.8115119979467032E-5</v>
      </c>
      <c r="BD83" s="97">
        <f t="shared" si="47"/>
        <v>4.7100150669974157E-5</v>
      </c>
      <c r="BE83" s="97">
        <f t="shared" si="47"/>
        <v>5.6610631604859087E-5</v>
      </c>
      <c r="BF83" s="97">
        <f t="shared" si="47"/>
        <v>6.6379161737548873E-5</v>
      </c>
      <c r="BG83" s="97">
        <f t="shared" si="47"/>
        <v>7.6529222571068182E-5</v>
      </c>
      <c r="BH83" s="97">
        <f t="shared" si="47"/>
        <v>8.7894967464287769E-5</v>
      </c>
      <c r="BI83" s="97">
        <f t="shared" si="47"/>
        <v>1.0193154197720155E-4</v>
      </c>
      <c r="BJ83" s="97">
        <f t="shared" si="47"/>
        <v>1.2004805738309384E-4</v>
      </c>
      <c r="BK83" s="97">
        <f t="shared" si="46"/>
        <v>1.4261371907179057E-4</v>
      </c>
      <c r="BL83" s="97">
        <f t="shared" si="46"/>
        <v>1.6828514898652757E-4</v>
      </c>
      <c r="BM83" s="97">
        <f t="shared" si="46"/>
        <v>1.9429051738444064E-4</v>
      </c>
      <c r="BN83" s="97">
        <f t="shared" si="46"/>
        <v>2.1770467141008068E-4</v>
      </c>
      <c r="BO83" s="97">
        <f t="shared" si="46"/>
        <v>2.3692493184341627E-4</v>
      </c>
      <c r="BP83" s="97">
        <f t="shared" si="46"/>
        <v>2.5223755607715925E-4</v>
      </c>
      <c r="BQ83" s="97">
        <f t="shared" si="46"/>
        <v>2.6495963309906855E-4</v>
      </c>
      <c r="BR83" s="97">
        <f t="shared" si="46"/>
        <v>2.757529366865413E-4</v>
      </c>
      <c r="BS83" s="97">
        <f t="shared" si="46"/>
        <v>2.8340737768713597E-4</v>
      </c>
      <c r="BT83" s="97">
        <f t="shared" si="46"/>
        <v>2.8505526300089405E-4</v>
      </c>
      <c r="BU83" s="97">
        <f t="shared" si="46"/>
        <v>2.776755868614993E-4</v>
      </c>
      <c r="BV83" s="97">
        <f t="shared" si="46"/>
        <v>2.5981673547306646E-4</v>
      </c>
      <c r="BW83" s="97">
        <f t="shared" si="46"/>
        <v>2.3243552861101156E-4</v>
      </c>
      <c r="BX83" s="97">
        <f t="shared" si="46"/>
        <v>1.9850547183774194E-4</v>
      </c>
      <c r="BY83" s="97">
        <f t="shared" si="46"/>
        <v>1.6186175284191895E-4</v>
      </c>
      <c r="BZ83" s="97">
        <f t="shared" si="45"/>
        <v>1.2604065059790683E-4</v>
      </c>
      <c r="CA83" s="97">
        <f t="shared" si="45"/>
        <v>9.3615678588494794E-5</v>
      </c>
      <c r="CB83" s="97">
        <f t="shared" si="45"/>
        <v>6.6085296899401631E-5</v>
      </c>
      <c r="CC83" s="97">
        <f t="shared" si="40"/>
        <v>4.4068276920568574E-5</v>
      </c>
      <c r="CD83" s="97">
        <f t="shared" si="40"/>
        <v>2.7537689287229108E-5</v>
      </c>
      <c r="CE83" s="97">
        <f t="shared" si="40"/>
        <v>1.5982777960117764E-5</v>
      </c>
      <c r="CF83" s="97">
        <f t="shared" si="40"/>
        <v>8.5413840210948834E-6</v>
      </c>
      <c r="CG83" s="97">
        <f t="shared" si="40"/>
        <v>4.1706473345654151E-6</v>
      </c>
      <c r="CH83" s="97">
        <f t="shared" si="40"/>
        <v>1.8491269457020101E-6</v>
      </c>
      <c r="CI83" s="97">
        <f t="shared" si="40"/>
        <v>7.4130908123843481E-7</v>
      </c>
      <c r="CJ83" s="97">
        <f t="shared" si="40"/>
        <v>2.6857901660049063E-7</v>
      </c>
      <c r="CK83" s="97">
        <f t="shared" si="40"/>
        <v>8.8708747808765718E-8</v>
      </c>
      <c r="CL83" s="97">
        <f t="shared" si="40"/>
        <v>2.7704743462467647E-8</v>
      </c>
      <c r="CM83" s="97">
        <f t="shared" si="40"/>
        <v>9.1502368406114896E-9</v>
      </c>
      <c r="CN83" s="97">
        <f t="shared" si="40"/>
        <v>3.9446336908789513E-9</v>
      </c>
      <c r="CO83" s="97">
        <f t="shared" si="40"/>
        <v>2.4552538203626685E-9</v>
      </c>
      <c r="CP83" s="97">
        <f t="shared" si="40"/>
        <v>1.908821610731288E-9</v>
      </c>
      <c r="CQ83" s="97">
        <f t="shared" si="39"/>
        <v>1.6118234119113081E-9</v>
      </c>
      <c r="CR83" s="97">
        <f t="shared" si="39"/>
        <v>1.4108937641679698E-9</v>
      </c>
      <c r="CS83" s="97">
        <f t="shared" si="39"/>
        <v>1.2677700806947211E-9</v>
      </c>
      <c r="CT83" s="97">
        <f t="shared" si="39"/>
        <v>1.1601726657048198E-9</v>
      </c>
      <c r="CU83" s="97">
        <f t="shared" si="39"/>
        <v>1.0659245011802821E-9</v>
      </c>
      <c r="CV83" s="97">
        <f t="shared" si="44"/>
        <v>9.6581923912344478E-10</v>
      </c>
      <c r="CW83" s="97">
        <f t="shared" si="44"/>
        <v>8.4869193497560534E-10</v>
      </c>
      <c r="CX83" s="97">
        <f t="shared" si="44"/>
        <v>7.1376941096813236E-10</v>
      </c>
      <c r="CY83" s="97">
        <f t="shared" si="44"/>
        <v>5.6916250945333902E-10</v>
      </c>
      <c r="CZ83" s="97">
        <f t="shared" si="44"/>
        <v>4.2755311208650678E-10</v>
      </c>
      <c r="DA83" s="97">
        <f t="shared" si="44"/>
        <v>3.0121754280337829E-10</v>
      </c>
      <c r="DB83" s="97">
        <f t="shared" si="44"/>
        <v>1.9837105454336273E-10</v>
      </c>
      <c r="DC83" s="97">
        <f t="shared" si="44"/>
        <v>1.2179685836530668E-10</v>
      </c>
      <c r="DD83" s="97">
        <f t="shared" si="44"/>
        <v>6.95589229780608E-11</v>
      </c>
      <c r="DE83" s="97">
        <f t="shared" si="44"/>
        <v>3.6873150387337933E-11</v>
      </c>
      <c r="DF83" s="97">
        <f t="shared" si="44"/>
        <v>1.8107124333224391E-11</v>
      </c>
      <c r="DG83" s="97">
        <f t="shared" si="44"/>
        <v>8.2218675378842231E-12</v>
      </c>
      <c r="DH83" s="97">
        <f t="shared" si="44"/>
        <v>3.4461910671367513E-12</v>
      </c>
      <c r="DI83" s="97">
        <f t="shared" si="44"/>
        <v>1.3313626158190862E-12</v>
      </c>
      <c r="DJ83" s="97">
        <f t="shared" si="44"/>
        <v>4.7343499394130206E-13</v>
      </c>
      <c r="DK83" s="97">
        <f t="shared" si="44"/>
        <v>1.5478504397989639E-13</v>
      </c>
      <c r="DL83" s="97">
        <f t="shared" si="42"/>
        <v>4.6480960201976827E-14</v>
      </c>
    </row>
    <row r="84" spans="1:116" x14ac:dyDescent="0.25">
      <c r="A84" s="60">
        <v>5.8</v>
      </c>
      <c r="B84" s="25">
        <v>2.7</v>
      </c>
      <c r="C84" s="25">
        <v>3.9</v>
      </c>
      <c r="D84" s="57">
        <v>1.2</v>
      </c>
      <c r="E84" s="82" t="s">
        <v>6</v>
      </c>
      <c r="L84" s="97" cm="1">
        <f t="array" ref="L84">EstymacjaGaussowska($O84,$D$2:$D$51,H$9)</f>
        <v>0.13762240095998393</v>
      </c>
      <c r="M84" s="97" cm="1">
        <f t="array" ref="M84">EstymacjaGaussowska($O84,$D$52:$D$101,I$9)</f>
        <v>3.4058511467255104E-4</v>
      </c>
      <c r="N84" s="97" cm="1">
        <f t="array" ref="N84">EstymacjaGaussowska($O84,$D$102:$D$151,J$9)</f>
        <v>3.3302887043089001E-9</v>
      </c>
      <c r="O84" s="97">
        <v>0.63000000000001999</v>
      </c>
      <c r="P84" s="97">
        <f t="shared" si="43"/>
        <v>2.9774079034967834E-34</v>
      </c>
      <c r="Q84" s="97">
        <f t="shared" si="43"/>
        <v>1.5148991580987934E-29</v>
      </c>
      <c r="R84" s="97">
        <f t="shared" si="43"/>
        <v>3.1240481763461833E-25</v>
      </c>
      <c r="S84" s="97">
        <f t="shared" si="43"/>
        <v>2.6112099588810186E-21</v>
      </c>
      <c r="T84" s="97">
        <f t="shared" si="43"/>
        <v>8.8462754207597087E-18</v>
      </c>
      <c r="U84" s="97">
        <f t="shared" si="43"/>
        <v>1.2147521826905698E-14</v>
      </c>
      <c r="V84" s="97">
        <f t="shared" si="43"/>
        <v>6.7618682386703426E-12</v>
      </c>
      <c r="W84" s="97">
        <f t="shared" si="43"/>
        <v>1.5262691752554775E-9</v>
      </c>
      <c r="X84" s="97">
        <f t="shared" si="43"/>
        <v>1.3982800367314631E-7</v>
      </c>
      <c r="Y84" s="97">
        <f t="shared" si="43"/>
        <v>5.2147459844529985E-6</v>
      </c>
      <c r="Z84" s="97">
        <f t="shared" si="43"/>
        <v>7.9890537469434934E-5</v>
      </c>
      <c r="AA84" s="97">
        <f t="shared" si="43"/>
        <v>5.1707261180178484E-4</v>
      </c>
      <c r="AB84" s="97">
        <f t="shared" si="43"/>
        <v>1.5398237342236908E-3</v>
      </c>
      <c r="AC84" s="97">
        <f t="shared" si="43"/>
        <v>2.6848051003633745E-3</v>
      </c>
      <c r="AD84" s="97">
        <f t="shared" si="43"/>
        <v>4.3973477203437025E-3</v>
      </c>
      <c r="AE84" s="97">
        <f t="shared" si="43"/>
        <v>8.8778812871828181E-3</v>
      </c>
      <c r="AF84" s="97">
        <f t="shared" si="41"/>
        <v>1.7378737026624756E-2</v>
      </c>
      <c r="AG84" s="97">
        <f t="shared" si="41"/>
        <v>2.7081504439003468E-2</v>
      </c>
      <c r="AH84" s="97">
        <f t="shared" si="41"/>
        <v>3.2180354199552341E-2</v>
      </c>
      <c r="AI84" s="97">
        <f t="shared" si="41"/>
        <v>2.9270125269966259E-2</v>
      </c>
      <c r="AJ84" s="97">
        <f t="shared" si="41"/>
        <v>2.111047175970774E-2</v>
      </c>
      <c r="AK84" s="97">
        <f t="shared" si="41"/>
        <v>1.2762739918076296E-2</v>
      </c>
      <c r="AL84" s="97">
        <f t="shared" si="41"/>
        <v>6.3473139206915441E-3</v>
      </c>
      <c r="AM84" s="97">
        <f t="shared" si="41"/>
        <v>3.4942337438987271E-3</v>
      </c>
      <c r="AN84" s="97">
        <f t="shared" si="41"/>
        <v>2.7144613196440552E-3</v>
      </c>
      <c r="AO84" s="97">
        <f t="shared" si="41"/>
        <v>1.2975435754516422E-3</v>
      </c>
      <c r="AP84" s="97">
        <f t="shared" si="41"/>
        <v>2.6544532370441229E-4</v>
      </c>
      <c r="AQ84" s="97">
        <f t="shared" si="41"/>
        <v>2.2140559966321723E-5</v>
      </c>
      <c r="AR84" s="97">
        <f t="shared" si="41"/>
        <v>7.6401806342557762E-7</v>
      </c>
      <c r="AS84" s="97">
        <f t="shared" si="41"/>
        <v>5.7205487736197655E-8</v>
      </c>
      <c r="AT84" s="97">
        <f t="shared" si="41"/>
        <v>1.2722277471513819E-7</v>
      </c>
      <c r="AU84" s="97">
        <f t="shared" si="47"/>
        <v>3.0626738302651286E-7</v>
      </c>
      <c r="AV84" s="97">
        <f t="shared" si="47"/>
        <v>6.57949715493919E-7</v>
      </c>
      <c r="AW84" s="97">
        <f t="shared" si="47"/>
        <v>1.2671868036931326E-6</v>
      </c>
      <c r="AX84" s="97">
        <f t="shared" si="47"/>
        <v>2.2044500813801525E-6</v>
      </c>
      <c r="AY84" s="97">
        <f t="shared" si="47"/>
        <v>3.5007633361404952E-6</v>
      </c>
      <c r="AZ84" s="97">
        <f t="shared" si="47"/>
        <v>5.145150101809033E-6</v>
      </c>
      <c r="BA84" s="97">
        <f t="shared" si="47"/>
        <v>7.1099133051577563E-6</v>
      </c>
      <c r="BB84" s="97">
        <f t="shared" si="47"/>
        <v>9.378307445391781E-6</v>
      </c>
      <c r="BC84" s="97">
        <f t="shared" si="47"/>
        <v>1.1939949508307085E-5</v>
      </c>
      <c r="BD84" s="97">
        <f t="shared" si="47"/>
        <v>1.4754601878063337E-5</v>
      </c>
      <c r="BE84" s="97">
        <f t="shared" si="47"/>
        <v>1.7733856888073506E-5</v>
      </c>
      <c r="BF84" s="97">
        <f t="shared" si="47"/>
        <v>2.0793948436896578E-5</v>
      </c>
      <c r="BG84" s="97">
        <f t="shared" si="47"/>
        <v>2.3973558361950364E-5</v>
      </c>
      <c r="BH84" s="97">
        <f t="shared" si="47"/>
        <v>2.7533993695447557E-5</v>
      </c>
      <c r="BI84" s="97">
        <f t="shared" si="47"/>
        <v>3.1931093596923651E-5</v>
      </c>
      <c r="BJ84" s="97">
        <f t="shared" si="47"/>
        <v>3.7606276508418523E-5</v>
      </c>
      <c r="BK84" s="97">
        <f t="shared" si="46"/>
        <v>4.4675199748025048E-5</v>
      </c>
      <c r="BL84" s="97">
        <f t="shared" si="46"/>
        <v>5.2717036403319463E-5</v>
      </c>
      <c r="BM84" s="97">
        <f t="shared" si="46"/>
        <v>6.0863482489184798E-5</v>
      </c>
      <c r="BN84" s="97">
        <f t="shared" si="46"/>
        <v>6.8198203951486138E-5</v>
      </c>
      <c r="BO84" s="97">
        <f t="shared" si="46"/>
        <v>7.4219145022069957E-5</v>
      </c>
      <c r="BP84" s="97">
        <f t="shared" si="46"/>
        <v>7.9015978507458086E-5</v>
      </c>
      <c r="BQ84" s="97">
        <f t="shared" si="46"/>
        <v>8.300129563725254E-5</v>
      </c>
      <c r="BR84" s="97">
        <f t="shared" si="46"/>
        <v>8.6382403383289744E-5</v>
      </c>
      <c r="BS84" s="97">
        <f t="shared" si="46"/>
        <v>8.8780228490137821E-5</v>
      </c>
      <c r="BT84" s="97">
        <f t="shared" si="46"/>
        <v>8.9296436334862942E-5</v>
      </c>
      <c r="BU84" s="97">
        <f t="shared" si="46"/>
        <v>8.698466564216974E-5</v>
      </c>
      <c r="BV84" s="97">
        <f t="shared" si="46"/>
        <v>8.1390183503399764E-5</v>
      </c>
      <c r="BW84" s="97">
        <f t="shared" si="46"/>
        <v>7.2812723962167389E-5</v>
      </c>
      <c r="BX84" s="97">
        <f t="shared" si="46"/>
        <v>6.2183769152894056E-5</v>
      </c>
      <c r="BY84" s="97">
        <f t="shared" si="46"/>
        <v>5.0704732485738786E-5</v>
      </c>
      <c r="BZ84" s="97">
        <f t="shared" si="45"/>
        <v>3.9483391287522729E-5</v>
      </c>
      <c r="CA84" s="97">
        <f t="shared" si="45"/>
        <v>2.9325926293327612E-5</v>
      </c>
      <c r="CB84" s="97">
        <f t="shared" si="45"/>
        <v>2.0701745834351121E-5</v>
      </c>
      <c r="CC84" s="97">
        <f t="shared" si="40"/>
        <v>1.3804685737789335E-5</v>
      </c>
      <c r="CD84" s="97">
        <f t="shared" si="40"/>
        <v>8.6263088307931836E-6</v>
      </c>
      <c r="CE84" s="97">
        <f t="shared" si="40"/>
        <v>5.0066143348820164E-6</v>
      </c>
      <c r="CF84" s="97">
        <f t="shared" si="40"/>
        <v>2.6755215824802014E-6</v>
      </c>
      <c r="CG84" s="97">
        <f t="shared" si="40"/>
        <v>1.3063442638277528E-6</v>
      </c>
      <c r="CH84" s="97">
        <f t="shared" si="40"/>
        <v>5.7910643440245493E-7</v>
      </c>
      <c r="CI84" s="97">
        <f t="shared" si="40"/>
        <v>2.3207578110337661E-7</v>
      </c>
      <c r="CJ84" s="97">
        <f t="shared" si="40"/>
        <v>8.399579723643478E-8</v>
      </c>
      <c r="CK84" s="97">
        <f t="shared" si="40"/>
        <v>2.7659890282691931E-8</v>
      </c>
      <c r="CL84" s="97">
        <f t="shared" si="40"/>
        <v>8.5621031583295795E-9</v>
      </c>
      <c r="CM84" s="97">
        <f t="shared" si="40"/>
        <v>2.7631246801618594E-9</v>
      </c>
      <c r="CN84" s="97">
        <f t="shared" si="40"/>
        <v>1.1458828843781776E-9</v>
      </c>
      <c r="CO84" s="97">
        <f t="shared" si="40"/>
        <v>6.9193648066141271E-10</v>
      </c>
      <c r="CP84" s="97">
        <f t="shared" si="40"/>
        <v>5.3181100691821693E-10</v>
      </c>
      <c r="CQ84" s="97">
        <f t="shared" si="39"/>
        <v>4.4780342349928897E-10</v>
      </c>
      <c r="CR84" s="97">
        <f t="shared" si="39"/>
        <v>3.9176490145964318E-10</v>
      </c>
      <c r="CS84" s="97">
        <f t="shared" si="39"/>
        <v>3.5199148750409015E-10</v>
      </c>
      <c r="CT84" s="97">
        <f t="shared" si="39"/>
        <v>3.2211330740252792E-10</v>
      </c>
      <c r="CU84" s="97">
        <f t="shared" si="39"/>
        <v>2.9594553408943613E-10</v>
      </c>
      <c r="CV84" s="97">
        <f t="shared" si="44"/>
        <v>2.6815205108411333E-10</v>
      </c>
      <c r="CW84" s="97">
        <f t="shared" si="44"/>
        <v>2.3563258018509749E-10</v>
      </c>
      <c r="CX84" s="97">
        <f t="shared" si="44"/>
        <v>1.981724119026969E-10</v>
      </c>
      <c r="CY84" s="97">
        <f t="shared" si="44"/>
        <v>1.5802345339580986E-10</v>
      </c>
      <c r="CZ84" s="97">
        <f t="shared" si="44"/>
        <v>1.1870672814749423E-10</v>
      </c>
      <c r="DA84" s="97">
        <f t="shared" si="44"/>
        <v>8.3630660041971939E-11</v>
      </c>
      <c r="DB84" s="97">
        <f t="shared" si="44"/>
        <v>5.5076148853361743E-11</v>
      </c>
      <c r="DC84" s="97">
        <f t="shared" si="44"/>
        <v>3.38159310421626E-11</v>
      </c>
      <c r="DD84" s="97">
        <f t="shared" si="44"/>
        <v>1.931248288636661E-11</v>
      </c>
      <c r="DE84" s="97">
        <f t="shared" si="44"/>
        <v>1.0237537548511059E-11</v>
      </c>
      <c r="DF84" s="97">
        <f t="shared" si="44"/>
        <v>5.0272993576539905E-12</v>
      </c>
      <c r="DG84" s="97">
        <f t="shared" si="44"/>
        <v>2.2827362661932478E-12</v>
      </c>
      <c r="DH84" s="97">
        <f t="shared" si="44"/>
        <v>9.5680759790112903E-13</v>
      </c>
      <c r="DI84" s="97">
        <f t="shared" si="44"/>
        <v>3.6964226346149782E-13</v>
      </c>
      <c r="DJ84" s="97">
        <f t="shared" si="44"/>
        <v>1.3144546848694429E-13</v>
      </c>
      <c r="DK84" s="97">
        <f t="shared" si="44"/>
        <v>4.2974838955889036E-14</v>
      </c>
      <c r="DL84" s="97">
        <f t="shared" si="42"/>
        <v>1.2905069687834182E-14</v>
      </c>
    </row>
    <row r="85" spans="1:116" x14ac:dyDescent="0.25">
      <c r="A85" s="60">
        <v>6</v>
      </c>
      <c r="B85" s="25">
        <v>2.7</v>
      </c>
      <c r="C85" s="25">
        <v>5.0999999999999996</v>
      </c>
      <c r="D85" s="57">
        <v>1.6</v>
      </c>
      <c r="E85" s="82" t="s">
        <v>6</v>
      </c>
      <c r="L85" s="97" cm="1">
        <f t="array" ref="L85">EstymacjaGaussowska($O85,$D$2:$D$51,H$9)</f>
        <v>0.17969229448086274</v>
      </c>
      <c r="M85" s="97" cm="1">
        <f t="array" ref="M85">EstymacjaGaussowska($O85,$D$52:$D$101,I$9)</f>
        <v>9.6784303677990158E-5</v>
      </c>
      <c r="N85" s="97" cm="1">
        <f t="array" ref="N85">EstymacjaGaussowska($O85,$D$102:$D$151,J$9)</f>
        <v>8.7933196791853791E-10</v>
      </c>
      <c r="O85" s="97">
        <v>0.60000000000001996</v>
      </c>
      <c r="P85" s="97">
        <f t="shared" si="43"/>
        <v>3.8875739264245606E-34</v>
      </c>
      <c r="Q85" s="97">
        <f t="shared" si="43"/>
        <v>1.9779898020013102E-29</v>
      </c>
      <c r="R85" s="97">
        <f t="shared" si="43"/>
        <v>4.0790407735992548E-25</v>
      </c>
      <c r="S85" s="97">
        <f t="shared" si="43"/>
        <v>3.4094326621945915E-21</v>
      </c>
      <c r="T85" s="97">
        <f t="shared" si="43"/>
        <v>1.1550499895930296E-17</v>
      </c>
      <c r="U85" s="97">
        <f t="shared" si="43"/>
        <v>1.5860906757234515E-14</v>
      </c>
      <c r="V85" s="97">
        <f t="shared" si="43"/>
        <v>8.8289087409341315E-12</v>
      </c>
      <c r="W85" s="97">
        <f t="shared" si="43"/>
        <v>1.9928355281115629E-9</v>
      </c>
      <c r="X85" s="97">
        <f t="shared" si="43"/>
        <v>1.8257212951844943E-7</v>
      </c>
      <c r="Y85" s="97">
        <f t="shared" si="43"/>
        <v>6.8088455407320494E-6</v>
      </c>
      <c r="Z85" s="97">
        <f t="shared" si="43"/>
        <v>1.0431233494731916E-4</v>
      </c>
      <c r="AA85" s="97">
        <f t="shared" si="43"/>
        <v>6.7513692087737577E-4</v>
      </c>
      <c r="AB85" s="97">
        <f t="shared" si="43"/>
        <v>2.0105335902343316E-3</v>
      </c>
      <c r="AC85" s="97">
        <f t="shared" si="43"/>
        <v>3.5055251569001116E-3</v>
      </c>
      <c r="AD85" s="97">
        <f t="shared" si="43"/>
        <v>5.7415761968032117E-3</v>
      </c>
      <c r="AE85" s="97">
        <f t="shared" si="43"/>
        <v>1.1591767383032744E-2</v>
      </c>
      <c r="AF85" s="97">
        <f t="shared" si="41"/>
        <v>2.2691255999826247E-2</v>
      </c>
      <c r="AG85" s="97">
        <f t="shared" si="41"/>
        <v>3.5360069557667226E-2</v>
      </c>
      <c r="AH85" s="97">
        <f t="shared" si="41"/>
        <v>4.2017590472104689E-2</v>
      </c>
      <c r="AI85" s="97">
        <f t="shared" si="41"/>
        <v>3.8217731508923915E-2</v>
      </c>
      <c r="AJ85" s="97">
        <f t="shared" si="41"/>
        <v>2.7563747483048396E-2</v>
      </c>
      <c r="AK85" s="97">
        <f t="shared" si="41"/>
        <v>1.6664191321439831E-2</v>
      </c>
      <c r="AL85" s="97">
        <f t="shared" si="41"/>
        <v>8.2876290054372682E-3</v>
      </c>
      <c r="AM85" s="97">
        <f t="shared" si="41"/>
        <v>4.5623886315460539E-3</v>
      </c>
      <c r="AN85" s="97">
        <f t="shared" si="41"/>
        <v>3.5442469543213325E-3</v>
      </c>
      <c r="AO85" s="97">
        <f t="shared" si="41"/>
        <v>1.6941903645782191E-3</v>
      </c>
      <c r="AP85" s="97">
        <f t="shared" si="41"/>
        <v>3.4658833058313112E-4</v>
      </c>
      <c r="AQ85" s="97">
        <f t="shared" si="41"/>
        <v>2.8904167381250143E-5</v>
      </c>
      <c r="AR85" s="97">
        <f t="shared" si="41"/>
        <v>9.8186689258916546E-7</v>
      </c>
      <c r="AS85" s="97">
        <f t="shared" si="41"/>
        <v>2.6739759089168706E-8</v>
      </c>
      <c r="AT85" s="97">
        <f t="shared" si="41"/>
        <v>3.6211231908916767E-8</v>
      </c>
      <c r="AU85" s="97">
        <f t="shared" si="47"/>
        <v>8.7032341713531675E-8</v>
      </c>
      <c r="AV85" s="97">
        <f t="shared" si="47"/>
        <v>1.8697001826170049E-7</v>
      </c>
      <c r="AW85" s="97">
        <f t="shared" si="47"/>
        <v>3.6009733585481678E-7</v>
      </c>
      <c r="AX85" s="97">
        <f t="shared" si="47"/>
        <v>6.2644007893414209E-7</v>
      </c>
      <c r="AY85" s="97">
        <f t="shared" si="47"/>
        <v>9.9481429819839838E-7</v>
      </c>
      <c r="AZ85" s="97">
        <f t="shared" si="47"/>
        <v>1.4621008037919879E-6</v>
      </c>
      <c r="BA85" s="97">
        <f t="shared" si="47"/>
        <v>2.0204288995781085E-6</v>
      </c>
      <c r="BB85" s="97">
        <f t="shared" si="47"/>
        <v>2.6650400052065889E-6</v>
      </c>
      <c r="BC85" s="97">
        <f t="shared" si="47"/>
        <v>3.3929835724683542E-6</v>
      </c>
      <c r="BD85" s="97">
        <f t="shared" si="47"/>
        <v>4.1928252506994313E-6</v>
      </c>
      <c r="BE85" s="97">
        <f t="shared" si="47"/>
        <v>5.0394421731426183E-6</v>
      </c>
      <c r="BF85" s="97">
        <f t="shared" si="47"/>
        <v>5.9090304697299992E-6</v>
      </c>
      <c r="BG85" s="97">
        <f t="shared" si="47"/>
        <v>6.8125823843563851E-6</v>
      </c>
      <c r="BH85" s="97">
        <f t="shared" si="47"/>
        <v>7.8243537136645E-6</v>
      </c>
      <c r="BI85" s="97">
        <f t="shared" si="47"/>
        <v>9.0738805805923995E-6</v>
      </c>
      <c r="BJ85" s="97">
        <f t="shared" si="47"/>
        <v>1.0686601161667966E-5</v>
      </c>
      <c r="BK85" s="97">
        <f t="shared" si="46"/>
        <v>1.269538187087187E-5</v>
      </c>
      <c r="BL85" s="97">
        <f t="shared" si="46"/>
        <v>1.4980636029683372E-5</v>
      </c>
      <c r="BM85" s="97">
        <f t="shared" si="46"/>
        <v>1.7295617090113546E-5</v>
      </c>
      <c r="BN85" s="97">
        <f t="shared" si="46"/>
        <v>1.9379929760122715E-5</v>
      </c>
      <c r="BO85" s="97">
        <f t="shared" si="46"/>
        <v>2.1090904482312211E-5</v>
      </c>
      <c r="BP85" s="97">
        <f t="shared" si="46"/>
        <v>2.2454023601901465E-5</v>
      </c>
      <c r="BQ85" s="97">
        <f t="shared" si="46"/>
        <v>2.3586533400671828E-5</v>
      </c>
      <c r="BR85" s="97">
        <f t="shared" si="46"/>
        <v>2.45473443784729E-5</v>
      </c>
      <c r="BS85" s="97">
        <f t="shared" si="46"/>
        <v>2.5228734951319906E-5</v>
      </c>
      <c r="BT85" s="97">
        <f t="shared" si="46"/>
        <v>2.5375424671501083E-5</v>
      </c>
      <c r="BU85" s="97">
        <f t="shared" si="46"/>
        <v>2.4718485340805085E-5</v>
      </c>
      <c r="BV85" s="97">
        <f t="shared" si="46"/>
        <v>2.3128695183066518E-5</v>
      </c>
      <c r="BW85" s="97">
        <f t="shared" si="46"/>
        <v>2.0691229904471463E-5</v>
      </c>
      <c r="BX85" s="97">
        <f t="shared" si="46"/>
        <v>1.7670789610316268E-5</v>
      </c>
      <c r="BY85" s="97">
        <f t="shared" si="46"/>
        <v>1.440878105019204E-5</v>
      </c>
      <c r="BZ85" s="97">
        <f t="shared" si="45"/>
        <v>1.1220002362339641E-5</v>
      </c>
      <c r="CA85" s="97">
        <f t="shared" si="45"/>
        <v>8.3335466985039936E-6</v>
      </c>
      <c r="CB85" s="97">
        <f t="shared" si="45"/>
        <v>5.8828062138133662E-6</v>
      </c>
      <c r="CC85" s="97">
        <f t="shared" si="40"/>
        <v>3.9228632710161703E-6</v>
      </c>
      <c r="CD85" s="97">
        <f t="shared" si="40"/>
        <v>2.4513200728901318E-6</v>
      </c>
      <c r="CE85" s="97">
        <f t="shared" si="40"/>
        <v>1.4227088936452605E-6</v>
      </c>
      <c r="CF85" s="97">
        <f t="shared" si="40"/>
        <v>7.6028063119729418E-7</v>
      </c>
      <c r="CG85" s="97">
        <f t="shared" si="40"/>
        <v>3.7120065370373448E-7</v>
      </c>
      <c r="CH85" s="97">
        <f t="shared" si="40"/>
        <v>1.645413107534168E-7</v>
      </c>
      <c r="CI85" s="97">
        <f t="shared" si="40"/>
        <v>6.5926091862534554E-8</v>
      </c>
      <c r="CJ85" s="97">
        <f t="shared" si="40"/>
        <v>2.3847282628861955E-8</v>
      </c>
      <c r="CK85" s="97">
        <f t="shared" si="40"/>
        <v>7.8398837244496329E-9</v>
      </c>
      <c r="CL85" s="97">
        <f t="shared" si="40"/>
        <v>2.4147886304484419E-9</v>
      </c>
      <c r="CM85" s="97">
        <f t="shared" si="40"/>
        <v>7.689931132905937E-10</v>
      </c>
      <c r="CN85" s="97">
        <f t="shared" si="40"/>
        <v>3.1153345347056336E-10</v>
      </c>
      <c r="CO85" s="97">
        <f t="shared" si="40"/>
        <v>1.8451495576287431E-10</v>
      </c>
      <c r="CP85" s="97">
        <f t="shared" si="40"/>
        <v>1.4074586600082101E-10</v>
      </c>
      <c r="CQ85" s="97">
        <f t="shared" si="39"/>
        <v>1.1829030951761448E-10</v>
      </c>
      <c r="CR85" s="97">
        <f t="shared" si="39"/>
        <v>1.0344924085542503E-10</v>
      </c>
      <c r="CS85" s="97">
        <f t="shared" si="39"/>
        <v>9.2941018920405623E-11</v>
      </c>
      <c r="CT85" s="97">
        <f t="shared" si="39"/>
        <v>8.5051144987934926E-11</v>
      </c>
      <c r="CU85" s="97">
        <f t="shared" si="39"/>
        <v>7.8141694386341862E-11</v>
      </c>
      <c r="CV85" s="97">
        <f t="shared" si="44"/>
        <v>7.0803072828323563E-11</v>
      </c>
      <c r="CW85" s="97">
        <f t="shared" si="44"/>
        <v>6.2216606144057366E-11</v>
      </c>
      <c r="CX85" s="97">
        <f t="shared" si="44"/>
        <v>5.2325594695499583E-11</v>
      </c>
      <c r="CY85" s="97">
        <f t="shared" si="44"/>
        <v>4.17246330844958E-11</v>
      </c>
      <c r="CZ85" s="97">
        <f t="shared" si="44"/>
        <v>3.1343414981439817E-11</v>
      </c>
      <c r="DA85" s="97">
        <f t="shared" si="44"/>
        <v>2.2081903222950904E-11</v>
      </c>
      <c r="DB85" s="97">
        <f t="shared" si="44"/>
        <v>1.4542348323717242E-11</v>
      </c>
      <c r="DC85" s="97">
        <f t="shared" si="44"/>
        <v>8.9287842077562749E-12</v>
      </c>
      <c r="DD85" s="97">
        <f t="shared" si="44"/>
        <v>5.0992827017938526E-12</v>
      </c>
      <c r="DE85" s="97">
        <f t="shared" si="44"/>
        <v>2.7031272176267023E-12</v>
      </c>
      <c r="DF85" s="97">
        <f t="shared" si="44"/>
        <v>1.3274119543335084E-12</v>
      </c>
      <c r="DG85" s="97">
        <f t="shared" si="44"/>
        <v>6.0273542368672032E-13</v>
      </c>
      <c r="DH85" s="97">
        <f t="shared" si="44"/>
        <v>2.5263620745349332E-13</v>
      </c>
      <c r="DI85" s="97">
        <f t="shared" si="44"/>
        <v>9.7600624995337545E-14</v>
      </c>
      <c r="DJ85" s="97">
        <f t="shared" si="44"/>
        <v>3.4706961690453457E-14</v>
      </c>
      <c r="DK85" s="97">
        <f t="shared" si="44"/>
        <v>1.1347109234454835E-14</v>
      </c>
      <c r="DL85" s="97">
        <f t="shared" si="42"/>
        <v>3.4074644369560748E-15</v>
      </c>
    </row>
    <row r="86" spans="1:116" x14ac:dyDescent="0.25">
      <c r="A86" s="60">
        <v>5.4</v>
      </c>
      <c r="B86" s="25">
        <v>3</v>
      </c>
      <c r="C86" s="25">
        <v>4.5</v>
      </c>
      <c r="D86" s="57">
        <v>1.5</v>
      </c>
      <c r="E86" s="82" t="s">
        <v>6</v>
      </c>
      <c r="L86" s="97" cm="1">
        <f t="array" ref="L86">EstymacjaGaussowska($O86,$D$2:$D$51,H$9)</f>
        <v>0.19683960562387345</v>
      </c>
      <c r="M86" s="97" cm="1">
        <f t="array" ref="M86">EstymacjaGaussowska($O86,$D$52:$D$101,I$9)</f>
        <v>2.4945895163109564E-5</v>
      </c>
      <c r="N86" s="97" cm="1">
        <f t="array" ref="N86">EstymacjaGaussowska($O86,$D$102:$D$151,J$9)</f>
        <v>2.2078696920180221E-10</v>
      </c>
      <c r="O86" s="97">
        <v>0.57000000000002005</v>
      </c>
      <c r="P86" s="97">
        <f t="shared" si="43"/>
        <v>4.2585494313213399E-34</v>
      </c>
      <c r="Q86" s="97">
        <f t="shared" si="43"/>
        <v>2.166741393551584E-29</v>
      </c>
      <c r="R86" s="97">
        <f t="shared" si="43"/>
        <v>4.4682871879321878E-25</v>
      </c>
      <c r="S86" s="97">
        <f t="shared" si="43"/>
        <v>3.7347810743159597E-21</v>
      </c>
      <c r="T86" s="97">
        <f t="shared" si="43"/>
        <v>1.2652717529385484E-17</v>
      </c>
      <c r="U86" s="97">
        <f t="shared" si="43"/>
        <v>1.7374449137904296E-14</v>
      </c>
      <c r="V86" s="97">
        <f t="shared" si="43"/>
        <v>9.6714159039230677E-12</v>
      </c>
      <c r="W86" s="97">
        <f t="shared" si="43"/>
        <v>2.183003787446769E-9</v>
      </c>
      <c r="X86" s="97">
        <f t="shared" si="43"/>
        <v>1.9999425170760269E-7</v>
      </c>
      <c r="Y86" s="97">
        <f t="shared" si="43"/>
        <v>7.4585862174201507E-6</v>
      </c>
      <c r="Z86" s="97">
        <f t="shared" si="43"/>
        <v>1.1426644048402665E-4</v>
      </c>
      <c r="AA86" s="97">
        <f t="shared" si="43"/>
        <v>7.3956251508476394E-4</v>
      </c>
      <c r="AB86" s="97">
        <f t="shared" si="43"/>
        <v>2.2023907042793304E-3</v>
      </c>
      <c r="AC86" s="97">
        <f t="shared" si="43"/>
        <v>3.8400432883463065E-3</v>
      </c>
      <c r="AD86" s="97">
        <f t="shared" si="43"/>
        <v>6.289471663229981E-3</v>
      </c>
      <c r="AE86" s="97">
        <f t="shared" si="43"/>
        <v>1.269792300639162E-2</v>
      </c>
      <c r="AF86" s="97">
        <f t="shared" si="41"/>
        <v>2.485659106874968E-2</v>
      </c>
      <c r="AG86" s="97">
        <f t="shared" si="41"/>
        <v>3.8734338423761498E-2</v>
      </c>
      <c r="AH86" s="97">
        <f t="shared" si="41"/>
        <v>4.6027159715940583E-2</v>
      </c>
      <c r="AI86" s="97">
        <f t="shared" si="41"/>
        <v>4.1864695532933524E-2</v>
      </c>
      <c r="AJ86" s="97">
        <f t="shared" si="41"/>
        <v>3.0194044768325025E-2</v>
      </c>
      <c r="AK86" s="97">
        <f t="shared" si="41"/>
        <v>1.8254387909180169E-2</v>
      </c>
      <c r="AL86" s="97">
        <f t="shared" si="41"/>
        <v>9.0784840253595647E-3</v>
      </c>
      <c r="AM86" s="97">
        <f t="shared" si="41"/>
        <v>4.997758980890092E-3</v>
      </c>
      <c r="AN86" s="97">
        <f t="shared" si="41"/>
        <v>3.8824601383109459E-3</v>
      </c>
      <c r="AO86" s="97">
        <f t="shared" si="41"/>
        <v>1.8558600581128444E-3</v>
      </c>
      <c r="AP86" s="97">
        <f t="shared" si="41"/>
        <v>3.796615847847446E-4</v>
      </c>
      <c r="AQ86" s="97">
        <f t="shared" si="41"/>
        <v>3.1661313682053525E-5</v>
      </c>
      <c r="AR86" s="97">
        <f t="shared" si="41"/>
        <v>1.0719029078713463E-6</v>
      </c>
      <c r="AS86" s="97">
        <f t="shared" si="41"/>
        <v>1.8117010417463334E-8</v>
      </c>
      <c r="AT86" s="97">
        <f t="shared" si="41"/>
        <v>9.3957162498432012E-9</v>
      </c>
      <c r="AU86" s="97">
        <f t="shared" si="47"/>
        <v>2.2432493527731374E-8</v>
      </c>
      <c r="AV86" s="97">
        <f t="shared" si="47"/>
        <v>4.8191021781039857E-8</v>
      </c>
      <c r="AW86" s="97">
        <f t="shared" si="47"/>
        <v>9.2814124267928472E-8</v>
      </c>
      <c r="AX86" s="97">
        <f t="shared" si="47"/>
        <v>1.6146325324666223E-7</v>
      </c>
      <c r="AY86" s="97">
        <f t="shared" si="47"/>
        <v>2.5641072205454329E-7</v>
      </c>
      <c r="AZ86" s="97">
        <f t="shared" si="47"/>
        <v>3.7685256785690462E-7</v>
      </c>
      <c r="BA86" s="97">
        <f t="shared" si="47"/>
        <v>5.2076013979582482E-7</v>
      </c>
      <c r="BB86" s="97">
        <f t="shared" si="47"/>
        <v>6.8690692652564892E-7</v>
      </c>
      <c r="BC86" s="97">
        <f t="shared" si="47"/>
        <v>8.7453243214458139E-7</v>
      </c>
      <c r="BD86" s="97">
        <f t="shared" si="47"/>
        <v>1.0806894833805636E-6</v>
      </c>
      <c r="BE86" s="97">
        <f t="shared" si="47"/>
        <v>1.2989027285843152E-6</v>
      </c>
      <c r="BF86" s="97">
        <f t="shared" si="47"/>
        <v>1.5230367839689474E-6</v>
      </c>
      <c r="BG86" s="97">
        <f t="shared" si="47"/>
        <v>1.7559248709566769E-6</v>
      </c>
      <c r="BH86" s="97">
        <f t="shared" si="47"/>
        <v>2.0167062222983483E-6</v>
      </c>
      <c r="BI86" s="97">
        <f t="shared" si="47"/>
        <v>2.3387684267962389E-6</v>
      </c>
      <c r="BJ86" s="97">
        <f t="shared" si="47"/>
        <v>2.7544428384217716E-6</v>
      </c>
      <c r="BK86" s="97">
        <f t="shared" si="46"/>
        <v>3.2722006869725644E-6</v>
      </c>
      <c r="BL86" s="97">
        <f t="shared" si="46"/>
        <v>3.8612188254644142E-6</v>
      </c>
      <c r="BM86" s="97">
        <f t="shared" si="46"/>
        <v>4.4578989905186231E-6</v>
      </c>
      <c r="BN86" s="97">
        <f t="shared" si="46"/>
        <v>4.9951249909346806E-6</v>
      </c>
      <c r="BO86" s="97">
        <f t="shared" si="46"/>
        <v>5.436124127773316E-6</v>
      </c>
      <c r="BP86" s="97">
        <f t="shared" si="46"/>
        <v>5.7874644040429667E-6</v>
      </c>
      <c r="BQ86" s="97">
        <f t="shared" si="46"/>
        <v>6.0793657307395552E-6</v>
      </c>
      <c r="BR86" s="97">
        <f t="shared" si="46"/>
        <v>6.3270121259501342E-6</v>
      </c>
      <c r="BS86" s="97">
        <f t="shared" si="46"/>
        <v>6.5026386328749924E-6</v>
      </c>
      <c r="BT86" s="97">
        <f t="shared" si="46"/>
        <v>6.5404473919536572E-6</v>
      </c>
      <c r="BU86" s="97">
        <f t="shared" si="46"/>
        <v>6.3711228738672916E-6</v>
      </c>
      <c r="BV86" s="97">
        <f t="shared" si="46"/>
        <v>5.9613585103416032E-6</v>
      </c>
      <c r="BW86" s="97">
        <f t="shared" si="46"/>
        <v>5.3331081185319026E-6</v>
      </c>
      <c r="BX86" s="97">
        <f t="shared" si="46"/>
        <v>4.5545974588474517E-6</v>
      </c>
      <c r="BY86" s="97">
        <f t="shared" si="46"/>
        <v>3.7138232317784313E-6</v>
      </c>
      <c r="BZ86" s="97">
        <f t="shared" si="45"/>
        <v>2.8919238410607278E-6</v>
      </c>
      <c r="CA86" s="97">
        <f t="shared" si="45"/>
        <v>2.1479474528019335E-6</v>
      </c>
      <c r="CB86" s="97">
        <f t="shared" si="45"/>
        <v>1.5162755440220603E-6</v>
      </c>
      <c r="CC86" s="97">
        <f t="shared" si="40"/>
        <v>1.011105437855504E-6</v>
      </c>
      <c r="CD86" s="97">
        <f t="shared" si="40"/>
        <v>6.3181909100298361E-7</v>
      </c>
      <c r="CE86" s="97">
        <f t="shared" si="40"/>
        <v>3.6669730176139884E-7</v>
      </c>
      <c r="CF86" s="97">
        <f t="shared" si="40"/>
        <v>1.9595818623049206E-7</v>
      </c>
      <c r="CG86" s="97">
        <f t="shared" si="40"/>
        <v>9.5673869996116214E-8</v>
      </c>
      <c r="CH86" s="97">
        <f t="shared" si="40"/>
        <v>4.2408006075599775E-8</v>
      </c>
      <c r="CI86" s="97">
        <f t="shared" si="40"/>
        <v>1.6990260153840995E-8</v>
      </c>
      <c r="CJ86" s="97">
        <f t="shared" si="40"/>
        <v>6.1446628903064779E-9</v>
      </c>
      <c r="CK86" s="97">
        <f t="shared" si="40"/>
        <v>2.0189397329325826E-9</v>
      </c>
      <c r="CL86" s="97">
        <f t="shared" si="40"/>
        <v>6.2080518898976538E-10</v>
      </c>
      <c r="CM86" s="97">
        <f t="shared" si="40"/>
        <v>1.9678968150445529E-10</v>
      </c>
      <c r="CN86" s="97">
        <f t="shared" si="40"/>
        <v>7.906533763580507E-11</v>
      </c>
      <c r="CO86" s="97">
        <f t="shared" si="40"/>
        <v>4.6499671248345804E-11</v>
      </c>
      <c r="CP86" s="97">
        <f t="shared" si="40"/>
        <v>3.5369828936950505E-11</v>
      </c>
      <c r="CQ86" s="97">
        <f t="shared" si="39"/>
        <v>2.9705795424243115E-11</v>
      </c>
      <c r="CR86" s="97">
        <f t="shared" si="39"/>
        <v>2.5975231240389262E-11</v>
      </c>
      <c r="CS86" s="97">
        <f t="shared" si="39"/>
        <v>2.3336171746302712E-11</v>
      </c>
      <c r="CT86" s="97">
        <f t="shared" si="39"/>
        <v>2.1355066836564117E-11</v>
      </c>
      <c r="CU86" s="97">
        <f t="shared" si="39"/>
        <v>1.962019956891952E-11</v>
      </c>
      <c r="CV86" s="97">
        <f t="shared" si="44"/>
        <v>1.7777581734798489E-11</v>
      </c>
      <c r="CW86" s="97">
        <f t="shared" si="44"/>
        <v>1.5621649628638229E-11</v>
      </c>
      <c r="CX86" s="97">
        <f t="shared" si="44"/>
        <v>1.313816611515102E-11</v>
      </c>
      <c r="CY86" s="97">
        <f t="shared" si="44"/>
        <v>1.0476424849663916E-11</v>
      </c>
      <c r="CZ86" s="97">
        <f t="shared" si="44"/>
        <v>7.8698578587657522E-12</v>
      </c>
      <c r="DA86" s="97">
        <f t="shared" si="44"/>
        <v>5.5444322106739957E-12</v>
      </c>
      <c r="DB86" s="97">
        <f t="shared" si="44"/>
        <v>3.6513639087529317E-12</v>
      </c>
      <c r="DC86" s="97">
        <f t="shared" si="44"/>
        <v>2.2418827880826584E-12</v>
      </c>
      <c r="DD86" s="97">
        <f t="shared" si="44"/>
        <v>1.2803528290882541E-12</v>
      </c>
      <c r="DE86" s="97">
        <f t="shared" si="44"/>
        <v>6.7871439629269742E-13</v>
      </c>
      <c r="DF86" s="97">
        <f t="shared" si="44"/>
        <v>3.3329308267192115E-13</v>
      </c>
      <c r="DG86" s="97">
        <f t="shared" si="44"/>
        <v>1.5133775670792331E-13</v>
      </c>
      <c r="DH86" s="97">
        <f t="shared" si="44"/>
        <v>6.3433134003223151E-14</v>
      </c>
      <c r="DI86" s="97">
        <f t="shared" si="44"/>
        <v>2.4506042053640598E-14</v>
      </c>
      <c r="DJ86" s="97">
        <f t="shared" si="44"/>
        <v>8.7143936094771534E-15</v>
      </c>
      <c r="DK86" s="97">
        <f t="shared" si="44"/>
        <v>2.8490876579948899E-15</v>
      </c>
      <c r="DL86" s="97">
        <f t="shared" si="42"/>
        <v>8.5556282854048705E-16</v>
      </c>
    </row>
    <row r="87" spans="1:116" x14ac:dyDescent="0.25">
      <c r="A87" s="60">
        <v>6</v>
      </c>
      <c r="B87" s="25">
        <v>3.4</v>
      </c>
      <c r="C87" s="25">
        <v>4.5</v>
      </c>
      <c r="D87" s="57">
        <v>1.6</v>
      </c>
      <c r="E87" s="82" t="s">
        <v>6</v>
      </c>
      <c r="L87" s="97" cm="1">
        <f t="array" ref="L87">EstymacjaGaussowska($O87,$D$2:$D$51,H$9)</f>
        <v>0.21890646328645474</v>
      </c>
      <c r="M87" s="97" cm="1">
        <f t="array" ref="M87">EstymacjaGaussowska($O87,$D$52:$D$101,I$9)</f>
        <v>5.8313049854960531E-6</v>
      </c>
      <c r="N87" s="97" cm="1">
        <f t="array" ref="N87">EstymacjaGaussowska($O87,$D$102:$D$151,J$9)</f>
        <v>5.2712410321237736E-11</v>
      </c>
      <c r="O87" s="97">
        <v>0.54000000000002002</v>
      </c>
      <c r="P87" s="97">
        <f t="shared" si="43"/>
        <v>4.7359574399449597E-34</v>
      </c>
      <c r="Q87" s="97">
        <f t="shared" si="43"/>
        <v>2.4096456290664536E-29</v>
      </c>
      <c r="R87" s="97">
        <f t="shared" si="43"/>
        <v>4.9692080115597491E-25</v>
      </c>
      <c r="S87" s="97">
        <f t="shared" si="43"/>
        <v>4.1534716224229969E-21</v>
      </c>
      <c r="T87" s="97">
        <f t="shared" si="43"/>
        <v>1.4071160306086179E-17</v>
      </c>
      <c r="U87" s="97">
        <f t="shared" si="43"/>
        <v>1.9322225322868327E-14</v>
      </c>
      <c r="V87" s="97">
        <f t="shared" si="43"/>
        <v>1.0755637534377357E-11</v>
      </c>
      <c r="W87" s="97">
        <f t="shared" si="43"/>
        <v>2.427731131325481E-9</v>
      </c>
      <c r="X87" s="97">
        <f t="shared" si="43"/>
        <v>2.2241476343225567E-7</v>
      </c>
      <c r="Y87" s="97">
        <f t="shared" si="43"/>
        <v>8.2947368482967413E-6</v>
      </c>
      <c r="Z87" s="97">
        <f t="shared" si="43"/>
        <v>1.2707636900313266E-4</v>
      </c>
      <c r="AA87" s="97">
        <f t="shared" si="43"/>
        <v>8.224717482201954E-4</v>
      </c>
      <c r="AB87" s="97">
        <f t="shared" si="43"/>
        <v>2.4492914336050643E-3</v>
      </c>
      <c r="AC87" s="97">
        <f t="shared" si="43"/>
        <v>4.2705343391361951E-3</v>
      </c>
      <c r="AD87" s="97">
        <f t="shared" si="43"/>
        <v>6.9945577942728161E-3</v>
      </c>
      <c r="AE87" s="97">
        <f t="shared" si="43"/>
        <v>1.4121433578384333E-2</v>
      </c>
      <c r="AF87" s="97">
        <f t="shared" si="41"/>
        <v>2.7643158616233954E-2</v>
      </c>
      <c r="AG87" s="97">
        <f t="shared" si="41"/>
        <v>4.3076681672938037E-2</v>
      </c>
      <c r="AH87" s="97">
        <f t="shared" si="41"/>
        <v>5.1187070389635658E-2</v>
      </c>
      <c r="AI87" s="97">
        <f t="shared" si="41"/>
        <v>4.6557969909726257E-2</v>
      </c>
      <c r="AJ87" s="97">
        <f t="shared" si="41"/>
        <v>3.3578971729787653E-2</v>
      </c>
      <c r="AK87" s="97">
        <f t="shared" si="41"/>
        <v>2.0300810317059641E-2</v>
      </c>
      <c r="AL87" s="97">
        <f t="shared" si="41"/>
        <v>1.0096234564567205E-2</v>
      </c>
      <c r="AM87" s="97">
        <f t="shared" si="41"/>
        <v>5.5580366526312595E-3</v>
      </c>
      <c r="AN87" s="97">
        <f t="shared" si="41"/>
        <v>4.3177063598142983E-3</v>
      </c>
      <c r="AO87" s="97">
        <f t="shared" si="41"/>
        <v>2.0639126820598134E-3</v>
      </c>
      <c r="AP87" s="97">
        <f t="shared" si="41"/>
        <v>4.2222376944015786E-4</v>
      </c>
      <c r="AQ87" s="97">
        <f t="shared" si="41"/>
        <v>3.5210442993874334E-5</v>
      </c>
      <c r="AR87" s="97">
        <f t="shared" si="41"/>
        <v>1.1910803779900822E-6</v>
      </c>
      <c r="AS87" s="97">
        <f t="shared" si="41"/>
        <v>1.7128024546391087E-8</v>
      </c>
      <c r="AT87" s="97">
        <f t="shared" si="41"/>
        <v>2.2679613655502586E-9</v>
      </c>
      <c r="AU87" s="97">
        <f t="shared" si="47"/>
        <v>5.2439383274381565E-9</v>
      </c>
      <c r="AV87" s="97">
        <f t="shared" si="47"/>
        <v>1.1265041699398279E-8</v>
      </c>
      <c r="AW87" s="97">
        <f t="shared" si="47"/>
        <v>2.1696053079296079E-8</v>
      </c>
      <c r="AX87" s="97">
        <f t="shared" si="47"/>
        <v>3.7743342841592712E-8</v>
      </c>
      <c r="AY87" s="97">
        <f t="shared" si="47"/>
        <v>5.9938082481098683E-8</v>
      </c>
      <c r="AZ87" s="97">
        <f t="shared" si="47"/>
        <v>8.8092339175333641E-8</v>
      </c>
      <c r="BA87" s="97">
        <f t="shared" si="47"/>
        <v>1.2173189935993103E-7</v>
      </c>
      <c r="BB87" s="97">
        <f t="shared" si="47"/>
        <v>1.6057005607657827E-7</v>
      </c>
      <c r="BC87" s="97">
        <f t="shared" si="47"/>
        <v>2.0442903725038255E-7</v>
      </c>
      <c r="BD87" s="97">
        <f t="shared" si="47"/>
        <v>2.5261991726530524E-7</v>
      </c>
      <c r="BE87" s="97">
        <f t="shared" si="47"/>
        <v>3.0362903024155336E-7</v>
      </c>
      <c r="BF87" s="97">
        <f t="shared" si="47"/>
        <v>3.5602218054052216E-7</v>
      </c>
      <c r="BG87" s="97">
        <f t="shared" si="47"/>
        <v>4.1046165661323768E-7</v>
      </c>
      <c r="BH87" s="97">
        <f t="shared" si="47"/>
        <v>4.7142140909576221E-7</v>
      </c>
      <c r="BI87" s="97">
        <f t="shared" si="47"/>
        <v>5.4670605723292024E-7</v>
      </c>
      <c r="BJ87" s="97">
        <f t="shared" si="47"/>
        <v>6.4387331684686457E-7</v>
      </c>
      <c r="BK87" s="97">
        <f t="shared" si="46"/>
        <v>7.6490340657404624E-7</v>
      </c>
      <c r="BL87" s="97">
        <f t="shared" si="46"/>
        <v>9.0259116636803431E-7</v>
      </c>
      <c r="BM87" s="97">
        <f t="shared" si="46"/>
        <v>1.0420699874279414E-6</v>
      </c>
      <c r="BN87" s="97">
        <f t="shared" si="46"/>
        <v>1.1676509169489078E-6</v>
      </c>
      <c r="BO87" s="97">
        <f t="shared" si="46"/>
        <v>1.2707380392642048E-6</v>
      </c>
      <c r="BP87" s="97">
        <f t="shared" si="46"/>
        <v>1.3528666788705864E-6</v>
      </c>
      <c r="BQ87" s="97">
        <f t="shared" si="46"/>
        <v>1.421100985456896E-6</v>
      </c>
      <c r="BR87" s="97">
        <f t="shared" si="46"/>
        <v>1.4789903472393048E-6</v>
      </c>
      <c r="BS87" s="97">
        <f t="shared" si="46"/>
        <v>1.5200444820493793E-6</v>
      </c>
      <c r="BT87" s="97">
        <f t="shared" si="46"/>
        <v>1.528882608867052E-6</v>
      </c>
      <c r="BU87" s="97">
        <f t="shared" si="46"/>
        <v>1.4893016626206924E-6</v>
      </c>
      <c r="BV87" s="97">
        <f t="shared" si="46"/>
        <v>1.3935159635540871E-6</v>
      </c>
      <c r="BW87" s="97">
        <f t="shared" si="46"/>
        <v>1.24665739289027E-6</v>
      </c>
      <c r="BX87" s="97">
        <f t="shared" si="46"/>
        <v>1.0646742713783833E-6</v>
      </c>
      <c r="BY87" s="97">
        <f t="shared" si="46"/>
        <v>8.6813653561979166E-7</v>
      </c>
      <c r="BZ87" s="97">
        <f t="shared" si="45"/>
        <v>6.7601093951871466E-7</v>
      </c>
      <c r="CA87" s="97">
        <f t="shared" si="45"/>
        <v>5.0210046634549227E-7</v>
      </c>
      <c r="CB87" s="97">
        <f t="shared" si="45"/>
        <v>3.5444206358935611E-7</v>
      </c>
      <c r="CC87" s="97">
        <f t="shared" si="40"/>
        <v>2.3635447207032371E-7</v>
      </c>
      <c r="CD87" s="97">
        <f t="shared" si="40"/>
        <v>1.4769322245070343E-7</v>
      </c>
      <c r="CE87" s="97">
        <f t="shared" si="40"/>
        <v>8.5718859656847984E-8</v>
      </c>
      <c r="CF87" s="97">
        <f t="shared" si="40"/>
        <v>4.5807209712471114E-8</v>
      </c>
      <c r="CG87" s="97">
        <f t="shared" si="40"/>
        <v>2.2364937584486107E-8</v>
      </c>
      <c r="CH87" s="97">
        <f t="shared" si="40"/>
        <v>9.9136052388140144E-9</v>
      </c>
      <c r="CI87" s="97">
        <f t="shared" si="40"/>
        <v>3.9719895205900962E-9</v>
      </c>
      <c r="CJ87" s="97">
        <f t="shared" si="40"/>
        <v>1.4367239420769754E-9</v>
      </c>
      <c r="CK87" s="97">
        <f t="shared" si="40"/>
        <v>4.7227622239671825E-10</v>
      </c>
      <c r="CL87" s="97">
        <f t="shared" si="40"/>
        <v>1.4541913576395126E-10</v>
      </c>
      <c r="CM87" s="97">
        <f t="shared" si="40"/>
        <v>4.6267499402784907E-11</v>
      </c>
      <c r="CN87" s="97">
        <f t="shared" si="40"/>
        <v>1.8713756367978904E-11</v>
      </c>
      <c r="CO87" s="97">
        <f t="shared" si="40"/>
        <v>1.106873399077181E-11</v>
      </c>
      <c r="CP87" s="97">
        <f t="shared" si="40"/>
        <v>8.438549793119082E-12</v>
      </c>
      <c r="CQ87" s="97">
        <f t="shared" si="39"/>
        <v>7.0912510469278269E-12</v>
      </c>
      <c r="CR87" s="97">
        <f t="shared" si="39"/>
        <v>6.2013969358673854E-12</v>
      </c>
      <c r="CS87" s="97">
        <f t="shared" si="39"/>
        <v>5.5714437496236212E-12</v>
      </c>
      <c r="CT87" s="97">
        <f t="shared" si="39"/>
        <v>5.0984740703565305E-12</v>
      </c>
      <c r="CU87" s="97">
        <f t="shared" si="39"/>
        <v>4.6842799371883907E-12</v>
      </c>
      <c r="CV87" s="97">
        <f t="shared" si="44"/>
        <v>4.2443590889177942E-12</v>
      </c>
      <c r="CW87" s="97">
        <f t="shared" si="44"/>
        <v>3.7296349862903527E-12</v>
      </c>
      <c r="CX87" s="97">
        <f t="shared" si="44"/>
        <v>3.1367086817485368E-12</v>
      </c>
      <c r="CY87" s="97">
        <f t="shared" si="44"/>
        <v>2.5012237242554347E-12</v>
      </c>
      <c r="CZ87" s="97">
        <f t="shared" si="44"/>
        <v>1.8789115051525123E-12</v>
      </c>
      <c r="DA87" s="97">
        <f t="shared" si="44"/>
        <v>1.323721172240932E-12</v>
      </c>
      <c r="DB87" s="97">
        <f t="shared" si="44"/>
        <v>8.7175521855377612E-13</v>
      </c>
      <c r="DC87" s="97">
        <f t="shared" si="44"/>
        <v>5.3524465617135232E-13</v>
      </c>
      <c r="DD87" s="97">
        <f t="shared" si="44"/>
        <v>3.0568146266444935E-13</v>
      </c>
      <c r="DE87" s="97">
        <f t="shared" si="44"/>
        <v>1.6204159094014046E-13</v>
      </c>
      <c r="DF87" s="97">
        <f t="shared" si="44"/>
        <v>7.9573001045068524E-14</v>
      </c>
      <c r="DG87" s="97">
        <f t="shared" si="44"/>
        <v>3.6131561375763413E-14</v>
      </c>
      <c r="DH87" s="97">
        <f t="shared" si="44"/>
        <v>1.5144523246223641E-14</v>
      </c>
      <c r="DI87" s="97">
        <f t="shared" si="44"/>
        <v>5.8507644212476762E-15</v>
      </c>
      <c r="DJ87" s="97">
        <f t="shared" si="44"/>
        <v>2.0805425850276228E-15</v>
      </c>
      <c r="DK87" s="97">
        <f t="shared" si="44"/>
        <v>6.8021350269151218E-16</v>
      </c>
      <c r="DL87" s="97">
        <f t="shared" si="42"/>
        <v>2.0426377080435413E-16</v>
      </c>
    </row>
    <row r="88" spans="1:116" x14ac:dyDescent="0.25">
      <c r="A88" s="60">
        <v>6.7</v>
      </c>
      <c r="B88" s="25">
        <v>3.1</v>
      </c>
      <c r="C88" s="25">
        <v>4.7</v>
      </c>
      <c r="D88" s="57">
        <v>1.5</v>
      </c>
      <c r="E88" s="82" t="s">
        <v>6</v>
      </c>
      <c r="L88" s="97" cm="1">
        <f t="array" ref="L88">EstymacjaGaussowska($O88,$D$2:$D$51,H$9)</f>
        <v>0.29417180221463968</v>
      </c>
      <c r="M88" s="97" cm="1">
        <f t="array" ref="M88">EstymacjaGaussowska($O88,$D$52:$D$101,I$9)</f>
        <v>1.2361594294175974E-6</v>
      </c>
      <c r="N88" s="97" cm="1">
        <f t="array" ref="N88">EstymacjaGaussowska($O88,$D$102:$D$151,J$9)</f>
        <v>1.1965891165254828E-11</v>
      </c>
      <c r="O88" s="97">
        <v>0.51000000000001999</v>
      </c>
      <c r="P88" s="97">
        <f t="shared" si="43"/>
        <v>6.3642942031077102E-34</v>
      </c>
      <c r="Q88" s="97">
        <f t="shared" si="43"/>
        <v>3.2381401022112525E-29</v>
      </c>
      <c r="R88" s="97">
        <f t="shared" si="43"/>
        <v>6.6777419651930809E-25</v>
      </c>
      <c r="S88" s="97">
        <f t="shared" si="43"/>
        <v>5.5815356672072273E-21</v>
      </c>
      <c r="T88" s="97">
        <f t="shared" si="43"/>
        <v>1.8909165697295344E-17</v>
      </c>
      <c r="U88" s="97">
        <f t="shared" si="43"/>
        <v>2.5965673926162397E-14</v>
      </c>
      <c r="V88" s="97">
        <f t="shared" si="43"/>
        <v>1.4453685971413663E-11</v>
      </c>
      <c r="W88" s="97">
        <f t="shared" si="43"/>
        <v>3.2624438377594195E-9</v>
      </c>
      <c r="X88" s="97">
        <f t="shared" si="43"/>
        <v>2.9888634084043457E-7</v>
      </c>
      <c r="Y88" s="97">
        <f t="shared" si="43"/>
        <v>1.114666808337503E-5</v>
      </c>
      <c r="Z88" s="97">
        <f t="shared" si="43"/>
        <v>1.7076829951624917E-4</v>
      </c>
      <c r="AA88" s="97">
        <f t="shared" si="43"/>
        <v>1.1052574364967653E-3</v>
      </c>
      <c r="AB88" s="97">
        <f t="shared" si="43"/>
        <v>3.2914170936544631E-3</v>
      </c>
      <c r="AC88" s="97">
        <f t="shared" si="43"/>
        <v>5.7388473784772617E-3</v>
      </c>
      <c r="AD88" s="97">
        <f t="shared" si="43"/>
        <v>9.3994560103196692E-3</v>
      </c>
      <c r="AE88" s="97">
        <f t="shared" si="43"/>
        <v>1.8976724137065221E-2</v>
      </c>
      <c r="AF88" s="97">
        <f t="shared" si="41"/>
        <v>3.7147545426292859E-2</v>
      </c>
      <c r="AG88" s="97">
        <f t="shared" si="41"/>
        <v>5.7887487152777105E-2</v>
      </c>
      <c r="AH88" s="97">
        <f t="shared" si="41"/>
        <v>6.8786423756262233E-2</v>
      </c>
      <c r="AI88" s="97">
        <f t="shared" si="41"/>
        <v>6.2565726521637138E-2</v>
      </c>
      <c r="AJ88" s="97">
        <f t="shared" si="41"/>
        <v>4.5124234716358798E-2</v>
      </c>
      <c r="AK88" s="97">
        <f t="shared" si="41"/>
        <v>2.7280720120042467E-2</v>
      </c>
      <c r="AL88" s="97">
        <f t="shared" si="41"/>
        <v>1.3567564305069321E-2</v>
      </c>
      <c r="AM88" s="97">
        <f t="shared" si="41"/>
        <v>7.4690241406922889E-3</v>
      </c>
      <c r="AN88" s="97">
        <f t="shared" si="41"/>
        <v>5.8022382802653504E-3</v>
      </c>
      <c r="AO88" s="97">
        <f t="shared" si="41"/>
        <v>2.7735357973242233E-3</v>
      </c>
      <c r="AP88" s="97">
        <f t="shared" si="41"/>
        <v>5.6739449566215903E-4</v>
      </c>
      <c r="AQ88" s="97">
        <f t="shared" si="41"/>
        <v>4.7316558834310606E-5</v>
      </c>
      <c r="AR88" s="97">
        <f t="shared" si="41"/>
        <v>1.6003047127483039E-6</v>
      </c>
      <c r="AS88" s="97">
        <f t="shared" si="41"/>
        <v>2.2107366227506722E-8</v>
      </c>
      <c r="AT88" s="97">
        <f t="shared" si="41"/>
        <v>5.8343717802918021E-10</v>
      </c>
      <c r="AU88" s="97">
        <f t="shared" si="47"/>
        <v>1.1118766657340428E-9</v>
      </c>
      <c r="AV88" s="97">
        <f t="shared" si="47"/>
        <v>2.3880398615148867E-9</v>
      </c>
      <c r="AW88" s="97">
        <f t="shared" si="47"/>
        <v>4.599275918903134E-9</v>
      </c>
      <c r="AX88" s="97">
        <f t="shared" si="47"/>
        <v>8.0010888244438341E-9</v>
      </c>
      <c r="AY88" s="97">
        <f t="shared" si="47"/>
        <v>1.2706079689624929E-8</v>
      </c>
      <c r="AZ88" s="97">
        <f t="shared" si="47"/>
        <v>1.8674409244910941E-8</v>
      </c>
      <c r="BA88" s="97">
        <f t="shared" si="47"/>
        <v>2.58055504949544E-8</v>
      </c>
      <c r="BB88" s="97">
        <f t="shared" si="47"/>
        <v>3.4038725361629546E-8</v>
      </c>
      <c r="BC88" s="97">
        <f t="shared" si="47"/>
        <v>4.3336248519413565E-8</v>
      </c>
      <c r="BD88" s="97">
        <f t="shared" si="47"/>
        <v>5.3552076861611873E-8</v>
      </c>
      <c r="BE88" s="97">
        <f t="shared" si="47"/>
        <v>6.4365333268276151E-8</v>
      </c>
      <c r="BF88" s="97">
        <f t="shared" si="47"/>
        <v>7.5471987258532013E-8</v>
      </c>
      <c r="BG88" s="97">
        <f t="shared" si="47"/>
        <v>8.7012435214713775E-8</v>
      </c>
      <c r="BH88" s="97">
        <f t="shared" si="47"/>
        <v>9.9935095425425039E-8</v>
      </c>
      <c r="BI88" s="97">
        <f t="shared" si="47"/>
        <v>1.1589444382173432E-7</v>
      </c>
      <c r="BJ88" s="97">
        <f t="shared" si="47"/>
        <v>1.3649261609448106E-7</v>
      </c>
      <c r="BK88" s="97">
        <f t="shared" si="46"/>
        <v>1.621493924256029E-7</v>
      </c>
      <c r="BL88" s="97">
        <f t="shared" si="46"/>
        <v>1.9133737440911723E-7</v>
      </c>
      <c r="BM88" s="97">
        <f t="shared" si="46"/>
        <v>2.2090503803182333E-7</v>
      </c>
      <c r="BN88" s="97">
        <f t="shared" si="46"/>
        <v>2.4752653332125066E-7</v>
      </c>
      <c r="BO88" s="97">
        <f t="shared" si="46"/>
        <v>2.6937964033113203E-7</v>
      </c>
      <c r="BP88" s="97">
        <f t="shared" si="46"/>
        <v>2.8678982796077263E-7</v>
      </c>
      <c r="BQ88" s="97">
        <f t="shared" si="46"/>
        <v>3.0125460296263997E-7</v>
      </c>
      <c r="BR88" s="97">
        <f t="shared" si="46"/>
        <v>3.135263893796614E-7</v>
      </c>
      <c r="BS88" s="97">
        <f t="shared" si="46"/>
        <v>3.2222933428167743E-7</v>
      </c>
      <c r="BT88" s="97">
        <f t="shared" si="46"/>
        <v>3.241029168158716E-7</v>
      </c>
      <c r="BU88" s="97">
        <f t="shared" si="46"/>
        <v>3.1571230261198056E-7</v>
      </c>
      <c r="BV88" s="97">
        <f t="shared" si="46"/>
        <v>2.954070308638637E-7</v>
      </c>
      <c r="BW88" s="97">
        <f t="shared" si="46"/>
        <v>2.6427499149156866E-7</v>
      </c>
      <c r="BX88" s="97">
        <f t="shared" si="46"/>
        <v>2.2569701499433244E-7</v>
      </c>
      <c r="BY88" s="97">
        <f t="shared" si="46"/>
        <v>1.8403365216157323E-7</v>
      </c>
      <c r="BZ88" s="97">
        <f t="shared" si="45"/>
        <v>1.4330560006868863E-7</v>
      </c>
      <c r="CA88" s="97">
        <f t="shared" si="45"/>
        <v>1.0643890572341113E-7</v>
      </c>
      <c r="CB88" s="97">
        <f t="shared" si="45"/>
        <v>7.5137294724109489E-8</v>
      </c>
      <c r="CC88" s="97">
        <f t="shared" si="40"/>
        <v>5.0104297307223147E-8</v>
      </c>
      <c r="CD88" s="97">
        <f t="shared" si="40"/>
        <v>3.1309290248852515E-8</v>
      </c>
      <c r="CE88" s="97">
        <f t="shared" si="40"/>
        <v>1.8171547664950477E-8</v>
      </c>
      <c r="CF88" s="97">
        <f t="shared" ref="CF88:CU101" si="48">$H$2*$L88*CF$1+$I$2*$M88*CF$2+$J$2*$N88*CF$3</f>
        <v>9.7108070360602685E-9</v>
      </c>
      <c r="CG88" s="97">
        <f t="shared" si="48"/>
        <v>4.7413549507129932E-9</v>
      </c>
      <c r="CH88" s="97">
        <f t="shared" si="48"/>
        <v>2.1018335488251809E-9</v>
      </c>
      <c r="CI88" s="97">
        <f t="shared" si="48"/>
        <v>8.4228122856419262E-10</v>
      </c>
      <c r="CJ88" s="97">
        <f t="shared" si="48"/>
        <v>3.0482456324838033E-10</v>
      </c>
      <c r="CK88" s="97">
        <f t="shared" si="48"/>
        <v>1.0035536102505723E-10</v>
      </c>
      <c r="CL88" s="97">
        <f t="shared" si="48"/>
        <v>3.1043127317140128E-11</v>
      </c>
      <c r="CM88" s="97">
        <f t="shared" si="48"/>
        <v>9.9994488283105742E-12</v>
      </c>
      <c r="CN88" s="97">
        <f t="shared" si="48"/>
        <v>4.133470421128321E-12</v>
      </c>
      <c r="CO88" s="97">
        <f t="shared" si="48"/>
        <v>2.489450845086662E-12</v>
      </c>
      <c r="CP88" s="97">
        <f t="shared" si="48"/>
        <v>1.9114138493709829E-12</v>
      </c>
      <c r="CQ88" s="97">
        <f t="shared" si="48"/>
        <v>1.6090738501971452E-12</v>
      </c>
      <c r="CR88" s="97">
        <f t="shared" si="48"/>
        <v>1.4076438588627021E-12</v>
      </c>
      <c r="CS88" s="97">
        <f t="shared" si="48"/>
        <v>1.2647243961732183E-12</v>
      </c>
      <c r="CT88" s="97">
        <f t="shared" si="48"/>
        <v>1.1573691459004766E-12</v>
      </c>
      <c r="CU88" s="97">
        <f t="shared" si="48"/>
        <v>1.0633468826396484E-12</v>
      </c>
      <c r="CV88" s="97">
        <f t="shared" si="44"/>
        <v>9.6348351423562067E-13</v>
      </c>
      <c r="CW88" s="97">
        <f t="shared" si="44"/>
        <v>8.4663945388198406E-13</v>
      </c>
      <c r="CX88" s="97">
        <f t="shared" si="44"/>
        <v>7.1204322608516353E-13</v>
      </c>
      <c r="CY88" s="97">
        <f t="shared" si="44"/>
        <v>5.6778604282778609E-13</v>
      </c>
      <c r="CZ88" s="97">
        <f t="shared" si="44"/>
        <v>4.2651911462170441E-13</v>
      </c>
      <c r="DA88" s="97">
        <f t="shared" si="44"/>
        <v>3.0048907617105044E-13</v>
      </c>
      <c r="DB88" s="97">
        <f t="shared" si="44"/>
        <v>1.9789131258440363E-13</v>
      </c>
      <c r="DC88" s="97">
        <f t="shared" si="44"/>
        <v>1.2150230398305666E-13</v>
      </c>
      <c r="DD88" s="97">
        <f t="shared" si="44"/>
        <v>6.9390701187591226E-14</v>
      </c>
      <c r="DE88" s="97">
        <f t="shared" si="44"/>
        <v>3.6783976100088424E-14</v>
      </c>
      <c r="DF88" s="97">
        <f t="shared" si="44"/>
        <v>1.8063333935886712E-14</v>
      </c>
      <c r="DG88" s="97">
        <f t="shared" si="44"/>
        <v>8.2019837153779032E-15</v>
      </c>
      <c r="DH88" s="97">
        <f t="shared" si="44"/>
        <v>3.4378567743272314E-15</v>
      </c>
      <c r="DI88" s="97">
        <f t="shared" si="44"/>
        <v>1.3281428390685466E-15</v>
      </c>
      <c r="DJ88" s="97">
        <f t="shared" si="44"/>
        <v>4.7229003540913967E-16</v>
      </c>
      <c r="DK88" s="97">
        <f t="shared" si="44"/>
        <v>1.544107107366341E-16</v>
      </c>
      <c r="DL88" s="97">
        <f t="shared" si="42"/>
        <v>4.6368550319633082E-17</v>
      </c>
    </row>
    <row r="89" spans="1:116" x14ac:dyDescent="0.25">
      <c r="A89" s="60">
        <v>6.3</v>
      </c>
      <c r="B89" s="25">
        <v>2.2999999999999998</v>
      </c>
      <c r="C89" s="25">
        <v>4.4000000000000004</v>
      </c>
      <c r="D89" s="57">
        <v>1.3</v>
      </c>
      <c r="E89" s="82" t="s">
        <v>6</v>
      </c>
      <c r="L89" s="97" cm="1">
        <f t="array" ref="L89">EstymacjaGaussowska($O89,$D$2:$D$51,H$9)</f>
        <v>0.4775459127307618</v>
      </c>
      <c r="M89" s="97" cm="1">
        <f t="array" ref="M89">EstymacjaGaussowska($O89,$D$52:$D$101,I$9)</f>
        <v>2.3763116927685203E-7</v>
      </c>
      <c r="N89" s="97" cm="1">
        <f t="array" ref="N89">EstymacjaGaussowska($O89,$D$102:$D$151,J$9)</f>
        <v>2.5825442642643743E-12</v>
      </c>
      <c r="O89" s="97">
        <v>0.48000000000002002</v>
      </c>
      <c r="P89" s="97">
        <f t="shared" si="43"/>
        <v>1.033152280819662E-33</v>
      </c>
      <c r="Q89" s="97">
        <f t="shared" si="43"/>
        <v>5.2566580447852248E-29</v>
      </c>
      <c r="R89" s="97">
        <f t="shared" si="43"/>
        <v>1.0840360489146645E-24</v>
      </c>
      <c r="S89" s="97">
        <f t="shared" si="43"/>
        <v>9.0608261042333492E-21</v>
      </c>
      <c r="T89" s="97">
        <f t="shared" si="43"/>
        <v>3.0696330252970565E-17</v>
      </c>
      <c r="U89" s="97">
        <f t="shared" si="43"/>
        <v>4.2151563682814061E-14</v>
      </c>
      <c r="V89" s="97">
        <f t="shared" si="43"/>
        <v>2.3463495167039661E-11</v>
      </c>
      <c r="W89" s="97">
        <f t="shared" si="43"/>
        <v>5.2961116888386046E-9</v>
      </c>
      <c r="X89" s="97">
        <f t="shared" si="43"/>
        <v>4.8519929294671105E-7</v>
      </c>
      <c r="Y89" s="97">
        <f t="shared" si="43"/>
        <v>1.8095023872812495E-5</v>
      </c>
      <c r="Z89" s="97">
        <f t="shared" si="43"/>
        <v>2.7721794830105895E-4</v>
      </c>
      <c r="AA89" s="97">
        <f t="shared" si="43"/>
        <v>1.7942276157699077E-3</v>
      </c>
      <c r="AB89" s="97">
        <f t="shared" si="43"/>
        <v>5.3431456323607823E-3</v>
      </c>
      <c r="AC89" s="97">
        <f t="shared" si="43"/>
        <v>9.3161992031372126E-3</v>
      </c>
      <c r="AD89" s="97">
        <f t="shared" si="43"/>
        <v>1.5258674576653117E-2</v>
      </c>
      <c r="AE89" s="97">
        <f t="shared" si="43"/>
        <v>3.0806001732492698E-2</v>
      </c>
      <c r="AF89" s="97">
        <f t="shared" si="41"/>
        <v>6.0303735275629461E-2</v>
      </c>
      <c r="AG89" s="97">
        <f t="shared" si="41"/>
        <v>9.3972068974486733E-2</v>
      </c>
      <c r="AH89" s="97">
        <f t="shared" si="41"/>
        <v>0.11166493616611657</v>
      </c>
      <c r="AI89" s="97">
        <f t="shared" si="41"/>
        <v>0.10156652253038932</v>
      </c>
      <c r="AJ89" s="97">
        <f t="shared" si="41"/>
        <v>7.3252751255124399E-2</v>
      </c>
      <c r="AK89" s="97">
        <f t="shared" si="41"/>
        <v>4.4286353388052535E-2</v>
      </c>
      <c r="AL89" s="97">
        <f t="shared" si="41"/>
        <v>2.202500318119532E-2</v>
      </c>
      <c r="AM89" s="97">
        <f t="shared" si="41"/>
        <v>1.2124894104766356E-2</v>
      </c>
      <c r="AN89" s="97">
        <f t="shared" si="41"/>
        <v>9.4191052796046004E-3</v>
      </c>
      <c r="AO89" s="97">
        <f t="shared" si="41"/>
        <v>4.5024393006246437E-3</v>
      </c>
      <c r="AP89" s="97">
        <f t="shared" si="41"/>
        <v>9.2108393299012716E-4</v>
      </c>
      <c r="AQ89" s="97">
        <f t="shared" si="41"/>
        <v>7.6811653223159544E-5</v>
      </c>
      <c r="AR89" s="97">
        <f t="shared" si="41"/>
        <v>2.5977863205006395E-6</v>
      </c>
      <c r="AS89" s="97">
        <f t="shared" si="41"/>
        <v>3.5644318172981426E-8</v>
      </c>
      <c r="AT89" s="97">
        <f t="shared" si="41"/>
        <v>2.8659141451834176E-10</v>
      </c>
      <c r="AU89" s="97">
        <f t="shared" si="47"/>
        <v>2.1413269535629869E-10</v>
      </c>
      <c r="AV89" s="97">
        <f t="shared" si="47"/>
        <v>4.5906145623410838E-10</v>
      </c>
      <c r="AW89" s="97">
        <f t="shared" si="47"/>
        <v>8.8413459347611589E-10</v>
      </c>
      <c r="AX89" s="97">
        <f t="shared" si="47"/>
        <v>1.5380767622638672E-9</v>
      </c>
      <c r="AY89" s="97">
        <f t="shared" si="47"/>
        <v>2.4425333025150162E-9</v>
      </c>
      <c r="AZ89" s="97">
        <f t="shared" si="47"/>
        <v>3.5898457745967621E-9</v>
      </c>
      <c r="BA89" s="97">
        <f t="shared" si="47"/>
        <v>4.9606895292125517E-9</v>
      </c>
      <c r="BB89" s="97">
        <f t="shared" si="47"/>
        <v>6.5433809878314512E-9</v>
      </c>
      <c r="BC89" s="97">
        <f t="shared" si="47"/>
        <v>8.3306757710064704E-9</v>
      </c>
      <c r="BD89" s="97">
        <f t="shared" si="47"/>
        <v>1.0294499511174244E-8</v>
      </c>
      <c r="BE89" s="97">
        <f t="shared" si="47"/>
        <v>1.2373168898466507E-8</v>
      </c>
      <c r="BF89" s="97">
        <f t="shared" si="47"/>
        <v>1.4508239110405085E-8</v>
      </c>
      <c r="BG89" s="97">
        <f t="shared" si="47"/>
        <v>1.6726699026011463E-8</v>
      </c>
      <c r="BH89" s="97">
        <f t="shared" si="47"/>
        <v>1.9210866349398119E-8</v>
      </c>
      <c r="BI89" s="97">
        <f t="shared" si="47"/>
        <v>2.2278786670949166E-8</v>
      </c>
      <c r="BJ89" s="97">
        <f t="shared" si="47"/>
        <v>2.6238444042574866E-8</v>
      </c>
      <c r="BK89" s="97">
        <f t="shared" si="46"/>
        <v>3.1170534269278946E-8</v>
      </c>
      <c r="BL89" s="97">
        <f t="shared" si="46"/>
        <v>3.678144035008657E-8</v>
      </c>
      <c r="BM89" s="97">
        <f t="shared" si="46"/>
        <v>4.2465334067646067E-8</v>
      </c>
      <c r="BN89" s="97">
        <f t="shared" si="46"/>
        <v>4.7582875955309572E-8</v>
      </c>
      <c r="BO89" s="97">
        <f t="shared" si="46"/>
        <v>5.1783774538620221E-8</v>
      </c>
      <c r="BP89" s="97">
        <f t="shared" si="46"/>
        <v>5.5130595977656478E-8</v>
      </c>
      <c r="BQ89" s="97">
        <f t="shared" si="46"/>
        <v>5.7911211338920176E-8</v>
      </c>
      <c r="BR89" s="97">
        <f t="shared" si="46"/>
        <v>6.0270261944989969E-8</v>
      </c>
      <c r="BS89" s="97">
        <f t="shared" si="46"/>
        <v>6.1943263198939242E-8</v>
      </c>
      <c r="BT89" s="97">
        <f t="shared" si="46"/>
        <v>6.2303434354082309E-8</v>
      </c>
      <c r="BU89" s="97">
        <f t="shared" si="46"/>
        <v>6.0690485710844299E-8</v>
      </c>
      <c r="BV89" s="97">
        <f t="shared" si="46"/>
        <v>5.6787143592899426E-8</v>
      </c>
      <c r="BW89" s="97">
        <f t="shared" si="46"/>
        <v>5.0802536479596572E-8</v>
      </c>
      <c r="BX89" s="97">
        <f t="shared" si="46"/>
        <v>4.3386572204504623E-8</v>
      </c>
      <c r="BY89" s="97">
        <f t="shared" si="46"/>
        <v>3.5377493215374387E-8</v>
      </c>
      <c r="BZ89" s="97">
        <f t="shared" si="45"/>
        <v>2.7548210637853049E-8</v>
      </c>
      <c r="CA89" s="97">
        <f t="shared" si="45"/>
        <v>2.0461207586567745E-8</v>
      </c>
      <c r="CB89" s="97">
        <f t="shared" si="45"/>
        <v>1.4443996783581114E-8</v>
      </c>
      <c r="CC89" s="97">
        <f t="shared" si="45"/>
        <v>9.6318206652413567E-9</v>
      </c>
      <c r="CD89" s="97">
        <f t="shared" si="45"/>
        <v>6.0187932666484883E-9</v>
      </c>
      <c r="CE89" s="97">
        <f t="shared" si="45"/>
        <v>3.4932804825187685E-9</v>
      </c>
      <c r="CF89" s="97">
        <f t="shared" si="45"/>
        <v>1.8668434851700016E-9</v>
      </c>
      <c r="CG89" s="97">
        <f t="shared" si="45"/>
        <v>9.1154835228278855E-10</v>
      </c>
      <c r="CH89" s="97">
        <f t="shared" si="45"/>
        <v>4.0414272375768432E-10</v>
      </c>
      <c r="CI89" s="97">
        <f t="shared" si="45"/>
        <v>1.6201163578168996E-10</v>
      </c>
      <c r="CJ89" s="97">
        <f t="shared" si="45"/>
        <v>5.8689525520196888E-11</v>
      </c>
      <c r="CK89" s="97">
        <f t="shared" si="45"/>
        <v>1.9376912134550584E-11</v>
      </c>
      <c r="CL89" s="97">
        <f t="shared" si="45"/>
        <v>6.04463079978807E-12</v>
      </c>
      <c r="CM89" s="97">
        <f t="shared" si="45"/>
        <v>1.990471696014693E-12</v>
      </c>
      <c r="CN89" s="97">
        <f t="shared" si="45"/>
        <v>8.5393648580146669E-13</v>
      </c>
      <c r="CO89" s="97">
        <f t="shared" si="45"/>
        <v>5.2956415722671602E-13</v>
      </c>
      <c r="CP89" s="97">
        <f t="shared" si="48"/>
        <v>4.1114474628046274E-13</v>
      </c>
      <c r="CQ89" s="97">
        <f t="shared" si="48"/>
        <v>3.4705815194348264E-13</v>
      </c>
      <c r="CR89" s="97">
        <f t="shared" si="48"/>
        <v>3.0377420593734025E-13</v>
      </c>
      <c r="CS89" s="97">
        <f t="shared" si="48"/>
        <v>2.7295585013687881E-13</v>
      </c>
      <c r="CT89" s="97">
        <f t="shared" si="48"/>
        <v>2.4978932430470971E-13</v>
      </c>
      <c r="CU89" s="97">
        <f t="shared" si="48"/>
        <v>2.2949731418841982E-13</v>
      </c>
      <c r="CV89" s="97">
        <f t="shared" si="44"/>
        <v>2.0794429306418856E-13</v>
      </c>
      <c r="CW89" s="97">
        <f t="shared" si="44"/>
        <v>1.8272637047519275E-13</v>
      </c>
      <c r="CX89" s="97">
        <f t="shared" si="44"/>
        <v>1.5367707459542925E-13</v>
      </c>
      <c r="CY89" s="97">
        <f t="shared" si="44"/>
        <v>1.2254269807151016E-13</v>
      </c>
      <c r="CZ89" s="97">
        <f t="shared" si="44"/>
        <v>9.2053694777291989E-14</v>
      </c>
      <c r="DA89" s="97">
        <f t="shared" si="44"/>
        <v>6.4853200603474302E-14</v>
      </c>
      <c r="DB89" s="97">
        <f t="shared" si="44"/>
        <v>4.2709988516907499E-14</v>
      </c>
      <c r="DC89" s="97">
        <f t="shared" si="44"/>
        <v>2.6223293686431171E-14</v>
      </c>
      <c r="DD89" s="97">
        <f t="shared" si="44"/>
        <v>1.4976281738684896E-14</v>
      </c>
      <c r="DE89" s="97">
        <f t="shared" si="44"/>
        <v>7.9389194822329932E-15</v>
      </c>
      <c r="DF89" s="97">
        <f t="shared" si="44"/>
        <v>3.8985278075293944E-15</v>
      </c>
      <c r="DG89" s="97">
        <f t="shared" si="44"/>
        <v>1.7701971133788021E-15</v>
      </c>
      <c r="DH89" s="97">
        <f t="shared" si="44"/>
        <v>7.4197710569868277E-16</v>
      </c>
      <c r="DI89" s="97">
        <f t="shared" si="44"/>
        <v>2.8664707239857558E-16</v>
      </c>
      <c r="DJ89" s="97">
        <f t="shared" si="44"/>
        <v>1.0193222595545116E-16</v>
      </c>
      <c r="DK89" s="97">
        <f t="shared" si="44"/>
        <v>3.3325766534780909E-17</v>
      </c>
      <c r="DL89" s="97">
        <f t="shared" si="42"/>
        <v>1.0007514861737608E-17</v>
      </c>
    </row>
    <row r="90" spans="1:116" x14ac:dyDescent="0.25">
      <c r="A90" s="60">
        <v>5.6</v>
      </c>
      <c r="B90" s="25">
        <v>3</v>
      </c>
      <c r="C90" s="25">
        <v>4.0999999999999996</v>
      </c>
      <c r="D90" s="57">
        <v>1.3</v>
      </c>
      <c r="E90" s="82" t="s">
        <v>6</v>
      </c>
      <c r="L90" s="97" cm="1">
        <f t="array" ref="L90">EstymacjaGaussowska($O90,$D$2:$D$51,H$9)</f>
        <v>0.79075357797257873</v>
      </c>
      <c r="M90" s="97" cm="1">
        <f t="array" ref="M90">EstymacjaGaussowska($O90,$D$52:$D$101,I$9)</f>
        <v>4.1422544305052841E-8</v>
      </c>
      <c r="N90" s="97" cm="1">
        <f t="array" ref="N90">EstymacjaGaussowska($O90,$D$102:$D$151,J$9)</f>
        <v>5.2991014217262604E-13</v>
      </c>
      <c r="O90" s="97">
        <v>0.45000000000002</v>
      </c>
      <c r="P90" s="97">
        <f t="shared" si="43"/>
        <v>1.7107650612627879E-33</v>
      </c>
      <c r="Q90" s="97">
        <f t="shared" si="43"/>
        <v>8.7043382558187586E-29</v>
      </c>
      <c r="R90" s="97">
        <f t="shared" si="43"/>
        <v>1.7950219266431386E-24</v>
      </c>
      <c r="S90" s="97">
        <f t="shared" si="43"/>
        <v>1.5003543052727141E-20</v>
      </c>
      <c r="T90" s="97">
        <f t="shared" si="43"/>
        <v>5.0829108429307241E-17</v>
      </c>
      <c r="U90" s="97">
        <f t="shared" si="43"/>
        <v>6.9797476872378496E-14</v>
      </c>
      <c r="V90" s="97">
        <f t="shared" si="43"/>
        <v>3.8852479438012681E-11</v>
      </c>
      <c r="W90" s="97">
        <f t="shared" si="43"/>
        <v>8.7696683306190353E-9</v>
      </c>
      <c r="X90" s="97">
        <f t="shared" si="43"/>
        <v>8.0342657470024314E-7</v>
      </c>
      <c r="Y90" s="97">
        <f t="shared" si="43"/>
        <v>2.9962993064067727E-5</v>
      </c>
      <c r="Z90" s="97">
        <f t="shared" si="43"/>
        <v>4.5903666779129141E-4</v>
      </c>
      <c r="AA90" s="97">
        <f t="shared" si="43"/>
        <v>2.9710062824203718E-3</v>
      </c>
      <c r="AB90" s="97">
        <f t="shared" si="43"/>
        <v>8.8475503899872014E-3</v>
      </c>
      <c r="AC90" s="97">
        <f t="shared" si="43"/>
        <v>1.54264075067886E-2</v>
      </c>
      <c r="AD90" s="97">
        <f t="shared" si="43"/>
        <v>2.5266369567715989E-2</v>
      </c>
      <c r="AE90" s="97">
        <f t="shared" si="43"/>
        <v>5.1010710056547157E-2</v>
      </c>
      <c r="AF90" s="97">
        <f t="shared" si="41"/>
        <v>9.985509908698563E-2</v>
      </c>
      <c r="AG90" s="97">
        <f t="shared" si="41"/>
        <v>0.15560545654372773</v>
      </c>
      <c r="AH90" s="97">
        <f t="shared" si="41"/>
        <v>0.18490253073785412</v>
      </c>
      <c r="AI90" s="97">
        <f t="shared" si="41"/>
        <v>0.16818087842879015</v>
      </c>
      <c r="AJ90" s="97">
        <f t="shared" si="41"/>
        <v>0.12129697607522545</v>
      </c>
      <c r="AK90" s="97">
        <f t="shared" si="41"/>
        <v>7.3332409436209264E-2</v>
      </c>
      <c r="AL90" s="97">
        <f t="shared" si="41"/>
        <v>3.6470524835600815E-2</v>
      </c>
      <c r="AM90" s="97">
        <f t="shared" si="41"/>
        <v>2.0077238942433566E-2</v>
      </c>
      <c r="AN90" s="97">
        <f t="shared" si="41"/>
        <v>1.5596806511295939E-2</v>
      </c>
      <c r="AO90" s="97">
        <f t="shared" si="41"/>
        <v>7.4554506520340593E-3</v>
      </c>
      <c r="AP90" s="97">
        <f t="shared" si="41"/>
        <v>1.5251945323842473E-3</v>
      </c>
      <c r="AQ90" s="97">
        <f t="shared" si="41"/>
        <v>1.2719004768960612E-4</v>
      </c>
      <c r="AR90" s="97">
        <f t="shared" si="41"/>
        <v>4.3015785162530808E-6</v>
      </c>
      <c r="AS90" s="97">
        <f t="shared" si="41"/>
        <v>5.8973804545573643E-8</v>
      </c>
      <c r="AT90" s="97">
        <f t="shared" si="41"/>
        <v>3.4310637943769396E-10</v>
      </c>
      <c r="AU90" s="97">
        <f t="shared" si="47"/>
        <v>3.7986593304954286E-11</v>
      </c>
      <c r="AV90" s="97">
        <f t="shared" si="47"/>
        <v>8.0021643452336607E-11</v>
      </c>
      <c r="AW90" s="97">
        <f t="shared" si="47"/>
        <v>1.5411742716377582E-10</v>
      </c>
      <c r="AX90" s="97">
        <f t="shared" si="47"/>
        <v>2.6810899017724724E-10</v>
      </c>
      <c r="AY90" s="97">
        <f t="shared" si="47"/>
        <v>4.2576882589893285E-10</v>
      </c>
      <c r="AZ90" s="97">
        <f t="shared" si="47"/>
        <v>6.2576195748673513E-10</v>
      </c>
      <c r="BA90" s="97">
        <f t="shared" si="47"/>
        <v>8.6471981951172274E-10</v>
      </c>
      <c r="BB90" s="97">
        <f t="shared" si="47"/>
        <v>1.140605795520112E-9</v>
      </c>
      <c r="BC90" s="97">
        <f t="shared" si="47"/>
        <v>1.4521570855633379E-9</v>
      </c>
      <c r="BD90" s="97">
        <f t="shared" si="47"/>
        <v>1.7944799219733457E-9</v>
      </c>
      <c r="BE90" s="97">
        <f t="shared" si="47"/>
        <v>2.1568220131229853E-9</v>
      </c>
      <c r="BF90" s="97">
        <f t="shared" si="47"/>
        <v>2.5289955825441698E-9</v>
      </c>
      <c r="BG90" s="97">
        <f t="shared" si="47"/>
        <v>2.9157051817635533E-9</v>
      </c>
      <c r="BH90" s="97">
        <f t="shared" si="47"/>
        <v>3.3487314198605138E-9</v>
      </c>
      <c r="BI90" s="97">
        <f t="shared" si="47"/>
        <v>3.8835142372153976E-9</v>
      </c>
      <c r="BJ90" s="97">
        <f t="shared" si="47"/>
        <v>4.5737397043193493E-9</v>
      </c>
      <c r="BK90" s="97">
        <f t="shared" si="46"/>
        <v>5.433474270933724E-9</v>
      </c>
      <c r="BL90" s="97">
        <f t="shared" si="46"/>
        <v>6.4115362640582505E-9</v>
      </c>
      <c r="BM90" s="97">
        <f t="shared" si="46"/>
        <v>7.4023210936069771E-9</v>
      </c>
      <c r="BN90" s="97">
        <f t="shared" si="46"/>
        <v>8.2943826827591019E-9</v>
      </c>
      <c r="BO90" s="97">
        <f t="shared" si="46"/>
        <v>9.0266602028119091E-9</v>
      </c>
      <c r="BP90" s="97">
        <f t="shared" si="46"/>
        <v>9.6100598831946006E-9</v>
      </c>
      <c r="BQ90" s="97">
        <f t="shared" si="46"/>
        <v>1.0094761865529785E-8</v>
      </c>
      <c r="BR90" s="97">
        <f t="shared" si="46"/>
        <v>1.0505979296355616E-8</v>
      </c>
      <c r="BS90" s="97">
        <f t="shared" si="46"/>
        <v>1.0797608785317267E-8</v>
      </c>
      <c r="BT90" s="97">
        <f t="shared" si="46"/>
        <v>1.086039350066828E-8</v>
      </c>
      <c r="BU90" s="97">
        <f t="shared" si="46"/>
        <v>1.057923549729913E-8</v>
      </c>
      <c r="BV90" s="97">
        <f t="shared" si="46"/>
        <v>9.8988294111630555E-9</v>
      </c>
      <c r="BW90" s="97">
        <f t="shared" si="46"/>
        <v>8.8556292619727149E-9</v>
      </c>
      <c r="BX90" s="97">
        <f t="shared" si="46"/>
        <v>7.5629231397742931E-9</v>
      </c>
      <c r="BY90" s="97">
        <f t="shared" si="46"/>
        <v>6.1668284703600696E-9</v>
      </c>
      <c r="BZ90" s="97">
        <f t="shared" si="45"/>
        <v>4.8020744650948024E-9</v>
      </c>
      <c r="CA90" s="97">
        <f t="shared" si="45"/>
        <v>3.5667097869987192E-9</v>
      </c>
      <c r="CB90" s="97">
        <f t="shared" si="45"/>
        <v>2.5178245492306146E-9</v>
      </c>
      <c r="CC90" s="97">
        <f t="shared" si="45"/>
        <v>1.678993575707149E-9</v>
      </c>
      <c r="CD90" s="97">
        <f t="shared" si="45"/>
        <v>1.0491910957195725E-9</v>
      </c>
      <c r="CE90" s="97">
        <f t="shared" si="45"/>
        <v>6.0895790549307224E-10</v>
      </c>
      <c r="CF90" s="97">
        <f t="shared" si="45"/>
        <v>3.2544650932158747E-10</v>
      </c>
      <c r="CG90" s="97">
        <f t="shared" si="45"/>
        <v>1.5892468670207346E-10</v>
      </c>
      <c r="CH90" s="97">
        <f t="shared" si="45"/>
        <v>7.0476171156291077E-11</v>
      </c>
      <c r="CI90" s="97">
        <f t="shared" si="45"/>
        <v>2.826837219325905E-11</v>
      </c>
      <c r="CJ90" s="97">
        <f t="shared" si="45"/>
        <v>1.025643227875551E-11</v>
      </c>
      <c r="CK90" s="97">
        <f t="shared" si="45"/>
        <v>3.4017562782426495E-12</v>
      </c>
      <c r="CL90" s="97">
        <f t="shared" si="45"/>
        <v>1.0754443691643371E-12</v>
      </c>
      <c r="CM90" s="97">
        <f t="shared" si="45"/>
        <v>3.6624323239242681E-13</v>
      </c>
      <c r="CN90" s="97">
        <f t="shared" si="45"/>
        <v>1.6561548619258667E-13</v>
      </c>
      <c r="CO90" s="97">
        <f t="shared" si="45"/>
        <v>1.0671798198367874E-13</v>
      </c>
      <c r="CP90" s="97">
        <f t="shared" si="48"/>
        <v>8.4013501161825557E-14</v>
      </c>
      <c r="CQ90" s="97">
        <f t="shared" si="48"/>
        <v>7.1156981932742297E-14</v>
      </c>
      <c r="CR90" s="97">
        <f t="shared" si="48"/>
        <v>6.2323328192775189E-14</v>
      </c>
      <c r="CS90" s="97">
        <f t="shared" si="48"/>
        <v>5.6006604639990494E-14</v>
      </c>
      <c r="CT90" s="97">
        <f t="shared" si="48"/>
        <v>5.1253957930280382E-14</v>
      </c>
      <c r="CU90" s="97">
        <f t="shared" si="48"/>
        <v>4.7090355224159733E-14</v>
      </c>
      <c r="CV90" s="97">
        <f t="shared" si="44"/>
        <v>4.2667918234218197E-14</v>
      </c>
      <c r="CW90" s="97">
        <f t="shared" si="44"/>
        <v>3.7493474211742863E-14</v>
      </c>
      <c r="CX90" s="97">
        <f t="shared" si="44"/>
        <v>3.1532873051528255E-14</v>
      </c>
      <c r="CY90" s="97">
        <f t="shared" si="44"/>
        <v>2.5144435839915302E-14</v>
      </c>
      <c r="CZ90" s="97">
        <f t="shared" si="44"/>
        <v>1.8888422228381432E-14</v>
      </c>
      <c r="DA90" s="97">
        <f t="shared" si="44"/>
        <v>1.3307175109319613E-14</v>
      </c>
      <c r="DB90" s="97">
        <f t="shared" si="44"/>
        <v>8.763627559209464E-15</v>
      </c>
      <c r="DC90" s="97">
        <f t="shared" si="44"/>
        <v>5.3807361515135431E-15</v>
      </c>
      <c r="DD90" s="97">
        <f t="shared" si="44"/>
        <v>3.0729709825997406E-15</v>
      </c>
      <c r="DE90" s="97">
        <f t="shared" si="44"/>
        <v>1.628980385637431E-15</v>
      </c>
      <c r="DF90" s="97">
        <f t="shared" si="44"/>
        <v>7.9993572746769202E-16</v>
      </c>
      <c r="DG90" s="97">
        <f t="shared" si="44"/>
        <v>3.6322529569162334E-16</v>
      </c>
      <c r="DH90" s="97">
        <f t="shared" si="44"/>
        <v>1.5224567455056511E-16</v>
      </c>
      <c r="DI90" s="97">
        <f t="shared" si="44"/>
        <v>5.8816877987322098E-17</v>
      </c>
      <c r="DJ90" s="97">
        <f t="shared" si="44"/>
        <v>2.0915389949148178E-17</v>
      </c>
      <c r="DK90" s="97">
        <f t="shared" si="44"/>
        <v>6.8380867374940291E-18</v>
      </c>
      <c r="DL90" s="97">
        <f t="shared" si="42"/>
        <v>2.0534337771316393E-18</v>
      </c>
    </row>
    <row r="91" spans="1:116" x14ac:dyDescent="0.25">
      <c r="A91" s="60">
        <v>5.5</v>
      </c>
      <c r="B91" s="25">
        <v>2.5</v>
      </c>
      <c r="C91" s="25">
        <v>4</v>
      </c>
      <c r="D91" s="57">
        <v>1.3</v>
      </c>
      <c r="E91" s="82" t="s">
        <v>6</v>
      </c>
      <c r="L91" s="97" cm="1">
        <f t="array" ref="L91">EstymacjaGaussowska($O91,$D$2:$D$51,H$9)</f>
        <v>1.1284904582829616</v>
      </c>
      <c r="M91" s="97" cm="1">
        <f t="array" ref="M91">EstymacjaGaussowska($O91,$D$52:$D$101,I$9)</f>
        <v>6.5473151942546303E-9</v>
      </c>
      <c r="N91" s="97" cm="1">
        <f t="array" ref="N91">EstymacjaGaussowska($O91,$D$102:$D$151,J$9)</f>
        <v>1.0336951227959752E-13</v>
      </c>
      <c r="O91" s="97">
        <v>0.42000000000002002</v>
      </c>
      <c r="P91" s="97">
        <f t="shared" si="43"/>
        <v>2.4414458584540976E-33</v>
      </c>
      <c r="Q91" s="97">
        <f t="shared" si="43"/>
        <v>1.2422027469725152E-28</v>
      </c>
      <c r="R91" s="97">
        <f t="shared" si="43"/>
        <v>2.5616894732479158E-24</v>
      </c>
      <c r="S91" s="97">
        <f t="shared" si="43"/>
        <v>2.141167064820708E-20</v>
      </c>
      <c r="T91" s="97">
        <f t="shared" si="43"/>
        <v>7.253860806114793E-17</v>
      </c>
      <c r="U91" s="97">
        <f t="shared" si="43"/>
        <v>9.960851124398732E-14</v>
      </c>
      <c r="V91" s="97">
        <f t="shared" si="43"/>
        <v>5.5446669541282413E-11</v>
      </c>
      <c r="W91" s="97">
        <f t="shared" si="43"/>
        <v>1.2515260517421312E-8</v>
      </c>
      <c r="X91" s="97">
        <f t="shared" si="43"/>
        <v>1.1465761885071457E-6</v>
      </c>
      <c r="Y91" s="97">
        <f t="shared" si="43"/>
        <v>4.2760415780972325E-5</v>
      </c>
      <c r="Z91" s="97">
        <f t="shared" si="43"/>
        <v>6.5509472740247468E-4</v>
      </c>
      <c r="AA91" s="97">
        <f t="shared" si="43"/>
        <v>4.2399457107817062E-3</v>
      </c>
      <c r="AB91" s="97">
        <f t="shared" si="43"/>
        <v>1.2626406597966077E-2</v>
      </c>
      <c r="AC91" s="97">
        <f t="shared" si="43"/>
        <v>2.201514373368952E-2</v>
      </c>
      <c r="AD91" s="97">
        <f t="shared" si="43"/>
        <v>3.6057828591459423E-2</v>
      </c>
      <c r="AE91" s="97">
        <f t="shared" si="43"/>
        <v>7.2797773127557544E-2</v>
      </c>
      <c r="AF91" s="97">
        <f t="shared" si="41"/>
        <v>0.14250397300696194</v>
      </c>
      <c r="AG91" s="97">
        <f t="shared" si="41"/>
        <v>0.22206573306513711</v>
      </c>
      <c r="AH91" s="97">
        <f t="shared" si="41"/>
        <v>0.26387581095115348</v>
      </c>
      <c r="AI91" s="97">
        <f t="shared" si="41"/>
        <v>0.24001221348772434</v>
      </c>
      <c r="AJ91" s="97">
        <f t="shared" si="41"/>
        <v>0.17310383908780153</v>
      </c>
      <c r="AK91" s="97">
        <f t="shared" si="41"/>
        <v>0.10465324044924049</v>
      </c>
      <c r="AL91" s="97">
        <f t="shared" si="41"/>
        <v>5.2047363972818242E-2</v>
      </c>
      <c r="AM91" s="97">
        <f t="shared" si="41"/>
        <v>2.8652380724337269E-2</v>
      </c>
      <c r="AN91" s="97">
        <f t="shared" si="41"/>
        <v>2.225832145180252E-2</v>
      </c>
      <c r="AO91" s="97">
        <f t="shared" si="41"/>
        <v>1.063973045124798E-2</v>
      </c>
      <c r="AP91" s="97">
        <f t="shared" si="41"/>
        <v>2.1766167420880314E-3</v>
      </c>
      <c r="AQ91" s="97">
        <f t="shared" si="41"/>
        <v>1.8151388581744707E-4</v>
      </c>
      <c r="AR91" s="97">
        <f t="shared" si="41"/>
        <v>6.1388131145516187E-6</v>
      </c>
      <c r="AS91" s="97">
        <f t="shared" si="41"/>
        <v>8.4154720664207045E-8</v>
      </c>
      <c r="AT91" s="97">
        <f t="shared" si="41"/>
        <v>4.7002251642069245E-10</v>
      </c>
      <c r="AU91" s="97">
        <f t="shared" si="47"/>
        <v>6.9405834647412138E-12</v>
      </c>
      <c r="AV91" s="97">
        <f t="shared" si="47"/>
        <v>1.2649206694345038E-11</v>
      </c>
      <c r="AW91" s="97">
        <f t="shared" si="47"/>
        <v>2.43600532655593E-11</v>
      </c>
      <c r="AX91" s="97">
        <f t="shared" si="47"/>
        <v>4.2377746093486477E-11</v>
      </c>
      <c r="AY91" s="97">
        <f t="shared" si="47"/>
        <v>6.729771794119408E-11</v>
      </c>
      <c r="AZ91" s="97">
        <f t="shared" si="47"/>
        <v>9.8908959866567138E-11</v>
      </c>
      <c r="BA91" s="97">
        <f t="shared" si="47"/>
        <v>1.3667903090087308E-10</v>
      </c>
      <c r="BB91" s="97">
        <f t="shared" si="47"/>
        <v>1.802860201119383E-10</v>
      </c>
      <c r="BC91" s="97">
        <f t="shared" si="47"/>
        <v>2.2953032727196724E-10</v>
      </c>
      <c r="BD91" s="97">
        <f t="shared" si="47"/>
        <v>2.83638435449526E-10</v>
      </c>
      <c r="BE91" s="97">
        <f t="shared" si="47"/>
        <v>3.4091081982431986E-10</v>
      </c>
      <c r="BF91" s="97">
        <f t="shared" si="47"/>
        <v>3.9973718377692452E-10</v>
      </c>
      <c r="BG91" s="97">
        <f t="shared" si="47"/>
        <v>4.6086113647141037E-10</v>
      </c>
      <c r="BH91" s="97">
        <f t="shared" si="47"/>
        <v>5.2930597315266215E-10</v>
      </c>
      <c r="BI91" s="97">
        <f t="shared" si="47"/>
        <v>6.1383462190509646E-10</v>
      </c>
      <c r="BJ91" s="97">
        <f t="shared" si="47"/>
        <v>7.2293279164963133E-10</v>
      </c>
      <c r="BK91" s="97">
        <f t="shared" si="46"/>
        <v>8.5882384986693562E-10</v>
      </c>
      <c r="BL91" s="97">
        <f t="shared" si="46"/>
        <v>1.0134179400139081E-9</v>
      </c>
      <c r="BM91" s="97">
        <f t="shared" si="46"/>
        <v>1.1700230317132272E-9</v>
      </c>
      <c r="BN91" s="97">
        <f t="shared" si="46"/>
        <v>1.3110237815787321E-9</v>
      </c>
      <c r="BO91" s="97">
        <f t="shared" si="46"/>
        <v>1.4267688232997016E-9</v>
      </c>
      <c r="BP91" s="97">
        <f t="shared" si="46"/>
        <v>1.5189820242437701E-9</v>
      </c>
      <c r="BQ91" s="97">
        <f t="shared" si="46"/>
        <v>1.5955949539827086E-9</v>
      </c>
      <c r="BR91" s="97">
        <f t="shared" si="46"/>
        <v>1.6605928622790723E-9</v>
      </c>
      <c r="BS91" s="97">
        <f t="shared" si="46"/>
        <v>1.7066885949057892E-9</v>
      </c>
      <c r="BT91" s="97">
        <f t="shared" si="46"/>
        <v>1.7166128635273827E-9</v>
      </c>
      <c r="BU91" s="97">
        <f t="shared" si="46"/>
        <v>1.6721731191930173E-9</v>
      </c>
      <c r="BV91" s="97">
        <f t="shared" si="46"/>
        <v>1.5646277102323192E-9</v>
      </c>
      <c r="BW91" s="97">
        <f t="shared" si="46"/>
        <v>1.3997385955496156E-9</v>
      </c>
      <c r="BX91" s="97">
        <f t="shared" si="46"/>
        <v>1.1954122195559954E-9</v>
      </c>
      <c r="BY91" s="97">
        <f t="shared" si="46"/>
        <v>9.7474405888644489E-10</v>
      </c>
      <c r="BZ91" s="97">
        <f t="shared" si="45"/>
        <v>7.5902954504651366E-10</v>
      </c>
      <c r="CA91" s="97">
        <f t="shared" si="45"/>
        <v>5.6376634478297775E-10</v>
      </c>
      <c r="CB91" s="97">
        <f t="shared" si="45"/>
        <v>3.9797819429061118E-10</v>
      </c>
      <c r="CC91" s="97">
        <f t="shared" si="45"/>
        <v>2.6539139696055796E-10</v>
      </c>
      <c r="CD91" s="97">
        <f t="shared" si="45"/>
        <v>1.6584387632352769E-10</v>
      </c>
      <c r="CE91" s="97">
        <f t="shared" si="45"/>
        <v>9.6259936023853046E-11</v>
      </c>
      <c r="CF91" s="97">
        <f t="shared" si="45"/>
        <v>5.1447674910009932E-11</v>
      </c>
      <c r="CG91" s="97">
        <f t="shared" si="45"/>
        <v>2.5126941730215464E-11</v>
      </c>
      <c r="CH91" s="97">
        <f t="shared" si="45"/>
        <v>1.1146529238524523E-11</v>
      </c>
      <c r="CI91" s="97">
        <f t="shared" si="45"/>
        <v>4.4748854016720732E-12</v>
      </c>
      <c r="CJ91" s="97">
        <f t="shared" si="45"/>
        <v>1.6275433436190143E-12</v>
      </c>
      <c r="CK91" s="97">
        <f t="shared" si="45"/>
        <v>5.4360985158391977E-13</v>
      </c>
      <c r="CL91" s="97">
        <f t="shared" si="45"/>
        <v>1.7534281652737723E-13</v>
      </c>
      <c r="CM91" s="97">
        <f t="shared" si="45"/>
        <v>6.2629789755058027E-14</v>
      </c>
      <c r="CN91" s="97">
        <f t="shared" si="45"/>
        <v>3.0300102421608416E-14</v>
      </c>
      <c r="CO91" s="97">
        <f t="shared" si="45"/>
        <v>2.0411518429982908E-14</v>
      </c>
      <c r="CP91" s="97">
        <f t="shared" si="48"/>
        <v>1.6315592969229873E-14</v>
      </c>
      <c r="CQ91" s="97">
        <f t="shared" si="48"/>
        <v>1.3868968110080514E-14</v>
      </c>
      <c r="CR91" s="97">
        <f t="shared" si="48"/>
        <v>1.2155763988118585E-14</v>
      </c>
      <c r="CS91" s="97">
        <f t="shared" si="48"/>
        <v>1.092499679349742E-14</v>
      </c>
      <c r="CT91" s="97">
        <f t="shared" si="48"/>
        <v>9.9980810945739007E-15</v>
      </c>
      <c r="CU91" s="97">
        <f t="shared" si="48"/>
        <v>9.1859081035784243E-15</v>
      </c>
      <c r="CV91" s="97">
        <f t="shared" si="44"/>
        <v>8.3232258529250388E-15</v>
      </c>
      <c r="CW91" s="97">
        <f t="shared" si="44"/>
        <v>7.3138478141653993E-15</v>
      </c>
      <c r="CX91" s="97">
        <f t="shared" si="44"/>
        <v>6.1511140251239647E-15</v>
      </c>
      <c r="CY91" s="97">
        <f t="shared" si="44"/>
        <v>4.9049222923508801E-15</v>
      </c>
      <c r="CZ91" s="97">
        <f t="shared" si="44"/>
        <v>3.6845624155672876E-15</v>
      </c>
      <c r="DA91" s="97">
        <f t="shared" si="44"/>
        <v>2.5958291630911633E-15</v>
      </c>
      <c r="DB91" s="97">
        <f t="shared" si="44"/>
        <v>1.7095198496888005E-15</v>
      </c>
      <c r="DC91" s="97">
        <f t="shared" si="44"/>
        <v>1.0496196004226726E-15</v>
      </c>
      <c r="DD91" s="97">
        <f t="shared" si="44"/>
        <v>5.994441065391253E-16</v>
      </c>
      <c r="DE91" s="97">
        <f t="shared" si="44"/>
        <v>3.1776502198275982E-16</v>
      </c>
      <c r="DF91" s="97">
        <f t="shared" si="44"/>
        <v>1.560433730600748E-16</v>
      </c>
      <c r="DG91" s="97">
        <f t="shared" si="44"/>
        <v>7.0854317883624113E-17</v>
      </c>
      <c r="DH91" s="97">
        <f t="shared" si="44"/>
        <v>2.9698546739351716E-17</v>
      </c>
      <c r="DI91" s="97">
        <f t="shared" si="44"/>
        <v>1.1473401823242464E-17</v>
      </c>
      <c r="DJ91" s="97">
        <f t="shared" si="44"/>
        <v>4.0799627825895341E-18</v>
      </c>
      <c r="DK91" s="97">
        <f t="shared" si="44"/>
        <v>1.3339048165454347E-18</v>
      </c>
      <c r="DL91" s="97">
        <f t="shared" si="42"/>
        <v>4.0056309767968481E-19</v>
      </c>
    </row>
    <row r="92" spans="1:116" x14ac:dyDescent="0.25">
      <c r="A92" s="60">
        <v>5.5</v>
      </c>
      <c r="B92" s="25">
        <v>2.6</v>
      </c>
      <c r="C92" s="25">
        <v>4.4000000000000004</v>
      </c>
      <c r="D92" s="57">
        <v>1.2</v>
      </c>
      <c r="E92" s="82" t="s">
        <v>6</v>
      </c>
      <c r="L92" s="97" cm="1">
        <f t="array" ref="L92">EstymacjaGaussowska($O92,$D$2:$D$51,H$9)</f>
        <v>1.3240738022192542</v>
      </c>
      <c r="M92" s="97" cm="1">
        <f t="array" ref="M92">EstymacjaGaussowska($O92,$D$52:$D$101,I$9)</f>
        <v>9.3837120175613247E-10</v>
      </c>
      <c r="N92" s="97" cm="1">
        <f t="array" ref="N92">EstymacjaGaussowska($O92,$D$102:$D$151,J$9)</f>
        <v>1.9169243029044555E-14</v>
      </c>
      <c r="O92" s="97">
        <v>0.39000000000002</v>
      </c>
      <c r="P92" s="97">
        <f t="shared" si="43"/>
        <v>2.8645829275635746E-33</v>
      </c>
      <c r="Q92" s="97">
        <f t="shared" si="43"/>
        <v>1.457494037489403E-28</v>
      </c>
      <c r="R92" s="97">
        <f t="shared" si="43"/>
        <v>3.0056664600507576E-24</v>
      </c>
      <c r="S92" s="97">
        <f t="shared" si="43"/>
        <v>2.5122615755364424E-20</v>
      </c>
      <c r="T92" s="97">
        <f t="shared" si="43"/>
        <v>8.5110573933743762E-17</v>
      </c>
      <c r="U92" s="97">
        <f t="shared" si="43"/>
        <v>1.1687207388257358E-13</v>
      </c>
      <c r="V92" s="97">
        <f t="shared" si="43"/>
        <v>6.5056360929825298E-11</v>
      </c>
      <c r="W92" s="97">
        <f t="shared" si="43"/>
        <v>1.4684332027299645E-8</v>
      </c>
      <c r="X92" s="97">
        <f t="shared" si="43"/>
        <v>1.3452940450738396E-6</v>
      </c>
      <c r="Y92" s="97">
        <f t="shared" si="43"/>
        <v>5.0171400114214917E-5</v>
      </c>
      <c r="Z92" s="97">
        <f t="shared" si="43"/>
        <v>7.6863190127929922E-4</v>
      </c>
      <c r="AA92" s="97">
        <f t="shared" si="43"/>
        <v>4.9747882202033451E-3</v>
      </c>
      <c r="AB92" s="97">
        <f t="shared" si="43"/>
        <v>1.4814741294288567E-2</v>
      </c>
      <c r="AC92" s="97">
        <f t="shared" si="43"/>
        <v>2.5830679254676144E-2</v>
      </c>
      <c r="AD92" s="97">
        <f t="shared" si="43"/>
        <v>4.2307159845646217E-2</v>
      </c>
      <c r="AE92" s="97">
        <f t="shared" ref="AE92:AT107" si="49">$H$2*$L92*AE$1+$I$2*$M92*AE$2+$J$2*$N92*AE$3</f>
        <v>8.5414655968611378E-2</v>
      </c>
      <c r="AF92" s="97">
        <f t="shared" si="49"/>
        <v>0.16720192535590436</v>
      </c>
      <c r="AG92" s="97">
        <f t="shared" si="49"/>
        <v>0.26055286277700679</v>
      </c>
      <c r="AH92" s="97">
        <f t="shared" si="49"/>
        <v>0.30960921800915692</v>
      </c>
      <c r="AI92" s="97">
        <f t="shared" si="49"/>
        <v>0.2816097218715391</v>
      </c>
      <c r="AJ92" s="97">
        <f t="shared" si="49"/>
        <v>0.20310518065741973</v>
      </c>
      <c r="AK92" s="97">
        <f t="shared" si="49"/>
        <v>0.12279112594981864</v>
      </c>
      <c r="AL92" s="97">
        <f t="shared" si="49"/>
        <v>6.1067907668297686E-2</v>
      </c>
      <c r="AM92" s="97">
        <f t="shared" si="49"/>
        <v>3.3618243211405191E-2</v>
      </c>
      <c r="AN92" s="97">
        <f t="shared" si="49"/>
        <v>2.611600310785752E-2</v>
      </c>
      <c r="AO92" s="97">
        <f t="shared" si="49"/>
        <v>1.2483746096179801E-2</v>
      </c>
      <c r="AP92" s="97">
        <f t="shared" si="49"/>
        <v>2.5538551828165668E-3</v>
      </c>
      <c r="AQ92" s="97">
        <f t="shared" si="49"/>
        <v>2.1297280724544933E-4</v>
      </c>
      <c r="AR92" s="97">
        <f t="shared" si="49"/>
        <v>7.2027558749155297E-6</v>
      </c>
      <c r="AS92" s="97">
        <f t="shared" si="49"/>
        <v>9.8738993527103385E-8</v>
      </c>
      <c r="AT92" s="97">
        <f t="shared" si="49"/>
        <v>5.4896614114881241E-10</v>
      </c>
      <c r="AU92" s="97">
        <f t="shared" si="47"/>
        <v>2.0793022241591462E-12</v>
      </c>
      <c r="AV92" s="97">
        <f t="shared" si="47"/>
        <v>1.8138935490816236E-12</v>
      </c>
      <c r="AW92" s="97">
        <f t="shared" si="47"/>
        <v>3.491320362206724E-12</v>
      </c>
      <c r="AX92" s="97">
        <f t="shared" si="47"/>
        <v>6.0736432186304607E-12</v>
      </c>
      <c r="AY92" s="97">
        <f t="shared" si="47"/>
        <v>9.6452115999149785E-12</v>
      </c>
      <c r="AZ92" s="97">
        <f t="shared" si="47"/>
        <v>1.4175783016508819E-11</v>
      </c>
      <c r="BA92" s="97">
        <f t="shared" si="47"/>
        <v>1.9589047216467127E-11</v>
      </c>
      <c r="BB92" s="97">
        <f t="shared" si="47"/>
        <v>2.583886743391984E-11</v>
      </c>
      <c r="BC92" s="97">
        <f t="shared" si="47"/>
        <v>3.2896636659784441E-11</v>
      </c>
      <c r="BD92" s="97">
        <f t="shared" si="47"/>
        <v>4.0651493267678683E-11</v>
      </c>
      <c r="BE92" s="97">
        <f t="shared" si="47"/>
        <v>4.8859858768634742E-11</v>
      </c>
      <c r="BF92" s="97">
        <f t="shared" si="47"/>
        <v>5.7290942997834517E-11</v>
      </c>
      <c r="BG92" s="97">
        <f t="shared" si="47"/>
        <v>6.6051321164994771E-11</v>
      </c>
      <c r="BH92" s="97">
        <f t="shared" si="47"/>
        <v>7.5860939635292006E-11</v>
      </c>
      <c r="BI92" s="97">
        <f t="shared" si="47"/>
        <v>8.7975714698478131E-11</v>
      </c>
      <c r="BJ92" s="97">
        <f t="shared" si="47"/>
        <v>1.0361183125606888E-10</v>
      </c>
      <c r="BK92" s="97">
        <f t="shared" si="46"/>
        <v>1.2308794603659951E-10</v>
      </c>
      <c r="BL92" s="97">
        <f t="shared" si="46"/>
        <v>1.4524460901765017E-10</v>
      </c>
      <c r="BM92" s="97">
        <f t="shared" si="46"/>
        <v>1.6768949384940269E-10</v>
      </c>
      <c r="BN92" s="97">
        <f t="shared" si="46"/>
        <v>1.8789794398637708E-10</v>
      </c>
      <c r="BO92" s="97">
        <f t="shared" si="46"/>
        <v>2.0448671272359756E-10</v>
      </c>
      <c r="BP92" s="97">
        <f t="shared" si="46"/>
        <v>2.1770286977808016E-10</v>
      </c>
      <c r="BQ92" s="97">
        <f t="shared" si="46"/>
        <v>2.2868318295399272E-10</v>
      </c>
      <c r="BR92" s="97">
        <f t="shared" si="46"/>
        <v>2.3799882844037708E-10</v>
      </c>
      <c r="BS92" s="97">
        <f t="shared" si="46"/>
        <v>2.4460540531878657E-10</v>
      </c>
      <c r="BT92" s="97">
        <f t="shared" si="46"/>
        <v>2.4602785848632473E-10</v>
      </c>
      <c r="BU92" s="97">
        <f t="shared" si="46"/>
        <v>2.3965880868322793E-10</v>
      </c>
      <c r="BV92" s="97">
        <f t="shared" si="46"/>
        <v>2.2424539011094854E-10</v>
      </c>
      <c r="BW92" s="97">
        <f t="shared" si="46"/>
        <v>2.0061341036856796E-10</v>
      </c>
      <c r="BX92" s="97">
        <f t="shared" si="46"/>
        <v>1.7132923580950316E-10</v>
      </c>
      <c r="BY92" s="97">
        <f t="shared" si="46"/>
        <v>1.3970292695075541E-10</v>
      </c>
      <c r="BZ92" s="97">
        <f t="shared" si="45"/>
        <v>1.0878655791738891E-10</v>
      </c>
      <c r="CA92" s="97">
        <f t="shared" si="45"/>
        <v>8.0801263404023866E-11</v>
      </c>
      <c r="CB92" s="97">
        <f t="shared" si="45"/>
        <v>5.7040334475946693E-11</v>
      </c>
      <c r="CC92" s="97">
        <f t="shared" si="45"/>
        <v>3.8037836861422184E-11</v>
      </c>
      <c r="CD92" s="97">
        <f t="shared" si="45"/>
        <v>2.3770554508577048E-11</v>
      </c>
      <c r="CE92" s="97">
        <f t="shared" si="45"/>
        <v>1.3797686637554627E-11</v>
      </c>
      <c r="CF92" s="97">
        <f t="shared" si="45"/>
        <v>7.3751282310405729E-12</v>
      </c>
      <c r="CG92" s="97">
        <f t="shared" si="45"/>
        <v>3.6027958986338175E-12</v>
      </c>
      <c r="CH92" s="97">
        <f t="shared" si="45"/>
        <v>1.5990807015911492E-12</v>
      </c>
      <c r="CI92" s="97">
        <f t="shared" si="45"/>
        <v>6.428439024320409E-13</v>
      </c>
      <c r="CJ92" s="97">
        <f t="shared" si="45"/>
        <v>2.3468182145372824E-13</v>
      </c>
      <c r="CK92" s="97">
        <f t="shared" si="45"/>
        <v>7.9225984153118291E-14</v>
      </c>
      <c r="CL92" s="97">
        <f t="shared" si="45"/>
        <v>2.6319643070031199E-14</v>
      </c>
      <c r="CM92" s="97">
        <f t="shared" si="45"/>
        <v>1.0028775529774628E-14</v>
      </c>
      <c r="CN92" s="97">
        <f t="shared" si="45"/>
        <v>5.2579927550449552E-15</v>
      </c>
      <c r="CO92" s="97">
        <f t="shared" si="45"/>
        <v>3.7121597637574131E-15</v>
      </c>
      <c r="CP92" s="97">
        <f t="shared" si="48"/>
        <v>3.01250977151761E-15</v>
      </c>
      <c r="CQ92" s="97">
        <f t="shared" si="48"/>
        <v>2.5698253664306137E-15</v>
      </c>
      <c r="CR92" s="97">
        <f t="shared" si="48"/>
        <v>2.2539168254319261E-15</v>
      </c>
      <c r="CS92" s="97">
        <f t="shared" si="48"/>
        <v>2.0259368137585216E-15</v>
      </c>
      <c r="CT92" s="97">
        <f t="shared" si="48"/>
        <v>1.8540788177273538E-15</v>
      </c>
      <c r="CU92" s="97">
        <f t="shared" si="48"/>
        <v>1.7034700025685619E-15</v>
      </c>
      <c r="CV92" s="97">
        <f t="shared" si="44"/>
        <v>1.5434912290308344E-15</v>
      </c>
      <c r="CW92" s="97">
        <f t="shared" si="44"/>
        <v>1.3563082852770393E-15</v>
      </c>
      <c r="CX92" s="97">
        <f t="shared" si="44"/>
        <v>1.1406864270498924E-15</v>
      </c>
      <c r="CY92" s="97">
        <f t="shared" si="44"/>
        <v>9.0958780191589707E-16</v>
      </c>
      <c r="CZ92" s="97">
        <f t="shared" si="44"/>
        <v>6.8327953612269285E-16</v>
      </c>
      <c r="DA92" s="97">
        <f t="shared" si="44"/>
        <v>4.8138062173090423E-16</v>
      </c>
      <c r="DB92" s="97">
        <f t="shared" si="44"/>
        <v>3.1701998721849644E-16</v>
      </c>
      <c r="DC92" s="97">
        <f t="shared" si="44"/>
        <v>1.9464552714661589E-16</v>
      </c>
      <c r="DD92" s="97">
        <f t="shared" si="44"/>
        <v>1.1116323862974222E-16</v>
      </c>
      <c r="DE92" s="97">
        <f t="shared" si="44"/>
        <v>5.8927577369632978E-17</v>
      </c>
      <c r="DF92" s="97">
        <f t="shared" si="44"/>
        <v>2.8937287942015667E-17</v>
      </c>
      <c r="DG92" s="97">
        <f t="shared" si="44"/>
        <v>1.3139499347685778E-17</v>
      </c>
      <c r="DH92" s="97">
        <f t="shared" si="44"/>
        <v>5.5074136222701008E-18</v>
      </c>
      <c r="DI92" s="97">
        <f t="shared" si="44"/>
        <v>2.12767210630467E-18</v>
      </c>
      <c r="DJ92" s="97">
        <f t="shared" si="44"/>
        <v>7.5660411280040697E-19</v>
      </c>
      <c r="DK92" s="97">
        <f t="shared" ref="DK92:DL108" si="50">$H$2*$L92*DK$1+$I$2*$M92*DK$2+$J$2*$N92*DK$3</f>
        <v>2.4736447954605837E-19</v>
      </c>
      <c r="DL92" s="97">
        <f t="shared" si="50"/>
        <v>7.4281973461572846E-20</v>
      </c>
    </row>
    <row r="93" spans="1:116" x14ac:dyDescent="0.25">
      <c r="A93" s="60">
        <v>6.1</v>
      </c>
      <c r="B93" s="25">
        <v>3</v>
      </c>
      <c r="C93" s="25">
        <v>4.5999999999999996</v>
      </c>
      <c r="D93" s="57">
        <v>1.4</v>
      </c>
      <c r="E93" s="82" t="s">
        <v>6</v>
      </c>
      <c r="L93" s="97" cm="1">
        <f t="array" ref="L93">EstymacjaGaussowska($O93,$D$2:$D$51,H$9)</f>
        <v>1.3904046844939988</v>
      </c>
      <c r="M93" s="97" cm="1">
        <f t="array" ref="M93">EstymacjaGaussowska($O93,$D$52:$D$101,I$9)</f>
        <v>1.219453238544352E-10</v>
      </c>
      <c r="N93" s="97" cm="1">
        <f t="array" ref="N93">EstymacjaGaussowska($O93,$D$102:$D$151,J$9)</f>
        <v>3.3793118791977306E-15</v>
      </c>
      <c r="O93" s="97">
        <v>0.36000000000002003</v>
      </c>
      <c r="P93" s="97">
        <f t="shared" ref="P93:AE108" si="51">$H$2*$L93*P$1+$I$2*$M93*P$2+$J$2*$N93*P$3</f>
        <v>3.0080872493136083E-33</v>
      </c>
      <c r="Q93" s="97">
        <f t="shared" si="51"/>
        <v>1.5305087480401394E-28</v>
      </c>
      <c r="R93" s="97">
        <f t="shared" si="51"/>
        <v>3.1562385110834249E-24</v>
      </c>
      <c r="S93" s="97">
        <f t="shared" si="51"/>
        <v>2.6381159852611642E-20</v>
      </c>
      <c r="T93" s="97">
        <f t="shared" si="51"/>
        <v>8.9374278457217349E-17</v>
      </c>
      <c r="U93" s="97">
        <f t="shared" si="51"/>
        <v>1.2272690445237785E-13</v>
      </c>
      <c r="V93" s="97">
        <f t="shared" si="51"/>
        <v>6.831542837064835E-11</v>
      </c>
      <c r="W93" s="97">
        <f t="shared" si="51"/>
        <v>1.5419959223724445E-8</v>
      </c>
      <c r="X93" s="97">
        <f t="shared" si="51"/>
        <v>1.412687977934035E-6</v>
      </c>
      <c r="Y93" s="97">
        <f t="shared" si="51"/>
        <v>5.2684789646548574E-5</v>
      </c>
      <c r="Z93" s="97">
        <f t="shared" si="51"/>
        <v>8.071373320724445E-4</v>
      </c>
      <c r="AA93" s="97">
        <f t="shared" si="51"/>
        <v>5.2240055155104636E-3</v>
      </c>
      <c r="AB93" s="97">
        <f t="shared" si="51"/>
        <v>1.5556901481337969E-2</v>
      </c>
      <c r="AC93" s="97">
        <f t="shared" si="51"/>
        <v>2.7124694544342673E-2</v>
      </c>
      <c r="AD93" s="97">
        <f t="shared" si="51"/>
        <v>4.4426581915924197E-2</v>
      </c>
      <c r="AE93" s="97">
        <f t="shared" si="51"/>
        <v>8.9693593804323957E-2</v>
      </c>
      <c r="AF93" s="97">
        <f t="shared" si="49"/>
        <v>0.17557808324703122</v>
      </c>
      <c r="AG93" s="97">
        <f t="shared" si="49"/>
        <v>0.27360553494546308</v>
      </c>
      <c r="AH93" s="97">
        <f t="shared" si="49"/>
        <v>0.32511942035325592</v>
      </c>
      <c r="AI93" s="97">
        <f t="shared" si="49"/>
        <v>0.29571725974259766</v>
      </c>
      <c r="AJ93" s="97">
        <f t="shared" si="49"/>
        <v>0.21327995022464299</v>
      </c>
      <c r="AK93" s="97">
        <f t="shared" si="49"/>
        <v>0.12894247771443279</v>
      </c>
      <c r="AL93" s="97">
        <f t="shared" si="49"/>
        <v>6.4127169310300977E-2</v>
      </c>
      <c r="AM93" s="97">
        <f t="shared" si="49"/>
        <v>3.5302384781914227E-2</v>
      </c>
      <c r="AN93" s="97">
        <f t="shared" si="49"/>
        <v>2.7424311998744504E-2</v>
      </c>
      <c r="AO93" s="97">
        <f t="shared" si="49"/>
        <v>1.3109132605047162E-2</v>
      </c>
      <c r="AP93" s="97">
        <f t="shared" si="49"/>
        <v>2.6817932684356457E-3</v>
      </c>
      <c r="AQ93" s="97">
        <f t="shared" si="49"/>
        <v>2.2364190602715536E-4</v>
      </c>
      <c r="AR93" s="97">
        <f t="shared" si="49"/>
        <v>7.5635855353068754E-6</v>
      </c>
      <c r="AS93" s="97">
        <f t="shared" si="49"/>
        <v>1.0368530918621914E-7</v>
      </c>
      <c r="AT93" s="97">
        <f t="shared" si="49"/>
        <v>5.7614479823006491E-10</v>
      </c>
      <c r="AU93" s="97">
        <f t="shared" si="47"/>
        <v>1.4070334422861578E-12</v>
      </c>
      <c r="AV93" s="97">
        <f t="shared" si="47"/>
        <v>2.3676081458775147E-13</v>
      </c>
      <c r="AW93" s="97">
        <f t="shared" si="47"/>
        <v>4.5371229602009662E-13</v>
      </c>
      <c r="AX93" s="97">
        <f t="shared" si="47"/>
        <v>7.8929573706023208E-13</v>
      </c>
      <c r="AY93" s="97">
        <f t="shared" si="47"/>
        <v>1.2534362201173851E-12</v>
      </c>
      <c r="AZ93" s="97">
        <f t="shared" si="47"/>
        <v>1.8422032215005868E-12</v>
      </c>
      <c r="BA93" s="97">
        <f t="shared" si="47"/>
        <v>2.5456798997478344E-12</v>
      </c>
      <c r="BB93" s="97">
        <f t="shared" si="47"/>
        <v>3.3578705861487694E-12</v>
      </c>
      <c r="BC93" s="97">
        <f t="shared" si="47"/>
        <v>4.2750576783634307E-12</v>
      </c>
      <c r="BD93" s="97">
        <f t="shared" si="47"/>
        <v>5.2828342371565731E-12</v>
      </c>
      <c r="BE93" s="97">
        <f t="shared" si="47"/>
        <v>6.3495462033630595E-12</v>
      </c>
      <c r="BF93" s="97">
        <f t="shared" si="47"/>
        <v>7.4452014153308409E-12</v>
      </c>
      <c r="BG93" s="97">
        <f t="shared" si="47"/>
        <v>8.5836497763170641E-12</v>
      </c>
      <c r="BH93" s="97">
        <f t="shared" si="47"/>
        <v>9.8584513804069023E-12</v>
      </c>
      <c r="BI93" s="97">
        <f t="shared" si="47"/>
        <v>1.1432817898559282E-11</v>
      </c>
      <c r="BJ93" s="97">
        <f t="shared" si="47"/>
        <v>1.3464797756429454E-11</v>
      </c>
      <c r="BK93" s="97">
        <f t="shared" si="46"/>
        <v>1.5995801812651601E-11</v>
      </c>
      <c r="BL93" s="97">
        <f t="shared" si="46"/>
        <v>1.8875154725441922E-11</v>
      </c>
      <c r="BM93" s="97">
        <f t="shared" si="46"/>
        <v>2.1791963708300915E-11</v>
      </c>
      <c r="BN93" s="97">
        <f t="shared" si="46"/>
        <v>2.44181391920542E-11</v>
      </c>
      <c r="BO93" s="97">
        <f t="shared" si="46"/>
        <v>2.6573922766327863E-11</v>
      </c>
      <c r="BP93" s="97">
        <f t="shared" si="46"/>
        <v>2.8291422683241548E-11</v>
      </c>
      <c r="BQ93" s="97">
        <f t="shared" si="46"/>
        <v>2.9718367391147871E-11</v>
      </c>
      <c r="BR93" s="97">
        <f t="shared" si="46"/>
        <v>3.0928984501247087E-11</v>
      </c>
      <c r="BS93" s="97">
        <f t="shared" si="46"/>
        <v>3.1787550726510394E-11</v>
      </c>
      <c r="BT93" s="97">
        <f t="shared" si="46"/>
        <v>3.1972423294051072E-11</v>
      </c>
      <c r="BU93" s="97">
        <f t="shared" si="46"/>
        <v>3.1144763133150673E-11</v>
      </c>
      <c r="BV93" s="97">
        <f t="shared" si="46"/>
        <v>2.9141755226234092E-11</v>
      </c>
      <c r="BW93" s="97">
        <f t="shared" si="46"/>
        <v>2.6070715730105542E-11</v>
      </c>
      <c r="BX93" s="97">
        <f t="shared" si="46"/>
        <v>2.2265152288877317E-11</v>
      </c>
      <c r="BY93" s="97">
        <f t="shared" si="46"/>
        <v>1.8155217568949783E-11</v>
      </c>
      <c r="BZ93" s="97">
        <f t="shared" si="45"/>
        <v>1.4137537568880781E-11</v>
      </c>
      <c r="CA93" s="97">
        <f t="shared" si="45"/>
        <v>1.0500755210476771E-11</v>
      </c>
      <c r="CB93" s="97">
        <f t="shared" si="45"/>
        <v>7.412938228906429E-12</v>
      </c>
      <c r="CC93" s="97">
        <f t="shared" si="45"/>
        <v>4.943492007470243E-12</v>
      </c>
      <c r="CD93" s="97">
        <f t="shared" si="45"/>
        <v>3.0894021723900369E-12</v>
      </c>
      <c r="CE93" s="97">
        <f t="shared" si="45"/>
        <v>1.7933873832610429E-12</v>
      </c>
      <c r="CF93" s="97">
        <f t="shared" si="45"/>
        <v>9.5874929197524858E-13</v>
      </c>
      <c r="CG93" s="97">
        <f t="shared" si="45"/>
        <v>4.685177218272896E-13</v>
      </c>
      <c r="CH93" s="97">
        <f t="shared" si="45"/>
        <v>2.0812210567717162E-13</v>
      </c>
      <c r="CI93" s="97">
        <f t="shared" si="45"/>
        <v>8.3845560376542326E-14</v>
      </c>
      <c r="CJ93" s="97">
        <f t="shared" si="45"/>
        <v>3.0787523794229714E-14</v>
      </c>
      <c r="CK93" s="97">
        <f t="shared" si="45"/>
        <v>1.0563992400344796E-14</v>
      </c>
      <c r="CL93" s="97">
        <f t="shared" si="45"/>
        <v>3.6629378879062321E-15</v>
      </c>
      <c r="CM93" s="97">
        <f t="shared" si="45"/>
        <v>1.5179928385725908E-15</v>
      </c>
      <c r="CN93" s="97">
        <f t="shared" si="45"/>
        <v>8.7001382372186608E-16</v>
      </c>
      <c r="CO93" s="97">
        <f t="shared" si="45"/>
        <v>6.4289655813738825E-16</v>
      </c>
      <c r="CP93" s="97">
        <f t="shared" si="48"/>
        <v>5.2900208748752006E-16</v>
      </c>
      <c r="CQ93" s="97">
        <f t="shared" si="48"/>
        <v>4.5270049297294514E-16</v>
      </c>
      <c r="CR93" s="97">
        <f t="shared" si="48"/>
        <v>3.972924691109715E-16</v>
      </c>
      <c r="CS93" s="97">
        <f t="shared" si="48"/>
        <v>3.5714298689203513E-16</v>
      </c>
      <c r="CT93" s="97">
        <f t="shared" si="48"/>
        <v>3.2685162327311729E-16</v>
      </c>
      <c r="CU93" s="97">
        <f t="shared" si="48"/>
        <v>3.0030164428604269E-16</v>
      </c>
      <c r="CV93" s="97">
        <f t="shared" ref="CV93:DK108" si="52">$H$2*$L93*CV$1+$I$2*$M93*CV$2+$J$2*$N93*CV$3</f>
        <v>2.7209932767446906E-16</v>
      </c>
      <c r="CW93" s="97">
        <f t="shared" si="52"/>
        <v>2.3910118335079148E-16</v>
      </c>
      <c r="CX93" s="97">
        <f t="shared" si="52"/>
        <v>2.0108958851308461E-16</v>
      </c>
      <c r="CY93" s="97">
        <f t="shared" si="52"/>
        <v>1.6034962150030024E-16</v>
      </c>
      <c r="CZ93" s="97">
        <f t="shared" si="52"/>
        <v>1.2045413842016755E-16</v>
      </c>
      <c r="DA93" s="97">
        <f t="shared" si="52"/>
        <v>8.4861736635399716E-17</v>
      </c>
      <c r="DB93" s="97">
        <f t="shared" si="52"/>
        <v>5.5886891679935627E-17</v>
      </c>
      <c r="DC93" s="97">
        <f t="shared" si="52"/>
        <v>3.4313715002863528E-17</v>
      </c>
      <c r="DD93" s="97">
        <f t="shared" si="52"/>
        <v>1.9596770319120086E-17</v>
      </c>
      <c r="DE93" s="97">
        <f t="shared" si="52"/>
        <v>1.0388238174862843E-17</v>
      </c>
      <c r="DF93" s="97">
        <f t="shared" si="52"/>
        <v>5.1013032046207413E-18</v>
      </c>
      <c r="DG93" s="97">
        <f t="shared" si="52"/>
        <v>2.316339052359467E-18</v>
      </c>
      <c r="DH93" s="97">
        <f t="shared" si="52"/>
        <v>9.7089218646733315E-19</v>
      </c>
      <c r="DI93" s="97">
        <f t="shared" si="52"/>
        <v>3.7508354466469504E-19</v>
      </c>
      <c r="DJ93" s="97">
        <f t="shared" si="52"/>
        <v>1.3338039808678416E-19</v>
      </c>
      <c r="DK93" s="97">
        <f t="shared" si="52"/>
        <v>4.3607445685518214E-20</v>
      </c>
      <c r="DL93" s="97">
        <f t="shared" si="50"/>
        <v>1.3095037448719502E-20</v>
      </c>
    </row>
    <row r="94" spans="1:116" x14ac:dyDescent="0.25">
      <c r="A94" s="60">
        <v>5.8</v>
      </c>
      <c r="B94" s="25">
        <v>2.6</v>
      </c>
      <c r="C94" s="25">
        <v>4</v>
      </c>
      <c r="D94" s="57">
        <v>1.2</v>
      </c>
      <c r="E94" s="82" t="s">
        <v>6</v>
      </c>
      <c r="L94" s="97" cm="1">
        <f t="array" ref="L94">EstymacjaGaussowska($O94,$D$2:$D$51,H$9)</f>
        <v>1.5261330004291378</v>
      </c>
      <c r="M94" s="97" cm="1">
        <f t="array" ref="M94">EstymacjaGaussowska($O94,$D$52:$D$101,I$9)</f>
        <v>1.4369129087841341E-11</v>
      </c>
      <c r="N94" s="97" cm="1">
        <f t="array" ref="N94">EstymacjaGaussowska($O94,$D$102:$D$151,J$9)</f>
        <v>5.6630802324489718E-16</v>
      </c>
      <c r="O94" s="97">
        <v>0.33000000000002</v>
      </c>
      <c r="P94" s="97">
        <f t="shared" si="51"/>
        <v>3.3017302592146319E-33</v>
      </c>
      <c r="Q94" s="97">
        <f t="shared" si="51"/>
        <v>1.6799137214354107E-28</v>
      </c>
      <c r="R94" s="97">
        <f t="shared" si="51"/>
        <v>3.4643437286337278E-24</v>
      </c>
      <c r="S94" s="97">
        <f t="shared" si="51"/>
        <v>2.8956431958023006E-20</v>
      </c>
      <c r="T94" s="97">
        <f t="shared" si="51"/>
        <v>9.8098803365827611E-17</v>
      </c>
      <c r="U94" s="97">
        <f t="shared" si="51"/>
        <v>1.3470724100260748E-13</v>
      </c>
      <c r="V94" s="97">
        <f t="shared" si="51"/>
        <v>7.4984233610261121E-11</v>
      </c>
      <c r="W94" s="97">
        <f t="shared" si="51"/>
        <v>1.6925222490286508E-8</v>
      </c>
      <c r="X94" s="97">
        <f t="shared" si="51"/>
        <v>1.5505915410657881E-6</v>
      </c>
      <c r="Y94" s="97">
        <f t="shared" si="51"/>
        <v>5.7827765539732829E-5</v>
      </c>
      <c r="Z94" s="97">
        <f t="shared" si="51"/>
        <v>8.8592834308694093E-4</v>
      </c>
      <c r="AA94" s="97">
        <f t="shared" si="51"/>
        <v>5.7339617023411714E-3</v>
      </c>
      <c r="AB94" s="97">
        <f t="shared" si="51"/>
        <v>1.7075532756662896E-2</v>
      </c>
      <c r="AC94" s="97">
        <f t="shared" si="51"/>
        <v>2.9772548907763857E-2</v>
      </c>
      <c r="AD94" s="97">
        <f t="shared" si="51"/>
        <v>4.8763409325562376E-2</v>
      </c>
      <c r="AE94" s="97">
        <f t="shared" si="51"/>
        <v>9.8449289590591904E-2</v>
      </c>
      <c r="AF94" s="97">
        <f t="shared" si="49"/>
        <v>0.19271763824134702</v>
      </c>
      <c r="AG94" s="97">
        <f t="shared" si="49"/>
        <v>0.30031431901590461</v>
      </c>
      <c r="AH94" s="97">
        <f t="shared" si="49"/>
        <v>0.35685687916253428</v>
      </c>
      <c r="AI94" s="97">
        <f t="shared" si="49"/>
        <v>0.32458454284760518</v>
      </c>
      <c r="AJ94" s="97">
        <f t="shared" si="49"/>
        <v>0.2340998804144323</v>
      </c>
      <c r="AK94" s="97">
        <f t="shared" si="49"/>
        <v>0.14152956516304366</v>
      </c>
      <c r="AL94" s="97">
        <f t="shared" si="49"/>
        <v>7.038712570518485E-2</v>
      </c>
      <c r="AM94" s="97">
        <f t="shared" si="49"/>
        <v>3.8748527684321993E-2</v>
      </c>
      <c r="AN94" s="97">
        <f t="shared" si="49"/>
        <v>3.0101414373887907E-2</v>
      </c>
      <c r="AO94" s="97">
        <f t="shared" si="49"/>
        <v>1.4388817945362934E-2</v>
      </c>
      <c r="AP94" s="97">
        <f t="shared" si="49"/>
        <v>2.943584161453868E-3</v>
      </c>
      <c r="AQ94" s="97">
        <f t="shared" si="49"/>
        <v>2.4547334806265266E-4</v>
      </c>
      <c r="AR94" s="97">
        <f t="shared" si="49"/>
        <v>8.3019264881881375E-6</v>
      </c>
      <c r="AS94" s="97">
        <f t="shared" si="49"/>
        <v>1.1380682967801719E-7</v>
      </c>
      <c r="AT94" s="97">
        <f t="shared" si="49"/>
        <v>6.3234220386658897E-10</v>
      </c>
      <c r="AU94" s="97">
        <f t="shared" si="47"/>
        <v>1.436943791969177E-12</v>
      </c>
      <c r="AV94" s="97">
        <f t="shared" si="47"/>
        <v>2.9058385332587789E-14</v>
      </c>
      <c r="AW94" s="97">
        <f t="shared" si="47"/>
        <v>5.3462508340885632E-14</v>
      </c>
      <c r="AX94" s="97">
        <f t="shared" si="47"/>
        <v>9.3004733463074725E-14</v>
      </c>
      <c r="AY94" s="97">
        <f t="shared" si="47"/>
        <v>1.4769559242585607E-13</v>
      </c>
      <c r="AZ94" s="97">
        <f t="shared" si="47"/>
        <v>2.1707151253606785E-13</v>
      </c>
      <c r="BA94" s="97">
        <f t="shared" si="47"/>
        <v>2.999639669618325E-13</v>
      </c>
      <c r="BB94" s="97">
        <f t="shared" si="47"/>
        <v>3.9566647074020387E-13</v>
      </c>
      <c r="BC94" s="97">
        <f t="shared" si="47"/>
        <v>5.0374096929110818E-13</v>
      </c>
      <c r="BD94" s="97">
        <f t="shared" si="47"/>
        <v>6.2248985616357348E-13</v>
      </c>
      <c r="BE94" s="97">
        <f t="shared" si="47"/>
        <v>7.4818325272472507E-13</v>
      </c>
      <c r="BF94" s="97">
        <f t="shared" si="47"/>
        <v>8.7728710605996902E-13</v>
      </c>
      <c r="BG94" s="97">
        <f t="shared" si="47"/>
        <v>1.0114333860406973E-12</v>
      </c>
      <c r="BH94" s="97">
        <f t="shared" si="47"/>
        <v>1.1616465186667407E-12</v>
      </c>
      <c r="BI94" s="97">
        <f t="shared" si="47"/>
        <v>1.3471581547919617E-12</v>
      </c>
      <c r="BJ94" s="97">
        <f t="shared" si="47"/>
        <v>1.586591550172566E-12</v>
      </c>
      <c r="BK94" s="97">
        <f t="shared" si="46"/>
        <v>1.8848262640346091E-12</v>
      </c>
      <c r="BL94" s="97">
        <f t="shared" si="46"/>
        <v>2.2241078574399277E-12</v>
      </c>
      <c r="BM94" s="97">
        <f t="shared" si="46"/>
        <v>2.5678030740634581E-12</v>
      </c>
      <c r="BN94" s="97">
        <f t="shared" si="46"/>
        <v>2.8772523334686656E-12</v>
      </c>
      <c r="BO94" s="97">
        <f t="shared" si="46"/>
        <v>3.1312743138367387E-12</v>
      </c>
      <c r="BP94" s="97">
        <f t="shared" si="46"/>
        <v>3.3336525058387217E-12</v>
      </c>
      <c r="BQ94" s="97">
        <f t="shared" si="46"/>
        <v>3.5017942517492655E-12</v>
      </c>
      <c r="BR94" s="97">
        <f t="shared" si="46"/>
        <v>3.644446139473739E-12</v>
      </c>
      <c r="BS94" s="97">
        <f t="shared" si="46"/>
        <v>3.7456157458586661E-12</v>
      </c>
      <c r="BT94" s="97">
        <f t="shared" si="46"/>
        <v>3.7674032991551705E-12</v>
      </c>
      <c r="BU94" s="97">
        <f t="shared" si="46"/>
        <v>3.6698827038639711E-12</v>
      </c>
      <c r="BV94" s="97">
        <f t="shared" si="46"/>
        <v>3.4338690911754216E-12</v>
      </c>
      <c r="BW94" s="97">
        <f t="shared" si="46"/>
        <v>3.0720075995459685E-12</v>
      </c>
      <c r="BX94" s="97">
        <f t="shared" si="46"/>
        <v>2.6235958012389843E-12</v>
      </c>
      <c r="BY94" s="97">
        <f t="shared" si="46"/>
        <v>2.1393189725294381E-12</v>
      </c>
      <c r="BZ94" s="97">
        <f t="shared" si="45"/>
        <v>1.6659118112761814E-12</v>
      </c>
      <c r="CA94" s="97">
        <f t="shared" si="45"/>
        <v>1.2373852888465254E-12</v>
      </c>
      <c r="CB94" s="97">
        <f t="shared" si="45"/>
        <v>8.7354307936909195E-13</v>
      </c>
      <c r="CC94" s="97">
        <f t="shared" si="45"/>
        <v>5.8256363748499803E-13</v>
      </c>
      <c r="CD94" s="97">
        <f t="shared" si="45"/>
        <v>3.6409227356741453E-13</v>
      </c>
      <c r="CE94" s="97">
        <f t="shared" si="45"/>
        <v>2.1137987180465737E-13</v>
      </c>
      <c r="CF94" s="97">
        <f t="shared" si="45"/>
        <v>1.1303245722949366E-13</v>
      </c>
      <c r="CG94" s="97">
        <f t="shared" si="45"/>
        <v>5.5267037276327301E-14</v>
      </c>
      <c r="CH94" s="97">
        <f t="shared" si="45"/>
        <v>2.4583139846147811E-14</v>
      </c>
      <c r="CI94" s="97">
        <f t="shared" si="45"/>
        <v>9.9375167154326646E-15</v>
      </c>
      <c r="CJ94" s="97">
        <f t="shared" si="45"/>
        <v>3.682592321662556E-15</v>
      </c>
      <c r="CK94" s="97">
        <f t="shared" si="45"/>
        <v>1.2955542240534986E-15</v>
      </c>
      <c r="CL94" s="97">
        <f t="shared" si="45"/>
        <v>4.77530195119143E-16</v>
      </c>
      <c r="CM94" s="97">
        <f t="shared" si="45"/>
        <v>2.1950919780708796E-16</v>
      </c>
      <c r="CN94" s="97">
        <f t="shared" si="45"/>
        <v>1.3785721381062972E-16</v>
      </c>
      <c r="CO94" s="97">
        <f t="shared" si="45"/>
        <v>1.0613067844693688E-16</v>
      </c>
      <c r="CP94" s="97">
        <f t="shared" si="48"/>
        <v>8.8362091714372118E-17</v>
      </c>
      <c r="CQ94" s="97">
        <f t="shared" si="48"/>
        <v>7.5817971660349851E-17</v>
      </c>
      <c r="CR94" s="97">
        <f t="shared" si="48"/>
        <v>6.6572124623274029E-17</v>
      </c>
      <c r="CS94" s="97">
        <f t="shared" si="48"/>
        <v>5.9849519765766553E-17</v>
      </c>
      <c r="CT94" s="97">
        <f t="shared" si="48"/>
        <v>5.4773989186868788E-17</v>
      </c>
      <c r="CU94" s="97">
        <f t="shared" si="48"/>
        <v>5.0324801843059702E-17</v>
      </c>
      <c r="CV94" s="97">
        <f t="shared" si="52"/>
        <v>4.5598641171844643E-17</v>
      </c>
      <c r="CW94" s="97">
        <f t="shared" si="52"/>
        <v>4.0068784160763072E-17</v>
      </c>
      <c r="CX94" s="97">
        <f t="shared" si="52"/>
        <v>3.3698768099334575E-17</v>
      </c>
      <c r="CY94" s="97">
        <f t="shared" si="52"/>
        <v>2.6871529005083895E-17</v>
      </c>
      <c r="CZ94" s="97">
        <f t="shared" si="52"/>
        <v>2.0185809259056411E-17</v>
      </c>
      <c r="DA94" s="97">
        <f t="shared" si="52"/>
        <v>1.4221203618095611E-17</v>
      </c>
      <c r="DB94" s="97">
        <f t="shared" si="52"/>
        <v>9.3655739049689813E-18</v>
      </c>
      <c r="DC94" s="97">
        <f t="shared" si="52"/>
        <v>5.7503221981611601E-18</v>
      </c>
      <c r="DD94" s="97">
        <f t="shared" si="52"/>
        <v>3.2840438107298515E-18</v>
      </c>
      <c r="DE94" s="97">
        <f t="shared" si="52"/>
        <v>1.7408699865844883E-18</v>
      </c>
      <c r="DF94" s="97">
        <f t="shared" si="52"/>
        <v>8.5488082694145299E-19</v>
      </c>
      <c r="DG94" s="97">
        <f t="shared" si="52"/>
        <v>3.8817411260012746E-19</v>
      </c>
      <c r="DH94" s="97">
        <f t="shared" si="52"/>
        <v>1.627029568613724E-19</v>
      </c>
      <c r="DI94" s="97">
        <f t="shared" si="52"/>
        <v>6.2856826574166536E-20</v>
      </c>
      <c r="DJ94" s="97">
        <f t="shared" si="52"/>
        <v>2.2352003094214712E-20</v>
      </c>
      <c r="DK94" s="97">
        <f t="shared" si="52"/>
        <v>7.307773667456774E-21</v>
      </c>
      <c r="DL94" s="97">
        <f t="shared" si="50"/>
        <v>2.1944777626333815E-21</v>
      </c>
    </row>
    <row r="95" spans="1:116" x14ac:dyDescent="0.25">
      <c r="A95" s="60">
        <v>5</v>
      </c>
      <c r="B95" s="25">
        <v>2.2999999999999998</v>
      </c>
      <c r="C95" s="25">
        <v>3.3</v>
      </c>
      <c r="D95" s="57">
        <v>1</v>
      </c>
      <c r="E95" s="82" t="s">
        <v>6</v>
      </c>
      <c r="L95" s="97" cm="1">
        <f t="array" ref="L95">EstymacjaGaussowska($O95,$D$2:$D$51,H$9)</f>
        <v>1.921436490319931</v>
      </c>
      <c r="M95" s="97" cm="1">
        <f t="array" ref="M95">EstymacjaGaussowska($O95,$D$52:$D$101,I$9)</f>
        <v>1.535208957788034E-12</v>
      </c>
      <c r="N95" s="97" cm="1">
        <f t="array" ref="N95">EstymacjaGaussowska($O95,$D$102:$D$151,J$9)</f>
        <v>9.0213199619202574E-17</v>
      </c>
      <c r="O95" s="97">
        <v>0.30000000000001997</v>
      </c>
      <c r="P95" s="97">
        <f t="shared" si="51"/>
        <v>4.1569542100620143E-33</v>
      </c>
      <c r="Q95" s="97">
        <f t="shared" si="51"/>
        <v>2.1150499491508941E-28</v>
      </c>
      <c r="R95" s="97">
        <f t="shared" si="51"/>
        <v>4.361688301960634E-24</v>
      </c>
      <c r="S95" s="97">
        <f t="shared" si="51"/>
        <v>3.6456812727309227E-20</v>
      </c>
      <c r="T95" s="97">
        <f t="shared" si="51"/>
        <v>1.2350864596389608E-16</v>
      </c>
      <c r="U95" s="97">
        <f t="shared" si="51"/>
        <v>1.6959950954467906E-13</v>
      </c>
      <c r="V95" s="97">
        <f t="shared" si="51"/>
        <v>9.4406871889223524E-11</v>
      </c>
      <c r="W95" s="97">
        <f t="shared" si="51"/>
        <v>2.1309243749054288E-8</v>
      </c>
      <c r="X95" s="97">
        <f t="shared" si="51"/>
        <v>1.9522303545938954E-6</v>
      </c>
      <c r="Y95" s="97">
        <f t="shared" si="51"/>
        <v>7.2806484644827207E-5</v>
      </c>
      <c r="Z95" s="97">
        <f t="shared" si="51"/>
        <v>1.1154041264668684E-3</v>
      </c>
      <c r="AA95" s="97">
        <f t="shared" si="51"/>
        <v>7.2191894454004266E-3</v>
      </c>
      <c r="AB95" s="97">
        <f t="shared" si="51"/>
        <v>2.1498487825818296E-2</v>
      </c>
      <c r="AC95" s="97">
        <f t="shared" si="51"/>
        <v>3.7484322706557251E-2</v>
      </c>
      <c r="AD95" s="97">
        <f t="shared" si="51"/>
        <v>6.1394252037139725E-2</v>
      </c>
      <c r="AE95" s="97">
        <f t="shared" si="51"/>
        <v>0.12394991616867326</v>
      </c>
      <c r="AF95" s="97">
        <f t="shared" si="49"/>
        <v>0.24263593169211051</v>
      </c>
      <c r="AG95" s="97">
        <f t="shared" si="49"/>
        <v>0.37810262340207679</v>
      </c>
      <c r="AH95" s="97">
        <f t="shared" si="49"/>
        <v>0.44929100494634205</v>
      </c>
      <c r="AI95" s="97">
        <f t="shared" si="49"/>
        <v>0.40865939249451422</v>
      </c>
      <c r="AJ95" s="97">
        <f t="shared" si="49"/>
        <v>0.29473712479930614</v>
      </c>
      <c r="AK95" s="97">
        <f t="shared" si="49"/>
        <v>0.17818897231559563</v>
      </c>
      <c r="AL95" s="97">
        <f t="shared" si="49"/>
        <v>8.8619007478803219E-2</v>
      </c>
      <c r="AM95" s="97">
        <f t="shared" si="49"/>
        <v>4.8785286090984682E-2</v>
      </c>
      <c r="AN95" s="97">
        <f t="shared" si="49"/>
        <v>3.7898371879754561E-2</v>
      </c>
      <c r="AO95" s="97">
        <f t="shared" si="49"/>
        <v>1.8115852186550173E-2</v>
      </c>
      <c r="AP95" s="97">
        <f t="shared" si="49"/>
        <v>3.70604004929765E-3</v>
      </c>
      <c r="AQ95" s="97">
        <f t="shared" si="49"/>
        <v>3.0905658172362916E-4</v>
      </c>
      <c r="AR95" s="97">
        <f t="shared" si="49"/>
        <v>1.0452316075160098E-5</v>
      </c>
      <c r="AS95" s="97">
        <f t="shared" si="49"/>
        <v>1.4328540949380941E-7</v>
      </c>
      <c r="AT95" s="97">
        <f t="shared" si="49"/>
        <v>7.9612717285935806E-10</v>
      </c>
      <c r="AU95" s="97">
        <f t="shared" si="47"/>
        <v>1.7942575668127342E-12</v>
      </c>
      <c r="AV95" s="97">
        <f t="shared" si="47"/>
        <v>4.6022153644725709E-15</v>
      </c>
      <c r="AW95" s="97">
        <f t="shared" si="47"/>
        <v>5.7125301216426566E-15</v>
      </c>
      <c r="AX95" s="97">
        <f t="shared" si="47"/>
        <v>9.9366983378092081E-15</v>
      </c>
      <c r="AY95" s="97">
        <f t="shared" si="47"/>
        <v>1.5779912278046982E-14</v>
      </c>
      <c r="AZ95" s="97">
        <f t="shared" si="47"/>
        <v>2.3192089686773875E-14</v>
      </c>
      <c r="BA95" s="97">
        <f t="shared" si="47"/>
        <v>3.2048384162932001E-14</v>
      </c>
      <c r="BB95" s="97">
        <f t="shared" si="47"/>
        <v>4.2273314302200208E-14</v>
      </c>
      <c r="BC95" s="97">
        <f t="shared" si="47"/>
        <v>5.3820078012034171E-14</v>
      </c>
      <c r="BD95" s="97">
        <f t="shared" si="47"/>
        <v>6.6507301697026438E-14</v>
      </c>
      <c r="BE95" s="97">
        <f t="shared" si="47"/>
        <v>7.9936482221706682E-14</v>
      </c>
      <c r="BF95" s="97">
        <f t="shared" si="47"/>
        <v>9.373003863862554E-14</v>
      </c>
      <c r="BG95" s="97">
        <f t="shared" si="47"/>
        <v>1.0806233194928603E-13</v>
      </c>
      <c r="BH95" s="97">
        <f t="shared" si="47"/>
        <v>1.2411122061275246E-13</v>
      </c>
      <c r="BI95" s="97">
        <f t="shared" si="47"/>
        <v>1.4393142967246438E-13</v>
      </c>
      <c r="BJ95" s="97">
        <f t="shared" ref="BJ95:BY107" si="53">$H$2*$L95*BJ$1+$I$2*$M95*BJ$2+$J$2*$N95*BJ$3</f>
        <v>1.6951268334635543E-13</v>
      </c>
      <c r="BK95" s="97">
        <f t="shared" si="53"/>
        <v>2.0137631965855596E-13</v>
      </c>
      <c r="BL95" s="97">
        <f t="shared" si="53"/>
        <v>2.3762544431838699E-13</v>
      </c>
      <c r="BM95" s="97">
        <f t="shared" si="53"/>
        <v>2.7434613784637711E-13</v>
      </c>
      <c r="BN95" s="97">
        <f t="shared" si="53"/>
        <v>3.0740798967115105E-13</v>
      </c>
      <c r="BO95" s="97">
        <f t="shared" si="53"/>
        <v>3.3454798339232278E-13</v>
      </c>
      <c r="BP95" s="97">
        <f t="shared" si="53"/>
        <v>3.5617036658867535E-13</v>
      </c>
      <c r="BQ95" s="97">
        <f t="shared" si="53"/>
        <v>3.7413497479924349E-13</v>
      </c>
      <c r="BR95" s="97">
        <f t="shared" si="53"/>
        <v>3.893763283631069E-13</v>
      </c>
      <c r="BS95" s="97">
        <f t="shared" si="53"/>
        <v>4.0018581940327315E-13</v>
      </c>
      <c r="BT95" s="97">
        <f t="shared" si="53"/>
        <v>4.0251424527270652E-13</v>
      </c>
      <c r="BU95" s="97">
        <f t="shared" si="53"/>
        <v>3.9209590223908242E-13</v>
      </c>
      <c r="BV95" s="97">
        <f t="shared" si="53"/>
        <v>3.668810711518466E-13</v>
      </c>
      <c r="BW95" s="97">
        <f t="shared" si="53"/>
        <v>3.2822073338747187E-13</v>
      </c>
      <c r="BX95" s="97">
        <f t="shared" si="53"/>
        <v>2.8031338640517737E-13</v>
      </c>
      <c r="BY95" s="97">
        <f t="shared" si="53"/>
        <v>2.2857415892205847E-13</v>
      </c>
      <c r="BZ95" s="97">
        <f t="shared" si="45"/>
        <v>1.7799608873905316E-13</v>
      </c>
      <c r="CA95" s="97">
        <f t="shared" si="45"/>
        <v>1.322128353163648E-13</v>
      </c>
      <c r="CB95" s="97">
        <f t="shared" si="45"/>
        <v>9.3340207446709177E-14</v>
      </c>
      <c r="CC95" s="97">
        <f t="shared" si="45"/>
        <v>6.2252040188841548E-14</v>
      </c>
      <c r="CD95" s="97">
        <f t="shared" si="45"/>
        <v>3.8910526890802536E-14</v>
      </c>
      <c r="CE95" s="97">
        <f t="shared" si="45"/>
        <v>2.2594673502573254E-14</v>
      </c>
      <c r="CF95" s="97">
        <f t="shared" si="45"/>
        <v>1.2087180992373862E-14</v>
      </c>
      <c r="CG95" s="97">
        <f t="shared" si="45"/>
        <v>5.9154464067241756E-15</v>
      </c>
      <c r="CH95" s="97">
        <f t="shared" si="45"/>
        <v>2.6370105614499292E-15</v>
      </c>
      <c r="CI95" s="97">
        <f t="shared" si="45"/>
        <v>1.0719426314276023E-15</v>
      </c>
      <c r="CJ95" s="97">
        <f t="shared" si="45"/>
        <v>4.0313848902803226E-16</v>
      </c>
      <c r="CK95" s="97">
        <f t="shared" si="45"/>
        <v>1.4739018517927434E-16</v>
      </c>
      <c r="CL95" s="97">
        <f t="shared" si="45"/>
        <v>5.9133884687480379E-17</v>
      </c>
      <c r="CM95" s="97">
        <f t="shared" si="45"/>
        <v>3.063425981713731E-17</v>
      </c>
      <c r="CN95" s="97">
        <f t="shared" si="45"/>
        <v>2.0974093712634279E-17</v>
      </c>
      <c r="CO95" s="97">
        <f t="shared" si="45"/>
        <v>1.6707065437402621E-17</v>
      </c>
      <c r="CP95" s="97">
        <f t="shared" si="48"/>
        <v>1.4040280657166088E-17</v>
      </c>
      <c r="CQ95" s="97">
        <f t="shared" si="48"/>
        <v>1.2072135195446223E-17</v>
      </c>
      <c r="CR95" s="97">
        <f t="shared" si="48"/>
        <v>1.0604171658708733E-17</v>
      </c>
      <c r="CS95" s="97">
        <f t="shared" si="48"/>
        <v>9.5339625729049911E-18</v>
      </c>
      <c r="CT95" s="97">
        <f t="shared" si="48"/>
        <v>8.7255173517542129E-18</v>
      </c>
      <c r="CU95" s="97">
        <f t="shared" si="48"/>
        <v>8.0167692955377572E-18</v>
      </c>
      <c r="CV95" s="97">
        <f t="shared" si="52"/>
        <v>7.2638901366943005E-18</v>
      </c>
      <c r="CW95" s="97">
        <f t="shared" si="52"/>
        <v>6.3829807657128855E-18</v>
      </c>
      <c r="CX95" s="97">
        <f t="shared" si="52"/>
        <v>5.368233484958737E-18</v>
      </c>
      <c r="CY95" s="97">
        <f t="shared" si="52"/>
        <v>4.2806503010527042E-18</v>
      </c>
      <c r="CZ95" s="97">
        <f t="shared" si="52"/>
        <v>3.2156112317236324E-18</v>
      </c>
      <c r="DA95" s="97">
        <f t="shared" si="52"/>
        <v>2.265446061444447E-18</v>
      </c>
      <c r="DB95" s="97">
        <f t="shared" si="52"/>
        <v>1.4919414056614683E-18</v>
      </c>
      <c r="DC95" s="97">
        <f t="shared" si="52"/>
        <v>9.1602969240135827E-19</v>
      </c>
      <c r="DD95" s="97">
        <f t="shared" si="52"/>
        <v>5.2315010152603969E-19</v>
      </c>
      <c r="DE95" s="97">
        <f t="shared" si="52"/>
        <v>2.7732160796688851E-19</v>
      </c>
      <c r="DF95" s="97">
        <f t="shared" si="52"/>
        <v>1.3618301617836593E-19</v>
      </c>
      <c r="DG95" s="97">
        <f t="shared" si="52"/>
        <v>6.1836363374033579E-20</v>
      </c>
      <c r="DH95" s="97">
        <f t="shared" si="52"/>
        <v>2.5918676274205073E-20</v>
      </c>
      <c r="DI95" s="97">
        <f t="shared" si="52"/>
        <v>1.0013129269603683E-20</v>
      </c>
      <c r="DJ95" s="97">
        <f t="shared" si="52"/>
        <v>3.5606871777541866E-21</v>
      </c>
      <c r="DK95" s="97">
        <f t="shared" si="52"/>
        <v>1.1641326231910673E-21</v>
      </c>
      <c r="DL95" s="97">
        <f t="shared" si="50"/>
        <v>3.4958159223312771E-22</v>
      </c>
    </row>
    <row r="96" spans="1:116" x14ac:dyDescent="0.25">
      <c r="A96" s="60">
        <v>5.6</v>
      </c>
      <c r="B96" s="25">
        <v>2.7</v>
      </c>
      <c r="C96" s="25">
        <v>4.2</v>
      </c>
      <c r="D96" s="57">
        <v>1.3</v>
      </c>
      <c r="E96" s="82" t="s">
        <v>6</v>
      </c>
      <c r="L96" s="97" cm="1">
        <f t="array" ref="L96">EstymacjaGaussowska($O96,$D$2:$D$51,H$9)</f>
        <v>2.7375603971778082</v>
      </c>
      <c r="M96" s="97" cm="1">
        <f t="array" ref="M96">EstymacjaGaussowska($O96,$D$52:$D$101,I$9)</f>
        <v>1.4872161497375306E-13</v>
      </c>
      <c r="N96" s="97" cm="1">
        <f t="array" ref="N96">EstymacjaGaussowska($O96,$D$102:$D$151,J$9)</f>
        <v>1.3660715862867945E-17</v>
      </c>
      <c r="O96" s="97">
        <v>0.27000000000002</v>
      </c>
      <c r="P96" s="97">
        <f t="shared" si="51"/>
        <v>5.9226070055807594E-33</v>
      </c>
      <c r="Q96" s="97">
        <f t="shared" si="51"/>
        <v>3.0134105436315211E-28</v>
      </c>
      <c r="R96" s="97">
        <f t="shared" si="51"/>
        <v>6.2143012378686565E-24</v>
      </c>
      <c r="S96" s="97">
        <f t="shared" si="51"/>
        <v>5.1941725491531523E-20</v>
      </c>
      <c r="T96" s="97">
        <f t="shared" si="51"/>
        <v>1.7596854207943083E-16</v>
      </c>
      <c r="U96" s="97">
        <f t="shared" si="51"/>
        <v>2.4163635022513084E-13</v>
      </c>
      <c r="V96" s="97">
        <f t="shared" si="51"/>
        <v>1.3450588401303059E-10</v>
      </c>
      <c r="W96" s="97">
        <f t="shared" si="51"/>
        <v>3.036027580152108E-8</v>
      </c>
      <c r="X96" s="97">
        <f t="shared" si="51"/>
        <v>2.7814338552583495E-6</v>
      </c>
      <c r="Y96" s="97">
        <f t="shared" si="51"/>
        <v>1.037308024623944E-4</v>
      </c>
      <c r="Z96" s="97">
        <f t="shared" si="51"/>
        <v>1.5891684054339899E-3</v>
      </c>
      <c r="AA96" s="97">
        <f t="shared" si="51"/>
        <v>1.0285516708471368E-2</v>
      </c>
      <c r="AB96" s="97">
        <f t="shared" si="51"/>
        <v>3.0629900685070242E-2</v>
      </c>
      <c r="AC96" s="97">
        <f t="shared" si="51"/>
        <v>5.340566699626792E-2</v>
      </c>
      <c r="AD96" s="97">
        <f t="shared" si="51"/>
        <v>8.7471261130906253E-2</v>
      </c>
      <c r="AE96" s="97">
        <f t="shared" si="51"/>
        <v>0.17659724037007868</v>
      </c>
      <c r="AF96" s="97">
        <f t="shared" si="49"/>
        <v>0.34569475539733457</v>
      </c>
      <c r="AG96" s="97">
        <f t="shared" si="49"/>
        <v>0.5387004843039146</v>
      </c>
      <c r="AH96" s="97">
        <f t="shared" si="49"/>
        <v>0.64012589963071254</v>
      </c>
      <c r="AI96" s="97">
        <f t="shared" si="49"/>
        <v>0.58223614179485517</v>
      </c>
      <c r="AJ96" s="97">
        <f t="shared" si="49"/>
        <v>0.41992576100929913</v>
      </c>
      <c r="AK96" s="97">
        <f t="shared" si="49"/>
        <v>0.25387415940235697</v>
      </c>
      <c r="AL96" s="97">
        <f t="shared" si="49"/>
        <v>0.12625964299802661</v>
      </c>
      <c r="AM96" s="97">
        <f t="shared" si="49"/>
        <v>6.9506677863410249E-2</v>
      </c>
      <c r="AN96" s="97">
        <f t="shared" si="49"/>
        <v>5.3995582210608649E-2</v>
      </c>
      <c r="AO96" s="97">
        <f t="shared" si="49"/>
        <v>2.5810501547604722E-2</v>
      </c>
      <c r="AP96" s="97">
        <f t="shared" si="49"/>
        <v>5.2801685199716578E-3</v>
      </c>
      <c r="AQ96" s="97">
        <f t="shared" si="49"/>
        <v>4.4032736074083213E-4</v>
      </c>
      <c r="AR96" s="97">
        <f t="shared" si="49"/>
        <v>1.4891903370275893E-5</v>
      </c>
      <c r="AS96" s="97">
        <f t="shared" si="49"/>
        <v>2.0414542138651235E-7</v>
      </c>
      <c r="AT96" s="97">
        <f t="shared" si="49"/>
        <v>1.1342788419088071E-9</v>
      </c>
      <c r="AU96" s="97">
        <f t="shared" ref="AU96:BJ107" si="54">$H$2*$L96*AU$1+$I$2*$M96*AU$2+$J$2*$N96*AU$3</f>
        <v>2.5545294852921351E-12</v>
      </c>
      <c r="AV96" s="97">
        <f t="shared" si="54"/>
        <v>2.6188523839455201E-15</v>
      </c>
      <c r="AW96" s="97">
        <f t="shared" si="54"/>
        <v>5.5419874353991366E-16</v>
      </c>
      <c r="AX96" s="97">
        <f t="shared" si="54"/>
        <v>9.6260642687559207E-16</v>
      </c>
      <c r="AY96" s="97">
        <f t="shared" si="54"/>
        <v>1.5286609853606592E-15</v>
      </c>
      <c r="AZ96" s="97">
        <f t="shared" si="54"/>
        <v>2.2467072090330734E-15</v>
      </c>
      <c r="BA96" s="97">
        <f t="shared" si="54"/>
        <v>3.1046506248152925E-15</v>
      </c>
      <c r="BB96" s="97">
        <f t="shared" si="54"/>
        <v>4.0951790578517178E-15</v>
      </c>
      <c r="BC96" s="97">
        <f t="shared" si="54"/>
        <v>5.2137586089319423E-15</v>
      </c>
      <c r="BD96" s="97">
        <f t="shared" si="54"/>
        <v>6.442818918368512E-15</v>
      </c>
      <c r="BE96" s="97">
        <f t="shared" si="54"/>
        <v>7.743755450974462E-15</v>
      </c>
      <c r="BF96" s="97">
        <f t="shared" si="54"/>
        <v>9.0799904872174961E-15</v>
      </c>
      <c r="BG96" s="97">
        <f t="shared" si="54"/>
        <v>1.0468415061261354E-14</v>
      </c>
      <c r="BH96" s="97">
        <f t="shared" si="54"/>
        <v>1.2023132897600266E-14</v>
      </c>
      <c r="BI96" s="97">
        <f t="shared" si="54"/>
        <v>1.3943193216386289E-14</v>
      </c>
      <c r="BJ96" s="97">
        <f t="shared" si="54"/>
        <v>1.6421348453294179E-14</v>
      </c>
      <c r="BK96" s="97">
        <f t="shared" si="53"/>
        <v>1.950810298388085E-14</v>
      </c>
      <c r="BL96" s="97">
        <f t="shared" si="53"/>
        <v>2.3019697970922107E-14</v>
      </c>
      <c r="BM96" s="97">
        <f t="shared" si="53"/>
        <v>2.6576977959850741E-14</v>
      </c>
      <c r="BN96" s="97">
        <f t="shared" si="53"/>
        <v>2.9779815658503189E-14</v>
      </c>
      <c r="BO96" s="97">
        <f t="shared" si="53"/>
        <v>3.2408986014446445E-14</v>
      </c>
      <c r="BP96" s="97">
        <f t="shared" si="53"/>
        <v>3.4503652781166555E-14</v>
      </c>
      <c r="BQ96" s="97">
        <f t="shared" si="53"/>
        <v>3.6243988967166082E-14</v>
      </c>
      <c r="BR96" s="97">
        <f t="shared" si="53"/>
        <v>3.7720529812663037E-14</v>
      </c>
      <c r="BS96" s="97">
        <f t="shared" si="53"/>
        <v>3.8767761692403835E-14</v>
      </c>
      <c r="BT96" s="97">
        <f t="shared" si="53"/>
        <v>3.8993429104796808E-14</v>
      </c>
      <c r="BU96" s="97">
        <f t="shared" si="53"/>
        <v>3.7984302080688424E-14</v>
      </c>
      <c r="BV96" s="97">
        <f t="shared" si="53"/>
        <v>3.5541817609482859E-14</v>
      </c>
      <c r="BW96" s="97">
        <f t="shared" si="53"/>
        <v>3.1796844658665176E-14</v>
      </c>
      <c r="BX96" s="97">
        <f t="shared" si="53"/>
        <v>2.7156093661213878E-14</v>
      </c>
      <c r="BY96" s="97">
        <f t="shared" si="53"/>
        <v>2.2144128201154705E-14</v>
      </c>
      <c r="BZ96" s="97">
        <f t="shared" si="45"/>
        <v>1.7244620955501179E-14</v>
      </c>
      <c r="CA96" s="97">
        <f t="shared" si="45"/>
        <v>1.2809562095134468E-14</v>
      </c>
      <c r="CB96" s="97">
        <f t="shared" si="45"/>
        <v>9.0439130133851876E-15</v>
      </c>
      <c r="CC96" s="97">
        <f t="shared" si="45"/>
        <v>6.0323325386866668E-15</v>
      </c>
      <c r="CD96" s="97">
        <f t="shared" si="45"/>
        <v>3.771172882699084E-15</v>
      </c>
      <c r="CE96" s="97">
        <f t="shared" si="45"/>
        <v>2.1906029402458954E-15</v>
      </c>
      <c r="CF96" s="97">
        <f t="shared" si="45"/>
        <v>1.1727052381858338E-15</v>
      </c>
      <c r="CG96" s="97">
        <f t="shared" si="45"/>
        <v>5.7482018436660633E-16</v>
      </c>
      <c r="CH96" s="97">
        <f t="shared" si="45"/>
        <v>2.5720154824612835E-16</v>
      </c>
      <c r="CI96" s="97">
        <f t="shared" si="45"/>
        <v>1.055346783599971E-16</v>
      </c>
      <c r="CJ96" s="97">
        <f t="shared" si="45"/>
        <v>4.0658378344784722E-17</v>
      </c>
      <c r="CK96" s="97">
        <f t="shared" si="45"/>
        <v>1.5764560070532258E-17</v>
      </c>
      <c r="CL96" s="97">
        <f t="shared" si="45"/>
        <v>7.072701845939109E-18</v>
      </c>
      <c r="CM96" s="97">
        <f t="shared" si="45"/>
        <v>4.1573643595447983E-18</v>
      </c>
      <c r="CN96" s="97">
        <f t="shared" si="45"/>
        <v>3.0664245520899802E-18</v>
      </c>
      <c r="CO96" s="97">
        <f t="shared" si="45"/>
        <v>2.5077231914789427E-18</v>
      </c>
      <c r="CP96" s="97">
        <f t="shared" si="48"/>
        <v>2.1220945040142524E-18</v>
      </c>
      <c r="CQ96" s="97">
        <f t="shared" si="48"/>
        <v>1.8274128064889762E-18</v>
      </c>
      <c r="CR96" s="97">
        <f t="shared" si="48"/>
        <v>1.605668464778884E-18</v>
      </c>
      <c r="CS96" s="97">
        <f t="shared" si="48"/>
        <v>1.443688311252577E-18</v>
      </c>
      <c r="CT96" s="97">
        <f t="shared" si="48"/>
        <v>1.3212778356189108E-18</v>
      </c>
      <c r="CU96" s="97">
        <f t="shared" si="48"/>
        <v>1.2139553517647527E-18</v>
      </c>
      <c r="CV96" s="97">
        <f t="shared" si="52"/>
        <v>1.0999492167356909E-18</v>
      </c>
      <c r="CW96" s="97">
        <f t="shared" si="52"/>
        <v>9.6655574675458074E-19</v>
      </c>
      <c r="CX96" s="97">
        <f t="shared" si="52"/>
        <v>8.1289559208745938E-19</v>
      </c>
      <c r="CY96" s="97">
        <f t="shared" si="52"/>
        <v>6.4820611304682196E-19</v>
      </c>
      <c r="CZ96" s="97">
        <f t="shared" si="52"/>
        <v>4.8693042201617051E-19</v>
      </c>
      <c r="DA96" s="97">
        <f t="shared" si="52"/>
        <v>3.430497430384641E-19</v>
      </c>
      <c r="DB96" s="97">
        <f t="shared" si="52"/>
        <v>2.259202390871728E-19</v>
      </c>
      <c r="DC96" s="97">
        <f t="shared" si="52"/>
        <v>1.3871164533201699E-19</v>
      </c>
      <c r="DD96" s="97">
        <f t="shared" si="52"/>
        <v>7.921906019012916E-20</v>
      </c>
      <c r="DE96" s="97">
        <f t="shared" si="52"/>
        <v>4.1993984306736934E-20</v>
      </c>
      <c r="DF96" s="97">
        <f t="shared" si="52"/>
        <v>2.0621788133152681E-20</v>
      </c>
      <c r="DG96" s="97">
        <f t="shared" si="52"/>
        <v>9.3636961510222257E-21</v>
      </c>
      <c r="DH96" s="97">
        <f t="shared" si="52"/>
        <v>3.9247878760327913E-21</v>
      </c>
      <c r="DI96" s="97">
        <f t="shared" si="52"/>
        <v>1.5162583128368089E-21</v>
      </c>
      <c r="DJ96" s="97">
        <f t="shared" si="52"/>
        <v>5.3918424373791296E-22</v>
      </c>
      <c r="DK96" s="97">
        <f t="shared" si="52"/>
        <v>1.7628113246438089E-22</v>
      </c>
      <c r="DL96" s="97">
        <f t="shared" si="50"/>
        <v>5.2936098293194914E-23</v>
      </c>
    </row>
    <row r="97" spans="1:116" x14ac:dyDescent="0.25">
      <c r="A97" s="60">
        <v>5.7</v>
      </c>
      <c r="B97" s="25">
        <v>3</v>
      </c>
      <c r="C97" s="25">
        <v>4.2</v>
      </c>
      <c r="D97" s="57">
        <v>1.2</v>
      </c>
      <c r="E97" s="82" t="s">
        <v>6</v>
      </c>
      <c r="L97" s="97" cm="1">
        <f t="array" ref="L97">EstymacjaGaussowska($O97,$D$2:$D$51,H$9)</f>
        <v>3.9084769634927041</v>
      </c>
      <c r="M97" s="97" cm="1">
        <f t="array" ref="M97">EstymacjaGaussowska($O97,$D$52:$D$101,I$9)</f>
        <v>1.3063172014806558E-14</v>
      </c>
      <c r="N97" s="97" cm="1">
        <f t="array" ref="N97">EstymacjaGaussowska($O97,$D$102:$D$151,J$9)</f>
        <v>1.9663325529573612E-18</v>
      </c>
      <c r="O97" s="97">
        <v>0.24000000000002</v>
      </c>
      <c r="P97" s="97">
        <f t="shared" si="51"/>
        <v>8.4558401228323235E-33</v>
      </c>
      <c r="Q97" s="97">
        <f t="shared" si="51"/>
        <v>4.302314463444088E-28</v>
      </c>
      <c r="R97" s="97">
        <f t="shared" si="51"/>
        <v>8.8722985828744325E-24</v>
      </c>
      <c r="S97" s="97">
        <f t="shared" si="51"/>
        <v>7.4158377560181633E-20</v>
      </c>
      <c r="T97" s="97">
        <f t="shared" si="51"/>
        <v>2.5123427184506437E-16</v>
      </c>
      <c r="U97" s="97">
        <f t="shared" si="51"/>
        <v>3.4498968839957138E-13</v>
      </c>
      <c r="V97" s="97">
        <f t="shared" si="51"/>
        <v>1.920370961170819E-10</v>
      </c>
      <c r="W97" s="97">
        <f t="shared" si="51"/>
        <v>4.3346053185844227E-8</v>
      </c>
      <c r="X97" s="97">
        <f t="shared" si="51"/>
        <v>3.971116092986737E-6</v>
      </c>
      <c r="Y97" s="97">
        <f t="shared" si="51"/>
        <v>1.4809881537110342E-4</v>
      </c>
      <c r="Z97" s="97">
        <f t="shared" si="51"/>
        <v>2.2688917147371179E-3</v>
      </c>
      <c r="AA97" s="97">
        <f t="shared" si="51"/>
        <v>1.468486509160607E-2</v>
      </c>
      <c r="AB97" s="97">
        <f t="shared" si="51"/>
        <v>4.373100273699302E-2</v>
      </c>
      <c r="AC97" s="97">
        <f t="shared" si="51"/>
        <v>7.6248479993377902E-2</v>
      </c>
      <c r="AD97" s="97">
        <f t="shared" si="51"/>
        <v>0.12488470006004265</v>
      </c>
      <c r="AE97" s="97">
        <f t="shared" si="51"/>
        <v>0.25213187862974668</v>
      </c>
      <c r="AF97" s="97">
        <f t="shared" si="49"/>
        <v>0.49355622957712186</v>
      </c>
      <c r="AG97" s="97">
        <f t="shared" si="49"/>
        <v>0.76911487881502183</v>
      </c>
      <c r="AH97" s="97">
        <f t="shared" si="49"/>
        <v>0.91392224077355388</v>
      </c>
      <c r="AI97" s="97">
        <f t="shared" si="49"/>
        <v>0.83127172275872752</v>
      </c>
      <c r="AJ97" s="97">
        <f t="shared" si="49"/>
        <v>0.59953751704400682</v>
      </c>
      <c r="AK97" s="97">
        <f t="shared" si="49"/>
        <v>0.36246188565305221</v>
      </c>
      <c r="AL97" s="97">
        <f t="shared" si="49"/>
        <v>0.18026375110676601</v>
      </c>
      <c r="AM97" s="97">
        <f t="shared" si="49"/>
        <v>9.9236257771010639E-2</v>
      </c>
      <c r="AN97" s="97">
        <f t="shared" si="49"/>
        <v>7.7090715301881607E-2</v>
      </c>
      <c r="AO97" s="97">
        <f t="shared" si="49"/>
        <v>3.6850237466542937E-2</v>
      </c>
      <c r="AP97" s="97">
        <f t="shared" si="49"/>
        <v>7.5386161506953439E-3</v>
      </c>
      <c r="AQ97" s="97">
        <f t="shared" si="49"/>
        <v>6.2866534291820234E-4</v>
      </c>
      <c r="AR97" s="97">
        <f t="shared" si="49"/>
        <v>2.1261507627470835E-5</v>
      </c>
      <c r="AS97" s="97">
        <f t="shared" si="49"/>
        <v>2.9146304039139043E-7</v>
      </c>
      <c r="AT97" s="97">
        <f t="shared" si="49"/>
        <v>1.6194355107807838E-9</v>
      </c>
      <c r="AU97" s="97">
        <f t="shared" si="54"/>
        <v>3.6469803950670399E-12</v>
      </c>
      <c r="AV97" s="97">
        <f t="shared" si="54"/>
        <v>3.354040647869935E-15</v>
      </c>
      <c r="AW97" s="97">
        <f t="shared" si="54"/>
        <v>4.9834556042040371E-17</v>
      </c>
      <c r="AX97" s="97">
        <f t="shared" si="54"/>
        <v>8.4552061325654657E-17</v>
      </c>
      <c r="AY97" s="97">
        <f t="shared" si="54"/>
        <v>1.3427208552827932E-16</v>
      </c>
      <c r="AZ97" s="97">
        <f t="shared" si="54"/>
        <v>1.9734268447599703E-16</v>
      </c>
      <c r="BA97" s="97">
        <f t="shared" si="54"/>
        <v>2.7270134986847379E-16</v>
      </c>
      <c r="BB97" s="97">
        <f t="shared" si="54"/>
        <v>3.5970580654500129E-16</v>
      </c>
      <c r="BC97" s="97">
        <f t="shared" si="54"/>
        <v>4.579578131087433E-16</v>
      </c>
      <c r="BD97" s="97">
        <f t="shared" si="54"/>
        <v>5.6591405237356583E-16</v>
      </c>
      <c r="BE97" s="97">
        <f t="shared" si="54"/>
        <v>6.8018364091670171E-16</v>
      </c>
      <c r="BF97" s="97">
        <f t="shared" si="54"/>
        <v>7.9755372391767705E-16</v>
      </c>
      <c r="BG97" s="97">
        <f t="shared" si="54"/>
        <v>9.1950795084233187E-16</v>
      </c>
      <c r="BH97" s="97">
        <f t="shared" si="54"/>
        <v>1.0560687874953462E-15</v>
      </c>
      <c r="BI97" s="97">
        <f t="shared" si="54"/>
        <v>1.2247200138804949E-15</v>
      </c>
      <c r="BJ97" s="97">
        <f t="shared" si="54"/>
        <v>1.4423923380834336E-15</v>
      </c>
      <c r="BK97" s="97">
        <f t="shared" si="53"/>
        <v>1.7135219373532184E-15</v>
      </c>
      <c r="BL97" s="97">
        <f t="shared" si="53"/>
        <v>2.0219681943620564E-15</v>
      </c>
      <c r="BM97" s="97">
        <f t="shared" si="53"/>
        <v>2.3344276168515299E-15</v>
      </c>
      <c r="BN97" s="97">
        <f t="shared" si="53"/>
        <v>2.6157546980119115E-15</v>
      </c>
      <c r="BO97" s="97">
        <f t="shared" si="53"/>
        <v>2.8466938208831213E-15</v>
      </c>
      <c r="BP97" s="97">
        <f t="shared" si="53"/>
        <v>3.0306854140604761E-15</v>
      </c>
      <c r="BQ97" s="97">
        <f t="shared" si="53"/>
        <v>3.1835557819485093E-15</v>
      </c>
      <c r="BR97" s="97">
        <f t="shared" si="53"/>
        <v>3.3132579386347627E-15</v>
      </c>
      <c r="BS97" s="97">
        <f t="shared" si="53"/>
        <v>3.4052546674114616E-15</v>
      </c>
      <c r="BT97" s="97">
        <f t="shared" si="53"/>
        <v>3.4250926489894058E-15</v>
      </c>
      <c r="BU97" s="97">
        <f t="shared" si="53"/>
        <v>3.3364760597145137E-15</v>
      </c>
      <c r="BV97" s="97">
        <f t="shared" si="53"/>
        <v>3.12196402416915E-15</v>
      </c>
      <c r="BW97" s="97">
        <f t="shared" si="53"/>
        <v>2.7930506970474228E-15</v>
      </c>
      <c r="BX97" s="97">
        <f t="shared" si="53"/>
        <v>2.3854578469805957E-15</v>
      </c>
      <c r="BY97" s="97">
        <f t="shared" si="53"/>
        <v>1.9452580098573561E-15</v>
      </c>
      <c r="BZ97" s="97">
        <f t="shared" si="45"/>
        <v>1.5149318039479016E-15</v>
      </c>
      <c r="CA97" s="97">
        <f t="shared" si="45"/>
        <v>1.1253942201406929E-15</v>
      </c>
      <c r="CB97" s="97">
        <f t="shared" si="45"/>
        <v>7.9464752561529401E-16</v>
      </c>
      <c r="CC97" s="97">
        <f t="shared" si="45"/>
        <v>5.3012894618170929E-16</v>
      </c>
      <c r="CD97" s="97">
        <f t="shared" si="45"/>
        <v>3.3152036060991993E-16</v>
      </c>
      <c r="CE97" s="97">
        <f t="shared" si="45"/>
        <v>1.9269029357162139E-16</v>
      </c>
      <c r="CF97" s="97">
        <f t="shared" si="45"/>
        <v>1.0328238525703279E-16</v>
      </c>
      <c r="CG97" s="97">
        <f t="shared" si="45"/>
        <v>5.0765484179942588E-17</v>
      </c>
      <c r="CH97" s="97">
        <f t="shared" si="45"/>
        <v>2.2863281945102107E-17</v>
      </c>
      <c r="CI97" s="97">
        <f t="shared" si="45"/>
        <v>9.533202056625482E-18</v>
      </c>
      <c r="CJ97" s="97">
        <f t="shared" si="45"/>
        <v>3.8212049476296985E-18</v>
      </c>
      <c r="CK97" s="97">
        <f t="shared" si="45"/>
        <v>1.6161681760908096E-18</v>
      </c>
      <c r="CL97" s="97">
        <f t="shared" si="45"/>
        <v>8.3057235193892702E-19</v>
      </c>
      <c r="CM97" s="97">
        <f t="shared" si="45"/>
        <v>5.5044376184609839E-19</v>
      </c>
      <c r="CN97" s="97">
        <f t="shared" si="45"/>
        <v>4.3046195289074317E-19</v>
      </c>
      <c r="CO97" s="97">
        <f t="shared" si="45"/>
        <v>3.5875380145755551E-19</v>
      </c>
      <c r="CP97" s="97">
        <f t="shared" si="48"/>
        <v>3.0505884539703428E-19</v>
      </c>
      <c r="CQ97" s="97">
        <f t="shared" si="48"/>
        <v>2.6297579065375821E-19</v>
      </c>
      <c r="CR97" s="97">
        <f t="shared" si="48"/>
        <v>2.3111205962271921E-19</v>
      </c>
      <c r="CS97" s="97">
        <f t="shared" si="48"/>
        <v>2.0780434090156291E-19</v>
      </c>
      <c r="CT97" s="97">
        <f t="shared" si="48"/>
        <v>1.9018548907987809E-19</v>
      </c>
      <c r="CU97" s="97">
        <f t="shared" si="48"/>
        <v>1.7473753088187741E-19</v>
      </c>
      <c r="CV97" s="97">
        <f t="shared" si="52"/>
        <v>1.5832742286384377E-19</v>
      </c>
      <c r="CW97" s="97">
        <f t="shared" si="52"/>
        <v>1.3912667879644596E-19</v>
      </c>
      <c r="CX97" s="97">
        <f t="shared" si="52"/>
        <v>1.170087337184488E-19</v>
      </c>
      <c r="CY97" s="97">
        <f t="shared" si="52"/>
        <v>9.3303220263143595E-20</v>
      </c>
      <c r="CZ97" s="97">
        <f t="shared" si="52"/>
        <v>7.0089089726108148E-20</v>
      </c>
      <c r="DA97" s="97">
        <f t="shared" si="52"/>
        <v>4.9378808826096376E-20</v>
      </c>
      <c r="DB97" s="97">
        <f t="shared" si="52"/>
        <v>3.251910990232355E-20</v>
      </c>
      <c r="DC97" s="97">
        <f t="shared" si="52"/>
        <v>1.9966246749338282E-20</v>
      </c>
      <c r="DD97" s="97">
        <f t="shared" si="52"/>
        <v>1.1402844362640656E-20</v>
      </c>
      <c r="DE97" s="97">
        <f t="shared" si="52"/>
        <v>6.0446421109721914E-21</v>
      </c>
      <c r="DF97" s="97">
        <f t="shared" si="52"/>
        <v>2.968313938556289E-21</v>
      </c>
      <c r="DG97" s="97">
        <f t="shared" si="52"/>
        <v>1.3478166695351414E-21</v>
      </c>
      <c r="DH97" s="97">
        <f t="shared" si="52"/>
        <v>5.6493658469779863E-22</v>
      </c>
      <c r="DI97" s="97">
        <f t="shared" si="52"/>
        <v>2.1825123288943737E-22</v>
      </c>
      <c r="DJ97" s="97">
        <f t="shared" si="52"/>
        <v>7.7610539677894425E-23</v>
      </c>
      <c r="DK97" s="97">
        <f t="shared" si="52"/>
        <v>2.5374023785904987E-23</v>
      </c>
      <c r="DL97" s="97">
        <f t="shared" si="50"/>
        <v>7.6196572965398757E-24</v>
      </c>
    </row>
    <row r="98" spans="1:116" x14ac:dyDescent="0.25">
      <c r="A98" s="60">
        <v>5.7</v>
      </c>
      <c r="B98" s="25">
        <v>2.9</v>
      </c>
      <c r="C98" s="25">
        <v>4.2</v>
      </c>
      <c r="D98" s="57">
        <v>1.3</v>
      </c>
      <c r="E98" s="82" t="s">
        <v>6</v>
      </c>
      <c r="L98" s="97" cm="1">
        <f t="array" ref="L98">EstymacjaGaussowska($O98,$D$2:$D$51,H$9)</f>
        <v>4.7530581552002618</v>
      </c>
      <c r="M98" s="97" cm="1">
        <f t="array" ref="M98">EstymacjaGaussowska($O98,$D$52:$D$101,I$9)</f>
        <v>1.0403752359304542E-15</v>
      </c>
      <c r="N98" s="97" cm="1">
        <f t="array" ref="N98">EstymacjaGaussowska($O98,$D$102:$D$151,J$9)</f>
        <v>2.6903926253576007E-19</v>
      </c>
      <c r="O98" s="97">
        <v>0.21000000000002</v>
      </c>
      <c r="P98" s="97">
        <f t="shared" si="51"/>
        <v>1.0283059163532098E-32</v>
      </c>
      <c r="Q98" s="97">
        <f t="shared" si="51"/>
        <v>5.2319998397624255E-28</v>
      </c>
      <c r="R98" s="97">
        <f t="shared" si="51"/>
        <v>1.0789509962217734E-23</v>
      </c>
      <c r="S98" s="97">
        <f t="shared" si="51"/>
        <v>9.0183231097736372E-20</v>
      </c>
      <c r="T98" s="97">
        <f t="shared" si="51"/>
        <v>3.0552338310109423E-16</v>
      </c>
      <c r="U98" s="97">
        <f t="shared" si="51"/>
        <v>4.1953836935046347E-13</v>
      </c>
      <c r="V98" s="97">
        <f t="shared" si="51"/>
        <v>2.335343138327228E-10</v>
      </c>
      <c r="W98" s="97">
        <f t="shared" si="51"/>
        <v>5.2712684126097903E-8</v>
      </c>
      <c r="X98" s="97">
        <f t="shared" si="51"/>
        <v>4.8292329486190785E-6</v>
      </c>
      <c r="Y98" s="97">
        <f t="shared" si="51"/>
        <v>1.8010142793475236E-4</v>
      </c>
      <c r="Z98" s="97">
        <f t="shared" si="51"/>
        <v>2.7591755992750133E-3</v>
      </c>
      <c r="AA98" s="97">
        <f t="shared" si="51"/>
        <v>1.7858111595290247E-2</v>
      </c>
      <c r="AB98" s="97">
        <f t="shared" si="51"/>
        <v>5.3180817268628541E-2</v>
      </c>
      <c r="AC98" s="97">
        <f t="shared" si="51"/>
        <v>9.2724982912599258E-2</v>
      </c>
      <c r="AD98" s="97">
        <f t="shared" si="51"/>
        <v>0.15187098392149254</v>
      </c>
      <c r="AE98" s="97">
        <f t="shared" si="51"/>
        <v>0.30661495336949995</v>
      </c>
      <c r="AF98" s="97">
        <f t="shared" si="49"/>
        <v>0.60020859377026514</v>
      </c>
      <c r="AG98" s="97">
        <f t="shared" si="49"/>
        <v>0.93531259904646602</v>
      </c>
      <c r="AH98" s="97">
        <f t="shared" si="49"/>
        <v>1.1114113247442061</v>
      </c>
      <c r="AI98" s="97">
        <f t="shared" si="49"/>
        <v>1.0109008900272405</v>
      </c>
      <c r="AJ98" s="97">
        <f t="shared" si="49"/>
        <v>0.72909133438720142</v>
      </c>
      <c r="AK98" s="97">
        <f t="shared" si="49"/>
        <v>0.44078612657677513</v>
      </c>
      <c r="AL98" s="97">
        <f t="shared" si="49"/>
        <v>0.21921687150468575</v>
      </c>
      <c r="AM98" s="97">
        <f t="shared" si="49"/>
        <v>0.12068018020721742</v>
      </c>
      <c r="AN98" s="97">
        <f t="shared" si="49"/>
        <v>9.3749216505140079E-2</v>
      </c>
      <c r="AO98" s="97">
        <f t="shared" si="49"/>
        <v>4.4813190239427418E-2</v>
      </c>
      <c r="AP98" s="97">
        <f t="shared" si="49"/>
        <v>9.1676326376418198E-3</v>
      </c>
      <c r="AQ98" s="97">
        <f t="shared" si="49"/>
        <v>7.6451338026536832E-4</v>
      </c>
      <c r="AR98" s="97">
        <f t="shared" si="49"/>
        <v>2.5855898132323445E-5</v>
      </c>
      <c r="AS98" s="97">
        <f t="shared" si="49"/>
        <v>3.544451698202648E-7</v>
      </c>
      <c r="AT98" s="97">
        <f t="shared" si="49"/>
        <v>1.9693786637530734E-9</v>
      </c>
      <c r="AU98" s="97">
        <f t="shared" si="54"/>
        <v>4.4350415502928269E-12</v>
      </c>
      <c r="AV98" s="97">
        <f t="shared" si="54"/>
        <v>4.0501348464667379E-15</v>
      </c>
      <c r="AW98" s="97">
        <f t="shared" si="54"/>
        <v>5.368445890334129E-18</v>
      </c>
      <c r="AX98" s="97">
        <f t="shared" si="54"/>
        <v>6.7340927601622251E-18</v>
      </c>
      <c r="AY98" s="97">
        <f t="shared" si="54"/>
        <v>1.0693677819496409E-17</v>
      </c>
      <c r="AZ98" s="97">
        <f t="shared" si="54"/>
        <v>1.571673722802003E-17</v>
      </c>
      <c r="BA98" s="97">
        <f t="shared" si="54"/>
        <v>2.1718441040811294E-17</v>
      </c>
      <c r="BB98" s="97">
        <f t="shared" si="54"/>
        <v>2.8647637261005432E-17</v>
      </c>
      <c r="BC98" s="97">
        <f t="shared" si="54"/>
        <v>3.647260920706802E-17</v>
      </c>
      <c r="BD98" s="97">
        <f t="shared" si="54"/>
        <v>4.5070444243805533E-17</v>
      </c>
      <c r="BE98" s="97">
        <f t="shared" si="54"/>
        <v>5.4171086153906415E-17</v>
      </c>
      <c r="BF98" s="97">
        <f t="shared" si="54"/>
        <v>6.3518657306872493E-17</v>
      </c>
      <c r="BG98" s="97">
        <f t="shared" si="54"/>
        <v>7.3231318552870617E-17</v>
      </c>
      <c r="BH98" s="97">
        <f t="shared" si="54"/>
        <v>8.410727835848033E-17</v>
      </c>
      <c r="BI98" s="97">
        <f t="shared" si="54"/>
        <v>9.7538979146227788E-17</v>
      </c>
      <c r="BJ98" s="97">
        <f t="shared" si="54"/>
        <v>1.1487481786543232E-16</v>
      </c>
      <c r="BK98" s="97">
        <f t="shared" si="53"/>
        <v>1.3646810788551435E-16</v>
      </c>
      <c r="BL98" s="97">
        <f t="shared" si="53"/>
        <v>1.6103339494656967E-16</v>
      </c>
      <c r="BM98" s="97">
        <f t="shared" si="53"/>
        <v>1.8591835063452404E-16</v>
      </c>
      <c r="BN98" s="97">
        <f t="shared" si="53"/>
        <v>2.0832395627085196E-16</v>
      </c>
      <c r="BO98" s="97">
        <f t="shared" si="53"/>
        <v>2.2671670628976097E-16</v>
      </c>
      <c r="BP98" s="97">
        <f t="shared" si="53"/>
        <v>2.413706651924541E-16</v>
      </c>
      <c r="BQ98" s="97">
        <f t="shared" si="53"/>
        <v>2.5354635062799468E-16</v>
      </c>
      <c r="BR98" s="97">
        <f t="shared" si="53"/>
        <v>2.6387726160289008E-16</v>
      </c>
      <c r="BS98" s="97">
        <f t="shared" si="53"/>
        <v>2.7120576001380324E-16</v>
      </c>
      <c r="BT98" s="97">
        <f t="shared" si="53"/>
        <v>2.7278806544170052E-16</v>
      </c>
      <c r="BU98" s="97">
        <f t="shared" si="53"/>
        <v>2.6573363022564776E-16</v>
      </c>
      <c r="BV98" s="97">
        <f t="shared" si="53"/>
        <v>2.4865345794515039E-16</v>
      </c>
      <c r="BW98" s="97">
        <f t="shared" si="53"/>
        <v>2.224628316298353E-16</v>
      </c>
      <c r="BX98" s="97">
        <f t="shared" si="53"/>
        <v>1.9000637439752372E-16</v>
      </c>
      <c r="BY98" s="97">
        <f t="shared" si="53"/>
        <v>1.5495291257562275E-16</v>
      </c>
      <c r="BZ98" s="97">
        <f t="shared" si="45"/>
        <v>1.2068517509524512E-16</v>
      </c>
      <c r="CA98" s="97">
        <f t="shared" si="45"/>
        <v>8.966491353131632E-17</v>
      </c>
      <c r="CB98" s="97">
        <f t="shared" si="45"/>
        <v>6.332574374991876E-17</v>
      </c>
      <c r="CC98" s="97">
        <f t="shared" si="45"/>
        <v>4.2260141379192756E-17</v>
      </c>
      <c r="CD98" s="97">
        <f t="shared" si="45"/>
        <v>2.6443106221173771E-17</v>
      </c>
      <c r="CE98" s="97">
        <f t="shared" si="45"/>
        <v>1.5386644522934884E-17</v>
      </c>
      <c r="CF98" s="97">
        <f t="shared" si="45"/>
        <v>8.2661160752185939E-18</v>
      </c>
      <c r="CG98" s="97">
        <f t="shared" si="45"/>
        <v>4.0834513483406671E-18</v>
      </c>
      <c r="CH98" s="97">
        <f t="shared" si="45"/>
        <v>1.8607220527200177E-18</v>
      </c>
      <c r="CI98" s="97">
        <f t="shared" si="45"/>
        <v>7.9788574631276324E-19</v>
      </c>
      <c r="CJ98" s="97">
        <f t="shared" si="45"/>
        <v>3.4099178069244951E-19</v>
      </c>
      <c r="CK98" s="97">
        <f t="shared" si="45"/>
        <v>1.6267141170863433E-19</v>
      </c>
      <c r="CL98" s="97">
        <f t="shared" si="45"/>
        <v>9.6857939922438237E-20</v>
      </c>
      <c r="CM98" s="97">
        <f t="shared" si="45"/>
        <v>7.1018913603378315E-20</v>
      </c>
      <c r="CN98" s="97">
        <f t="shared" si="45"/>
        <v>5.7919346417150398E-20</v>
      </c>
      <c r="CO98" s="97">
        <f t="shared" si="45"/>
        <v>4.888792114582738E-20</v>
      </c>
      <c r="CP98" s="97">
        <f t="shared" si="48"/>
        <v>4.1703499498586204E-20</v>
      </c>
      <c r="CQ98" s="97">
        <f t="shared" si="48"/>
        <v>3.5975442048864396E-20</v>
      </c>
      <c r="CR98" s="97">
        <f t="shared" si="48"/>
        <v>3.1620615754435883E-20</v>
      </c>
      <c r="CS98" s="97">
        <f t="shared" si="48"/>
        <v>2.8432286196990926E-20</v>
      </c>
      <c r="CT98" s="97">
        <f t="shared" si="48"/>
        <v>2.6021713288361147E-20</v>
      </c>
      <c r="CU98" s="97">
        <f t="shared" si="48"/>
        <v>2.3908089318515911E-20</v>
      </c>
      <c r="CV98" s="97">
        <f t="shared" si="52"/>
        <v>2.1662812242284415E-20</v>
      </c>
      <c r="CW98" s="97">
        <f t="shared" si="52"/>
        <v>1.9035711427277169E-20</v>
      </c>
      <c r="CX98" s="97">
        <f t="shared" si="52"/>
        <v>1.6009470718234826E-20</v>
      </c>
      <c r="CY98" s="97">
        <f t="shared" si="52"/>
        <v>1.2766014341773243E-20</v>
      </c>
      <c r="CZ98" s="97">
        <f t="shared" si="52"/>
        <v>9.5897903858384846E-21</v>
      </c>
      <c r="DA98" s="97">
        <f t="shared" si="52"/>
        <v>6.7561503223280957E-21</v>
      </c>
      <c r="DB98" s="97">
        <f t="shared" si="52"/>
        <v>4.4493579345376226E-21</v>
      </c>
      <c r="DC98" s="97">
        <f t="shared" si="52"/>
        <v>2.7318391759165824E-21</v>
      </c>
      <c r="DD98" s="97">
        <f t="shared" si="52"/>
        <v>1.5601698876016192E-21</v>
      </c>
      <c r="DE98" s="97">
        <f t="shared" si="52"/>
        <v>8.2704527948880604E-22</v>
      </c>
      <c r="DF98" s="97">
        <f t="shared" si="52"/>
        <v>4.0613323102580933E-22</v>
      </c>
      <c r="DG98" s="97">
        <f t="shared" si="52"/>
        <v>1.8441214445632066E-22</v>
      </c>
      <c r="DH98" s="97">
        <f t="shared" si="52"/>
        <v>7.7296244675385039E-23</v>
      </c>
      <c r="DI98" s="97">
        <f t="shared" si="52"/>
        <v>2.9861759983469048E-23</v>
      </c>
      <c r="DJ98" s="97">
        <f t="shared" si="52"/>
        <v>1.061889675199607E-23</v>
      </c>
      <c r="DK98" s="97">
        <f t="shared" si="52"/>
        <v>3.471746748360293E-24</v>
      </c>
      <c r="DL98" s="97">
        <f t="shared" si="50"/>
        <v>1.042543376883597E-24</v>
      </c>
    </row>
    <row r="99" spans="1:116" x14ac:dyDescent="0.25">
      <c r="A99" s="60">
        <v>6.2</v>
      </c>
      <c r="B99" s="25">
        <v>2.9</v>
      </c>
      <c r="C99" s="25">
        <v>4.3</v>
      </c>
      <c r="D99" s="57">
        <v>1.3</v>
      </c>
      <c r="E99" s="82" t="s">
        <v>6</v>
      </c>
      <c r="L99" s="97" cm="1">
        <f t="array" ref="L99">EstymacjaGaussowska($O99,$D$2:$D$51,H$9)</f>
        <v>4.4937877260575583</v>
      </c>
      <c r="M99" s="97" cm="1">
        <f t="array" ref="M99">EstymacjaGaussowska($O99,$D$52:$D$101,I$9)</f>
        <v>7.5127224753417224E-17</v>
      </c>
      <c r="N99" s="97" cm="1">
        <f t="array" ref="N99">EstymacjaGaussowska($O99,$D$102:$D$151,J$9)</f>
        <v>3.4990113784221579E-20</v>
      </c>
      <c r="O99" s="97">
        <v>0.18000000000002001</v>
      </c>
      <c r="P99" s="97">
        <f t="shared" si="51"/>
        <v>9.7221375263095804E-33</v>
      </c>
      <c r="Q99" s="97">
        <f t="shared" si="51"/>
        <v>4.9466040378521066E-28</v>
      </c>
      <c r="R99" s="97">
        <f t="shared" si="51"/>
        <v>1.0200962381523174E-23</v>
      </c>
      <c r="S99" s="97">
        <f t="shared" si="51"/>
        <v>8.5263904578955209E-20</v>
      </c>
      <c r="T99" s="97">
        <f t="shared" si="51"/>
        <v>2.88857654203356E-16</v>
      </c>
      <c r="U99" s="97">
        <f t="shared" si="51"/>
        <v>3.9665333628089823E-13</v>
      </c>
      <c r="V99" s="97">
        <f t="shared" si="51"/>
        <v>2.2079545396821404E-10</v>
      </c>
      <c r="W99" s="97">
        <f t="shared" si="51"/>
        <v>4.9837305835242268E-8</v>
      </c>
      <c r="X99" s="97">
        <f t="shared" si="51"/>
        <v>4.5658073270224502E-6</v>
      </c>
      <c r="Y99" s="97">
        <f t="shared" si="51"/>
        <v>1.7027723202021921E-4</v>
      </c>
      <c r="Z99" s="97">
        <f t="shared" si="51"/>
        <v>2.608667732898199E-3</v>
      </c>
      <c r="AA99" s="97">
        <f t="shared" si="51"/>
        <v>1.68839850212395E-2</v>
      </c>
      <c r="AB99" s="97">
        <f t="shared" si="51"/>
        <v>5.0279903190749757E-2</v>
      </c>
      <c r="AC99" s="97">
        <f t="shared" si="51"/>
        <v>8.7667008588069556E-2</v>
      </c>
      <c r="AD99" s="97">
        <f t="shared" si="51"/>
        <v>0.14358670590722722</v>
      </c>
      <c r="AE99" s="97">
        <f t="shared" si="51"/>
        <v>0.28988968135600596</v>
      </c>
      <c r="AF99" s="97">
        <f t="shared" si="49"/>
        <v>0.56746833800215568</v>
      </c>
      <c r="AG99" s="97">
        <f t="shared" si="49"/>
        <v>0.88429304678787657</v>
      </c>
      <c r="AH99" s="97">
        <f t="shared" si="49"/>
        <v>1.0507859164888447</v>
      </c>
      <c r="AI99" s="97">
        <f t="shared" si="49"/>
        <v>0.95575813792534448</v>
      </c>
      <c r="AJ99" s="97">
        <f t="shared" si="49"/>
        <v>0.68932076626486982</v>
      </c>
      <c r="AK99" s="97">
        <f t="shared" si="49"/>
        <v>0.41674206810619335</v>
      </c>
      <c r="AL99" s="97">
        <f t="shared" si="49"/>
        <v>0.2072590013304787</v>
      </c>
      <c r="AM99" s="97">
        <f t="shared" si="49"/>
        <v>0.1140973021759206</v>
      </c>
      <c r="AN99" s="97">
        <f t="shared" si="49"/>
        <v>8.8635372154532557E-2</v>
      </c>
      <c r="AO99" s="97">
        <f t="shared" si="49"/>
        <v>4.2368714559718336E-2</v>
      </c>
      <c r="AP99" s="97">
        <f t="shared" si="49"/>
        <v>8.667555430384527E-3</v>
      </c>
      <c r="AQ99" s="97">
        <f t="shared" si="49"/>
        <v>7.2281060581690603E-4</v>
      </c>
      <c r="AR99" s="97">
        <f t="shared" si="49"/>
        <v>2.4445507266959568E-5</v>
      </c>
      <c r="AS99" s="97">
        <f t="shared" si="49"/>
        <v>3.3511084899212386E-7</v>
      </c>
      <c r="AT99" s="97">
        <f t="shared" si="49"/>
        <v>1.8619527421178874E-9</v>
      </c>
      <c r="AU99" s="97">
        <f t="shared" si="54"/>
        <v>4.1931175149659813E-12</v>
      </c>
      <c r="AV99" s="97">
        <f t="shared" si="54"/>
        <v>3.8274525134453278E-15</v>
      </c>
      <c r="AW99" s="97">
        <f t="shared" si="54"/>
        <v>1.6954359146355449E-18</v>
      </c>
      <c r="AX99" s="97">
        <f t="shared" si="54"/>
        <v>4.8647612325833068E-19</v>
      </c>
      <c r="AY99" s="97">
        <f t="shared" si="54"/>
        <v>7.7220825875054844E-19</v>
      </c>
      <c r="AZ99" s="97">
        <f t="shared" si="54"/>
        <v>1.1349317143897136E-18</v>
      </c>
      <c r="BA99" s="97">
        <f t="shared" si="54"/>
        <v>1.568324720767786E-18</v>
      </c>
      <c r="BB99" s="97">
        <f t="shared" si="54"/>
        <v>2.0686934953143528E-18</v>
      </c>
      <c r="BC99" s="97">
        <f t="shared" si="54"/>
        <v>2.6337477239645301E-18</v>
      </c>
      <c r="BD99" s="97">
        <f t="shared" si="54"/>
        <v>3.2546116819702819E-18</v>
      </c>
      <c r="BE99" s="97">
        <f t="shared" si="54"/>
        <v>3.9117841644781269E-18</v>
      </c>
      <c r="BF99" s="97">
        <f t="shared" si="54"/>
        <v>4.5867878341029698E-18</v>
      </c>
      <c r="BG99" s="97">
        <f t="shared" si="54"/>
        <v>5.2881553176774525E-18</v>
      </c>
      <c r="BH99" s="97">
        <f t="shared" si="54"/>
        <v>6.0735266733786033E-18</v>
      </c>
      <c r="BI99" s="97">
        <f t="shared" si="54"/>
        <v>7.0434527277686816E-18</v>
      </c>
      <c r="BJ99" s="97">
        <f t="shared" si="54"/>
        <v>8.2953040150436395E-18</v>
      </c>
      <c r="BK99" s="97">
        <f t="shared" si="53"/>
        <v>9.8545949865880774E-18</v>
      </c>
      <c r="BL99" s="97">
        <f t="shared" si="53"/>
        <v>1.1628502850701329E-17</v>
      </c>
      <c r="BM99" s="97">
        <f t="shared" si="53"/>
        <v>1.3425501810183946E-17</v>
      </c>
      <c r="BN99" s="97">
        <f t="shared" si="53"/>
        <v>1.5043474868747868E-17</v>
      </c>
      <c r="BO99" s="97">
        <f t="shared" si="53"/>
        <v>1.6371691610641857E-17</v>
      </c>
      <c r="BP99" s="97">
        <f t="shared" si="53"/>
        <v>1.7429951324324598E-17</v>
      </c>
      <c r="BQ99" s="97">
        <f t="shared" si="53"/>
        <v>1.8309289354364841E-17</v>
      </c>
      <c r="BR99" s="97">
        <f t="shared" si="53"/>
        <v>1.9055466418841836E-17</v>
      </c>
      <c r="BS99" s="97">
        <f t="shared" si="53"/>
        <v>1.9584905925122316E-17</v>
      </c>
      <c r="BT99" s="97">
        <f t="shared" si="53"/>
        <v>1.9699495109342759E-17</v>
      </c>
      <c r="BU99" s="97">
        <f t="shared" si="53"/>
        <v>1.9190519194776433E-17</v>
      </c>
      <c r="BV99" s="97">
        <f t="shared" si="53"/>
        <v>1.7957680210445606E-17</v>
      </c>
      <c r="BW99" s="97">
        <f t="shared" si="53"/>
        <v>1.6067053889992226E-17</v>
      </c>
      <c r="BX99" s="97">
        <f t="shared" si="53"/>
        <v>1.3724010246608492E-17</v>
      </c>
      <c r="BY99" s="97">
        <f t="shared" si="53"/>
        <v>1.1193415465611299E-17</v>
      </c>
      <c r="BZ99" s="97">
        <f t="shared" si="45"/>
        <v>8.7194719536750712E-18</v>
      </c>
      <c r="CA99" s="97">
        <f t="shared" si="45"/>
        <v>6.4798948951118336E-18</v>
      </c>
      <c r="CB99" s="97">
        <f t="shared" si="45"/>
        <v>4.5781917327774036E-18</v>
      </c>
      <c r="CC99" s="97">
        <f t="shared" si="45"/>
        <v>3.0571684248917071E-18</v>
      </c>
      <c r="CD99" s="97">
        <f t="shared" si="45"/>
        <v>1.915066111230619E-18</v>
      </c>
      <c r="CE99" s="97">
        <f t="shared" si="45"/>
        <v>1.1166913929957388E-18</v>
      </c>
      <c r="CF99" s="97">
        <f t="shared" si="45"/>
        <v>6.0251770444693686E-19</v>
      </c>
      <c r="CG99" s="97">
        <f t="shared" si="45"/>
        <v>3.0046373490322974E-19</v>
      </c>
      <c r="CH99" s="97">
        <f t="shared" si="45"/>
        <v>1.398811614662722E-19</v>
      </c>
      <c r="CI99" s="97">
        <f t="shared" si="45"/>
        <v>6.2965335853991769E-20</v>
      </c>
      <c r="CJ99" s="97">
        <f t="shared" si="45"/>
        <v>2.969822247763115E-20</v>
      </c>
      <c r="CK99" s="97">
        <f t="shared" si="45"/>
        <v>1.6446716447954023E-20</v>
      </c>
      <c r="CL99" s="97">
        <f t="shared" si="45"/>
        <v>1.1244777716697793E-20</v>
      </c>
      <c r="CM99" s="97">
        <f t="shared" si="45"/>
        <v>8.8904421783201585E-21</v>
      </c>
      <c r="CN99" s="97">
        <f t="shared" si="45"/>
        <v>7.45397806040665E-21</v>
      </c>
      <c r="CO99" s="97">
        <f t="shared" si="45"/>
        <v>6.3422210754302245E-21</v>
      </c>
      <c r="CP99" s="97">
        <f t="shared" si="48"/>
        <v>5.420919306862001E-21</v>
      </c>
      <c r="CQ99" s="97">
        <f t="shared" si="48"/>
        <v>4.6783585079408775E-21</v>
      </c>
      <c r="CR99" s="97">
        <f t="shared" si="48"/>
        <v>4.1123797489221899E-21</v>
      </c>
      <c r="CS99" s="97">
        <f t="shared" si="48"/>
        <v>3.6977753777553958E-21</v>
      </c>
      <c r="CT99" s="97">
        <f t="shared" si="48"/>
        <v>3.3842735810528881E-21</v>
      </c>
      <c r="CU99" s="97">
        <f t="shared" si="48"/>
        <v>3.1093853519610837E-21</v>
      </c>
      <c r="CV99" s="97">
        <f t="shared" si="52"/>
        <v>2.8173741484819211E-21</v>
      </c>
      <c r="CW99" s="97">
        <f t="shared" si="52"/>
        <v>2.4757044840546488E-21</v>
      </c>
      <c r="CX99" s="97">
        <f t="shared" si="52"/>
        <v>2.0821243589716989E-21</v>
      </c>
      <c r="CY99" s="97">
        <f t="shared" si="52"/>
        <v>1.6602940781910353E-21</v>
      </c>
      <c r="CZ99" s="97">
        <f t="shared" si="52"/>
        <v>1.247207762928982E-21</v>
      </c>
      <c r="DA99" s="97">
        <f t="shared" si="52"/>
        <v>8.7867646637688134E-22</v>
      </c>
      <c r="DB99" s="97">
        <f t="shared" si="52"/>
        <v>5.7866476041022949E-22</v>
      </c>
      <c r="DC99" s="97">
        <f t="shared" si="52"/>
        <v>3.5529150171087043E-22</v>
      </c>
      <c r="DD99" s="97">
        <f t="shared" si="52"/>
        <v>2.0290912700015597E-22</v>
      </c>
      <c r="DE99" s="97">
        <f t="shared" si="52"/>
        <v>1.0756202704863657E-22</v>
      </c>
      <c r="DF99" s="97">
        <f t="shared" si="52"/>
        <v>5.2819978137048943E-23</v>
      </c>
      <c r="DG99" s="97">
        <f t="shared" si="52"/>
        <v>2.3983867101409784E-23</v>
      </c>
      <c r="DH99" s="97">
        <f t="shared" si="52"/>
        <v>1.0052824152107776E-23</v>
      </c>
      <c r="DI99" s="97">
        <f t="shared" si="52"/>
        <v>3.8836947803475911E-24</v>
      </c>
      <c r="DJ99" s="97">
        <f t="shared" si="52"/>
        <v>1.3810490041982516E-24</v>
      </c>
      <c r="DK99" s="97">
        <f t="shared" si="52"/>
        <v>4.5152076544582978E-25</v>
      </c>
      <c r="DL99" s="97">
        <f t="shared" si="50"/>
        <v>1.3558880231206028E-25</v>
      </c>
    </row>
    <row r="100" spans="1:116" x14ac:dyDescent="0.25">
      <c r="A100" s="60">
        <v>5.0999999999999996</v>
      </c>
      <c r="B100" s="25">
        <v>2.5</v>
      </c>
      <c r="C100" s="25">
        <v>3</v>
      </c>
      <c r="D100" s="57">
        <v>1.1000000000000001</v>
      </c>
      <c r="E100" s="82" t="s">
        <v>6</v>
      </c>
      <c r="L100" s="97" cm="1">
        <f t="array" ref="L100">EstymacjaGaussowska($O100,$D$2:$D$51,H$9)</f>
        <v>3.3039881332773335</v>
      </c>
      <c r="M100" s="97" cm="1">
        <f t="array" ref="M100">EstymacjaGaussowska($O100,$D$52:$D$101,I$9)</f>
        <v>4.9189234940123286E-18</v>
      </c>
      <c r="N100" s="97" cm="1">
        <f t="array" ref="N100">EstymacjaGaussowska($O100,$D$102:$D$151,J$9)</f>
        <v>4.3255616170690379E-21</v>
      </c>
      <c r="O100" s="97">
        <v>0.15000000000002001</v>
      </c>
      <c r="P100" s="97">
        <f t="shared" si="51"/>
        <v>7.1480517049695791E-33</v>
      </c>
      <c r="Q100" s="97">
        <f t="shared" si="51"/>
        <v>3.6369143442882257E-28</v>
      </c>
      <c r="R100" s="97">
        <f t="shared" si="51"/>
        <v>7.5001002964885834E-24</v>
      </c>
      <c r="S100" s="97">
        <f t="shared" si="51"/>
        <v>6.268897110832302E-20</v>
      </c>
      <c r="T100" s="97">
        <f t="shared" si="51"/>
        <v>2.1237813619013643E-16</v>
      </c>
      <c r="U100" s="97">
        <f t="shared" si="51"/>
        <v>2.9163324927381433E-13</v>
      </c>
      <c r="V100" s="97">
        <f t="shared" si="51"/>
        <v>1.6233645295759504E-10</v>
      </c>
      <c r="W100" s="97">
        <f t="shared" si="51"/>
        <v>3.6642110645180165E-8</v>
      </c>
      <c r="X100" s="97">
        <f t="shared" si="51"/>
        <v>3.3569394343749774E-6</v>
      </c>
      <c r="Y100" s="97">
        <f t="shared" si="51"/>
        <v>1.2519370923995209E-4</v>
      </c>
      <c r="Z100" s="97">
        <f t="shared" si="51"/>
        <v>1.9179827260600642E-3</v>
      </c>
      <c r="AA100" s="97">
        <f t="shared" si="51"/>
        <v>1.2413689642956902E-2</v>
      </c>
      <c r="AB100" s="97">
        <f t="shared" si="51"/>
        <v>3.6967523526152984E-2</v>
      </c>
      <c r="AC100" s="97">
        <f t="shared" si="51"/>
        <v>6.4455816276176706E-2</v>
      </c>
      <c r="AD100" s="97">
        <f t="shared" si="51"/>
        <v>0.105569911472001</v>
      </c>
      <c r="AE100" s="97">
        <f t="shared" si="51"/>
        <v>0.21313691824070002</v>
      </c>
      <c r="AF100" s="97">
        <f t="shared" si="49"/>
        <v>0.41722234539427344</v>
      </c>
      <c r="AG100" s="97">
        <f t="shared" si="49"/>
        <v>0.65016282722593821</v>
      </c>
      <c r="AH100" s="97">
        <f t="shared" si="49"/>
        <v>0.77257414242392752</v>
      </c>
      <c r="AI100" s="97">
        <f t="shared" si="49"/>
        <v>0.702706433523276</v>
      </c>
      <c r="AJ100" s="97">
        <f t="shared" si="49"/>
        <v>0.50681246436151683</v>
      </c>
      <c r="AK100" s="97">
        <f t="shared" si="49"/>
        <v>0.30640317958861263</v>
      </c>
      <c r="AL100" s="97">
        <f t="shared" si="49"/>
        <v>0.15238398488207577</v>
      </c>
      <c r="AM100" s="97">
        <f t="shared" si="49"/>
        <v>8.3888282092693403E-2</v>
      </c>
      <c r="AN100" s="97">
        <f t="shared" si="49"/>
        <v>6.5167790656661922E-2</v>
      </c>
      <c r="AO100" s="97">
        <f t="shared" si="49"/>
        <v>3.1150944072370488E-2</v>
      </c>
      <c r="AP100" s="97">
        <f t="shared" si="49"/>
        <v>6.3726864801506612E-3</v>
      </c>
      <c r="AQ100" s="97">
        <f t="shared" si="49"/>
        <v>5.3143535249298719E-4</v>
      </c>
      <c r="AR100" s="97">
        <f t="shared" si="49"/>
        <v>1.7973182278647026E-5</v>
      </c>
      <c r="AS100" s="97">
        <f t="shared" si="49"/>
        <v>2.4638508445386612E-7</v>
      </c>
      <c r="AT100" s="97">
        <f t="shared" si="49"/>
        <v>1.3689720430994539E-9</v>
      </c>
      <c r="AU100" s="97">
        <f t="shared" si="54"/>
        <v>3.0829249515325904E-12</v>
      </c>
      <c r="AV100" s="97">
        <f t="shared" si="54"/>
        <v>2.8139782389330703E-15</v>
      </c>
      <c r="AW100" s="97">
        <f t="shared" si="54"/>
        <v>1.0593320407972849E-18</v>
      </c>
      <c r="AX100" s="97">
        <f t="shared" si="54"/>
        <v>3.1994016399856818E-20</v>
      </c>
      <c r="AY100" s="97">
        <f t="shared" si="54"/>
        <v>5.0560020125216184E-20</v>
      </c>
      <c r="AZ100" s="97">
        <f t="shared" si="54"/>
        <v>7.4309177430403015E-20</v>
      </c>
      <c r="BA100" s="97">
        <f t="shared" si="54"/>
        <v>1.0268540253830018E-19</v>
      </c>
      <c r="BB100" s="97">
        <f t="shared" si="54"/>
        <v>1.3544683795114506E-19</v>
      </c>
      <c r="BC100" s="97">
        <f t="shared" si="54"/>
        <v>1.7244352634555026E-19</v>
      </c>
      <c r="BD100" s="97">
        <f t="shared" si="54"/>
        <v>2.1309433348882753E-19</v>
      </c>
      <c r="BE100" s="97">
        <f t="shared" si="54"/>
        <v>2.5612242662601383E-19</v>
      </c>
      <c r="BF100" s="97">
        <f t="shared" si="54"/>
        <v>3.0031801136044038E-19</v>
      </c>
      <c r="BG100" s="97">
        <f t="shared" si="54"/>
        <v>3.4623976248889349E-19</v>
      </c>
      <c r="BH100" s="97">
        <f t="shared" si="54"/>
        <v>3.9766165146684783E-19</v>
      </c>
      <c r="BI100" s="97">
        <f t="shared" si="54"/>
        <v>4.6116723349499445E-19</v>
      </c>
      <c r="BJ100" s="97">
        <f t="shared" si="54"/>
        <v>5.4313187527037135E-19</v>
      </c>
      <c r="BK100" s="97">
        <f t="shared" si="53"/>
        <v>6.4522626935673227E-19</v>
      </c>
      <c r="BL100" s="97">
        <f t="shared" si="53"/>
        <v>7.6137314348566183E-19</v>
      </c>
      <c r="BM100" s="97">
        <f t="shared" si="53"/>
        <v>8.7903285080852343E-19</v>
      </c>
      <c r="BN100" s="97">
        <f t="shared" si="53"/>
        <v>9.8497249263691608E-19</v>
      </c>
      <c r="BO100" s="97">
        <f t="shared" si="53"/>
        <v>1.07194290040179E-18</v>
      </c>
      <c r="BP100" s="97">
        <f t="shared" si="53"/>
        <v>1.1412415531768468E-18</v>
      </c>
      <c r="BQ100" s="97">
        <f t="shared" si="53"/>
        <v>1.1988304253861622E-18</v>
      </c>
      <c r="BR100" s="97">
        <f t="shared" si="53"/>
        <v>1.2477076029528993E-18</v>
      </c>
      <c r="BS100" s="97">
        <f t="shared" si="53"/>
        <v>1.2824033463680422E-18</v>
      </c>
      <c r="BT100" s="97">
        <f t="shared" si="53"/>
        <v>1.2899489439116926E-18</v>
      </c>
      <c r="BU100" s="97">
        <f t="shared" si="53"/>
        <v>1.2566810369517997E-18</v>
      </c>
      <c r="BV100" s="97">
        <f t="shared" si="53"/>
        <v>1.1760331506922694E-18</v>
      </c>
      <c r="BW100" s="97">
        <f t="shared" si="53"/>
        <v>1.0523291637248134E-18</v>
      </c>
      <c r="BX100" s="97">
        <f t="shared" si="53"/>
        <v>8.990097147872108E-19</v>
      </c>
      <c r="BY100" s="97">
        <f t="shared" si="53"/>
        <v>7.3340819558269092E-19</v>
      </c>
      <c r="BZ100" s="97">
        <f t="shared" si="45"/>
        <v>5.7150449514921593E-19</v>
      </c>
      <c r="CA100" s="97">
        <f t="shared" si="45"/>
        <v>4.2492764371451279E-19</v>
      </c>
      <c r="CB100" s="97">
        <f t="shared" si="45"/>
        <v>3.0045261119517685E-19</v>
      </c>
      <c r="CC100" s="97">
        <f t="shared" si="45"/>
        <v>2.0088501631223353E-19</v>
      </c>
      <c r="CD100" s="97">
        <f t="shared" si="45"/>
        <v>1.2611577066573626E-19</v>
      </c>
      <c r="CE100" s="97">
        <f t="shared" si="45"/>
        <v>7.3846542150481148E-20</v>
      </c>
      <c r="CF100" s="97">
        <f t="shared" si="45"/>
        <v>4.0182739822109884E-20</v>
      </c>
      <c r="CG100" s="97">
        <f t="shared" si="45"/>
        <v>2.0403686779615681E-20</v>
      </c>
      <c r="CH100" s="97">
        <f t="shared" si="45"/>
        <v>9.8797267536598758E-21</v>
      </c>
      <c r="CI100" s="97">
        <f t="shared" si="45"/>
        <v>4.8219078312764576E-21</v>
      </c>
      <c r="CJ100" s="97">
        <f t="shared" si="45"/>
        <v>2.6079298412318471E-21</v>
      </c>
      <c r="CK100" s="97">
        <f t="shared" si="45"/>
        <v>1.6913058420303057E-21</v>
      </c>
      <c r="CL100" s="97">
        <f t="shared" si="45"/>
        <v>1.2919521236808483E-21</v>
      </c>
      <c r="CM100" s="97">
        <f t="shared" si="45"/>
        <v>1.0739428772730256E-21</v>
      </c>
      <c r="CN100" s="97">
        <f t="shared" si="45"/>
        <v>9.1576075836923379E-22</v>
      </c>
      <c r="CO100" s="97">
        <f t="shared" si="45"/>
        <v>7.8288373433930676E-22</v>
      </c>
      <c r="CP100" s="97">
        <f t="shared" si="48"/>
        <v>6.6993924641649526E-22</v>
      </c>
      <c r="CQ100" s="97">
        <f t="shared" si="48"/>
        <v>5.78316773695046E-22</v>
      </c>
      <c r="CR100" s="97">
        <f t="shared" si="48"/>
        <v>5.0837755238371598E-22</v>
      </c>
      <c r="CS100" s="97">
        <f t="shared" si="48"/>
        <v>4.5712725795884649E-22</v>
      </c>
      <c r="CT100" s="97">
        <f t="shared" si="48"/>
        <v>4.1837193571271339E-22</v>
      </c>
      <c r="CU100" s="97">
        <f t="shared" si="48"/>
        <v>3.8438965335695299E-22</v>
      </c>
      <c r="CV100" s="97">
        <f t="shared" si="52"/>
        <v>3.4829053524679798E-22</v>
      </c>
      <c r="CW100" s="97">
        <f t="shared" si="52"/>
        <v>3.0605251403253813E-22</v>
      </c>
      <c r="CX100" s="97">
        <f t="shared" si="52"/>
        <v>2.5739719695031808E-22</v>
      </c>
      <c r="CY100" s="97">
        <f t="shared" si="52"/>
        <v>2.0524952796531318E-22</v>
      </c>
      <c r="CZ100" s="97">
        <f t="shared" si="52"/>
        <v>1.5418280892440486E-22</v>
      </c>
      <c r="DA100" s="97">
        <f t="shared" si="52"/>
        <v>1.0862408794153715E-22</v>
      </c>
      <c r="DB100" s="97">
        <f t="shared" si="52"/>
        <v>7.1535922752833784E-23</v>
      </c>
      <c r="DC100" s="97">
        <f t="shared" si="52"/>
        <v>4.3921985854312344E-23</v>
      </c>
      <c r="DD100" s="97">
        <f t="shared" si="52"/>
        <v>2.5084111955664721E-23</v>
      </c>
      <c r="DE100" s="97">
        <f t="shared" si="52"/>
        <v>1.3297075240307759E-23</v>
      </c>
      <c r="DF100" s="97">
        <f t="shared" si="52"/>
        <v>6.5297321252802989E-24</v>
      </c>
      <c r="DG100" s="97">
        <f t="shared" si="52"/>
        <v>2.9649430579881434E-24</v>
      </c>
      <c r="DH100" s="97">
        <f t="shared" si="52"/>
        <v>1.2427541837577761E-24</v>
      </c>
      <c r="DI100" s="97">
        <f t="shared" si="52"/>
        <v>4.8011164461712365E-25</v>
      </c>
      <c r="DJ100" s="97">
        <f t="shared" si="52"/>
        <v>1.7072858352764778E-25</v>
      </c>
      <c r="DK100" s="97">
        <f t="shared" si="52"/>
        <v>5.5818077768093296E-26</v>
      </c>
      <c r="DL100" s="97">
        <f t="shared" si="50"/>
        <v>1.6761812282241975E-26</v>
      </c>
    </row>
    <row r="101" spans="1:116" x14ac:dyDescent="0.25">
      <c r="A101" s="60">
        <v>5.7</v>
      </c>
      <c r="B101" s="25">
        <v>2.8</v>
      </c>
      <c r="C101" s="25">
        <v>4.0999999999999996</v>
      </c>
      <c r="D101" s="57">
        <v>1.3</v>
      </c>
      <c r="E101" s="82" t="s">
        <v>6</v>
      </c>
      <c r="L101" s="97" cm="1">
        <f t="array" ref="L101">EstymacjaGaussowska($O101,$D$2:$D$51,H$9)</f>
        <v>2.0544815316767906</v>
      </c>
      <c r="M101" s="97" cm="1">
        <f t="array" ref="M101">EstymacjaGaussowska($O101,$D$52:$D$101,I$9)</f>
        <v>2.9201673481179957E-19</v>
      </c>
      <c r="N101" s="97" cm="1">
        <f t="array" ref="N101">EstymacjaGaussowska($O101,$D$102:$D$151,J$9)</f>
        <v>5.0828128359040586E-22</v>
      </c>
      <c r="O101" s="97">
        <v>0.12000000000001999</v>
      </c>
      <c r="P101" s="97">
        <f t="shared" si="51"/>
        <v>4.4447920582462053E-33</v>
      </c>
      <c r="Q101" s="97">
        <f t="shared" si="51"/>
        <v>2.2615012679294555E-28</v>
      </c>
      <c r="R101" s="97">
        <f t="shared" si="51"/>
        <v>4.6637024478580401E-24</v>
      </c>
      <c r="S101" s="97">
        <f t="shared" si="51"/>
        <v>3.8981173111573873E-20</v>
      </c>
      <c r="T101" s="97">
        <f t="shared" si="51"/>
        <v>1.3206069178637352E-16</v>
      </c>
      <c r="U101" s="97">
        <f t="shared" si="51"/>
        <v>1.8134300139317506E-13</v>
      </c>
      <c r="V101" s="97">
        <f t="shared" si="51"/>
        <v>1.0094383849631763E-10</v>
      </c>
      <c r="W101" s="97">
        <f t="shared" si="51"/>
        <v>2.2784748784042079E-8</v>
      </c>
      <c r="X101" s="97">
        <f t="shared" si="51"/>
        <v>2.0874076396999016E-6</v>
      </c>
      <c r="Y101" s="97">
        <f t="shared" si="51"/>
        <v>7.7847786717218743E-5</v>
      </c>
      <c r="Z101" s="97">
        <f t="shared" si="51"/>
        <v>1.1926374822832176E-3</v>
      </c>
      <c r="AA101" s="97">
        <f t="shared" si="51"/>
        <v>7.7190640773047992E-3</v>
      </c>
      <c r="AB101" s="97">
        <f t="shared" si="51"/>
        <v>2.298709659134647E-2</v>
      </c>
      <c r="AC101" s="97">
        <f t="shared" si="51"/>
        <v>4.0079830437285004E-2</v>
      </c>
      <c r="AD101" s="97">
        <f t="shared" si="51"/>
        <v>6.5645342740634521E-2</v>
      </c>
      <c r="AE101" s="97">
        <f t="shared" si="51"/>
        <v>0.13253251663760396</v>
      </c>
      <c r="AF101" s="97">
        <f t="shared" si="49"/>
        <v>0.25943664705755143</v>
      </c>
      <c r="AG101" s="97">
        <f t="shared" si="49"/>
        <v>0.40428338941807473</v>
      </c>
      <c r="AH101" s="97">
        <f t="shared" si="49"/>
        <v>0.48040103155169606</v>
      </c>
      <c r="AI101" s="97">
        <f t="shared" si="49"/>
        <v>0.4369559851996152</v>
      </c>
      <c r="AJ101" s="97">
        <f t="shared" si="49"/>
        <v>0.31514545635534752</v>
      </c>
      <c r="AK101" s="97">
        <f t="shared" si="49"/>
        <v>0.19052721992903476</v>
      </c>
      <c r="AL101" s="97">
        <f t="shared" si="49"/>
        <v>9.4755207959235477E-2</v>
      </c>
      <c r="AM101" s="97">
        <f t="shared" si="49"/>
        <v>5.2163300632855146E-2</v>
      </c>
      <c r="AN101" s="97">
        <f t="shared" si="49"/>
        <v>4.0522549405008094E-2</v>
      </c>
      <c r="AO101" s="97">
        <f t="shared" si="49"/>
        <v>1.9370238847528497E-2</v>
      </c>
      <c r="AP101" s="97">
        <f t="shared" si="49"/>
        <v>3.9626554795307222E-3</v>
      </c>
      <c r="AQ101" s="97">
        <f t="shared" si="49"/>
        <v>3.3045642809073031E-4</v>
      </c>
      <c r="AR101" s="97">
        <f t="shared" si="49"/>
        <v>1.1176060435880927E-5</v>
      </c>
      <c r="AS101" s="97">
        <f t="shared" si="49"/>
        <v>1.5320684738325105E-7</v>
      </c>
      <c r="AT101" s="97">
        <f t="shared" si="49"/>
        <v>8.5125238544256531E-10</v>
      </c>
      <c r="AU101" s="97">
        <f t="shared" si="54"/>
        <v>1.9170203138612978E-12</v>
      </c>
      <c r="AV101" s="97">
        <f t="shared" si="54"/>
        <v>1.7497788824917805E-15</v>
      </c>
      <c r="AW101" s="97">
        <f t="shared" si="54"/>
        <v>6.4841875959782175E-19</v>
      </c>
      <c r="AX101" s="97">
        <f t="shared" si="54"/>
        <v>1.9871536723822045E-21</v>
      </c>
      <c r="AY101" s="97">
        <f t="shared" si="54"/>
        <v>3.0015506956989378E-21</v>
      </c>
      <c r="AZ101" s="97">
        <f t="shared" si="54"/>
        <v>4.4114374592461038E-21</v>
      </c>
      <c r="BA101" s="97">
        <f t="shared" si="54"/>
        <v>6.0960199929732808E-21</v>
      </c>
      <c r="BB101" s="97">
        <f t="shared" si="54"/>
        <v>8.0409348538089349E-21</v>
      </c>
      <c r="BC101" s="97">
        <f t="shared" si="54"/>
        <v>1.0237279681041372E-20</v>
      </c>
      <c r="BD101" s="97">
        <f t="shared" si="54"/>
        <v>1.2650554883556891E-20</v>
      </c>
      <c r="BE101" s="97">
        <f t="shared" si="54"/>
        <v>1.5204960082986637E-20</v>
      </c>
      <c r="BF101" s="97">
        <f t="shared" si="54"/>
        <v>1.7828674830818217E-20</v>
      </c>
      <c r="BG101" s="97">
        <f t="shared" si="54"/>
        <v>2.055486597952494E-20</v>
      </c>
      <c r="BH101" s="97">
        <f t="shared" si="54"/>
        <v>2.3607580647546322E-20</v>
      </c>
      <c r="BI101" s="97">
        <f t="shared" si="54"/>
        <v>2.7377662031497583E-20</v>
      </c>
      <c r="BJ101" s="97">
        <f t="shared" si="54"/>
        <v>3.2243598932550595E-20</v>
      </c>
      <c r="BK101" s="97">
        <f t="shared" si="53"/>
        <v>3.8304591529390235E-20</v>
      </c>
      <c r="BL101" s="97">
        <f t="shared" si="53"/>
        <v>4.5199888838485507E-20</v>
      </c>
      <c r="BM101" s="97">
        <f t="shared" si="53"/>
        <v>5.2185114828407648E-20</v>
      </c>
      <c r="BN101" s="97">
        <f t="shared" si="53"/>
        <v>5.8474762916956198E-20</v>
      </c>
      <c r="BO101" s="97">
        <f t="shared" si="53"/>
        <v>6.3638585243307874E-20</v>
      </c>
      <c r="BP101" s="97">
        <f t="shared" si="53"/>
        <v>6.7753747478749049E-20</v>
      </c>
      <c r="BQ101" s="97">
        <f t="shared" si="53"/>
        <v>7.1174370233400457E-20</v>
      </c>
      <c r="BR101" s="97">
        <f t="shared" si="53"/>
        <v>7.4078675416278845E-20</v>
      </c>
      <c r="BS101" s="97">
        <f t="shared" si="53"/>
        <v>7.6142243559782546E-20</v>
      </c>
      <c r="BT101" s="97">
        <f t="shared" si="53"/>
        <v>7.6595500439993258E-20</v>
      </c>
      <c r="BU101" s="97">
        <f t="shared" si="53"/>
        <v>7.4627573538992303E-20</v>
      </c>
      <c r="BV101" s="97">
        <f t="shared" si="53"/>
        <v>6.9848698522936005E-20</v>
      </c>
      <c r="BW101" s="97">
        <f t="shared" si="53"/>
        <v>6.2515269757104991E-20</v>
      </c>
      <c r="BX101" s="97">
        <f t="shared" si="53"/>
        <v>5.3424477597433539E-20</v>
      </c>
      <c r="BY101" s="97">
        <f t="shared" si="53"/>
        <v>4.360427158015254E-20</v>
      </c>
      <c r="BZ101" s="97">
        <f t="shared" si="45"/>
        <v>3.4002181186007907E-20</v>
      </c>
      <c r="CA101" s="97">
        <f t="shared" si="45"/>
        <v>2.5307735105496475E-20</v>
      </c>
      <c r="CB101" s="97">
        <f t="shared" si="45"/>
        <v>1.7922872017768128E-20</v>
      </c>
      <c r="CC101" s="97">
        <f t="shared" si="45"/>
        <v>1.2014510748748251E-20</v>
      </c>
      <c r="CD101" s="97">
        <f t="shared" si="45"/>
        <v>7.576925727210457E-21</v>
      </c>
      <c r="CE101" s="97">
        <f t="shared" si="45"/>
        <v>4.4744085410694188E-21</v>
      </c>
      <c r="CF101" s="97">
        <f t="shared" si="45"/>
        <v>2.4761096885682401E-21</v>
      </c>
      <c r="CG101" s="97">
        <f t="shared" si="45"/>
        <v>1.301635268774804E-21</v>
      </c>
      <c r="CH101" s="97">
        <f t="shared" si="45"/>
        <v>6.7564836119435741E-22</v>
      </c>
      <c r="CI101" s="97">
        <f t="shared" si="45"/>
        <v>3.7269287643342942E-22</v>
      </c>
      <c r="CJ101" s="97">
        <f t="shared" si="45"/>
        <v>2.3682934804998005E-22</v>
      </c>
      <c r="CK101" s="97">
        <f t="shared" si="45"/>
        <v>1.7635791422539482E-22</v>
      </c>
      <c r="CL101" s="97">
        <f t="shared" si="45"/>
        <v>1.4538688481736383E-22</v>
      </c>
      <c r="CM101" s="97">
        <f t="shared" si="45"/>
        <v>1.2455101189018167E-22</v>
      </c>
      <c r="CN101" s="97">
        <f t="shared" si="45"/>
        <v>1.0723344683342244E-22</v>
      </c>
      <c r="CO101" s="97">
        <f t="shared" si="45"/>
        <v>9.1918136740880309E-23</v>
      </c>
      <c r="CP101" s="97">
        <f t="shared" si="48"/>
        <v>7.8708563935054102E-23</v>
      </c>
      <c r="CQ101" s="97">
        <f t="shared" si="48"/>
        <v>6.7953769711388417E-23</v>
      </c>
      <c r="CR101" s="97">
        <f t="shared" si="48"/>
        <v>5.9737322866063702E-23</v>
      </c>
      <c r="CS101" s="97">
        <f t="shared" si="48"/>
        <v>5.3715351744140167E-23</v>
      </c>
      <c r="CT101" s="97">
        <f t="shared" si="48"/>
        <v>4.9161386419434507E-23</v>
      </c>
      <c r="CU101" s="97">
        <f t="shared" si="48"/>
        <v>4.5168253720852099E-23</v>
      </c>
      <c r="CV101" s="97">
        <f t="shared" si="52"/>
        <v>4.0926375771070466E-23</v>
      </c>
      <c r="CW101" s="97">
        <f t="shared" si="52"/>
        <v>3.5963136914438875E-23</v>
      </c>
      <c r="CX101" s="97">
        <f t="shared" si="52"/>
        <v>3.0245824528633367E-23</v>
      </c>
      <c r="CY101" s="97">
        <f t="shared" si="52"/>
        <v>2.4118138351979919E-23</v>
      </c>
      <c r="CZ101" s="97">
        <f t="shared" si="52"/>
        <v>1.8117470739156825E-23</v>
      </c>
      <c r="DA101" s="97">
        <f t="shared" si="52"/>
        <v>1.2764028289388325E-23</v>
      </c>
      <c r="DB101" s="97">
        <f t="shared" si="52"/>
        <v>8.4059305723800854E-24</v>
      </c>
      <c r="DC101" s="97">
        <f t="shared" si="52"/>
        <v>5.1611155554400729E-24</v>
      </c>
      <c r="DD101" s="97">
        <f t="shared" si="52"/>
        <v>2.9475443309462903E-24</v>
      </c>
      <c r="DE101" s="97">
        <f t="shared" si="52"/>
        <v>1.5624917801359253E-24</v>
      </c>
      <c r="DF101" s="97">
        <f t="shared" si="52"/>
        <v>7.6728548104416183E-25</v>
      </c>
      <c r="DG101" s="97">
        <f t="shared" si="52"/>
        <v>3.4839986034179381E-25</v>
      </c>
      <c r="DH101" s="97">
        <f t="shared" si="52"/>
        <v>1.4603160181908647E-25</v>
      </c>
      <c r="DI101" s="97">
        <f t="shared" si="52"/>
        <v>5.6416203165323566E-26</v>
      </c>
      <c r="DJ101" s="97">
        <f t="shared" si="52"/>
        <v>2.0061705568722133E-26</v>
      </c>
      <c r="DK101" s="97">
        <f t="shared" si="52"/>
        <v>6.558982792791583E-27</v>
      </c>
      <c r="DL101" s="97">
        <f t="shared" si="50"/>
        <v>1.9696206449816489E-27</v>
      </c>
    </row>
    <row r="102" spans="1:116" x14ac:dyDescent="0.25">
      <c r="A102" s="60">
        <v>6.3</v>
      </c>
      <c r="B102" s="25">
        <v>3.3</v>
      </c>
      <c r="C102" s="25">
        <v>6</v>
      </c>
      <c r="D102" s="57">
        <v>2.5</v>
      </c>
      <c r="E102" s="82" t="s">
        <v>7</v>
      </c>
      <c r="L102" s="97" cm="1">
        <f t="array" ref="L102">EstymacjaGaussowska($O102,$D$2:$D$51,H$9)</f>
        <v>1.2122360132299212</v>
      </c>
      <c r="M102" s="97" cm="1">
        <f t="array" ref="M102">EstymacjaGaussowska($O102,$D$52:$D$101,I$9)</f>
        <v>1.5718462136554665E-20</v>
      </c>
      <c r="N102" s="97" cm="1">
        <f t="array" ref="N102">EstymacjaGaussowska($O102,$D$102:$D$151,J$9)</f>
        <v>5.6771147679824639E-23</v>
      </c>
      <c r="O102" s="97">
        <v>9.00000000000198E-2</v>
      </c>
      <c r="P102" s="97">
        <f t="shared" si="51"/>
        <v>2.6226261571340586E-33</v>
      </c>
      <c r="Q102" s="97">
        <f t="shared" si="51"/>
        <v>1.334386918879591E-28</v>
      </c>
      <c r="R102" s="97">
        <f t="shared" si="51"/>
        <v>2.7517930802073818E-24</v>
      </c>
      <c r="S102" s="97">
        <f t="shared" si="51"/>
        <v>2.3000636002423674E-20</v>
      </c>
      <c r="T102" s="97">
        <f t="shared" si="51"/>
        <v>7.7921716037447386E-17</v>
      </c>
      <c r="U102" s="97">
        <f t="shared" si="51"/>
        <v>1.0700048340497527E-13</v>
      </c>
      <c r="V102" s="97">
        <f t="shared" si="51"/>
        <v>5.956138054890627E-11</v>
      </c>
      <c r="W102" s="97">
        <f t="shared" si="51"/>
        <v>1.3444021083932383E-8</v>
      </c>
      <c r="X102" s="97">
        <f t="shared" si="51"/>
        <v>1.231663889950009E-6</v>
      </c>
      <c r="Y102" s="97">
        <f t="shared" si="51"/>
        <v>4.5933676771400967E-5</v>
      </c>
      <c r="Z102" s="97">
        <f t="shared" si="51"/>
        <v>7.0370946852542653E-4</v>
      </c>
      <c r="AA102" s="97">
        <f t="shared" si="51"/>
        <v>4.5545931266177762E-3</v>
      </c>
      <c r="AB102" s="97">
        <f t="shared" si="51"/>
        <v>1.3563415342498577E-2</v>
      </c>
      <c r="AC102" s="97">
        <f t="shared" si="51"/>
        <v>2.3648892974263626E-2</v>
      </c>
      <c r="AD102" s="97">
        <f t="shared" si="51"/>
        <v>3.873368893516909E-2</v>
      </c>
      <c r="AE102" s="97">
        <f t="shared" si="51"/>
        <v>7.8200113807288418E-2</v>
      </c>
      <c r="AF102" s="97">
        <f t="shared" si="49"/>
        <v>0.15307922795397561</v>
      </c>
      <c r="AG102" s="97">
        <f t="shared" si="49"/>
        <v>0.23854528582851567</v>
      </c>
      <c r="AH102" s="97">
        <f t="shared" si="49"/>
        <v>0.28345809989563148</v>
      </c>
      <c r="AI102" s="97">
        <f t="shared" si="49"/>
        <v>0.25782357898492175</v>
      </c>
      <c r="AJ102" s="97">
        <f t="shared" si="49"/>
        <v>0.18594991763587748</v>
      </c>
      <c r="AK102" s="97">
        <f t="shared" si="49"/>
        <v>0.11241958320747202</v>
      </c>
      <c r="AL102" s="97">
        <f t="shared" si="49"/>
        <v>5.5909811676684518E-2</v>
      </c>
      <c r="AM102" s="97">
        <f t="shared" si="49"/>
        <v>3.0778680957271373E-2</v>
      </c>
      <c r="AN102" s="97">
        <f t="shared" si="49"/>
        <v>2.3910116970750902E-2</v>
      </c>
      <c r="AO102" s="97">
        <f t="shared" si="49"/>
        <v>1.1429307469449352E-2</v>
      </c>
      <c r="AP102" s="97">
        <f t="shared" si="49"/>
        <v>2.3381440067701395E-3</v>
      </c>
      <c r="AQ102" s="97">
        <f t="shared" si="49"/>
        <v>1.9498407591328389E-4</v>
      </c>
      <c r="AR102" s="97">
        <f t="shared" si="49"/>
        <v>6.5943756307955543E-6</v>
      </c>
      <c r="AS102" s="97">
        <f t="shared" si="49"/>
        <v>9.0398893836644601E-8</v>
      </c>
      <c r="AT102" s="97">
        <f t="shared" si="49"/>
        <v>5.0227698914334961E-10</v>
      </c>
      <c r="AU102" s="97">
        <f t="shared" si="54"/>
        <v>1.1311277450958844E-12</v>
      </c>
      <c r="AV102" s="97">
        <f t="shared" si="54"/>
        <v>1.0324475165019727E-15</v>
      </c>
      <c r="AW102" s="97">
        <f t="shared" si="54"/>
        <v>3.8201348502818098E-19</v>
      </c>
      <c r="AX102" s="97">
        <f t="shared" si="54"/>
        <v>1.5901060612693351E-22</v>
      </c>
      <c r="AY102" s="97">
        <f t="shared" si="54"/>
        <v>1.6156842752876582E-22</v>
      </c>
      <c r="AZ102" s="97">
        <f t="shared" si="54"/>
        <v>2.374556127407065E-22</v>
      </c>
      <c r="BA102" s="97">
        <f t="shared" si="54"/>
        <v>3.2813208295838705E-22</v>
      </c>
      <c r="BB102" s="97">
        <f t="shared" si="54"/>
        <v>4.3282153049610839E-22</v>
      </c>
      <c r="BC102" s="97">
        <f t="shared" si="54"/>
        <v>5.5104476595973775E-22</v>
      </c>
      <c r="BD102" s="97">
        <f t="shared" si="54"/>
        <v>6.8094477242822187E-22</v>
      </c>
      <c r="BE102" s="97">
        <f t="shared" si="54"/>
        <v>8.1844142927564946E-22</v>
      </c>
      <c r="BF102" s="97">
        <f t="shared" si="54"/>
        <v>9.5966886002077558E-22</v>
      </c>
      <c r="BG102" s="97">
        <f t="shared" si="54"/>
        <v>1.1064124126611767E-21</v>
      </c>
      <c r="BH102" s="97">
        <f t="shared" si="54"/>
        <v>1.2707321165457147E-21</v>
      </c>
      <c r="BI102" s="97">
        <f t="shared" si="54"/>
        <v>1.4736664553130536E-21</v>
      </c>
      <c r="BJ102" s="97">
        <f t="shared" si="54"/>
        <v>1.7355894846786749E-21</v>
      </c>
      <c r="BK102" s="97">
        <f t="shared" si="53"/>
        <v>2.0618429688583754E-21</v>
      </c>
      <c r="BL102" s="97">
        <f t="shared" si="53"/>
        <v>2.4330124426588427E-21</v>
      </c>
      <c r="BM102" s="97">
        <f t="shared" si="53"/>
        <v>2.8090363138466319E-21</v>
      </c>
      <c r="BN102" s="97">
        <f t="shared" si="53"/>
        <v>3.1476419720496403E-21</v>
      </c>
      <c r="BO102" s="97">
        <f t="shared" si="53"/>
        <v>3.4256827678626301E-21</v>
      </c>
      <c r="BP102" s="97">
        <f t="shared" si="53"/>
        <v>3.6473286385658194E-21</v>
      </c>
      <c r="BQ102" s="97">
        <f t="shared" si="53"/>
        <v>3.8316622281642191E-21</v>
      </c>
      <c r="BR102" s="97">
        <f t="shared" si="53"/>
        <v>3.988304520384928E-21</v>
      </c>
      <c r="BS102" s="97">
        <f t="shared" si="53"/>
        <v>4.0998276369983249E-21</v>
      </c>
      <c r="BT102" s="97">
        <f t="shared" si="53"/>
        <v>4.1248456412108114E-21</v>
      </c>
      <c r="BU102" s="97">
        <f t="shared" si="53"/>
        <v>4.0197426171433338E-21</v>
      </c>
      <c r="BV102" s="97">
        <f t="shared" si="53"/>
        <v>3.7635457396700957E-21</v>
      </c>
      <c r="BW102" s="97">
        <f t="shared" si="53"/>
        <v>3.3700212887051223E-21</v>
      </c>
      <c r="BX102" s="97">
        <f t="shared" si="53"/>
        <v>2.8819948891698594E-21</v>
      </c>
      <c r="BY102" s="97">
        <f t="shared" si="53"/>
        <v>2.3546737804810684E-21</v>
      </c>
      <c r="BZ102" s="97">
        <f t="shared" si="45"/>
        <v>1.838928453438192E-21</v>
      </c>
      <c r="CA102" s="97">
        <f t="shared" si="45"/>
        <v>1.3717760977247975E-21</v>
      </c>
      <c r="CB102" s="97">
        <f t="shared" si="45"/>
        <v>9.7482108912943972E-22</v>
      </c>
      <c r="CC102" s="97">
        <f t="shared" si="45"/>
        <v>6.5709037303363744E-22</v>
      </c>
      <c r="CD102" s="97">
        <f t="shared" si="45"/>
        <v>4.183635366255381E-22</v>
      </c>
      <c r="CE102" s="97">
        <f t="shared" si="45"/>
        <v>2.5142164778337051E-22</v>
      </c>
      <c r="CF102" s="97">
        <f t="shared" si="45"/>
        <v>1.4388042797468471E-22</v>
      </c>
      <c r="CG102" s="97">
        <f t="shared" si="45"/>
        <v>8.0629934119502144E-23</v>
      </c>
      <c r="CH102" s="97">
        <f t="shared" si="45"/>
        <v>4.6791897672078352E-23</v>
      </c>
      <c r="CI102" s="97">
        <f t="shared" si="45"/>
        <v>3.0169676187719021E-23</v>
      </c>
      <c r="CJ102" s="97">
        <f t="shared" si="45"/>
        <v>2.233859573067627E-23</v>
      </c>
      <c r="CK102" s="97">
        <f t="shared" si="45"/>
        <v>1.8375434446557109E-23</v>
      </c>
      <c r="CL102" s="97">
        <f t="shared" si="45"/>
        <v>1.5858940639346764E-23</v>
      </c>
      <c r="CM102" s="97">
        <f t="shared" si="45"/>
        <v>1.3814253346133863E-23</v>
      </c>
      <c r="CN102" s="97">
        <f t="shared" ref="CN102:DC108" si="55">$H$2*$L102*CN$1+$I$2*$M102*CN$2+$J$2*$N102*CN$3</f>
        <v>1.1955042165339788E-23</v>
      </c>
      <c r="CO102" s="97">
        <f t="shared" si="55"/>
        <v>1.0262081073568406E-23</v>
      </c>
      <c r="CP102" s="97">
        <f t="shared" si="55"/>
        <v>8.7903433680380155E-24</v>
      </c>
      <c r="CQ102" s="97">
        <f t="shared" si="55"/>
        <v>7.5897904124292605E-24</v>
      </c>
      <c r="CR102" s="97">
        <f t="shared" si="55"/>
        <v>6.6721858461676469E-24</v>
      </c>
      <c r="CS102" s="97">
        <f t="shared" si="55"/>
        <v>5.9995933642384519E-24</v>
      </c>
      <c r="CT102" s="97">
        <f t="shared" si="55"/>
        <v>5.490952138442373E-24</v>
      </c>
      <c r="CU102" s="97">
        <f t="shared" si="55"/>
        <v>5.0449498588665968E-24</v>
      </c>
      <c r="CV102" s="97">
        <f t="shared" si="55"/>
        <v>4.5711644257294547E-24</v>
      </c>
      <c r="CW102" s="97">
        <f t="shared" si="55"/>
        <v>4.0168084535669734E-24</v>
      </c>
      <c r="CX102" s="97">
        <f t="shared" si="55"/>
        <v>3.37822821032916E-24</v>
      </c>
      <c r="CY102" s="97">
        <f t="shared" si="55"/>
        <v>2.6938123404239341E-24</v>
      </c>
      <c r="CZ102" s="97">
        <f t="shared" si="55"/>
        <v>2.0235834765586285E-24</v>
      </c>
      <c r="DA102" s="97">
        <f t="shared" si="55"/>
        <v>1.4256447333407204E-24</v>
      </c>
      <c r="DB102" s="97">
        <f t="shared" si="55"/>
        <v>9.3887841499885276E-25</v>
      </c>
      <c r="DC102" s="97">
        <f t="shared" si="55"/>
        <v>5.7645729412032043E-25</v>
      </c>
      <c r="DD102" s="97">
        <f t="shared" si="52"/>
        <v>3.2921824963326335E-25</v>
      </c>
      <c r="DE102" s="97">
        <f t="shared" si="52"/>
        <v>1.745184299764428E-25</v>
      </c>
      <c r="DF102" s="97">
        <f t="shared" si="52"/>
        <v>8.5699943639958215E-26</v>
      </c>
      <c r="DG102" s="97">
        <f t="shared" si="52"/>
        <v>3.8913610557088786E-26</v>
      </c>
      <c r="DH102" s="97">
        <f t="shared" si="52"/>
        <v>1.631061756638169E-26</v>
      </c>
      <c r="DI102" s="97">
        <f t="shared" si="52"/>
        <v>6.3012601581736258E-27</v>
      </c>
      <c r="DJ102" s="97">
        <f t="shared" si="52"/>
        <v>2.2407396973304226E-27</v>
      </c>
      <c r="DK102" s="97">
        <f t="shared" si="52"/>
        <v>7.3258841665132726E-28</v>
      </c>
      <c r="DL102" s="97">
        <f t="shared" si="50"/>
        <v>2.1999162298407968E-28</v>
      </c>
    </row>
    <row r="103" spans="1:116" x14ac:dyDescent="0.25">
      <c r="A103" s="60">
        <v>5.8</v>
      </c>
      <c r="B103" s="25">
        <v>2.7</v>
      </c>
      <c r="C103" s="25">
        <v>5.0999999999999996</v>
      </c>
      <c r="D103" s="57">
        <v>1.9</v>
      </c>
      <c r="E103" s="82" t="s">
        <v>7</v>
      </c>
      <c r="L103" s="97" cm="1">
        <f t="array" ref="L103">EstymacjaGaussowska($O103,$D$2:$D$51,H$9)</f>
        <v>0.68073685926189031</v>
      </c>
      <c r="M103" s="97" cm="1">
        <f t="array" ref="M103">EstymacjaGaussowska($O103,$D$52:$D$101,I$9)</f>
        <v>7.6714380370976832E-22</v>
      </c>
      <c r="N103" s="97" cm="1">
        <f t="array" ref="N103">EstymacjaGaussowska($O103,$D$102:$D$151,J$9)</f>
        <v>6.0271366314933575E-24</v>
      </c>
      <c r="O103" s="97">
        <v>6.0000000000020003E-2</v>
      </c>
      <c r="P103" s="97">
        <f t="shared" si="51"/>
        <v>1.472748106590778E-33</v>
      </c>
      <c r="Q103" s="97">
        <f t="shared" si="51"/>
        <v>7.4933127731287451E-29</v>
      </c>
      <c r="R103" s="97">
        <f t="shared" si="51"/>
        <v>1.5452824023663806E-24</v>
      </c>
      <c r="S103" s="97">
        <f t="shared" si="51"/>
        <v>1.2916115791344802E-20</v>
      </c>
      <c r="T103" s="97">
        <f t="shared" si="51"/>
        <v>4.3757307706356743E-17</v>
      </c>
      <c r="U103" s="97">
        <f t="shared" si="51"/>
        <v>6.008662687600892E-14</v>
      </c>
      <c r="V103" s="97">
        <f t="shared" si="51"/>
        <v>3.3446974587179272E-11</v>
      </c>
      <c r="W103" s="97">
        <f t="shared" si="51"/>
        <v>7.5495535429130678E-9</v>
      </c>
      <c r="X103" s="97">
        <f t="shared" si="51"/>
        <v>6.9164667520220538E-7</v>
      </c>
      <c r="Y103" s="97">
        <f t="shared" si="51"/>
        <v>2.5794273160059704E-5</v>
      </c>
      <c r="Z103" s="97">
        <f t="shared" si="51"/>
        <v>3.9517137604292129E-4</v>
      </c>
      <c r="AA103" s="97">
        <f t="shared" si="51"/>
        <v>2.5576532840074261E-3</v>
      </c>
      <c r="AB103" s="97">
        <f t="shared" si="51"/>
        <v>7.6165999527732222E-3</v>
      </c>
      <c r="AC103" s="97">
        <f t="shared" si="51"/>
        <v>1.3280147555942489E-2</v>
      </c>
      <c r="AD103" s="97">
        <f t="shared" si="51"/>
        <v>2.1751085981268403E-2</v>
      </c>
      <c r="AE103" s="97">
        <f t="shared" si="51"/>
        <v>4.3913643289031065E-2</v>
      </c>
      <c r="AF103" s="97">
        <f t="shared" si="49"/>
        <v>8.596236353181147E-2</v>
      </c>
      <c r="AG103" s="97">
        <f t="shared" si="49"/>
        <v>0.1339562320327092</v>
      </c>
      <c r="AH103" s="97">
        <f t="shared" si="49"/>
        <v>0.15917723491910243</v>
      </c>
      <c r="AI103" s="97">
        <f t="shared" si="49"/>
        <v>0.14478204861627639</v>
      </c>
      <c r="AJ103" s="97">
        <f t="shared" si="49"/>
        <v>0.10442105458835746</v>
      </c>
      <c r="AK103" s="97">
        <f t="shared" si="49"/>
        <v>6.312974796737901E-2</v>
      </c>
      <c r="AL103" s="97">
        <f t="shared" si="49"/>
        <v>3.1396418838689689E-2</v>
      </c>
      <c r="AM103" s="97">
        <f t="shared" si="49"/>
        <v>1.7283913675564699E-2</v>
      </c>
      <c r="AN103" s="97">
        <f t="shared" si="49"/>
        <v>1.3426839125069184E-2</v>
      </c>
      <c r="AO103" s="97">
        <f t="shared" si="49"/>
        <v>6.4181815961408331E-3</v>
      </c>
      <c r="AP103" s="97">
        <f t="shared" si="49"/>
        <v>1.3129958112940762E-3</v>
      </c>
      <c r="AQ103" s="97">
        <f t="shared" si="49"/>
        <v>1.0949422884214859E-4</v>
      </c>
      <c r="AR103" s="97">
        <f t="shared" si="49"/>
        <v>3.7031027842013885E-6</v>
      </c>
      <c r="AS103" s="97">
        <f t="shared" si="49"/>
        <v>5.0763925835813953E-8</v>
      </c>
      <c r="AT103" s="97">
        <f t="shared" si="49"/>
        <v>2.8205601577364464E-10</v>
      </c>
      <c r="AU103" s="97">
        <f t="shared" si="54"/>
        <v>6.3519012816667328E-13</v>
      </c>
      <c r="AV103" s="97">
        <f t="shared" si="54"/>
        <v>5.7977576411826048E-16</v>
      </c>
      <c r="AW103" s="97">
        <f t="shared" si="54"/>
        <v>2.1449149016168856E-19</v>
      </c>
      <c r="AX103" s="97">
        <f t="shared" si="54"/>
        <v>3.7126877405753158E-23</v>
      </c>
      <c r="AY103" s="97">
        <f t="shared" si="54"/>
        <v>7.8871756028580427E-24</v>
      </c>
      <c r="AZ103" s="97">
        <f t="shared" si="54"/>
        <v>1.1589085566263078E-23</v>
      </c>
      <c r="BA103" s="97">
        <f t="shared" si="54"/>
        <v>1.6014575224236611E-23</v>
      </c>
      <c r="BB103" s="97">
        <f t="shared" si="54"/>
        <v>2.1123972093670063E-23</v>
      </c>
      <c r="BC103" s="97">
        <f t="shared" si="54"/>
        <v>2.6893889207988353E-23</v>
      </c>
      <c r="BD103" s="97">
        <f t="shared" si="54"/>
        <v>3.3233694542321063E-23</v>
      </c>
      <c r="BE103" s="97">
        <f t="shared" si="54"/>
        <v>3.9944257414673862E-23</v>
      </c>
      <c r="BF103" s="97">
        <f t="shared" si="54"/>
        <v>4.6836905092308934E-23</v>
      </c>
      <c r="BG103" s="97">
        <f t="shared" si="54"/>
        <v>5.3998779390975996E-23</v>
      </c>
      <c r="BH103" s="97">
        <f t="shared" si="54"/>
        <v>6.2018493877502837E-23</v>
      </c>
      <c r="BI103" s="97">
        <f t="shared" si="54"/>
        <v>7.1922888749263009E-23</v>
      </c>
      <c r="BJ103" s="97">
        <f t="shared" si="54"/>
        <v>8.4706440325045409E-23</v>
      </c>
      <c r="BK103" s="97">
        <f t="shared" si="53"/>
        <v>1.0063008624628512E-22</v>
      </c>
      <c r="BL103" s="97">
        <f t="shared" si="53"/>
        <v>1.1874671607847176E-22</v>
      </c>
      <c r="BM103" s="97">
        <f t="shared" si="53"/>
        <v>1.3710179205473715E-22</v>
      </c>
      <c r="BN103" s="97">
        <f t="shared" si="53"/>
        <v>1.5363319113023063E-22</v>
      </c>
      <c r="BO103" s="97">
        <f t="shared" si="53"/>
        <v>1.6721260949969319E-22</v>
      </c>
      <c r="BP103" s="97">
        <f t="shared" si="53"/>
        <v>1.7804536902457575E-22</v>
      </c>
      <c r="BQ103" s="97">
        <f t="shared" si="53"/>
        <v>1.8706516161916145E-22</v>
      </c>
      <c r="BR103" s="97">
        <f t="shared" si="53"/>
        <v>1.9474461838662304E-22</v>
      </c>
      <c r="BS103" s="97">
        <f t="shared" si="53"/>
        <v>2.0023701272315527E-22</v>
      </c>
      <c r="BT103" s="97">
        <f t="shared" si="53"/>
        <v>2.0152671541497746E-22</v>
      </c>
      <c r="BU103" s="97">
        <f t="shared" si="53"/>
        <v>1.9648848695036541E-22</v>
      </c>
      <c r="BV103" s="97">
        <f t="shared" si="53"/>
        <v>1.8409953154987393E-22</v>
      </c>
      <c r="BW103" s="97">
        <f t="shared" si="53"/>
        <v>1.6502787128176935E-22</v>
      </c>
      <c r="BX103" s="97">
        <f t="shared" si="53"/>
        <v>1.4135421672637445E-22</v>
      </c>
      <c r="BY103" s="97">
        <f t="shared" si="53"/>
        <v>1.1575919083258939E-22</v>
      </c>
      <c r="BZ103" s="97">
        <f t="shared" ref="BZ103:CO108" si="56">$H$2*$L103*BZ$1+$I$2*$M103*BZ$2+$J$2*$N103*BZ$3</f>
        <v>9.0710879377579931E-23</v>
      </c>
      <c r="CA103" s="97">
        <f t="shared" si="56"/>
        <v>6.8005037889512491E-23</v>
      </c>
      <c r="CB103" s="97">
        <f t="shared" si="56"/>
        <v>4.8692654377876019E-23</v>
      </c>
      <c r="CC103" s="97">
        <f t="shared" si="56"/>
        <v>3.3218959389734808E-23</v>
      </c>
      <c r="CD103" s="97">
        <f t="shared" si="56"/>
        <v>2.1582914320125381E-23</v>
      </c>
      <c r="CE103" s="97">
        <f t="shared" si="56"/>
        <v>1.3441705734597708E-23</v>
      </c>
      <c r="CF103" s="97">
        <f t="shared" si="56"/>
        <v>8.1955345722794463E-24</v>
      </c>
      <c r="CG103" s="97">
        <f t="shared" si="56"/>
        <v>5.1050619945976191E-24</v>
      </c>
      <c r="CH103" s="97">
        <f t="shared" si="56"/>
        <v>3.4377688311315931E-24</v>
      </c>
      <c r="CI103" s="97">
        <f t="shared" si="56"/>
        <v>2.5916455281066484E-24</v>
      </c>
      <c r="CJ103" s="97">
        <f t="shared" si="56"/>
        <v>2.1521047393447519E-24</v>
      </c>
      <c r="CK103" s="97">
        <f t="shared" si="56"/>
        <v>1.8802768254232839E-24</v>
      </c>
      <c r="CL103" s="97">
        <f t="shared" si="56"/>
        <v>1.663414065588459E-24</v>
      </c>
      <c r="CM103" s="97">
        <f t="shared" si="56"/>
        <v>1.4614134817426432E-24</v>
      </c>
      <c r="CN103" s="97">
        <f t="shared" si="56"/>
        <v>1.2680327814143325E-24</v>
      </c>
      <c r="CO103" s="97">
        <f t="shared" si="56"/>
        <v>1.0892400952150495E-24</v>
      </c>
      <c r="CP103" s="97">
        <f t="shared" si="55"/>
        <v>9.3318821604033219E-25</v>
      </c>
      <c r="CQ103" s="97">
        <f t="shared" si="55"/>
        <v>8.0576697531242594E-25</v>
      </c>
      <c r="CR103" s="97">
        <f t="shared" si="55"/>
        <v>7.0835490538771943E-25</v>
      </c>
      <c r="CS103" s="97">
        <f t="shared" si="55"/>
        <v>6.3694964012291261E-25</v>
      </c>
      <c r="CT103" s="97">
        <f t="shared" si="55"/>
        <v>5.829496032415132E-25</v>
      </c>
      <c r="CU103" s="97">
        <f t="shared" si="55"/>
        <v>5.3559956538731483E-25</v>
      </c>
      <c r="CV103" s="97">
        <f t="shared" si="55"/>
        <v>4.8529990458880633E-25</v>
      </c>
      <c r="CW103" s="97">
        <f t="shared" si="55"/>
        <v>4.2644643205427881E-25</v>
      </c>
      <c r="CX103" s="97">
        <f t="shared" si="55"/>
        <v>3.5865124853238044E-25</v>
      </c>
      <c r="CY103" s="97">
        <f t="shared" si="55"/>
        <v>2.8598990330269226E-25</v>
      </c>
      <c r="CZ103" s="97">
        <f t="shared" si="55"/>
        <v>2.1483472850039716E-25</v>
      </c>
      <c r="DA103" s="97">
        <f t="shared" si="55"/>
        <v>1.5135426967714898E-25</v>
      </c>
      <c r="DB103" s="97">
        <f t="shared" si="55"/>
        <v>9.9676485659088005E-26</v>
      </c>
      <c r="DC103" s="97">
        <f t="shared" si="55"/>
        <v>6.1199870284088918E-26</v>
      </c>
      <c r="DD103" s="97">
        <f t="shared" si="52"/>
        <v>3.4951616326508183E-26</v>
      </c>
      <c r="DE103" s="97">
        <f t="shared" si="52"/>
        <v>1.8527834387176438E-26</v>
      </c>
      <c r="DF103" s="97">
        <f t="shared" si="52"/>
        <v>9.0983763890486106E-27</v>
      </c>
      <c r="DG103" s="97">
        <f t="shared" si="52"/>
        <v>4.1312824777654893E-27</v>
      </c>
      <c r="DH103" s="97">
        <f t="shared" si="52"/>
        <v>1.7316246832112972E-27</v>
      </c>
      <c r="DI103" s="97">
        <f t="shared" si="52"/>
        <v>6.6897636345292212E-28</v>
      </c>
      <c r="DJ103" s="97">
        <f t="shared" si="52"/>
        <v>2.3788922477994977E-28</v>
      </c>
      <c r="DK103" s="97">
        <f t="shared" si="52"/>
        <v>7.7775607192385209E-29</v>
      </c>
      <c r="DL103" s="97">
        <f t="shared" si="50"/>
        <v>2.3355518140779607E-29</v>
      </c>
    </row>
    <row r="104" spans="1:116" x14ac:dyDescent="0.25">
      <c r="A104" s="60">
        <v>7.1</v>
      </c>
      <c r="B104" s="25">
        <v>3</v>
      </c>
      <c r="C104" s="25">
        <v>5.9</v>
      </c>
      <c r="D104" s="57">
        <v>2.1</v>
      </c>
      <c r="E104" s="82" t="s">
        <v>7</v>
      </c>
      <c r="L104" s="97" cm="1">
        <f t="array" ref="L104">EstymacjaGaussowska($O104,$D$2:$D$51,H$9)</f>
        <v>0.32325593745767794</v>
      </c>
      <c r="M104" s="97" cm="1">
        <f t="array" ref="M104">EstymacjaGaussowska($O104,$D$52:$D$101,I$9)</f>
        <v>3.3947497391338104E-23</v>
      </c>
      <c r="N104" s="97" cm="1">
        <f t="array" ref="N104">EstymacjaGaussowska($O104,$D$102:$D$151,J$9)</f>
        <v>6.0820838590944894E-25</v>
      </c>
      <c r="O104" s="97">
        <v>3.0000000000019799E-2</v>
      </c>
      <c r="P104" s="97">
        <f t="shared" si="51"/>
        <v>6.9935183229422963E-34</v>
      </c>
      <c r="Q104" s="97">
        <f t="shared" si="51"/>
        <v>3.5582880700300725E-29</v>
      </c>
      <c r="R104" s="97">
        <f t="shared" si="51"/>
        <v>7.3379559930898793E-25</v>
      </c>
      <c r="S104" s="97">
        <f t="shared" si="51"/>
        <v>6.1333701292011446E-21</v>
      </c>
      <c r="T104" s="97">
        <f t="shared" si="51"/>
        <v>2.0778674359692176E-17</v>
      </c>
      <c r="U104" s="97">
        <f t="shared" si="51"/>
        <v>2.8532844424693465E-14</v>
      </c>
      <c r="V104" s="97">
        <f t="shared" si="51"/>
        <v>1.5882690907944863E-11</v>
      </c>
      <c r="W104" s="97">
        <f t="shared" si="51"/>
        <v>3.5849946637933148E-9</v>
      </c>
      <c r="X104" s="97">
        <f t="shared" si="51"/>
        <v>3.2843659240722943E-7</v>
      </c>
      <c r="Y104" s="97">
        <f t="shared" si="51"/>
        <v>1.2248715253108838E-5</v>
      </c>
      <c r="Z104" s="97">
        <f t="shared" si="51"/>
        <v>1.8765179508232108E-4</v>
      </c>
      <c r="AA104" s="97">
        <f t="shared" si="51"/>
        <v>1.2145318690543463E-3</v>
      </c>
      <c r="AB104" s="97">
        <f t="shared" si="51"/>
        <v>3.6168324433664902E-3</v>
      </c>
      <c r="AC104" s="97">
        <f t="shared" si="51"/>
        <v>6.3062349120145663E-3</v>
      </c>
      <c r="AD104" s="97">
        <f t="shared" si="51"/>
        <v>1.032876006923032E-2</v>
      </c>
      <c r="AE104" s="97">
        <f t="shared" si="51"/>
        <v>2.0852912157525213E-2</v>
      </c>
      <c r="AF104" s="97">
        <f t="shared" si="49"/>
        <v>4.0820243580879753E-2</v>
      </c>
      <c r="AG104" s="97">
        <f t="shared" si="49"/>
        <v>6.3610698869726714E-2</v>
      </c>
      <c r="AH104" s="97">
        <f t="shared" si="49"/>
        <v>7.558718996278109E-2</v>
      </c>
      <c r="AI104" s="97">
        <f t="shared" si="49"/>
        <v>6.8751465732652783E-2</v>
      </c>
      <c r="AJ104" s="97">
        <f t="shared" si="49"/>
        <v>4.9585571035302013E-2</v>
      </c>
      <c r="AK104" s="97">
        <f t="shared" si="49"/>
        <v>2.9977906415687584E-2</v>
      </c>
      <c r="AL104" s="97">
        <f t="shared" si="49"/>
        <v>1.4908960292702502E-2</v>
      </c>
      <c r="AM104" s="97">
        <f t="shared" si="49"/>
        <v>8.2074705403645393E-3</v>
      </c>
      <c r="AN104" s="97">
        <f t="shared" si="49"/>
        <v>6.3758931361139687E-3</v>
      </c>
      <c r="AO104" s="97">
        <f t="shared" si="49"/>
        <v>3.0477493328092942E-3</v>
      </c>
      <c r="AP104" s="97">
        <f t="shared" si="49"/>
        <v>6.234915681193995E-4</v>
      </c>
      <c r="AQ104" s="97">
        <f t="shared" si="49"/>
        <v>5.1994627746398215E-5</v>
      </c>
      <c r="AR104" s="97">
        <f t="shared" si="49"/>
        <v>1.7584620925435049E-6</v>
      </c>
      <c r="AS104" s="97">
        <f t="shared" si="49"/>
        <v>2.4105849730071669E-8</v>
      </c>
      <c r="AT104" s="97">
        <f t="shared" si="49"/>
        <v>1.3393763031040753E-10</v>
      </c>
      <c r="AU104" s="97">
        <f t="shared" si="54"/>
        <v>3.0162753426751796E-13</v>
      </c>
      <c r="AV104" s="97">
        <f t="shared" si="54"/>
        <v>2.7531336839037026E-16</v>
      </c>
      <c r="AW104" s="97">
        <f t="shared" si="54"/>
        <v>1.0185258828538342E-19</v>
      </c>
      <c r="AX104" s="97">
        <f t="shared" si="54"/>
        <v>1.5491999341489832E-23</v>
      </c>
      <c r="AY104" s="97">
        <f t="shared" si="54"/>
        <v>3.4986341803218441E-25</v>
      </c>
      <c r="AZ104" s="97">
        <f t="shared" si="54"/>
        <v>5.1283796607523913E-25</v>
      </c>
      <c r="BA104" s="97">
        <f t="shared" si="54"/>
        <v>7.086738474613423E-25</v>
      </c>
      <c r="BB104" s="97">
        <f t="shared" si="54"/>
        <v>9.3477387888727727E-25</v>
      </c>
      <c r="BC104" s="97">
        <f t="shared" si="54"/>
        <v>1.1901031289387198E-24</v>
      </c>
      <c r="BD104" s="97">
        <f t="shared" si="54"/>
        <v>1.4706509868327301E-24</v>
      </c>
      <c r="BE104" s="97">
        <f t="shared" si="54"/>
        <v>1.7676056351529357E-24</v>
      </c>
      <c r="BF104" s="97">
        <f t="shared" si="54"/>
        <v>2.0726182184836704E-24</v>
      </c>
      <c r="BG104" s="97">
        <f t="shared" si="54"/>
        <v>2.3895456978331176E-24</v>
      </c>
      <c r="BH104" s="97">
        <f t="shared" si="54"/>
        <v>2.7444374423132005E-24</v>
      </c>
      <c r="BI104" s="97">
        <f t="shared" si="54"/>
        <v>3.1827383633544375E-24</v>
      </c>
      <c r="BJ104" s="97">
        <f t="shared" si="54"/>
        <v>3.7484678931936014E-24</v>
      </c>
      <c r="BK104" s="97">
        <f t="shared" si="53"/>
        <v>4.4531972590899931E-24</v>
      </c>
      <c r="BL104" s="97">
        <f t="shared" si="53"/>
        <v>5.2550589298936125E-24</v>
      </c>
      <c r="BM104" s="97">
        <f t="shared" si="53"/>
        <v>6.0676322994648246E-24</v>
      </c>
      <c r="BN104" s="97">
        <f t="shared" si="53"/>
        <v>6.7997699030749564E-24</v>
      </c>
      <c r="BO104" s="97">
        <f t="shared" si="53"/>
        <v>7.4016864244298653E-24</v>
      </c>
      <c r="BP104" s="97">
        <f t="shared" si="53"/>
        <v>7.8826572190119786E-24</v>
      </c>
      <c r="BQ104" s="97">
        <f t="shared" si="53"/>
        <v>8.2842471519943283E-24</v>
      </c>
      <c r="BR104" s="97">
        <f t="shared" si="53"/>
        <v>8.6276936205735727E-24</v>
      </c>
      <c r="BS104" s="97">
        <f t="shared" si="53"/>
        <v>8.8759307420849586E-24</v>
      </c>
      <c r="BT104" s="97">
        <f t="shared" si="53"/>
        <v>8.9402061128023875E-24</v>
      </c>
      <c r="BU104" s="97">
        <f t="shared" si="53"/>
        <v>8.7268355427146377E-24</v>
      </c>
      <c r="BV104" s="97">
        <f t="shared" si="53"/>
        <v>8.1906411766642486E-24</v>
      </c>
      <c r="BW104" s="97">
        <f t="shared" si="53"/>
        <v>7.3607809791543141E-24</v>
      </c>
      <c r="BX104" s="97">
        <f t="shared" si="53"/>
        <v>6.3283437843191184E-24</v>
      </c>
      <c r="BY104" s="97">
        <f t="shared" si="53"/>
        <v>5.2105067565894178E-24</v>
      </c>
      <c r="BZ104" s="97">
        <f t="shared" si="56"/>
        <v>4.1149495193583546E-24</v>
      </c>
      <c r="CA104" s="97">
        <f t="shared" si="56"/>
        <v>3.1199966805576245E-24</v>
      </c>
      <c r="CB104" s="97">
        <f t="shared" si="56"/>
        <v>2.2717977654482265E-24</v>
      </c>
      <c r="CC104" s="97">
        <f t="shared" si="56"/>
        <v>1.590544561901397E-24</v>
      </c>
      <c r="CD104" s="97">
        <f t="shared" si="56"/>
        <v>1.077210302544941E-24</v>
      </c>
      <c r="CE104" s="97">
        <f t="shared" si="56"/>
        <v>7.1762202384848831E-25</v>
      </c>
      <c r="CF104" s="97">
        <f t="shared" si="56"/>
        <v>4.8572192707507899E-25</v>
      </c>
      <c r="CG104" s="97">
        <f t="shared" si="56"/>
        <v>3.4859431529444669E-25</v>
      </c>
      <c r="CH104" s="97">
        <f t="shared" si="56"/>
        <v>2.7315469763162933E-25</v>
      </c>
      <c r="CI104" s="97">
        <f t="shared" si="56"/>
        <v>2.3205529077759346E-25</v>
      </c>
      <c r="CJ104" s="97">
        <f t="shared" si="56"/>
        <v>2.0659132430479615E-25</v>
      </c>
      <c r="CK104" s="97">
        <f t="shared" si="56"/>
        <v>1.8634020277761022E-25</v>
      </c>
      <c r="CL104" s="97">
        <f t="shared" si="56"/>
        <v>1.6688125012255313E-25</v>
      </c>
      <c r="CM104" s="97">
        <f t="shared" si="56"/>
        <v>1.4722377404008571E-25</v>
      </c>
      <c r="CN104" s="97">
        <f t="shared" si="56"/>
        <v>1.2790240540940244E-25</v>
      </c>
      <c r="CO104" s="97">
        <f t="shared" si="56"/>
        <v>1.0990552009817873E-25</v>
      </c>
      <c r="CP104" s="97">
        <f t="shared" si="55"/>
        <v>9.4167508252687176E-26</v>
      </c>
      <c r="CQ104" s="97">
        <f t="shared" si="55"/>
        <v>8.1310956803707615E-26</v>
      </c>
      <c r="CR104" s="97">
        <f t="shared" si="55"/>
        <v>7.1481225599183555E-26</v>
      </c>
      <c r="CS104" s="97">
        <f t="shared" si="55"/>
        <v>6.4275642170144679E-26</v>
      </c>
      <c r="CT104" s="97">
        <f t="shared" si="55"/>
        <v>5.8826413775377321E-26</v>
      </c>
      <c r="CU104" s="97">
        <f t="shared" si="55"/>
        <v>5.4048243252725302E-26</v>
      </c>
      <c r="CV104" s="97">
        <f t="shared" si="55"/>
        <v>4.8972420846826226E-26</v>
      </c>
      <c r="CW104" s="97">
        <f t="shared" si="55"/>
        <v>4.3033419013393712E-26</v>
      </c>
      <c r="CX104" s="97">
        <f t="shared" si="55"/>
        <v>3.6192094241617785E-26</v>
      </c>
      <c r="CY104" s="97">
        <f t="shared" si="55"/>
        <v>2.8859716994837978E-26</v>
      </c>
      <c r="CZ104" s="97">
        <f t="shared" si="55"/>
        <v>2.1679329911946216E-26</v>
      </c>
      <c r="DA104" s="97">
        <f t="shared" si="55"/>
        <v>1.527341118829648E-26</v>
      </c>
      <c r="DB104" s="97">
        <f t="shared" si="55"/>
        <v>1.0058520017459647E-26</v>
      </c>
      <c r="DC104" s="97">
        <f t="shared" si="55"/>
        <v>6.1757807395401157E-27</v>
      </c>
      <c r="DD104" s="97">
        <f t="shared" si="52"/>
        <v>3.527025758764784E-27</v>
      </c>
      <c r="DE104" s="97">
        <f t="shared" si="52"/>
        <v>1.8696745960826296E-27</v>
      </c>
      <c r="DF104" s="97">
        <f t="shared" si="52"/>
        <v>9.1813230001537161E-28</v>
      </c>
      <c r="DG104" s="97">
        <f t="shared" si="52"/>
        <v>4.1689458878505043E-28</v>
      </c>
      <c r="DH104" s="97">
        <f t="shared" si="52"/>
        <v>1.7474112799662099E-28</v>
      </c>
      <c r="DI104" s="97">
        <f t="shared" si="52"/>
        <v>6.7507517931688533E-29</v>
      </c>
      <c r="DJ104" s="97">
        <f t="shared" si="52"/>
        <v>2.4005797491405814E-29</v>
      </c>
      <c r="DK104" s="97">
        <f t="shared" si="52"/>
        <v>7.8484659309751484E-30</v>
      </c>
      <c r="DL104" s="97">
        <f t="shared" si="50"/>
        <v>2.3568441963398478E-30</v>
      </c>
    </row>
    <row r="105" spans="1:116" x14ac:dyDescent="0.25">
      <c r="A105" s="60">
        <v>6.3</v>
      </c>
      <c r="B105" s="25">
        <v>2.9</v>
      </c>
      <c r="C105" s="25">
        <v>5.6</v>
      </c>
      <c r="D105" s="57">
        <v>1.8</v>
      </c>
      <c r="E105" s="82" t="s">
        <v>7</v>
      </c>
      <c r="L105" s="97" cm="1">
        <f t="array" ref="L105">EstymacjaGaussowska($O105,$D$2:$D$51,H$9)</f>
        <v>0.11708257869079153</v>
      </c>
      <c r="M105" s="97" cm="1">
        <f t="array" ref="M105">EstymacjaGaussowska($O105,$D$52:$D$101,I$9)</f>
        <v>1.3620808362769559E-24</v>
      </c>
      <c r="N105" s="97" cm="1">
        <f t="array" ref="N105">EstymacjaGaussowska($O105,$D$102:$D$151,J$9)</f>
        <v>5.8337827605534838E-26</v>
      </c>
      <c r="O105" s="97">
        <v>1.9984014443252799E-14</v>
      </c>
      <c r="P105" s="97">
        <f t="shared" si="51"/>
        <v>2.533036719483574E-34</v>
      </c>
      <c r="Q105" s="97">
        <f t="shared" si="51"/>
        <v>1.2888039930228523E-29</v>
      </c>
      <c r="R105" s="97">
        <f t="shared" si="51"/>
        <v>2.6577912744541446E-25</v>
      </c>
      <c r="S105" s="97">
        <f t="shared" si="51"/>
        <v>2.2214929644902851E-21</v>
      </c>
      <c r="T105" s="97">
        <f t="shared" si="51"/>
        <v>7.525989452637686E-18</v>
      </c>
      <c r="U105" s="97">
        <f t="shared" si="51"/>
        <v>1.033453253449881E-14</v>
      </c>
      <c r="V105" s="97">
        <f t="shared" si="51"/>
        <v>5.7526751795376957E-12</v>
      </c>
      <c r="W105" s="97">
        <f t="shared" si="51"/>
        <v>1.2984770616459372E-9</v>
      </c>
      <c r="X105" s="97">
        <f t="shared" si="51"/>
        <v>1.1895900034470196E-7</v>
      </c>
      <c r="Y105" s="97">
        <f t="shared" si="51"/>
        <v>4.4364573123145626E-6</v>
      </c>
      <c r="Z105" s="97">
        <f t="shared" si="51"/>
        <v>6.7967061137339991E-5</v>
      </c>
      <c r="AA105" s="97">
        <f t="shared" si="51"/>
        <v>4.3990073082461828E-4</v>
      </c>
      <c r="AB105" s="97">
        <f t="shared" si="51"/>
        <v>1.3100086343110315E-3</v>
      </c>
      <c r="AC105" s="97">
        <f t="shared" si="51"/>
        <v>2.2841042028044121E-3</v>
      </c>
      <c r="AD105" s="97">
        <f t="shared" si="51"/>
        <v>3.7410538321273482E-3</v>
      </c>
      <c r="AE105" s="97">
        <f t="shared" si="51"/>
        <v>7.5528782172338679E-3</v>
      </c>
      <c r="AF105" s="97">
        <f t="shared" si="49"/>
        <v>1.4785001070123774E-2</v>
      </c>
      <c r="AG105" s="97">
        <f t="shared" si="49"/>
        <v>2.3039653082833497E-2</v>
      </c>
      <c r="AH105" s="97">
        <f t="shared" si="49"/>
        <v>2.7377511412274669E-2</v>
      </c>
      <c r="AI105" s="97">
        <f t="shared" si="49"/>
        <v>2.4901627360841484E-2</v>
      </c>
      <c r="AJ105" s="97">
        <f t="shared" si="49"/>
        <v>1.7959783100437797E-2</v>
      </c>
      <c r="AK105" s="97">
        <f t="shared" si="49"/>
        <v>1.0857930760697802E-2</v>
      </c>
      <c r="AL105" s="97">
        <f t="shared" si="49"/>
        <v>5.3999921251153072E-3</v>
      </c>
      <c r="AM105" s="97">
        <f t="shared" si="49"/>
        <v>2.9727275017814533E-3</v>
      </c>
      <c r="AN105" s="97">
        <f t="shared" si="49"/>
        <v>2.3093342560208258E-3</v>
      </c>
      <c r="AO105" s="97">
        <f t="shared" si="49"/>
        <v>1.1038880024753462E-3</v>
      </c>
      <c r="AP105" s="97">
        <f t="shared" si="49"/>
        <v>2.2582725366627511E-4</v>
      </c>
      <c r="AQ105" s="97">
        <f t="shared" si="49"/>
        <v>1.8832338061580403E-5</v>
      </c>
      <c r="AR105" s="97">
        <f t="shared" si="49"/>
        <v>6.3691104313267016E-7</v>
      </c>
      <c r="AS105" s="97">
        <f t="shared" si="49"/>
        <v>8.7310849419402535E-9</v>
      </c>
      <c r="AT105" s="97">
        <f t="shared" si="49"/>
        <v>4.8511910604981728E-11</v>
      </c>
      <c r="AU105" s="97">
        <f t="shared" si="54"/>
        <v>1.0924881935326104E-13</v>
      </c>
      <c r="AV105" s="97">
        <f t="shared" si="54"/>
        <v>9.9717887213084566E-17</v>
      </c>
      <c r="AW105" s="97">
        <f t="shared" si="54"/>
        <v>3.6890739352145373E-20</v>
      </c>
      <c r="AX105" s="97">
        <f t="shared" si="54"/>
        <v>5.5403992514506863E-24</v>
      </c>
      <c r="AY105" s="97">
        <f t="shared" si="54"/>
        <v>1.4336562935151897E-26</v>
      </c>
      <c r="AZ105" s="97">
        <f t="shared" si="54"/>
        <v>2.0576686635868183E-26</v>
      </c>
      <c r="BA105" s="97">
        <f t="shared" si="54"/>
        <v>2.8434233514077895E-26</v>
      </c>
      <c r="BB105" s="97">
        <f t="shared" si="54"/>
        <v>3.7506081189510229E-26</v>
      </c>
      <c r="BC105" s="97">
        <f t="shared" si="54"/>
        <v>4.7750698056392796E-26</v>
      </c>
      <c r="BD105" s="97">
        <f t="shared" si="54"/>
        <v>5.900716771149922E-26</v>
      </c>
      <c r="BE105" s="97">
        <f t="shared" si="54"/>
        <v>7.0921939609654862E-26</v>
      </c>
      <c r="BF105" s="97">
        <f t="shared" si="54"/>
        <v>8.3160056478790302E-26</v>
      </c>
      <c r="BG105" s="97">
        <f t="shared" si="54"/>
        <v>9.5876349132537762E-26</v>
      </c>
      <c r="BH105" s="97">
        <f t="shared" si="54"/>
        <v>1.101162148724069E-25</v>
      </c>
      <c r="BI105" s="97">
        <f t="shared" si="54"/>
        <v>1.2770358172563485E-25</v>
      </c>
      <c r="BJ105" s="97">
        <f t="shared" si="54"/>
        <v>1.5040584686572089E-25</v>
      </c>
      <c r="BK105" s="97">
        <f t="shared" si="53"/>
        <v>1.7868969578500106E-25</v>
      </c>
      <c r="BL105" s="97">
        <f t="shared" si="53"/>
        <v>2.1087962471244382E-25</v>
      </c>
      <c r="BM105" s="97">
        <f t="shared" si="53"/>
        <v>2.4351524271179471E-25</v>
      </c>
      <c r="BN105" s="97">
        <f t="shared" si="53"/>
        <v>2.7294987935033022E-25</v>
      </c>
      <c r="BO105" s="97">
        <f t="shared" si="53"/>
        <v>2.9720031594383098E-25</v>
      </c>
      <c r="BP105" s="97">
        <f t="shared" si="53"/>
        <v>3.1665753897390396E-25</v>
      </c>
      <c r="BQ105" s="97">
        <f t="shared" si="53"/>
        <v>3.3301383770997765E-25</v>
      </c>
      <c r="BR105" s="97">
        <f t="shared" si="53"/>
        <v>3.4715338223782736E-25</v>
      </c>
      <c r="BS105" s="97">
        <f t="shared" si="53"/>
        <v>3.5762904796459303E-25</v>
      </c>
      <c r="BT105" s="97">
        <f t="shared" si="53"/>
        <v>3.6092381173311498E-25</v>
      </c>
      <c r="BU105" s="97">
        <f t="shared" si="53"/>
        <v>3.5331468948264707E-25</v>
      </c>
      <c r="BV105" s="97">
        <f t="shared" si="53"/>
        <v>3.3299722119769669E-25</v>
      </c>
      <c r="BW105" s="97">
        <f t="shared" si="53"/>
        <v>3.0110124875820266E-25</v>
      </c>
      <c r="BX105" s="97">
        <f t="shared" si="53"/>
        <v>2.6118352887968565E-25</v>
      </c>
      <c r="BY105" s="97">
        <f t="shared" si="53"/>
        <v>2.1780196607963543E-25</v>
      </c>
      <c r="BZ105" s="97">
        <f t="shared" si="56"/>
        <v>1.7512421294198067E-25</v>
      </c>
      <c r="CA105" s="97">
        <f t="shared" si="56"/>
        <v>1.3617953727978726E-25</v>
      </c>
      <c r="CB105" s="97">
        <f t="shared" si="56"/>
        <v>1.0278397065120246E-25</v>
      </c>
      <c r="CC105" s="97">
        <f t="shared" si="56"/>
        <v>7.5796316336262923E-26</v>
      </c>
      <c r="CD105" s="97">
        <f t="shared" si="56"/>
        <v>5.5356900858754152E-26</v>
      </c>
      <c r="CE105" s="97">
        <f t="shared" si="56"/>
        <v>4.0996147056524943E-26</v>
      </c>
      <c r="CF105" s="97">
        <f t="shared" si="56"/>
        <v>3.1716667827391587E-26</v>
      </c>
      <c r="CG105" s="97">
        <f t="shared" si="56"/>
        <v>2.6178044584856392E-26</v>
      </c>
      <c r="CH105" s="97">
        <f t="shared" si="56"/>
        <v>2.2986324924153496E-26</v>
      </c>
      <c r="CI105" s="97">
        <f t="shared" si="56"/>
        <v>2.0973897724863719E-26</v>
      </c>
      <c r="CJ105" s="97">
        <f t="shared" si="56"/>
        <v>1.9354641087732796E-26</v>
      </c>
      <c r="CK105" s="97">
        <f t="shared" si="56"/>
        <v>1.7725056166275842E-26</v>
      </c>
      <c r="CL105" s="97">
        <f t="shared" si="56"/>
        <v>1.5964274738654846E-26</v>
      </c>
      <c r="CM105" s="97">
        <f t="shared" si="56"/>
        <v>1.4110447034703913E-26</v>
      </c>
      <c r="CN105" s="97">
        <f t="shared" si="56"/>
        <v>1.2265599784224422E-26</v>
      </c>
      <c r="CO105" s="97">
        <f t="shared" si="56"/>
        <v>1.0541361109164573E-26</v>
      </c>
      <c r="CP105" s="97">
        <f t="shared" si="55"/>
        <v>9.0322218480751021E-27</v>
      </c>
      <c r="CQ105" s="97">
        <f t="shared" si="55"/>
        <v>7.7991293130731472E-27</v>
      </c>
      <c r="CR105" s="97">
        <f t="shared" si="55"/>
        <v>6.8562983998762354E-27</v>
      </c>
      <c r="CS105" s="97">
        <f t="shared" si="55"/>
        <v>6.1651586277552611E-27</v>
      </c>
      <c r="CT105" s="97">
        <f t="shared" si="55"/>
        <v>5.6424824910078196E-27</v>
      </c>
      <c r="CU105" s="97">
        <f t="shared" si="55"/>
        <v>5.1841723472235544E-27</v>
      </c>
      <c r="CV105" s="97">
        <f t="shared" si="55"/>
        <v>4.6973121562112345E-27</v>
      </c>
      <c r="CW105" s="97">
        <f t="shared" si="55"/>
        <v>4.127657950514785E-27</v>
      </c>
      <c r="CX105" s="97">
        <f t="shared" si="55"/>
        <v>3.4714551845464857E-27</v>
      </c>
      <c r="CY105" s="97">
        <f t="shared" si="55"/>
        <v>2.7681518929927996E-27</v>
      </c>
      <c r="CZ105" s="97">
        <f t="shared" si="55"/>
        <v>2.0794271179202796E-27</v>
      </c>
      <c r="DA105" s="97">
        <f t="shared" si="55"/>
        <v>1.4649874113770327E-27</v>
      </c>
      <c r="DB105" s="97">
        <f t="shared" si="55"/>
        <v>9.647880896412777E-28</v>
      </c>
      <c r="DC105" s="97">
        <f t="shared" si="55"/>
        <v>5.9236544654698831E-28</v>
      </c>
      <c r="DD105" s="97">
        <f t="shared" si="52"/>
        <v>3.3830349176693926E-28</v>
      </c>
      <c r="DE105" s="97">
        <f t="shared" si="52"/>
        <v>1.7933451230143901E-28</v>
      </c>
      <c r="DF105" s="97">
        <f t="shared" si="52"/>
        <v>8.8064954509430782E-29</v>
      </c>
      <c r="DG105" s="97">
        <f t="shared" si="52"/>
        <v>3.9987486548473072E-29</v>
      </c>
      <c r="DH105" s="97">
        <f t="shared" si="52"/>
        <v>1.6760732072808469E-29</v>
      </c>
      <c r="DI105" s="97">
        <f t="shared" si="52"/>
        <v>6.4751523234714639E-30</v>
      </c>
      <c r="DJ105" s="97">
        <f t="shared" si="52"/>
        <v>2.3025760710170703E-30</v>
      </c>
      <c r="DK105" s="97">
        <f t="shared" si="52"/>
        <v>7.5280522770909153E-31</v>
      </c>
      <c r="DL105" s="97">
        <f t="shared" si="50"/>
        <v>2.2606260223391519E-31</v>
      </c>
    </row>
    <row r="106" spans="1:116" x14ac:dyDescent="0.25">
      <c r="A106" s="60">
        <v>6.5</v>
      </c>
      <c r="B106" s="25">
        <v>3</v>
      </c>
      <c r="C106" s="25">
        <v>5.8</v>
      </c>
      <c r="D106" s="57">
        <v>2.2000000000000002</v>
      </c>
      <c r="E106" s="82" t="s">
        <v>7</v>
      </c>
      <c r="L106" s="97" cm="1">
        <f t="array" ref="L106">EstymacjaGaussowska($O106,$D$2:$D$51,H$9)</f>
        <v>3.0826880971839967E-2</v>
      </c>
      <c r="M106" s="97" cm="1">
        <f t="array" ref="M106">EstymacjaGaussowska($O106,$D$52:$D$101,I$9)</f>
        <v>4.9552098868836205E-26</v>
      </c>
      <c r="N106" s="97" cm="1">
        <f t="array" ref="N106">EstymacjaGaussowska($O106,$D$102:$D$151,J$9)</f>
        <v>5.3186730926815973E-27</v>
      </c>
      <c r="O106" s="97">
        <v>-2.99999999999798E-2</v>
      </c>
      <c r="P106" s="97">
        <f t="shared" si="51"/>
        <v>6.6692775579396678E-35</v>
      </c>
      <c r="Q106" s="97">
        <f t="shared" si="51"/>
        <v>3.3933150203218284E-30</v>
      </c>
      <c r="R106" s="97">
        <f t="shared" si="51"/>
        <v>6.9977460508423722E-26</v>
      </c>
      <c r="S106" s="97">
        <f t="shared" si="51"/>
        <v>5.8490084487273065E-22</v>
      </c>
      <c r="T106" s="97">
        <f t="shared" si="51"/>
        <v>1.9815311863303865E-18</v>
      </c>
      <c r="U106" s="97">
        <f t="shared" si="51"/>
        <v>2.7209975036675432E-15</v>
      </c>
      <c r="V106" s="97">
        <f t="shared" si="51"/>
        <v>1.5146321084847623E-12</v>
      </c>
      <c r="W106" s="97">
        <f t="shared" si="51"/>
        <v>3.4187834152282804E-10</v>
      </c>
      <c r="X106" s="97">
        <f t="shared" si="51"/>
        <v>3.1320927375881372E-8</v>
      </c>
      <c r="Y106" s="97">
        <f t="shared" si="51"/>
        <v>1.1680827586190354E-6</v>
      </c>
      <c r="Z106" s="97">
        <f t="shared" si="51"/>
        <v>1.7895168752815802E-5</v>
      </c>
      <c r="AA106" s="97">
        <f t="shared" si="51"/>
        <v>1.1582224802520913E-4</v>
      </c>
      <c r="AB106" s="97">
        <f t="shared" si="51"/>
        <v>3.4491450985751936E-4</v>
      </c>
      <c r="AC106" s="97">
        <f t="shared" si="51"/>
        <v>6.0138586948178373E-4</v>
      </c>
      <c r="AD106" s="97">
        <f t="shared" si="51"/>
        <v>9.849887359997631E-4</v>
      </c>
      <c r="AE106" s="97">
        <f t="shared" si="51"/>
        <v>1.9886107771196824E-3</v>
      </c>
      <c r="AF106" s="97">
        <f t="shared" si="49"/>
        <v>3.8927693022623748E-3</v>
      </c>
      <c r="AG106" s="97">
        <f t="shared" si="49"/>
        <v>6.0661513536757628E-3</v>
      </c>
      <c r="AH106" s="97">
        <f t="shared" si="49"/>
        <v>7.2082738102330407E-3</v>
      </c>
      <c r="AI106" s="97">
        <f t="shared" si="49"/>
        <v>6.5563938823474874E-3</v>
      </c>
      <c r="AJ106" s="97">
        <f t="shared" si="49"/>
        <v>4.7286633255610271E-3</v>
      </c>
      <c r="AK106" s="97">
        <f t="shared" si="49"/>
        <v>2.8588039561758998E-3</v>
      </c>
      <c r="AL106" s="97">
        <f t="shared" si="49"/>
        <v>1.4217735580408352E-3</v>
      </c>
      <c r="AM106" s="97">
        <f t="shared" si="49"/>
        <v>7.8269472609710693E-4</v>
      </c>
      <c r="AN106" s="97">
        <f t="shared" si="49"/>
        <v>6.0802873519342484E-4</v>
      </c>
      <c r="AO106" s="97">
        <f t="shared" si="49"/>
        <v>2.906446410649997E-4</v>
      </c>
      <c r="AP106" s="97">
        <f t="shared" si="49"/>
        <v>5.9458460403001828E-5</v>
      </c>
      <c r="AQ106" s="97">
        <f t="shared" si="49"/>
        <v>4.9583998775682051E-6</v>
      </c>
      <c r="AR106" s="97">
        <f t="shared" si="49"/>
        <v>1.6769344454014366E-7</v>
      </c>
      <c r="AS106" s="97">
        <f t="shared" si="49"/>
        <v>2.2988229271156726E-9</v>
      </c>
      <c r="AT106" s="97">
        <f t="shared" si="49"/>
        <v>1.2772787468968948E-11</v>
      </c>
      <c r="AU106" s="97">
        <f t="shared" si="54"/>
        <v>2.8764316503577899E-14</v>
      </c>
      <c r="AV106" s="97">
        <f t="shared" si="54"/>
        <v>2.6254900380435349E-17</v>
      </c>
      <c r="AW106" s="97">
        <f t="shared" si="54"/>
        <v>9.7130274123623168E-21</v>
      </c>
      <c r="AX106" s="97">
        <f t="shared" si="54"/>
        <v>1.4567411166688357E-24</v>
      </c>
      <c r="AY106" s="97">
        <f t="shared" si="54"/>
        <v>5.9784281469097133E-28</v>
      </c>
      <c r="AZ106" s="97">
        <f t="shared" si="54"/>
        <v>7.4857566718481801E-28</v>
      </c>
      <c r="BA106" s="97">
        <f t="shared" si="54"/>
        <v>1.0344290276676083E-27</v>
      </c>
      <c r="BB106" s="97">
        <f t="shared" si="54"/>
        <v>1.3644601839626476E-27</v>
      </c>
      <c r="BC106" s="97">
        <f t="shared" si="54"/>
        <v>1.7371563942966843E-27</v>
      </c>
      <c r="BD106" s="97">
        <f t="shared" si="54"/>
        <v>2.1466637530474073E-27</v>
      </c>
      <c r="BE106" s="97">
        <f t="shared" si="54"/>
        <v>2.5801208933288784E-27</v>
      </c>
      <c r="BF106" s="97">
        <f t="shared" si="54"/>
        <v>3.0253445403154149E-27</v>
      </c>
      <c r="BG106" s="97">
        <f t="shared" si="54"/>
        <v>3.4879746794061177E-27</v>
      </c>
      <c r="BH106" s="97">
        <f t="shared" si="54"/>
        <v>4.0060627433234638E-27</v>
      </c>
      <c r="BI106" s="97">
        <f t="shared" si="54"/>
        <v>4.6460130521934749E-27</v>
      </c>
      <c r="BJ106" s="97">
        <f t="shared" si="54"/>
        <v>5.4722358819208984E-27</v>
      </c>
      <c r="BK106" s="97">
        <f t="shared" si="53"/>
        <v>6.5019362377997981E-27</v>
      </c>
      <c r="BL106" s="97">
        <f t="shared" si="53"/>
        <v>7.6745698830935427E-27</v>
      </c>
      <c r="BM106" s="97">
        <f t="shared" si="53"/>
        <v>8.8649153920873789E-27</v>
      </c>
      <c r="BN106" s="97">
        <f t="shared" si="53"/>
        <v>9.9412926319312566E-27</v>
      </c>
      <c r="BO106" s="97">
        <f t="shared" si="53"/>
        <v>1.0832902034929006E-26</v>
      </c>
      <c r="BP106" s="97">
        <f t="shared" si="53"/>
        <v>1.1555741198058429E-26</v>
      </c>
      <c r="BQ106" s="97">
        <f t="shared" si="53"/>
        <v>1.2173689923424654E-26</v>
      </c>
      <c r="BR106" s="97">
        <f t="shared" si="53"/>
        <v>1.2721933717422651E-26</v>
      </c>
      <c r="BS106" s="97">
        <f t="shared" si="53"/>
        <v>1.3151601418326828E-26</v>
      </c>
      <c r="BT106" s="97">
        <f t="shared" si="53"/>
        <v>1.3338889545227352E-26</v>
      </c>
      <c r="BU106" s="97">
        <f t="shared" si="53"/>
        <v>1.3151740556612273E-26</v>
      </c>
      <c r="BV106" s="97">
        <f t="shared" si="53"/>
        <v>1.2525282821607187E-26</v>
      </c>
      <c r="BW106" s="97">
        <f t="shared" si="53"/>
        <v>1.1496845598828942E-26</v>
      </c>
      <c r="BX106" s="97">
        <f t="shared" si="53"/>
        <v>1.0186590431676021E-26</v>
      </c>
      <c r="BY106" s="97">
        <f t="shared" si="53"/>
        <v>8.746805327020889E-27</v>
      </c>
      <c r="BZ106" s="97">
        <f t="shared" si="56"/>
        <v>7.3147163056954869E-27</v>
      </c>
      <c r="CA106" s="97">
        <f t="shared" si="56"/>
        <v>5.9898493810647498E-27</v>
      </c>
      <c r="CB106" s="97">
        <f t="shared" si="56"/>
        <v>4.8349148912329803E-27</v>
      </c>
      <c r="CC106" s="97">
        <f t="shared" si="56"/>
        <v>3.8857378034431408E-27</v>
      </c>
      <c r="CD106" s="97">
        <f t="shared" si="56"/>
        <v>3.1569626529605097E-27</v>
      </c>
      <c r="CE106" s="97">
        <f t="shared" si="56"/>
        <v>2.6408395365905195E-27</v>
      </c>
      <c r="CF106" s="97">
        <f t="shared" si="56"/>
        <v>2.3056176440355687E-27</v>
      </c>
      <c r="CG106" s="97">
        <f t="shared" si="56"/>
        <v>2.1006738935555553E-27</v>
      </c>
      <c r="CH106" s="97">
        <f t="shared" si="56"/>
        <v>1.9690331299432216E-27</v>
      </c>
      <c r="CI106" s="97">
        <f t="shared" si="56"/>
        <v>1.8615933385146795E-27</v>
      </c>
      <c r="CJ106" s="97">
        <f t="shared" si="56"/>
        <v>1.7463998252184459E-27</v>
      </c>
      <c r="CK106" s="97">
        <f t="shared" si="56"/>
        <v>1.6101569676656993E-27</v>
      </c>
      <c r="CL106" s="97">
        <f t="shared" si="56"/>
        <v>1.4537897607613533E-27</v>
      </c>
      <c r="CM106" s="97">
        <f t="shared" si="56"/>
        <v>1.2860236346232904E-27</v>
      </c>
      <c r="CN106" s="97">
        <f t="shared" si="56"/>
        <v>1.1181598580808058E-27</v>
      </c>
      <c r="CO106" s="97">
        <f t="shared" si="56"/>
        <v>9.6103854208972836E-28</v>
      </c>
      <c r="CP106" s="97">
        <f t="shared" si="55"/>
        <v>8.2346618329379586E-28</v>
      </c>
      <c r="CQ106" s="97">
        <f t="shared" si="55"/>
        <v>7.1104783869028077E-28</v>
      </c>
      <c r="CR106" s="97">
        <f t="shared" si="55"/>
        <v>6.2509021422249303E-28</v>
      </c>
      <c r="CS106" s="97">
        <f t="shared" si="55"/>
        <v>5.6207891291661266E-28</v>
      </c>
      <c r="CT106" s="97">
        <f t="shared" si="55"/>
        <v>5.1442641880911129E-28</v>
      </c>
      <c r="CU106" s="97">
        <f t="shared" si="55"/>
        <v>4.7264217912089868E-28</v>
      </c>
      <c r="CV106" s="97">
        <f t="shared" si="55"/>
        <v>4.2825502419369493E-28</v>
      </c>
      <c r="CW106" s="97">
        <f t="shared" si="55"/>
        <v>3.763195199108003E-28</v>
      </c>
      <c r="CX106" s="97">
        <f t="shared" si="55"/>
        <v>3.1649336357432006E-28</v>
      </c>
      <c r="CY106" s="97">
        <f t="shared" si="55"/>
        <v>2.5237304154122142E-28</v>
      </c>
      <c r="CZ106" s="97">
        <f t="shared" si="55"/>
        <v>1.8958184619177902E-28</v>
      </c>
      <c r="DA106" s="97">
        <f t="shared" si="55"/>
        <v>1.3356323753936011E-28</v>
      </c>
      <c r="DB106" s="97">
        <f t="shared" si="55"/>
        <v>8.7959950912328798E-29</v>
      </c>
      <c r="DC106" s="97">
        <f t="shared" si="55"/>
        <v>5.4006093317140779E-29</v>
      </c>
      <c r="DD106" s="97">
        <f t="shared" si="52"/>
        <v>3.0843206760930843E-29</v>
      </c>
      <c r="DE106" s="97">
        <f t="shared" si="52"/>
        <v>1.6349968524990914E-29</v>
      </c>
      <c r="DF106" s="97">
        <f t="shared" si="52"/>
        <v>8.028902055192397E-30</v>
      </c>
      <c r="DG106" s="97">
        <f t="shared" si="52"/>
        <v>3.645668299262362E-30</v>
      </c>
      <c r="DH106" s="97">
        <f t="shared" si="52"/>
        <v>1.5280797785626524E-30</v>
      </c>
      <c r="DI106" s="97">
        <f t="shared" si="52"/>
        <v>5.9034111908882534E-31</v>
      </c>
      <c r="DJ106" s="97">
        <f t="shared" si="52"/>
        <v>2.0992638731047114E-31</v>
      </c>
      <c r="DK106" s="97">
        <f t="shared" si="52"/>
        <v>6.8633424880334641E-32</v>
      </c>
      <c r="DL106" s="97">
        <f t="shared" si="50"/>
        <v>2.0610179177275937E-32</v>
      </c>
    </row>
    <row r="107" spans="1:116" x14ac:dyDescent="0.25">
      <c r="A107" s="60">
        <v>7.6</v>
      </c>
      <c r="B107" s="25">
        <v>3</v>
      </c>
      <c r="C107" s="25">
        <v>6.6</v>
      </c>
      <c r="D107" s="57">
        <v>2.1</v>
      </c>
      <c r="E107" s="82" t="s">
        <v>7</v>
      </c>
      <c r="L107" s="97" cm="1">
        <f t="array" ref="L107">EstymacjaGaussowska($O107,$D$2:$D$51,H$9)</f>
        <v>5.7980599704316191E-3</v>
      </c>
      <c r="M107" s="97" cm="1">
        <f t="array" ref="M107">EstymacjaGaussowska($O107,$D$52:$D$101,I$9)</f>
        <v>1.634501104500923E-27</v>
      </c>
      <c r="N107" s="97" cm="1">
        <f t="array" ref="N107">EstymacjaGaussowska($O107,$D$102:$D$151,J$9)</f>
        <v>4.6090397386336245E-28</v>
      </c>
      <c r="O107" s="97">
        <v>-5.9999999999980097E-2</v>
      </c>
      <c r="P107" s="97">
        <f t="shared" si="51"/>
        <v>1.2543880542345995E-35</v>
      </c>
      <c r="Q107" s="97">
        <f t="shared" si="51"/>
        <v>6.3823012144384415E-31</v>
      </c>
      <c r="R107" s="97">
        <f t="shared" si="51"/>
        <v>1.3161679022181466E-26</v>
      </c>
      <c r="S107" s="97">
        <f t="shared" si="51"/>
        <v>1.1001081096806785E-22</v>
      </c>
      <c r="T107" s="97">
        <f t="shared" si="51"/>
        <v>3.7269539730987405E-19</v>
      </c>
      <c r="U107" s="97">
        <f t="shared" si="51"/>
        <v>5.1177758528573878E-16</v>
      </c>
      <c r="V107" s="97">
        <f t="shared" si="51"/>
        <v>2.8487889534326034E-13</v>
      </c>
      <c r="W107" s="97">
        <f t="shared" si="51"/>
        <v>6.4302033298529513E-11</v>
      </c>
      <c r="X107" s="97">
        <f t="shared" si="51"/>
        <v>5.8909824649721749E-9</v>
      </c>
      <c r="Y107" s="97">
        <f t="shared" si="51"/>
        <v>2.1969831755236869E-7</v>
      </c>
      <c r="Z107" s="97">
        <f t="shared" si="51"/>
        <v>3.3658047242794754E-6</v>
      </c>
      <c r="AA107" s="97">
        <f t="shared" si="51"/>
        <v>2.1784375155365747E-5</v>
      </c>
      <c r="AB107" s="97">
        <f t="shared" si="51"/>
        <v>6.4873089647076316E-5</v>
      </c>
      <c r="AC107" s="97">
        <f t="shared" si="51"/>
        <v>1.1311138936860868E-4</v>
      </c>
      <c r="AD107" s="97">
        <f t="shared" si="51"/>
        <v>1.8526116108675492E-4</v>
      </c>
      <c r="AE107" s="97">
        <f t="shared" si="51"/>
        <v>3.740269589427213E-4</v>
      </c>
      <c r="AF107" s="97">
        <f t="shared" si="49"/>
        <v>7.321697542541013E-4</v>
      </c>
      <c r="AG107" s="97">
        <f t="shared" si="49"/>
        <v>1.1409493347853189E-3</v>
      </c>
      <c r="AH107" s="97">
        <f t="shared" si="49"/>
        <v>1.3557649206613273E-3</v>
      </c>
      <c r="AI107" s="97">
        <f t="shared" si="49"/>
        <v>1.2331563791467403E-3</v>
      </c>
      <c r="AJ107" s="97">
        <f t="shared" si="49"/>
        <v>8.8938850370975453E-4</v>
      </c>
      <c r="AK107" s="97">
        <f t="shared" si="49"/>
        <v>5.3769684960202734E-4</v>
      </c>
      <c r="AL107" s="97">
        <f t="shared" si="49"/>
        <v>2.6741363686534099E-4</v>
      </c>
      <c r="AM107" s="97">
        <f t="shared" si="49"/>
        <v>1.4721278369346199E-4</v>
      </c>
      <c r="AN107" s="97">
        <f t="shared" si="49"/>
        <v>1.1436080976267329E-4</v>
      </c>
      <c r="AO107" s="97">
        <f t="shared" si="49"/>
        <v>5.4665765911213344E-5</v>
      </c>
      <c r="AP107" s="97">
        <f t="shared" si="49"/>
        <v>1.1183217643103699E-5</v>
      </c>
      <c r="AQ107" s="97">
        <f t="shared" si="49"/>
        <v>9.3259839922771474E-7</v>
      </c>
      <c r="AR107" s="97">
        <f t="shared" si="49"/>
        <v>3.1540545700364059E-8</v>
      </c>
      <c r="AS107" s="97">
        <f t="shared" si="49"/>
        <v>4.323730709245436E-10</v>
      </c>
      <c r="AT107" s="97">
        <f t="shared" si="49"/>
        <v>2.402363956389558E-12</v>
      </c>
      <c r="AU107" s="97">
        <f t="shared" si="54"/>
        <v>5.4101234649256157E-15</v>
      </c>
      <c r="AV107" s="97">
        <f t="shared" si="54"/>
        <v>4.9381410679229145E-18</v>
      </c>
      <c r="AW107" s="97">
        <f t="shared" si="54"/>
        <v>1.8268703408976426E-21</v>
      </c>
      <c r="AX107" s="97">
        <f t="shared" si="54"/>
        <v>2.7394074974021778E-25</v>
      </c>
      <c r="AY107" s="97">
        <f t="shared" si="54"/>
        <v>3.3448421726010644E-29</v>
      </c>
      <c r="AZ107" s="97">
        <f t="shared" si="54"/>
        <v>2.4692486129925145E-29</v>
      </c>
      <c r="BA107" s="97">
        <f t="shared" si="54"/>
        <v>3.4121166252989647E-29</v>
      </c>
      <c r="BB107" s="97">
        <f t="shared" si="54"/>
        <v>4.5007412609542818E-29</v>
      </c>
      <c r="BC107" s="97">
        <f t="shared" si="54"/>
        <v>5.7300992492288296E-29</v>
      </c>
      <c r="BD107" s="97">
        <f t="shared" si="54"/>
        <v>7.080882843398932E-29</v>
      </c>
      <c r="BE107" s="97">
        <f t="shared" si="54"/>
        <v>8.5106744030503502E-29</v>
      </c>
      <c r="BF107" s="97">
        <f t="shared" si="54"/>
        <v>9.9793079616204547E-29</v>
      </c>
      <c r="BG107" s="97">
        <f t="shared" si="54"/>
        <v>1.1505452368498452E-28</v>
      </c>
      <c r="BH107" s="97">
        <f t="shared" si="54"/>
        <v>1.3214802496060857E-28</v>
      </c>
      <c r="BI107" s="97">
        <f t="shared" si="54"/>
        <v>1.5326846093790689E-28</v>
      </c>
      <c r="BJ107" s="97">
        <f t="shared" si="54"/>
        <v>1.8055051920460585E-28</v>
      </c>
      <c r="BK107" s="97">
        <f t="shared" si="53"/>
        <v>2.1458199995188546E-28</v>
      </c>
      <c r="BL107" s="97">
        <f t="shared" si="53"/>
        <v>2.5340244624218579E-28</v>
      </c>
      <c r="BM107" s="97">
        <f t="shared" si="53"/>
        <v>2.9294089727302922E-28</v>
      </c>
      <c r="BN107" s="97">
        <f t="shared" si="53"/>
        <v>3.2894175656397349E-28</v>
      </c>
      <c r="BO107" s="97">
        <f t="shared" si="53"/>
        <v>3.5919017340479123E-28</v>
      </c>
      <c r="BP107" s="97">
        <f t="shared" si="53"/>
        <v>3.8437223786278226E-28</v>
      </c>
      <c r="BQ107" s="97">
        <f t="shared" si="53"/>
        <v>4.068017924776803E-28</v>
      </c>
      <c r="BR107" s="97">
        <f t="shared" si="53"/>
        <v>4.2790913285189599E-28</v>
      </c>
      <c r="BS107" s="97">
        <f t="shared" si="53"/>
        <v>4.4641934422010894E-28</v>
      </c>
      <c r="BT107" s="97">
        <f t="shared" si="53"/>
        <v>4.5861887392831285E-28</v>
      </c>
      <c r="BU107" s="97">
        <f t="shared" si="53"/>
        <v>4.6045391698187953E-28</v>
      </c>
      <c r="BV107" s="97">
        <f t="shared" si="53"/>
        <v>4.4985378339785617E-28</v>
      </c>
      <c r="BW107" s="97">
        <f t="shared" si="53"/>
        <v>4.2771273925087881E-28</v>
      </c>
      <c r="BX107" s="97">
        <f t="shared" si="53"/>
        <v>3.9716985073937916E-28</v>
      </c>
      <c r="BY107" s="97">
        <f t="shared" si="53"/>
        <v>3.6204030825915708E-28</v>
      </c>
      <c r="BZ107" s="97">
        <f t="shared" si="56"/>
        <v>3.2556524596245394E-28</v>
      </c>
      <c r="CA107" s="97">
        <f t="shared" si="56"/>
        <v>2.9007394751022284E-28</v>
      </c>
      <c r="CB107" s="97">
        <f t="shared" si="56"/>
        <v>2.5733519140092719E-28</v>
      </c>
      <c r="CC107" s="97">
        <f t="shared" si="56"/>
        <v>2.2893989397367972E-28</v>
      </c>
      <c r="CD107" s="97">
        <f t="shared" si="56"/>
        <v>2.0622307898812159E-28</v>
      </c>
      <c r="CE107" s="97">
        <f t="shared" si="56"/>
        <v>1.8976265178222214E-28</v>
      </c>
      <c r="CF107" s="97">
        <f t="shared" si="56"/>
        <v>1.7891620991666107E-28</v>
      </c>
      <c r="CG107" s="97">
        <f t="shared" si="56"/>
        <v>1.7184789490559384E-28</v>
      </c>
      <c r="CH107" s="97">
        <f t="shared" si="56"/>
        <v>1.661189562827761E-28</v>
      </c>
      <c r="CI107" s="97">
        <f t="shared" si="56"/>
        <v>1.5951809452521904E-28</v>
      </c>
      <c r="CJ107" s="97">
        <f t="shared" si="56"/>
        <v>1.5069156251973874E-28</v>
      </c>
      <c r="CK107" s="97">
        <f t="shared" si="56"/>
        <v>1.3932436106541005E-28</v>
      </c>
      <c r="CL107" s="97">
        <f t="shared" si="56"/>
        <v>1.2592231890983671E-28</v>
      </c>
      <c r="CM107" s="97">
        <f t="shared" si="56"/>
        <v>1.1142855935867897E-28</v>
      </c>
      <c r="CN107" s="97">
        <f t="shared" si="56"/>
        <v>9.6893679742861332E-29</v>
      </c>
      <c r="CO107" s="97">
        <f t="shared" si="56"/>
        <v>8.3280684775407974E-29</v>
      </c>
      <c r="CP107" s="97">
        <f t="shared" si="55"/>
        <v>7.1359558451237331E-29</v>
      </c>
      <c r="CQ107" s="97">
        <f t="shared" si="55"/>
        <v>6.1617749682898027E-29</v>
      </c>
      <c r="CR107" s="97">
        <f t="shared" si="55"/>
        <v>5.4168877010963024E-29</v>
      </c>
      <c r="CS107" s="97">
        <f t="shared" si="55"/>
        <v>4.8708465096294269E-29</v>
      </c>
      <c r="CT107" s="97">
        <f t="shared" si="55"/>
        <v>4.4579009904871452E-29</v>
      </c>
      <c r="CU107" s="97">
        <f t="shared" si="55"/>
        <v>4.0958083859562958E-29</v>
      </c>
      <c r="CV107" s="97">
        <f t="shared" si="55"/>
        <v>3.71115951359432E-29</v>
      </c>
      <c r="CW107" s="97">
        <f t="shared" si="55"/>
        <v>3.2610983819961281E-29</v>
      </c>
      <c r="CX107" s="97">
        <f t="shared" si="55"/>
        <v>2.74265867502734E-29</v>
      </c>
      <c r="CY107" s="97">
        <f t="shared" si="55"/>
        <v>2.1870067160620531E-29</v>
      </c>
      <c r="CZ107" s="97">
        <f t="shared" si="55"/>
        <v>1.6428726631530658E-29</v>
      </c>
      <c r="DA107" s="97">
        <f t="shared" si="55"/>
        <v>1.1574282884325522E-29</v>
      </c>
      <c r="DB107" s="97">
        <f t="shared" si="55"/>
        <v>7.6224069819411307E-30</v>
      </c>
      <c r="DC107" s="97">
        <f t="shared" si="55"/>
        <v>4.680043798321843E-30</v>
      </c>
      <c r="DD107" s="97">
        <f t="shared" si="52"/>
        <v>2.6728013388081681E-30</v>
      </c>
      <c r="DE107" s="97">
        <f t="shared" si="52"/>
        <v>1.4168506569953122E-30</v>
      </c>
      <c r="DF107" s="97">
        <f t="shared" si="52"/>
        <v>6.9576618049524239E-31</v>
      </c>
      <c r="DG107" s="97">
        <f t="shared" si="52"/>
        <v>3.1592522744625471E-31</v>
      </c>
      <c r="DH107" s="97">
        <f t="shared" si="52"/>
        <v>1.3241987804982325E-31</v>
      </c>
      <c r="DI107" s="97">
        <f t="shared" si="52"/>
        <v>5.1157603218249308E-32</v>
      </c>
      <c r="DJ107" s="97">
        <f t="shared" si="52"/>
        <v>1.8191737759425366E-32</v>
      </c>
      <c r="DK107" s="97">
        <f t="shared" si="52"/>
        <v>5.9476146993741437E-33</v>
      </c>
      <c r="DL107" s="97">
        <f t="shared" si="50"/>
        <v>1.7860307109142121E-33</v>
      </c>
    </row>
    <row r="108" spans="1:116" x14ac:dyDescent="0.25">
      <c r="A108" s="60">
        <v>4.9000000000000004</v>
      </c>
      <c r="B108" s="25">
        <v>2.5</v>
      </c>
      <c r="C108" s="25">
        <v>4.5</v>
      </c>
      <c r="D108" s="57">
        <v>1.7</v>
      </c>
      <c r="E108" s="82" t="s">
        <v>7</v>
      </c>
      <c r="L108" s="97" cm="1">
        <f t="array" ref="L108">EstymacjaGaussowska($O108,$D$2:$D$51,H$9)</f>
        <v>7.7453744303932241E-4</v>
      </c>
      <c r="M108" s="97" cm="1">
        <f t="array" ref="M108">EstymacjaGaussowska($O108,$D$52:$D$101,I$9)</f>
        <v>4.8884629770713837E-29</v>
      </c>
      <c r="N108" s="97" cm="1">
        <f t="array" ref="N108">EstymacjaGaussowska($O108,$D$102:$D$151,J$9)</f>
        <v>3.7963898233073626E-29</v>
      </c>
      <c r="O108" s="97">
        <v>-8.9999999999979902E-2</v>
      </c>
      <c r="P108" s="97">
        <f t="shared" si="51"/>
        <v>1.6756820747985671E-36</v>
      </c>
      <c r="Q108" s="97">
        <f t="shared" si="51"/>
        <v>8.5258367256417335E-32</v>
      </c>
      <c r="R108" s="97">
        <f t="shared" si="51"/>
        <v>1.7582110685181205E-27</v>
      </c>
      <c r="S108" s="97">
        <f t="shared" si="51"/>
        <v>1.469586252443444E-23</v>
      </c>
      <c r="T108" s="97">
        <f t="shared" si="51"/>
        <v>4.9786746176656961E-20</v>
      </c>
      <c r="U108" s="97">
        <f t="shared" si="51"/>
        <v>6.836612665849102E-17</v>
      </c>
      <c r="V108" s="97">
        <f t="shared" si="51"/>
        <v>3.8055724207800835E-14</v>
      </c>
      <c r="W108" s="97">
        <f t="shared" si="51"/>
        <v>8.5898270640972481E-12</v>
      </c>
      <c r="X108" s="97">
        <f t="shared" si="51"/>
        <v>7.8695055219812931E-10</v>
      </c>
      <c r="Y108" s="97">
        <f t="shared" si="51"/>
        <v>2.9348536231919194E-8</v>
      </c>
      <c r="Z108" s="97">
        <f t="shared" si="51"/>
        <v>4.4962311500876562E-7</v>
      </c>
      <c r="AA108" s="97">
        <f t="shared" si="51"/>
        <v>2.9100792880881979E-6</v>
      </c>
      <c r="AB108" s="97">
        <f t="shared" si="51"/>
        <v>8.6661119811713091E-6</v>
      </c>
      <c r="AC108" s="97">
        <f t="shared" si="51"/>
        <v>1.5110055216221844E-5</v>
      </c>
      <c r="AD108" s="97">
        <f t="shared" si="51"/>
        <v>2.4748227292300559E-5</v>
      </c>
      <c r="AE108" s="97">
        <f t="shared" ref="AE108:CB108" si="57">$H$2*$L108*AE$1+$I$2*$M108*AE$2+$J$2*$N108*AE$3</f>
        <v>4.9964623664577804E-5</v>
      </c>
      <c r="AF108" s="97">
        <f t="shared" si="57"/>
        <v>9.7807351462852332E-5</v>
      </c>
      <c r="AG108" s="97">
        <f t="shared" si="57"/>
        <v>1.524144256714633E-4</v>
      </c>
      <c r="AH108" s="97">
        <f t="shared" si="57"/>
        <v>1.8111069915912985E-4</v>
      </c>
      <c r="AI108" s="97">
        <f t="shared" si="57"/>
        <v>1.6473196097363649E-4</v>
      </c>
      <c r="AJ108" s="97">
        <f t="shared" si="57"/>
        <v>1.1880951577681623E-4</v>
      </c>
      <c r="AK108" s="97">
        <f t="shared" si="57"/>
        <v>7.182856768383007E-5</v>
      </c>
      <c r="AL108" s="97">
        <f t="shared" si="57"/>
        <v>3.5722616804204684E-5</v>
      </c>
      <c r="AM108" s="97">
        <f t="shared" si="57"/>
        <v>1.966551116168377E-5</v>
      </c>
      <c r="AN108" s="97">
        <f t="shared" si="57"/>
        <v>1.5276959815731865E-5</v>
      </c>
      <c r="AO108" s="97">
        <f t="shared" si="57"/>
        <v>7.3025602988900113E-6</v>
      </c>
      <c r="AP108" s="97">
        <f t="shared" si="57"/>
        <v>1.4939170761279607E-6</v>
      </c>
      <c r="AQ108" s="97">
        <f t="shared" si="57"/>
        <v>1.2458173651257137E-7</v>
      </c>
      <c r="AR108" s="97">
        <f t="shared" si="57"/>
        <v>4.2133633911010242E-9</v>
      </c>
      <c r="AS108" s="97">
        <f t="shared" si="57"/>
        <v>5.775882527962638E-11</v>
      </c>
      <c r="AT108" s="97">
        <f t="shared" si="57"/>
        <v>3.2092128151845978E-13</v>
      </c>
      <c r="AU108" s="97">
        <f t="shared" si="57"/>
        <v>7.2271470395615569E-16</v>
      </c>
      <c r="AV108" s="97">
        <f t="shared" si="57"/>
        <v>6.5966464224582017E-19</v>
      </c>
      <c r="AW108" s="97">
        <f t="shared" si="57"/>
        <v>2.4404360875250185E-22</v>
      </c>
      <c r="AX108" s="97">
        <f t="shared" si="57"/>
        <v>3.6593448388238616E-26</v>
      </c>
      <c r="AY108" s="97">
        <f t="shared" si="57"/>
        <v>2.7263916164192111E-30</v>
      </c>
      <c r="AZ108" s="97">
        <f t="shared" si="57"/>
        <v>7.38544953619911E-31</v>
      </c>
      <c r="BA108" s="97">
        <f t="shared" si="57"/>
        <v>1.0204952559450109E-30</v>
      </c>
      <c r="BB108" s="97">
        <f t="shared" si="57"/>
        <v>1.3460810302460738E-30</v>
      </c>
      <c r="BC108" s="97">
        <f t="shared" si="57"/>
        <v>1.7137577414820376E-30</v>
      </c>
      <c r="BD108" s="97">
        <f t="shared" si="57"/>
        <v>2.1177522362299798E-30</v>
      </c>
      <c r="BE108" s="97">
        <f t="shared" si="57"/>
        <v>2.5453835313568591E-30</v>
      </c>
      <c r="BF108" s="97">
        <f t="shared" si="57"/>
        <v>2.9846567391395929E-30</v>
      </c>
      <c r="BG108" s="97">
        <f t="shared" si="57"/>
        <v>3.4412104520800735E-30</v>
      </c>
      <c r="BH108" s="97">
        <f t="shared" si="57"/>
        <v>3.9527901796948015E-30</v>
      </c>
      <c r="BI108" s="97">
        <f t="shared" si="57"/>
        <v>4.5854212074917845E-30</v>
      </c>
      <c r="BJ108" s="97">
        <f t="shared" si="57"/>
        <v>5.4038016886062499E-30</v>
      </c>
      <c r="BK108" s="97">
        <f t="shared" si="57"/>
        <v>6.4272296492416901E-30</v>
      </c>
      <c r="BL108" s="97">
        <f t="shared" si="57"/>
        <v>7.6001739912372674E-30</v>
      </c>
      <c r="BM108" s="97">
        <f t="shared" si="57"/>
        <v>8.8059228688002795E-30</v>
      </c>
      <c r="BN108" s="97">
        <f t="shared" si="57"/>
        <v>9.9246485491994548E-30</v>
      </c>
      <c r="BO108" s="97">
        <f t="shared" si="57"/>
        <v>1.0900316557353365E-29</v>
      </c>
      <c r="BP108" s="97">
        <f t="shared" si="57"/>
        <v>1.1766863222527972E-29</v>
      </c>
      <c r="BQ108" s="97">
        <f t="shared" si="57"/>
        <v>1.2611001580613789E-29</v>
      </c>
      <c r="BR108" s="97">
        <f t="shared" si="57"/>
        <v>1.3498351408131279E-29</v>
      </c>
      <c r="BS108" s="97">
        <f t="shared" si="57"/>
        <v>1.4419337464105945E-29</v>
      </c>
      <c r="BT108" s="97">
        <f t="shared" si="57"/>
        <v>1.5294248518591484E-29</v>
      </c>
      <c r="BU108" s="97">
        <f t="shared" si="57"/>
        <v>1.6027438424197332E-29</v>
      </c>
      <c r="BV108" s="97">
        <f t="shared" si="57"/>
        <v>1.6562832719321445E-29</v>
      </c>
      <c r="BW108" s="97">
        <f t="shared" si="57"/>
        <v>1.6898627871727618E-29</v>
      </c>
      <c r="BX108" s="97">
        <f t="shared" si="57"/>
        <v>1.7058868980600804E-29</v>
      </c>
      <c r="BY108" s="97">
        <f t="shared" si="57"/>
        <v>1.7055332706670631E-29</v>
      </c>
      <c r="BZ108" s="97">
        <f t="shared" si="57"/>
        <v>1.6876085464685294E-29</v>
      </c>
      <c r="CA108" s="97">
        <f t="shared" si="57"/>
        <v>1.6510017706150135E-29</v>
      </c>
      <c r="CB108" s="97">
        <f t="shared" si="57"/>
        <v>1.5984640546035462E-29</v>
      </c>
      <c r="CC108" s="97">
        <f t="shared" si="56"/>
        <v>1.5382195762784955E-29</v>
      </c>
      <c r="CD108" s="97">
        <f t="shared" si="56"/>
        <v>1.4814773721196923E-29</v>
      </c>
      <c r="CE108" s="97">
        <f t="shared" si="56"/>
        <v>1.4370260155526869E-29</v>
      </c>
      <c r="CF108" s="97">
        <f t="shared" si="56"/>
        <v>1.4063738783579466E-29</v>
      </c>
      <c r="CG108" s="97">
        <f t="shared" si="56"/>
        <v>1.3826239816983861E-29</v>
      </c>
      <c r="CH108" s="97">
        <f t="shared" si="56"/>
        <v>1.3537443678841508E-29</v>
      </c>
      <c r="CI108" s="97">
        <f t="shared" si="56"/>
        <v>1.3081101899605375E-29</v>
      </c>
      <c r="CJ108" s="97">
        <f t="shared" si="56"/>
        <v>1.2391341259613843E-29</v>
      </c>
      <c r="CK108" s="97">
        <f t="shared" si="56"/>
        <v>1.1469206746762205E-29</v>
      </c>
      <c r="CL108" s="97">
        <f t="shared" si="56"/>
        <v>1.0370086584878706E-29</v>
      </c>
      <c r="CM108" s="97">
        <f t="shared" si="56"/>
        <v>9.1776932242145821E-30</v>
      </c>
      <c r="CN108" s="97">
        <f t="shared" si="56"/>
        <v>7.980859956466576E-30</v>
      </c>
      <c r="CO108" s="97">
        <f t="shared" si="56"/>
        <v>6.8596695957818627E-30</v>
      </c>
      <c r="CP108" s="97">
        <f t="shared" si="55"/>
        <v>5.8777647599784711E-30</v>
      </c>
      <c r="CQ108" s="97">
        <f t="shared" si="55"/>
        <v>5.0753515080972122E-30</v>
      </c>
      <c r="CR108" s="97">
        <f t="shared" si="55"/>
        <v>4.4618007406376024E-30</v>
      </c>
      <c r="CS108" s="97">
        <f t="shared" si="55"/>
        <v>4.0120357201776528E-30</v>
      </c>
      <c r="CT108" s="97">
        <f t="shared" si="55"/>
        <v>3.671899334230394E-30</v>
      </c>
      <c r="CU108" s="97">
        <f t="shared" si="55"/>
        <v>3.3736496441437396E-30</v>
      </c>
      <c r="CV108" s="97">
        <f t="shared" si="55"/>
        <v>3.0568207281733122E-30</v>
      </c>
      <c r="CW108" s="97">
        <f t="shared" si="55"/>
        <v>2.6861128157425261E-30</v>
      </c>
      <c r="CX108" s="97">
        <f t="shared" si="55"/>
        <v>2.2590826013936562E-30</v>
      </c>
      <c r="CY108" s="97">
        <f t="shared" si="55"/>
        <v>1.8014012703705195E-30</v>
      </c>
      <c r="CZ108" s="97">
        <f t="shared" si="55"/>
        <v>1.3532070481199957E-30</v>
      </c>
      <c r="DA108" s="97">
        <f t="shared" si="55"/>
        <v>9.533545433730715E-31</v>
      </c>
      <c r="DB108" s="97">
        <f t="shared" si="55"/>
        <v>6.2784505962899383E-31</v>
      </c>
      <c r="DC108" s="97">
        <f t="shared" si="55"/>
        <v>3.8548746932368577E-31</v>
      </c>
      <c r="DD108" s="97">
        <f t="shared" si="52"/>
        <v>2.201542268624865E-31</v>
      </c>
      <c r="DE108" s="97">
        <f t="shared" si="52"/>
        <v>1.1670364588694053E-31</v>
      </c>
      <c r="DF108" s="97">
        <f t="shared" si="52"/>
        <v>5.7309109854119626E-32</v>
      </c>
      <c r="DG108" s="97">
        <f t="shared" si="52"/>
        <v>2.6022238609697621E-32</v>
      </c>
      <c r="DH108" s="97">
        <f t="shared" si="52"/>
        <v>1.0907206401760911E-32</v>
      </c>
      <c r="DI108" s="97">
        <f t="shared" si="52"/>
        <v>4.2137671891744971E-33</v>
      </c>
      <c r="DJ108" s="97">
        <f t="shared" si="52"/>
        <v>1.498423359626594E-33</v>
      </c>
      <c r="DK108" s="97">
        <f t="shared" si="52"/>
        <v>4.8989518854422133E-34</v>
      </c>
      <c r="DL108" s="97">
        <f t="shared" si="50"/>
        <v>1.4711239649756715E-34</v>
      </c>
    </row>
    <row r="109" spans="1:116" x14ac:dyDescent="0.25">
      <c r="A109" s="60">
        <v>7.3</v>
      </c>
      <c r="B109" s="25">
        <v>2.9</v>
      </c>
      <c r="C109" s="25">
        <v>6.3</v>
      </c>
      <c r="D109" s="57">
        <v>1.8</v>
      </c>
      <c r="E109" s="82" t="s">
        <v>7</v>
      </c>
    </row>
    <row r="110" spans="1:116" x14ac:dyDescent="0.25">
      <c r="A110" s="60">
        <v>6.7</v>
      </c>
      <c r="B110" s="25">
        <v>2.5</v>
      </c>
      <c r="C110" s="25">
        <v>5.8</v>
      </c>
      <c r="D110" s="57">
        <v>1.8</v>
      </c>
      <c r="E110" s="82" t="s">
        <v>7</v>
      </c>
    </row>
    <row r="111" spans="1:116" x14ac:dyDescent="0.25">
      <c r="A111" s="60">
        <v>7.2</v>
      </c>
      <c r="B111" s="25">
        <v>3.6</v>
      </c>
      <c r="C111" s="25">
        <v>6.1</v>
      </c>
      <c r="D111" s="57">
        <v>2.5</v>
      </c>
      <c r="E111" s="82" t="s">
        <v>7</v>
      </c>
    </row>
    <row r="112" spans="1:116" x14ac:dyDescent="0.25">
      <c r="A112" s="60">
        <v>6.5</v>
      </c>
      <c r="B112" s="25">
        <v>3.2</v>
      </c>
      <c r="C112" s="25">
        <v>5.0999999999999996</v>
      </c>
      <c r="D112" s="57">
        <v>2</v>
      </c>
      <c r="E112" s="82" t="s">
        <v>7</v>
      </c>
    </row>
    <row r="113" spans="1:5" x14ac:dyDescent="0.25">
      <c r="A113" s="60">
        <v>6.4</v>
      </c>
      <c r="B113" s="25">
        <v>2.7</v>
      </c>
      <c r="C113" s="25">
        <v>5.3</v>
      </c>
      <c r="D113" s="57">
        <v>1.9</v>
      </c>
      <c r="E113" s="82" t="s">
        <v>7</v>
      </c>
    </row>
    <row r="114" spans="1:5" x14ac:dyDescent="0.25">
      <c r="A114" s="60">
        <v>6.8</v>
      </c>
      <c r="B114" s="25">
        <v>3</v>
      </c>
      <c r="C114" s="25">
        <v>5.5</v>
      </c>
      <c r="D114" s="57">
        <v>2.1</v>
      </c>
      <c r="E114" s="82" t="s">
        <v>7</v>
      </c>
    </row>
    <row r="115" spans="1:5" x14ac:dyDescent="0.25">
      <c r="A115" s="60">
        <v>5.7</v>
      </c>
      <c r="B115" s="25">
        <v>2.5</v>
      </c>
      <c r="C115" s="25">
        <v>5</v>
      </c>
      <c r="D115" s="57">
        <v>2</v>
      </c>
      <c r="E115" s="82" t="s">
        <v>7</v>
      </c>
    </row>
    <row r="116" spans="1:5" x14ac:dyDescent="0.25">
      <c r="A116" s="60">
        <v>5.8</v>
      </c>
      <c r="B116" s="25">
        <v>2.8</v>
      </c>
      <c r="C116" s="25">
        <v>5.0999999999999996</v>
      </c>
      <c r="D116" s="57">
        <v>2.4</v>
      </c>
      <c r="E116" s="82" t="s">
        <v>7</v>
      </c>
    </row>
    <row r="117" spans="1:5" x14ac:dyDescent="0.25">
      <c r="A117" s="60">
        <v>6.4</v>
      </c>
      <c r="B117" s="25">
        <v>3.2</v>
      </c>
      <c r="C117" s="25">
        <v>5.3</v>
      </c>
      <c r="D117" s="57">
        <v>2.2999999999999998</v>
      </c>
      <c r="E117" s="82" t="s">
        <v>7</v>
      </c>
    </row>
    <row r="118" spans="1:5" x14ac:dyDescent="0.25">
      <c r="A118" s="60">
        <v>6.5</v>
      </c>
      <c r="B118" s="25">
        <v>3</v>
      </c>
      <c r="C118" s="25">
        <v>5.5</v>
      </c>
      <c r="D118" s="57">
        <v>1.8</v>
      </c>
      <c r="E118" s="82" t="s">
        <v>7</v>
      </c>
    </row>
    <row r="119" spans="1:5" x14ac:dyDescent="0.25">
      <c r="A119" s="60">
        <v>7.7</v>
      </c>
      <c r="B119" s="25">
        <v>3.8</v>
      </c>
      <c r="C119" s="25">
        <v>6.7</v>
      </c>
      <c r="D119" s="57">
        <v>2.2000000000000002</v>
      </c>
      <c r="E119" s="82" t="s">
        <v>7</v>
      </c>
    </row>
    <row r="120" spans="1:5" x14ac:dyDescent="0.25">
      <c r="A120" s="60">
        <v>7.7</v>
      </c>
      <c r="B120" s="25">
        <v>2.6</v>
      </c>
      <c r="C120" s="25">
        <v>6.9</v>
      </c>
      <c r="D120" s="57">
        <v>2.2999999999999998</v>
      </c>
      <c r="E120" s="82" t="s">
        <v>7</v>
      </c>
    </row>
    <row r="121" spans="1:5" x14ac:dyDescent="0.25">
      <c r="A121" s="60">
        <v>6</v>
      </c>
      <c r="B121" s="25">
        <v>2.2000000000000002</v>
      </c>
      <c r="C121" s="25">
        <v>5</v>
      </c>
      <c r="D121" s="57">
        <v>1.5</v>
      </c>
      <c r="E121" s="82" t="s">
        <v>7</v>
      </c>
    </row>
    <row r="122" spans="1:5" x14ac:dyDescent="0.25">
      <c r="A122" s="60">
        <v>6.9</v>
      </c>
      <c r="B122" s="25">
        <v>3.2</v>
      </c>
      <c r="C122" s="25">
        <v>5.7</v>
      </c>
      <c r="D122" s="57">
        <v>2.2999999999999998</v>
      </c>
      <c r="E122" s="82" t="s">
        <v>7</v>
      </c>
    </row>
    <row r="123" spans="1:5" x14ac:dyDescent="0.25">
      <c r="A123" s="60">
        <v>5.6</v>
      </c>
      <c r="B123" s="25">
        <v>2.8</v>
      </c>
      <c r="C123" s="25">
        <v>4.9000000000000004</v>
      </c>
      <c r="D123" s="57">
        <v>2</v>
      </c>
      <c r="E123" s="82" t="s">
        <v>7</v>
      </c>
    </row>
    <row r="124" spans="1:5" x14ac:dyDescent="0.25">
      <c r="A124" s="60">
        <v>7.7</v>
      </c>
      <c r="B124" s="25">
        <v>2.8</v>
      </c>
      <c r="C124" s="25">
        <v>6.7</v>
      </c>
      <c r="D124" s="57">
        <v>2</v>
      </c>
      <c r="E124" s="82" t="s">
        <v>7</v>
      </c>
    </row>
    <row r="125" spans="1:5" x14ac:dyDescent="0.25">
      <c r="A125" s="60">
        <v>6.3</v>
      </c>
      <c r="B125" s="25">
        <v>2.7</v>
      </c>
      <c r="C125" s="25">
        <v>4.9000000000000004</v>
      </c>
      <c r="D125" s="57">
        <v>1.8</v>
      </c>
      <c r="E125" s="82" t="s">
        <v>7</v>
      </c>
    </row>
    <row r="126" spans="1:5" x14ac:dyDescent="0.25">
      <c r="A126" s="60">
        <v>6.7</v>
      </c>
      <c r="B126" s="25">
        <v>3.3</v>
      </c>
      <c r="C126" s="25">
        <v>5.7</v>
      </c>
      <c r="D126" s="57">
        <v>2.1</v>
      </c>
      <c r="E126" s="82" t="s">
        <v>7</v>
      </c>
    </row>
    <row r="127" spans="1:5" x14ac:dyDescent="0.25">
      <c r="A127" s="60">
        <v>7.2</v>
      </c>
      <c r="B127" s="25">
        <v>3.2</v>
      </c>
      <c r="C127" s="25">
        <v>6</v>
      </c>
      <c r="D127" s="57">
        <v>1.8</v>
      </c>
      <c r="E127" s="82" t="s">
        <v>7</v>
      </c>
    </row>
    <row r="128" spans="1:5" x14ac:dyDescent="0.25">
      <c r="A128" s="60">
        <v>6.2</v>
      </c>
      <c r="B128" s="25">
        <v>2.8</v>
      </c>
      <c r="C128" s="25">
        <v>4.8</v>
      </c>
      <c r="D128" s="57">
        <v>1.8</v>
      </c>
      <c r="E128" s="82" t="s">
        <v>7</v>
      </c>
    </row>
    <row r="129" spans="1:5" x14ac:dyDescent="0.25">
      <c r="A129" s="60">
        <v>6.1</v>
      </c>
      <c r="B129" s="25">
        <v>3</v>
      </c>
      <c r="C129" s="25">
        <v>4.9000000000000004</v>
      </c>
      <c r="D129" s="57">
        <v>1.8</v>
      </c>
      <c r="E129" s="82" t="s">
        <v>7</v>
      </c>
    </row>
    <row r="130" spans="1:5" x14ac:dyDescent="0.25">
      <c r="A130" s="60">
        <v>6.4</v>
      </c>
      <c r="B130" s="25">
        <v>2.8</v>
      </c>
      <c r="C130" s="25">
        <v>5.6</v>
      </c>
      <c r="D130" s="57">
        <v>2.1</v>
      </c>
      <c r="E130" s="82" t="s">
        <v>7</v>
      </c>
    </row>
    <row r="131" spans="1:5" x14ac:dyDescent="0.25">
      <c r="A131" s="60">
        <v>7.2</v>
      </c>
      <c r="B131" s="25">
        <v>3</v>
      </c>
      <c r="C131" s="25">
        <v>5.8</v>
      </c>
      <c r="D131" s="57">
        <v>1.6</v>
      </c>
      <c r="E131" s="82" t="s">
        <v>7</v>
      </c>
    </row>
    <row r="132" spans="1:5" x14ac:dyDescent="0.25">
      <c r="A132" s="60">
        <v>7.4</v>
      </c>
      <c r="B132" s="25">
        <v>2.8</v>
      </c>
      <c r="C132" s="25">
        <v>6.1</v>
      </c>
      <c r="D132" s="57">
        <v>1.9</v>
      </c>
      <c r="E132" s="82" t="s">
        <v>7</v>
      </c>
    </row>
    <row r="133" spans="1:5" x14ac:dyDescent="0.25">
      <c r="A133" s="60">
        <v>7.9</v>
      </c>
      <c r="B133" s="25">
        <v>3.8</v>
      </c>
      <c r="C133" s="25">
        <v>6.4</v>
      </c>
      <c r="D133" s="57">
        <v>2</v>
      </c>
      <c r="E133" s="82" t="s">
        <v>7</v>
      </c>
    </row>
    <row r="134" spans="1:5" x14ac:dyDescent="0.25">
      <c r="A134" s="60">
        <v>6.4</v>
      </c>
      <c r="B134" s="25">
        <v>2.8</v>
      </c>
      <c r="C134" s="25">
        <v>5.6</v>
      </c>
      <c r="D134" s="57">
        <v>2.2000000000000002</v>
      </c>
      <c r="E134" s="82" t="s">
        <v>7</v>
      </c>
    </row>
    <row r="135" spans="1:5" x14ac:dyDescent="0.25">
      <c r="A135" s="60">
        <v>6.3</v>
      </c>
      <c r="B135" s="25">
        <v>2.8</v>
      </c>
      <c r="C135" s="25">
        <v>5.0999999999999996</v>
      </c>
      <c r="D135" s="57">
        <v>1.5</v>
      </c>
      <c r="E135" s="82" t="s">
        <v>7</v>
      </c>
    </row>
    <row r="136" spans="1:5" x14ac:dyDescent="0.25">
      <c r="A136" s="60">
        <v>6.1</v>
      </c>
      <c r="B136" s="25">
        <v>2.6</v>
      </c>
      <c r="C136" s="25">
        <v>5.6</v>
      </c>
      <c r="D136" s="57">
        <v>1.4</v>
      </c>
      <c r="E136" s="82" t="s">
        <v>7</v>
      </c>
    </row>
    <row r="137" spans="1:5" x14ac:dyDescent="0.25">
      <c r="A137" s="60">
        <v>7.7</v>
      </c>
      <c r="B137" s="25">
        <v>3</v>
      </c>
      <c r="C137" s="25">
        <v>6.1</v>
      </c>
      <c r="D137" s="57">
        <v>2.2999999999999998</v>
      </c>
      <c r="E137" s="82" t="s">
        <v>7</v>
      </c>
    </row>
    <row r="138" spans="1:5" x14ac:dyDescent="0.25">
      <c r="A138" s="60">
        <v>6.3</v>
      </c>
      <c r="B138" s="25">
        <v>3.4</v>
      </c>
      <c r="C138" s="25">
        <v>5.6</v>
      </c>
      <c r="D138" s="57">
        <v>2.4</v>
      </c>
      <c r="E138" s="82" t="s">
        <v>7</v>
      </c>
    </row>
    <row r="139" spans="1:5" x14ac:dyDescent="0.25">
      <c r="A139" s="60">
        <v>6.4</v>
      </c>
      <c r="B139" s="25">
        <v>3.1</v>
      </c>
      <c r="C139" s="25">
        <v>5.5</v>
      </c>
      <c r="D139" s="57">
        <v>1.8</v>
      </c>
      <c r="E139" s="82" t="s">
        <v>7</v>
      </c>
    </row>
    <row r="140" spans="1:5" x14ac:dyDescent="0.25">
      <c r="A140" s="60">
        <v>6</v>
      </c>
      <c r="B140" s="25">
        <v>3</v>
      </c>
      <c r="C140" s="25">
        <v>4.8</v>
      </c>
      <c r="D140" s="57">
        <v>1.8</v>
      </c>
      <c r="E140" s="82" t="s">
        <v>7</v>
      </c>
    </row>
    <row r="141" spans="1:5" x14ac:dyDescent="0.25">
      <c r="A141" s="60">
        <v>6.9</v>
      </c>
      <c r="B141" s="25">
        <v>3.1</v>
      </c>
      <c r="C141" s="25">
        <v>5.4</v>
      </c>
      <c r="D141" s="57">
        <v>2.1</v>
      </c>
      <c r="E141" s="82" t="s">
        <v>7</v>
      </c>
    </row>
    <row r="142" spans="1:5" x14ac:dyDescent="0.25">
      <c r="A142" s="60">
        <v>6.7</v>
      </c>
      <c r="B142" s="25">
        <v>3.1</v>
      </c>
      <c r="C142" s="25">
        <v>5.6</v>
      </c>
      <c r="D142" s="57">
        <v>2.4</v>
      </c>
      <c r="E142" s="82" t="s">
        <v>7</v>
      </c>
    </row>
    <row r="143" spans="1:5" x14ac:dyDescent="0.25">
      <c r="A143" s="60">
        <v>6.9</v>
      </c>
      <c r="B143" s="25">
        <v>3.1</v>
      </c>
      <c r="C143" s="25">
        <v>5.0999999999999996</v>
      </c>
      <c r="D143" s="57">
        <v>2.2999999999999998</v>
      </c>
      <c r="E143" s="82" t="s">
        <v>7</v>
      </c>
    </row>
    <row r="144" spans="1:5" x14ac:dyDescent="0.25">
      <c r="A144" s="60">
        <v>5.8</v>
      </c>
      <c r="B144" s="25">
        <v>2.7</v>
      </c>
      <c r="C144" s="25">
        <v>5.0999999999999996</v>
      </c>
      <c r="D144" s="57">
        <v>1.9</v>
      </c>
      <c r="E144" s="82" t="s">
        <v>7</v>
      </c>
    </row>
    <row r="145" spans="1:5" x14ac:dyDescent="0.25">
      <c r="A145" s="60">
        <v>6.8</v>
      </c>
      <c r="B145" s="25">
        <v>3.2</v>
      </c>
      <c r="C145" s="25">
        <v>5.9</v>
      </c>
      <c r="D145" s="57">
        <v>2.2999999999999998</v>
      </c>
      <c r="E145" s="82" t="s">
        <v>7</v>
      </c>
    </row>
    <row r="146" spans="1:5" x14ac:dyDescent="0.25">
      <c r="A146" s="60">
        <v>6.7</v>
      </c>
      <c r="B146" s="25">
        <v>3.3</v>
      </c>
      <c r="C146" s="25">
        <v>5.7</v>
      </c>
      <c r="D146" s="57">
        <v>2.5</v>
      </c>
      <c r="E146" s="82" t="s">
        <v>7</v>
      </c>
    </row>
    <row r="147" spans="1:5" x14ac:dyDescent="0.25">
      <c r="A147" s="60">
        <v>6.7</v>
      </c>
      <c r="B147" s="25">
        <v>3</v>
      </c>
      <c r="C147" s="25">
        <v>5.2</v>
      </c>
      <c r="D147" s="57">
        <v>2.2999999999999998</v>
      </c>
      <c r="E147" s="82" t="s">
        <v>7</v>
      </c>
    </row>
    <row r="148" spans="1:5" x14ac:dyDescent="0.25">
      <c r="A148" s="60">
        <v>6.3</v>
      </c>
      <c r="B148" s="25">
        <v>2.5</v>
      </c>
      <c r="C148" s="25">
        <v>5</v>
      </c>
      <c r="D148" s="57">
        <v>1.9</v>
      </c>
      <c r="E148" s="82" t="s">
        <v>7</v>
      </c>
    </row>
    <row r="149" spans="1:5" x14ac:dyDescent="0.25">
      <c r="A149" s="60">
        <v>6.5</v>
      </c>
      <c r="B149" s="25">
        <v>3</v>
      </c>
      <c r="C149" s="25">
        <v>5.2</v>
      </c>
      <c r="D149" s="57">
        <v>2</v>
      </c>
      <c r="E149" s="82" t="s">
        <v>7</v>
      </c>
    </row>
    <row r="150" spans="1:5" x14ac:dyDescent="0.25">
      <c r="A150" s="60">
        <v>6.2</v>
      </c>
      <c r="B150" s="25">
        <v>3.4</v>
      </c>
      <c r="C150" s="25">
        <v>5.4</v>
      </c>
      <c r="D150" s="57">
        <v>2.2999999999999998</v>
      </c>
      <c r="E150" s="82" t="s">
        <v>7</v>
      </c>
    </row>
    <row r="151" spans="1:5" ht="15.75" thickBot="1" x14ac:dyDescent="0.3">
      <c r="A151" s="62">
        <v>5.9</v>
      </c>
      <c r="B151" s="61">
        <v>3</v>
      </c>
      <c r="C151" s="61">
        <v>5.0999999999999996</v>
      </c>
      <c r="D151" s="63">
        <v>1.8</v>
      </c>
      <c r="E151" s="83" t="s">
        <v>7</v>
      </c>
    </row>
  </sheetData>
  <conditionalFormatting sqref="P5:DL108">
    <cfRule type="expression" dxfId="15" priority="2">
      <formula>$H$2*$L5*P$1&gt;=MAX($I$2*$M5*P$2+$J$2*$N5*P$3)</formula>
    </cfRule>
    <cfRule type="expression" dxfId="14" priority="1">
      <formula>$I$2*$M5*P$2&gt;=MAX($H$2*$L5*P$1+$J$2*$N5*P$3)</formula>
    </cfRule>
  </conditionalFormatting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" id="{00000000-000E-0000-0200-00001A000000}">
            <xm:f>(NaiwnyBayes_Petal!$U$20*N2Density(DM$1,NaiwnyBayes_Petal!$T65,NaiwnyBayes_Petal!$S$26:$T$26,NaiwnyBayes_Petal!$S$24:$T$25)&gt;=MAX(NaiwnyBayes_Petal!$U$7*N2Density(DM$1,NaiwnyBayes_Petal!$T65,NaiwnyBayes_Petal!$S$13:$T$13,NaiwnyBayes_Petal!$S$11:$T$12),DM$32*N2Density(DM$1,NaiwnyBayes_Petal!$T65,NaiwnyBayes_Petal!$S$39:$T$39,NaiwnyBayes_Petal!$S$37:$T$38)))</xm:f>
            <x14:dxf>
              <fill>
                <patternFill>
                  <bgColor theme="5"/>
                </patternFill>
              </fill>
            </x14:dxf>
          </x14:cfRule>
          <x14:cfRule type="expression" priority="57" id="{00000000-000E-0000-0200-00001B000000}">
            <xm:f>(NaiwnyBayes_Petal!$U$7*N2Density(DM$1,NaiwnyBayes_Petal!$T65,NaiwnyBayes_Petal!$S$13:$T$13,NaiwnyBayes_Petal!$S$11:$T$12)&gt;=MAX(NaiwnyBayes_Petal!$U$20*N2Density(DM$1,NaiwnyBayes_Petal!$T65,NaiwnyBayes_Petal!$S$26:$T$26,NaiwnyBayes_Petal!$S$24:$T$25),NaiwnyBayes_Petal!$U$33*N2Density(DM$1,NaiwnyBayes_Petal!$T65,NaiwnyBayes_Petal!$S$39:$T$39,NaiwnyBayes_Petal!$S$37:$T$38)))</xm:f>
            <x14:dxf>
              <fill>
                <patternFill>
                  <bgColor theme="8"/>
                </patternFill>
              </fill>
            </x14:dxf>
          </x14:cfRule>
          <xm:sqref>DM65:EA105</xm:sqref>
        </x14:conditionalFormatting>
        <x14:conditionalFormatting xmlns:xm="http://schemas.microsoft.com/office/excel/2006/main">
          <x14:cfRule type="expression" priority="62" id="{00000000-000E-0000-0200-00001E000000}">
            <xm:f>(NaiwnyBayes_Petal!$U$20*N2Density(DM$1,NaiwnyBayes_Petal!$T52,NaiwnyBayes_Petal!$S$26:$T$26,NaiwnyBayes_Petal!$S$24:$T$25)&gt;=MAX(NaiwnyBayes_Petal!$U$7*N2Density(DM$1,NaiwnyBayes_Petal!$T52,NaiwnyBayes_Petal!$S$13:$T$13,NaiwnyBayes_Petal!$S$11:$T$12),DM$32*N2Density(DM$1,NaiwnyBayes_Petal!$T52,NaiwnyBayes_Petal!$S$39:$T$39,NaiwnyBayes_Petal!$S$37:$T$38)))</xm:f>
            <x14:dxf>
              <fill>
                <patternFill>
                  <bgColor theme="5"/>
                </patternFill>
              </fill>
            </x14:dxf>
          </x14:cfRule>
          <x14:cfRule type="expression" priority="63" id="{00000000-000E-0000-0200-00001F000000}">
            <xm:f>(NaiwnyBayes_Petal!$U$7*N2Density(DM$1,NaiwnyBayes_Petal!$T52,NaiwnyBayes_Petal!$S$13:$T$13,NaiwnyBayes_Petal!$S$11:$T$12)&gt;=MAX(NaiwnyBayes_Petal!$U$20*N2Density(DM$1,NaiwnyBayes_Petal!$T52,NaiwnyBayes_Petal!$S$26:$T$26,NaiwnyBayes_Petal!$S$24:$T$25),NaiwnyBayes_Petal!$U$33*N2Density(DM$1,NaiwnyBayes_Petal!$T52,NaiwnyBayes_Petal!$S$39:$T$39,NaiwnyBayes_Petal!$S$37:$T$38)))</xm:f>
            <x14:dxf>
              <fill>
                <patternFill>
                  <bgColor theme="8"/>
                </patternFill>
              </fill>
            </x14:dxf>
          </x14:cfRule>
          <xm:sqref>DM51:EA63</xm:sqref>
        </x14:conditionalFormatting>
        <x14:conditionalFormatting xmlns:xm="http://schemas.microsoft.com/office/excel/2006/main">
          <x14:cfRule type="expression" priority="66" id="{00000000-000E-0000-0200-000020000000}">
            <xm:f>(NaiwnyBayes_Petal!$U$20*N2Density(DM$1,#REF!,NaiwnyBayes_Petal!$S$26:$T$26,NaiwnyBayes_Petal!$S$24:$T$25)&gt;=MAX(NaiwnyBayes_Petal!$U$7*N2Density(DM$1,#REF!,NaiwnyBayes_Petal!$S$13:$T$13,NaiwnyBayes_Petal!$S$11:$T$12),DM$32*N2Density(DM$1,#REF!,NaiwnyBayes_Petal!$S$39:$T$39,NaiwnyBayes_Petal!$S$37:$T$38)))</xm:f>
            <x14:dxf>
              <fill>
                <patternFill>
                  <bgColor theme="5"/>
                </patternFill>
              </fill>
            </x14:dxf>
          </x14:cfRule>
          <x14:cfRule type="expression" priority="67" id="{00000000-000E-0000-0200-000021000000}">
            <xm:f>(NaiwnyBayes_Petal!$U$7*N2Density(DM$1,#REF!,NaiwnyBayes_Petal!$S$13:$T$13,NaiwnyBayes_Petal!$S$11:$T$12)&gt;=MAX(NaiwnyBayes_Petal!$U$20*N2Density(DM$1,#REF!,NaiwnyBayes_Petal!$S$26:$T$26,NaiwnyBayes_Petal!$S$24:$T$25),NaiwnyBayes_Petal!$U$33*N2Density(DM$1,#REF!,NaiwnyBayes_Petal!$S$39:$T$39,NaiwnyBayes_Petal!$S$37:$T$38)))</xm:f>
            <x14:dxf>
              <fill>
                <patternFill>
                  <bgColor theme="8"/>
                </patternFill>
              </fill>
            </x14:dxf>
          </x14:cfRule>
          <xm:sqref>DM64:EA64</xm:sqref>
        </x14:conditionalFormatting>
        <x14:conditionalFormatting xmlns:xm="http://schemas.microsoft.com/office/excel/2006/main">
          <x14:cfRule type="expression" priority="70" id="{00000000-000E-0000-0200-000024000000}">
            <xm:f>(NaiwnyBayes_Petal!$U$20*N2Density(DM$1,#REF!,NaiwnyBayes_Petal!$S$26:$T$26,NaiwnyBayes_Petal!$S$24:$T$25)&gt;=MAX(NaiwnyBayes_Petal!$U$7*N2Density(DM$1,#REF!,NaiwnyBayes_Petal!$S$13:$T$13,NaiwnyBayes_Petal!$S$11:$T$12),#REF!*N2Density(DM$1,#REF!,NaiwnyBayes_Petal!$S$39:$T$39,NaiwnyBayes_Petal!$S$37:$T$38)))</xm:f>
            <x14:dxf>
              <fill>
                <patternFill>
                  <bgColor theme="5"/>
                </patternFill>
              </fill>
            </x14:dxf>
          </x14:cfRule>
          <x14:cfRule type="expression" priority="71" id="{00000000-000E-0000-0200-000025000000}">
            <xm:f>(NaiwnyBayes_Petal!$U$7*N2Density(DM$1,#REF!,NaiwnyBayes_Petal!$S$13:$T$13,NaiwnyBayes_Petal!$S$11:$T$12)&gt;=MAX(NaiwnyBayes_Petal!$U$20*N2Density(DM$1,#REF!,NaiwnyBayes_Petal!$S$26:$T$26,NaiwnyBayes_Petal!$S$24:$T$25),NaiwnyBayes_Petal!$U$33*N2Density(DM$1,#REF!,NaiwnyBayes_Petal!$S$39:$T$39,NaiwnyBayes_Petal!$S$37:$T$38)))</xm:f>
            <x14:dxf>
              <fill>
                <patternFill>
                  <bgColor theme="8"/>
                </patternFill>
              </fill>
            </x14:dxf>
          </x14:cfRule>
          <xm:sqref>DM2:EA50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EE8F5-BD64-4EBC-84F3-661821494ECE}">
  <dimension ref="A1:U151"/>
  <sheetViews>
    <sheetView topLeftCell="A18" workbookViewId="0">
      <selection activeCell="D19" sqref="D19"/>
    </sheetView>
  </sheetViews>
  <sheetFormatPr defaultRowHeight="15" x14ac:dyDescent="0.25"/>
  <cols>
    <col min="1" max="1" width="12.42578125" bestFit="1" customWidth="1"/>
    <col min="2" max="2" width="12" bestFit="1" customWidth="1"/>
    <col min="3" max="3" width="12.140625" bestFit="1" customWidth="1"/>
    <col min="4" max="4" width="11.7109375" bestFit="1" customWidth="1"/>
    <col min="9" max="9" width="9.7109375" bestFit="1" customWidth="1"/>
    <col min="10" max="10" width="13.28515625" bestFit="1" customWidth="1"/>
    <col min="11" max="14" width="9.7109375" customWidth="1"/>
    <col min="15" max="15" width="13.28515625" bestFit="1" customWidth="1"/>
    <col min="16" max="17" width="20" bestFit="1" customWidth="1"/>
    <col min="18" max="18" width="9.7109375" bestFit="1" customWidth="1"/>
    <col min="19" max="19" width="8.42578125" bestFit="1" customWidth="1"/>
    <col min="20" max="20" width="14.28515625" bestFit="1" customWidth="1"/>
    <col min="21" max="21" width="6.7109375" customWidth="1"/>
    <col min="22" max="24" width="9.7109375" customWidth="1"/>
    <col min="25" max="25" width="12" customWidth="1"/>
  </cols>
  <sheetData>
    <row r="1" spans="1:21" ht="15.75" thickBot="1" x14ac:dyDescent="0.3">
      <c r="A1" s="69" t="s">
        <v>0</v>
      </c>
      <c r="B1" s="70" t="s">
        <v>1</v>
      </c>
      <c r="C1" s="70" t="s">
        <v>2</v>
      </c>
      <c r="D1" s="71" t="s">
        <v>3</v>
      </c>
      <c r="E1" s="22" t="s">
        <v>28</v>
      </c>
      <c r="F1" s="23" t="s">
        <v>4</v>
      </c>
      <c r="G1" s="23" t="s">
        <v>29</v>
      </c>
      <c r="H1" s="12" t="s">
        <v>30</v>
      </c>
      <c r="I1" s="73" t="s">
        <v>4</v>
      </c>
      <c r="J1" s="42" t="s">
        <v>20</v>
      </c>
      <c r="K1" s="42" t="s">
        <v>21</v>
      </c>
      <c r="L1" s="42" t="s">
        <v>22</v>
      </c>
      <c r="M1" s="42" t="s">
        <v>23</v>
      </c>
      <c r="N1" s="43" t="s">
        <v>24</v>
      </c>
    </row>
    <row r="2" spans="1:21" ht="15.75" thickBot="1" x14ac:dyDescent="0.3">
      <c r="A2" s="60">
        <v>5.0999999999999996</v>
      </c>
      <c r="B2" s="25">
        <v>3.5</v>
      </c>
      <c r="C2" s="25">
        <v>1.4</v>
      </c>
      <c r="D2" s="57">
        <v>0.2</v>
      </c>
      <c r="E2" s="67" t="s">
        <v>31</v>
      </c>
      <c r="F2" s="68" t="s">
        <v>5</v>
      </c>
      <c r="G2" s="68">
        <f t="shared" ref="G2:G33" ca="1" si="0">C2+0.05*RAND()-0.025</f>
        <v>1.4163037536623082</v>
      </c>
      <c r="H2" s="49">
        <f t="shared" ref="H2:H33" ca="1" si="1">D2+0.05*RAND()-0.025</f>
        <v>0.22018151800797928</v>
      </c>
      <c r="I2" s="72" t="s">
        <v>5</v>
      </c>
      <c r="J2" s="58" t="str">
        <f t="shared" ref="J2:J33" si="2">IF(L2&gt;MAX(M2:N2),$I$2,IF(M2&gt;N2,$I$52,$I$102))</f>
        <v>setosa</v>
      </c>
      <c r="K2" s="25" cm="1">
        <f t="array" ref="K2">$U$7*NMultDensity(A2:D2,$U$9:$U$12,$Q$48:$T$51)+$U$20*NMultDensity(A2:D2,$U$22:$U$25,$Q$48:$T$51)+$U$33*NMultDensity(A2:D2,$U$35:$U$38,$Q$48:$T$51)</f>
        <v>0.24064967665209519</v>
      </c>
      <c r="L2" s="25" cm="1">
        <f t="array" ref="L2">$U$7*NMultDensity(A2:D2,$U$9:$U$12,$Q$48:$T$51)/K2</f>
        <v>1</v>
      </c>
      <c r="M2" s="25" cm="1">
        <f t="array" ref="M2">$U$20*NMultDensity(A2:D2,$U$22:$U$25,$Q$48:$T$51)/K2</f>
        <v>1.4357322967828767E-21</v>
      </c>
      <c r="N2" s="39" cm="1">
        <f t="array" ref="N2">$U$33*NMultDensity(A2:D2,$U$35:$U$38,$Q$48:$T$51)/K2</f>
        <v>1.6718618150706912E-39</v>
      </c>
      <c r="P2" s="84" t="s">
        <v>19</v>
      </c>
      <c r="Q2" s="84"/>
      <c r="R2" s="84"/>
    </row>
    <row r="3" spans="1:21" ht="16.5" thickTop="1" thickBot="1" x14ac:dyDescent="0.3">
      <c r="A3" s="60">
        <v>4.9000000000000004</v>
      </c>
      <c r="B3" s="25">
        <v>3</v>
      </c>
      <c r="C3" s="25">
        <v>1.4</v>
      </c>
      <c r="D3" s="57">
        <v>0.2</v>
      </c>
      <c r="E3" s="67" t="s">
        <v>31</v>
      </c>
      <c r="F3" s="68" t="s">
        <v>5</v>
      </c>
      <c r="G3" s="68">
        <f t="shared" ca="1" si="0"/>
        <v>1.4201347507993392</v>
      </c>
      <c r="H3" s="49">
        <f t="shared" ca="1" si="1"/>
        <v>0.22386752290427706</v>
      </c>
      <c r="I3" s="65" t="s">
        <v>5</v>
      </c>
      <c r="J3" s="58" t="str">
        <f t="shared" si="2"/>
        <v>setosa</v>
      </c>
      <c r="K3" s="25" cm="1">
        <f t="array" ref="K3">$U$7*NMultDensity(A3:D3,$U$9:$U$12,$Q$48:$T$51)+$U$20*NMultDensity(A3:D3,$U$22:$U$25,$Q$48:$T$51)+$U$33*NMultDensity(A3:D3,$U$35:$U$38,$Q$48:$T$51)</f>
        <v>8.9397981386154263E-2</v>
      </c>
      <c r="L3" s="25" cm="1">
        <f t="array" ref="L3">$U$7*NMultDensity(A3:D3,$U$9:$U$12,$Q$48:$T$51)/K3</f>
        <v>0.99999999999999967</v>
      </c>
      <c r="M3" s="25" cm="1">
        <f t="array" ref="M3">$U$20*NMultDensity(A3:D3,$U$22:$U$25,$Q$48:$T$51)/K3</f>
        <v>2.8578868413863222E-16</v>
      </c>
      <c r="N3" s="39" cm="1">
        <f t="array" ref="N3">$U$33*NMultDensity(A3:D3,$U$35:$U$38,$Q$48:$T$51)/K3</f>
        <v>5.9821384212960303E-33</v>
      </c>
      <c r="P3" s="85" t="s">
        <v>27</v>
      </c>
      <c r="Q3" s="86"/>
      <c r="R3" s="64">
        <f>COUNTIF(J2:J51,I2)/150+COUNTIF(J52:J101,I52)/150+COUNTIF(J102:J151,I102)/150</f>
        <v>0.98666666666666658</v>
      </c>
    </row>
    <row r="4" spans="1:21" ht="16.5" thickTop="1" thickBot="1" x14ac:dyDescent="0.3">
      <c r="A4" s="60">
        <v>4.7</v>
      </c>
      <c r="B4" s="25">
        <v>3.2</v>
      </c>
      <c r="C4" s="25">
        <v>1.3</v>
      </c>
      <c r="D4" s="57">
        <v>0.2</v>
      </c>
      <c r="E4" s="67" t="s">
        <v>31</v>
      </c>
      <c r="F4" s="68" t="s">
        <v>5</v>
      </c>
      <c r="G4" s="68">
        <f t="shared" ca="1" si="0"/>
        <v>1.3208194136469347</v>
      </c>
      <c r="H4" s="49">
        <f t="shared" ca="1" si="1"/>
        <v>0.19917468219012399</v>
      </c>
      <c r="I4" s="65" t="s">
        <v>5</v>
      </c>
      <c r="J4" s="58" t="str">
        <f t="shared" si="2"/>
        <v>setosa</v>
      </c>
      <c r="K4" s="25" cm="1">
        <f t="array" ref="K4">$U$7*NMultDensity(A4:D4,$U$9:$U$12,$Q$48:$T$51)+$U$20*NMultDensity(A4:D4,$U$22:$U$25,$Q$48:$T$51)+$U$33*NMultDensity(A4:D4,$U$35:$U$38,$Q$48:$T$51)</f>
        <v>0.20766600744878524</v>
      </c>
      <c r="L4" s="25" cm="1">
        <f t="array" ref="L4">$U$7*NMultDensity(A4:D4,$U$9:$U$12,$Q$48:$T$51)/K4</f>
        <v>1</v>
      </c>
      <c r="M4" s="25" cm="1">
        <f t="array" ref="M4">$U$20*NMultDensity(A4:D4,$U$22:$U$25,$Q$48:$T$51)/K4</f>
        <v>4.2828248119030145E-18</v>
      </c>
      <c r="N4" s="39" cm="1">
        <f t="array" ref="N4">$U$33*NMultDensity(A4:D4,$U$35:$U$38,$Q$48:$T$51)/K4</f>
        <v>3.947660780881344E-35</v>
      </c>
      <c r="P4" s="87" t="s">
        <v>26</v>
      </c>
      <c r="Q4" s="88"/>
      <c r="R4" s="64">
        <f>COUNTIF(O2:O51,I2)/150+COUNTIF(O52:O101,I52)/150+COUNTIF(O102:O151,I102)/150</f>
        <v>0</v>
      </c>
    </row>
    <row r="5" spans="1:21" ht="16.5" thickTop="1" thickBot="1" x14ac:dyDescent="0.3">
      <c r="A5" s="60">
        <v>4.5999999999999996</v>
      </c>
      <c r="B5" s="25">
        <v>3.1</v>
      </c>
      <c r="C5" s="25">
        <v>1.5</v>
      </c>
      <c r="D5" s="57">
        <v>0.2</v>
      </c>
      <c r="E5" s="67" t="s">
        <v>31</v>
      </c>
      <c r="F5" s="68" t="s">
        <v>5</v>
      </c>
      <c r="G5" s="68">
        <f t="shared" ca="1" si="0"/>
        <v>1.5213246296643754</v>
      </c>
      <c r="H5" s="49">
        <f t="shared" ca="1" si="1"/>
        <v>0.1942965134167311</v>
      </c>
      <c r="I5" s="65" t="s">
        <v>5</v>
      </c>
      <c r="J5" s="58" t="str">
        <f t="shared" si="2"/>
        <v>setosa</v>
      </c>
      <c r="K5" s="25" cm="1">
        <f t="array" ref="K5">$U$7*NMultDensity(A5:D5,$U$9:$U$12,$Q$48:$T$51)+$U$20*NMultDensity(A5:D5,$U$22:$U$25,$Q$48:$T$51)+$U$33*NMultDensity(A5:D5,$U$35:$U$38,$Q$48:$T$51)</f>
        <v>8.2667038042299204E-2</v>
      </c>
      <c r="L5" s="25" cm="1">
        <f t="array" ref="L5">$U$7*NMultDensity(A5:D5,$U$9:$U$12,$Q$48:$T$51)/K5</f>
        <v>0.99999999999999289</v>
      </c>
      <c r="M5" s="25" cm="1">
        <f t="array" ref="M5">$U$20*NMultDensity(A5:D5,$U$22:$U$25,$Q$48:$T$51)/K5</f>
        <v>7.0550793257525106E-15</v>
      </c>
      <c r="N5" s="39" cm="1">
        <f t="array" ref="N5">$U$33*NMultDensity(A5:D5,$U$35:$U$38,$Q$48:$T$51)/K5</f>
        <v>6.6462695345684182E-31</v>
      </c>
      <c r="P5" s="87" t="s">
        <v>39</v>
      </c>
      <c r="Q5" s="88"/>
      <c r="R5" s="64">
        <f>COUNTIF(O2:O51,I2)/150+COUNTIF(O52:O101,I52)/150+COUNTIF(O102:O151,I102)/150</f>
        <v>0</v>
      </c>
    </row>
    <row r="6" spans="1:21" ht="15.75" thickTop="1" x14ac:dyDescent="0.25">
      <c r="A6" s="60">
        <v>5</v>
      </c>
      <c r="B6" s="25">
        <v>3.6</v>
      </c>
      <c r="C6" s="25">
        <v>1.4</v>
      </c>
      <c r="D6" s="57">
        <v>0.2</v>
      </c>
      <c r="E6" s="67" t="s">
        <v>31</v>
      </c>
      <c r="F6" s="68" t="s">
        <v>5</v>
      </c>
      <c r="G6" s="68">
        <f t="shared" ca="1" si="0"/>
        <v>1.3878374445184567</v>
      </c>
      <c r="H6" s="49">
        <f t="shared" ca="1" si="1"/>
        <v>0.17729559094007466</v>
      </c>
      <c r="I6" s="65" t="s">
        <v>5</v>
      </c>
      <c r="J6" s="58" t="str">
        <f t="shared" si="2"/>
        <v>setosa</v>
      </c>
      <c r="K6" s="25" cm="1">
        <f t="array" ref="K6">$U$7*NMultDensity(A6:D6,$U$9:$U$12,$Q$48:$T$51)+$U$20*NMultDensity(A6:D6,$U$22:$U$25,$Q$48:$T$51)+$U$33*NMultDensity(A6:D6,$U$35:$U$38,$Q$48:$T$51)</f>
        <v>0.20329388703380902</v>
      </c>
      <c r="L6" s="25" cm="1">
        <f t="array" ref="L6">$U$7*NMultDensity(A6:D6,$U$9:$U$12,$Q$48:$T$51)/K6</f>
        <v>1</v>
      </c>
      <c r="M6" s="25" cm="1">
        <f t="array" ref="M6">$U$20*NMultDensity(A6:D6,$U$22:$U$25,$Q$48:$T$51)/K6</f>
        <v>5.22021090093268E-22</v>
      </c>
      <c r="N6" s="39" cm="1">
        <f t="array" ref="N6">$U$33*NMultDensity(A6:D6,$U$35:$U$38,$Q$48:$T$51)/K6</f>
        <v>5.8877077600644735E-40</v>
      </c>
    </row>
    <row r="7" spans="1:21" ht="15.75" thickBot="1" x14ac:dyDescent="0.3">
      <c r="A7" s="60">
        <v>5.4</v>
      </c>
      <c r="B7" s="25">
        <v>3.9</v>
      </c>
      <c r="C7" s="25">
        <v>1.7</v>
      </c>
      <c r="D7" s="57">
        <v>0.4</v>
      </c>
      <c r="E7" s="67" t="s">
        <v>31</v>
      </c>
      <c r="F7" s="68" t="s">
        <v>5</v>
      </c>
      <c r="G7" s="68">
        <f t="shared" ca="1" si="0"/>
        <v>1.6785332779154236</v>
      </c>
      <c r="H7" s="49">
        <f t="shared" ca="1" si="1"/>
        <v>0.4135199020461594</v>
      </c>
      <c r="I7" s="65" t="s">
        <v>5</v>
      </c>
      <c r="J7" s="58" t="str">
        <f t="shared" si="2"/>
        <v>setosa</v>
      </c>
      <c r="K7" s="25" cm="1">
        <f t="array" ref="K7">$U$7*NMultDensity(A7:D7,$U$9:$U$12,$Q$48:$T$51)+$U$20*NMultDensity(A7:D7,$U$22:$U$25,$Q$48:$T$51)+$U$33*NMultDensity(A7:D7,$U$35:$U$38,$Q$48:$T$51)</f>
        <v>9.6443986503445558E-2</v>
      </c>
      <c r="L7" s="25" cm="1">
        <f t="array" ref="L7">$U$7*NMultDensity(A7:D7,$U$9:$U$12,$Q$48:$T$51)/K7</f>
        <v>1</v>
      </c>
      <c r="M7" s="25" cm="1">
        <f t="array" ref="M7">$U$20*NMultDensity(A7:D7,$U$22:$U$25,$Q$48:$T$51)/K7</f>
        <v>1.1605795449175158E-21</v>
      </c>
      <c r="N7" s="39" cm="1">
        <f t="array" ref="N7">$U$33*NMultDensity(A7:D7,$U$35:$U$38,$Q$48:$T$51)/K7</f>
        <v>7.7084283922251439E-39</v>
      </c>
      <c r="P7" s="89" t="s">
        <v>8</v>
      </c>
      <c r="Q7" s="90"/>
      <c r="R7" s="91"/>
      <c r="S7" s="92" t="s">
        <v>17</v>
      </c>
      <c r="T7" s="93"/>
      <c r="U7" s="24">
        <f>0.1</f>
        <v>0.1</v>
      </c>
    </row>
    <row r="8" spans="1:21" ht="15.75" thickBot="1" x14ac:dyDescent="0.3">
      <c r="A8" s="60">
        <v>4.5999999999999996</v>
      </c>
      <c r="B8" s="25">
        <v>3.4</v>
      </c>
      <c r="C8" s="25">
        <v>1.4</v>
      </c>
      <c r="D8" s="57">
        <v>0.3</v>
      </c>
      <c r="E8" s="67" t="s">
        <v>31</v>
      </c>
      <c r="F8" s="68" t="s">
        <v>5</v>
      </c>
      <c r="G8" s="68">
        <f t="shared" ca="1" si="0"/>
        <v>1.3835238401605385</v>
      </c>
      <c r="H8" s="49">
        <f t="shared" ca="1" si="1"/>
        <v>0.2944635990504284</v>
      </c>
      <c r="I8" s="65" t="s">
        <v>5</v>
      </c>
      <c r="J8" s="58" t="str">
        <f t="shared" si="2"/>
        <v>setosa</v>
      </c>
      <c r="K8" s="25" cm="1">
        <f t="array" ref="K8">$U$7*NMultDensity(A8:D8,$U$9:$U$12,$Q$48:$T$51)+$U$20*NMultDensity(A8:D8,$U$22:$U$25,$Q$48:$T$51)+$U$33*NMultDensity(A8:D8,$U$35:$U$38,$Q$48:$T$51)</f>
        <v>0.15401624841550629</v>
      </c>
      <c r="L8" s="25" cm="1">
        <f t="array" ref="L8">$U$7*NMultDensity(A8:D8,$U$9:$U$12,$Q$48:$T$51)/K8</f>
        <v>1</v>
      </c>
      <c r="M8" s="25" cm="1">
        <f t="array" ref="M8">$U$20*NMultDensity(A8:D8,$U$22:$U$25,$Q$48:$T$51)/K8</f>
        <v>1.6620041813888783E-17</v>
      </c>
      <c r="N8" s="39" cm="1">
        <f t="array" ref="N8">$U$33*NMultDensity(A8:D8,$U$35:$U$38,$Q$48:$T$51)/K8</f>
        <v>6.6439667859344045E-34</v>
      </c>
      <c r="Q8" s="22" t="s">
        <v>15</v>
      </c>
      <c r="R8" s="23" t="s">
        <v>16</v>
      </c>
      <c r="S8" s="23" t="s">
        <v>9</v>
      </c>
      <c r="T8" s="59" t="s">
        <v>10</v>
      </c>
      <c r="U8" s="47" t="s">
        <v>11</v>
      </c>
    </row>
    <row r="9" spans="1:21" x14ac:dyDescent="0.25">
      <c r="A9" s="60">
        <v>5</v>
      </c>
      <c r="B9" s="25">
        <v>3.4</v>
      </c>
      <c r="C9" s="25">
        <v>1.5</v>
      </c>
      <c r="D9" s="57">
        <v>0.2</v>
      </c>
      <c r="E9" s="67" t="s">
        <v>31</v>
      </c>
      <c r="F9" s="68" t="s">
        <v>5</v>
      </c>
      <c r="G9" s="68">
        <f t="shared" ca="1" si="0"/>
        <v>1.5070301530434835</v>
      </c>
      <c r="H9" s="49">
        <f t="shared" ca="1" si="1"/>
        <v>0.21828216963982533</v>
      </c>
      <c r="I9" s="65" t="s">
        <v>5</v>
      </c>
      <c r="J9" s="58" t="str">
        <f t="shared" si="2"/>
        <v>setosa</v>
      </c>
      <c r="K9" s="25" cm="1">
        <f t="array" ref="K9">$U$7*NMultDensity(A9:D9,$U$9:$U$12,$Q$48:$T$51)+$U$20*NMultDensity(A9:D9,$U$22:$U$25,$Q$48:$T$51)+$U$33*NMultDensity(A9:D9,$U$35:$U$38,$Q$48:$T$51)</f>
        <v>0.27090869667485529</v>
      </c>
      <c r="L9" s="25" cm="1">
        <f t="array" ref="L9">$U$7*NMultDensity(A9:D9,$U$9:$U$12,$Q$48:$T$51)/K9</f>
        <v>1</v>
      </c>
      <c r="M9" s="25" cm="1">
        <f t="array" ref="M9">$U$20*NMultDensity(A9:D9,$U$22:$U$25,$Q$48:$T$51)/K9</f>
        <v>2.6810269760095317E-19</v>
      </c>
      <c r="N9" s="39" cm="1">
        <f t="array" ref="N9">$U$33*NMultDensity(A9:D9,$U$35:$U$38,$Q$48:$T$51)/K9</f>
        <v>1.4977183028881744E-36</v>
      </c>
      <c r="P9" s="29" t="s">
        <v>15</v>
      </c>
      <c r="Q9" s="2">
        <f>_xlfn.COVARIANCE.S($A$2:$A$51,A2:A51)</f>
        <v>0.12424897959183666</v>
      </c>
      <c r="R9" s="3">
        <f>_xlfn.COVARIANCE.S($A$2:$A$51,B2:B51)</f>
        <v>9.9216326530612187E-2</v>
      </c>
      <c r="S9" s="3">
        <f>_xlfn.COVARIANCE.S($A$2:$A$51,C2:C51)</f>
        <v>1.6355102040816319E-2</v>
      </c>
      <c r="T9" s="3">
        <f>_xlfn.COVARIANCE.S($A$2:$A$51,D2:D51)</f>
        <v>1.033061224489795E-2</v>
      </c>
      <c r="U9" s="7">
        <f>AVERAGE($A$2:$A$51)</f>
        <v>5.0059999999999993</v>
      </c>
    </row>
    <row r="10" spans="1:21" x14ac:dyDescent="0.25">
      <c r="A10" s="60">
        <v>4.4000000000000004</v>
      </c>
      <c r="B10" s="25">
        <v>2.9</v>
      </c>
      <c r="C10" s="25">
        <v>1.4</v>
      </c>
      <c r="D10" s="57">
        <v>0.2</v>
      </c>
      <c r="E10" s="67" t="s">
        <v>31</v>
      </c>
      <c r="F10" s="68" t="s">
        <v>5</v>
      </c>
      <c r="G10" s="68">
        <f t="shared" ca="1" si="0"/>
        <v>1.4016541501141555</v>
      </c>
      <c r="H10" s="49">
        <f t="shared" ca="1" si="1"/>
        <v>0.20564287279168847</v>
      </c>
      <c r="I10" s="65" t="s">
        <v>5</v>
      </c>
      <c r="J10" s="58" t="str">
        <f t="shared" si="2"/>
        <v>setosa</v>
      </c>
      <c r="K10" s="25" cm="1">
        <f t="array" ref="K10">$U$7*NMultDensity(A10:D10,$U$9:$U$12,$Q$48:$T$51)+$U$20*NMultDensity(A10:D10,$U$22:$U$25,$Q$48:$T$51)+$U$33*NMultDensity(A10:D10,$U$35:$U$38,$Q$48:$T$51)</f>
        <v>2.649797454164524E-2</v>
      </c>
      <c r="L10" s="25" cm="1">
        <f t="array" ref="L10">$U$7*NMultDensity(A10:D10,$U$9:$U$12,$Q$48:$T$51)/K10</f>
        <v>0.99999999999964162</v>
      </c>
      <c r="M10" s="25" cm="1">
        <f t="array" ref="M10">$U$20*NMultDensity(A10:D10,$U$22:$U$25,$Q$48:$T$51)/K10</f>
        <v>3.5836509040610633E-13</v>
      </c>
      <c r="N10" s="39" cm="1">
        <f t="array" ref="N10">$U$33*NMultDensity(A10:D10,$U$35:$U$38,$Q$48:$T$51)/K10</f>
        <v>8.0354901608288134E-29</v>
      </c>
      <c r="P10" s="30" t="s">
        <v>16</v>
      </c>
      <c r="Q10" s="4">
        <f>_xlfn.COVARIANCE.S($B$2:$B$51,A2:A51)</f>
        <v>9.9216326530612187E-2</v>
      </c>
      <c r="R10" s="5">
        <f>_xlfn.COVARIANCE.S($B$2:$B$51,B2:B51)</f>
        <v>0.14368979591836734</v>
      </c>
      <c r="S10" s="5">
        <f>_xlfn.COVARIANCE.S($B$2:$B$51,C2:C51)</f>
        <v>1.1697959183673459E-2</v>
      </c>
      <c r="T10" s="5">
        <f>_xlfn.COVARIANCE.S($B$2:$B$51,D2:D51)</f>
        <v>9.2979591836734737E-3</v>
      </c>
      <c r="U10" s="8">
        <f>AVERAGE($B$2:$B$51)</f>
        <v>3.4280000000000008</v>
      </c>
    </row>
    <row r="11" spans="1:21" x14ac:dyDescent="0.25">
      <c r="A11" s="60">
        <v>4.9000000000000004</v>
      </c>
      <c r="B11" s="25">
        <v>3.1</v>
      </c>
      <c r="C11" s="25">
        <v>1.5</v>
      </c>
      <c r="D11" s="57">
        <v>0.1</v>
      </c>
      <c r="E11" s="67" t="s">
        <v>31</v>
      </c>
      <c r="F11" s="68" t="s">
        <v>5</v>
      </c>
      <c r="G11" s="68">
        <f t="shared" ca="1" si="0"/>
        <v>1.5249620497679364</v>
      </c>
      <c r="H11" s="49">
        <f t="shared" ca="1" si="1"/>
        <v>0.10335430510720109</v>
      </c>
      <c r="I11" s="65" t="s">
        <v>5</v>
      </c>
      <c r="J11" s="58" t="str">
        <f t="shared" si="2"/>
        <v>setosa</v>
      </c>
      <c r="K11" s="25" cm="1">
        <f t="array" ref="K11">$U$7*NMultDensity(A11:D11,$U$9:$U$12,$Q$48:$T$51)+$U$20*NMultDensity(A11:D11,$U$22:$U$25,$Q$48:$T$51)+$U$33*NMultDensity(A11:D11,$U$35:$U$38,$Q$48:$T$51)</f>
        <v>0.13947115032345564</v>
      </c>
      <c r="L11" s="25" cm="1">
        <f t="array" ref="L11">$U$7*NMultDensity(A11:D11,$U$9:$U$12,$Q$48:$T$51)/K11</f>
        <v>1</v>
      </c>
      <c r="M11" s="25" cm="1">
        <f t="array" ref="M11">$U$20*NMultDensity(A11:D11,$U$22:$U$25,$Q$48:$T$51)/K11</f>
        <v>3.5791203620355256E-17</v>
      </c>
      <c r="N11" s="39" cm="1">
        <f t="array" ref="N11">$U$33*NMultDensity(A11:D11,$U$35:$U$38,$Q$48:$T$51)/K11</f>
        <v>3.2662987168943411E-34</v>
      </c>
      <c r="P11" s="30" t="s">
        <v>9</v>
      </c>
      <c r="Q11" s="4">
        <f>_xlfn.COVARIANCE.S($C$2:$C$51,A2:A51)</f>
        <v>1.6355102040816319E-2</v>
      </c>
      <c r="R11" s="5">
        <f>_xlfn.COVARIANCE.S($C$2:$C$51,B2:B51)</f>
        <v>1.1697959183673459E-2</v>
      </c>
      <c r="S11" s="6">
        <f>_xlfn.COVARIANCE.S($C$2:$C$51,C2:C51)</f>
        <v>3.0159183673469397E-2</v>
      </c>
      <c r="T11" s="6">
        <f>_xlfn.COVARIANCE.S($C$2:$C$51,D2:D51)</f>
        <v>6.0693877551020407E-3</v>
      </c>
      <c r="U11" s="8">
        <f>AVERAGE($C$2:$C$51)</f>
        <v>1.4620000000000002</v>
      </c>
    </row>
    <row r="12" spans="1:21" ht="15.75" thickBot="1" x14ac:dyDescent="0.3">
      <c r="A12" s="60">
        <v>5.4</v>
      </c>
      <c r="B12" s="25">
        <v>3.7</v>
      </c>
      <c r="C12" s="25">
        <v>1.5</v>
      </c>
      <c r="D12" s="57">
        <v>0.2</v>
      </c>
      <c r="E12" s="67" t="s">
        <v>31</v>
      </c>
      <c r="F12" s="68" t="s">
        <v>5</v>
      </c>
      <c r="G12" s="68">
        <f t="shared" ca="1" si="0"/>
        <v>1.4979968826099244</v>
      </c>
      <c r="H12" s="49">
        <f t="shared" ca="1" si="1"/>
        <v>0.18144149982898328</v>
      </c>
      <c r="I12" s="65" t="s">
        <v>5</v>
      </c>
      <c r="J12" s="58" t="str">
        <f t="shared" si="2"/>
        <v>setosa</v>
      </c>
      <c r="K12" s="25" cm="1">
        <f t="array" ref="K12">$U$7*NMultDensity(A12:D12,$U$9:$U$12,$Q$48:$T$51)+$U$20*NMultDensity(A12:D12,$U$22:$U$25,$Q$48:$T$51)+$U$33*NMultDensity(A12:D12,$U$35:$U$38,$Q$48:$T$51)</f>
        <v>0.11096404037466917</v>
      </c>
      <c r="L12" s="25" cm="1">
        <f t="array" ref="L12">$U$7*NMultDensity(A12:D12,$U$9:$U$12,$Q$48:$T$51)/K12</f>
        <v>1</v>
      </c>
      <c r="M12" s="25" cm="1">
        <f t="array" ref="M12">$U$20*NMultDensity(A12:D12,$U$22:$U$25,$Q$48:$T$51)/K12</f>
        <v>1.0188270484576037E-23</v>
      </c>
      <c r="N12" s="39" cm="1">
        <f t="array" ref="N12">$U$33*NMultDensity(A12:D12,$U$35:$U$38,$Q$48:$T$51)/K12</f>
        <v>3.37506642356158E-42</v>
      </c>
      <c r="P12" s="45" t="s">
        <v>10</v>
      </c>
      <c r="Q12" s="4">
        <f>_xlfn.COVARIANCE.S($D$2:$D$51,A2:A51)</f>
        <v>1.033061224489795E-2</v>
      </c>
      <c r="R12" s="5">
        <f>_xlfn.COVARIANCE.S($D$2:$D$51,B2:B51)</f>
        <v>9.2979591836734737E-3</v>
      </c>
      <c r="S12" s="6">
        <f>_xlfn.COVARIANCE.S($D$2:$D$51,C2:C51)</f>
        <v>6.0693877551020407E-3</v>
      </c>
      <c r="T12" s="6">
        <f>_xlfn.COVARIANCE.S($D$2:$D$51,D2:D51)</f>
        <v>1.11061224489796E-2</v>
      </c>
      <c r="U12" s="9">
        <f>AVERAGE($D$2:$D$51)</f>
        <v>0.24599999999999991</v>
      </c>
    </row>
    <row r="13" spans="1:21" ht="15.75" thickBot="1" x14ac:dyDescent="0.3">
      <c r="A13" s="60">
        <v>4.8</v>
      </c>
      <c r="B13" s="25">
        <v>3.4</v>
      </c>
      <c r="C13" s="25">
        <v>1.6</v>
      </c>
      <c r="D13" s="57">
        <v>0.2</v>
      </c>
      <c r="E13" s="67" t="s">
        <v>31</v>
      </c>
      <c r="F13" s="68" t="s">
        <v>5</v>
      </c>
      <c r="G13" s="68">
        <f t="shared" ca="1" si="0"/>
        <v>1.6052428332067852</v>
      </c>
      <c r="H13" s="49">
        <f t="shared" ca="1" si="1"/>
        <v>0.18708289031014616</v>
      </c>
      <c r="I13" s="65" t="s">
        <v>5</v>
      </c>
      <c r="J13" s="58" t="str">
        <f t="shared" si="2"/>
        <v>setosa</v>
      </c>
      <c r="K13" s="25" cm="1">
        <f t="array" ref="K13">$U$7*NMultDensity(A13:D13,$U$9:$U$12,$Q$48:$T$51)+$U$20*NMultDensity(A13:D13,$U$22:$U$25,$Q$48:$T$51)+$U$33*NMultDensity(A13:D13,$U$35:$U$38,$Q$48:$T$51)</f>
        <v>0.14688391940122811</v>
      </c>
      <c r="L13" s="25" cm="1">
        <f t="array" ref="L13">$U$7*NMultDensity(A13:D13,$U$9:$U$12,$Q$48:$T$51)/K13</f>
        <v>1</v>
      </c>
      <c r="M13" s="25" cm="1">
        <f t="array" ref="M13">$U$20*NMultDensity(A13:D13,$U$22:$U$25,$Q$48:$T$51)/K13</f>
        <v>1.8203021285729156E-17</v>
      </c>
      <c r="N13" s="39" cm="1">
        <f t="array" ref="N13">$U$33*NMultDensity(A13:D13,$U$35:$U$38,$Q$48:$T$51)/K13</f>
        <v>4.7250429684100703E-34</v>
      </c>
      <c r="P13" s="46" t="s">
        <v>11</v>
      </c>
      <c r="Q13" s="10">
        <f>AVERAGE($A$2:$A$51)</f>
        <v>5.0059999999999993</v>
      </c>
      <c r="R13" s="11">
        <f>AVERAGE($B$2:$B$51)</f>
        <v>3.4280000000000008</v>
      </c>
      <c r="S13" s="11">
        <f>AVERAGE($C$2:$C$51)</f>
        <v>1.4620000000000002</v>
      </c>
      <c r="T13" s="12">
        <f>AVERAGE($D$2:$D$51)</f>
        <v>0.24599999999999991</v>
      </c>
    </row>
    <row r="14" spans="1:21" x14ac:dyDescent="0.25">
      <c r="A14" s="60">
        <v>4.8</v>
      </c>
      <c r="B14" s="25">
        <v>3</v>
      </c>
      <c r="C14" s="25">
        <v>1.4</v>
      </c>
      <c r="D14" s="57">
        <v>0.1</v>
      </c>
      <c r="E14" s="67" t="s">
        <v>31</v>
      </c>
      <c r="F14" s="68" t="s">
        <v>5</v>
      </c>
      <c r="G14" s="68">
        <f t="shared" ca="1" si="0"/>
        <v>1.3809573954989991</v>
      </c>
      <c r="H14" s="49">
        <f t="shared" ca="1" si="1"/>
        <v>0.12035355431431929</v>
      </c>
      <c r="I14" s="65" t="s">
        <v>5</v>
      </c>
      <c r="J14" s="58" t="str">
        <f t="shared" si="2"/>
        <v>setosa</v>
      </c>
      <c r="K14" s="25" cm="1">
        <f t="array" ref="K14">$U$7*NMultDensity(A14:D14,$U$9:$U$12,$Q$48:$T$51)+$U$20*NMultDensity(A14:D14,$U$22:$U$25,$Q$48:$T$51)+$U$33*NMultDensity(A14:D14,$U$35:$U$38,$Q$48:$T$51)</f>
        <v>0.1060533663467083</v>
      </c>
      <c r="L14" s="25" cm="1">
        <f t="array" ref="L14">$U$7*NMultDensity(A14:D14,$U$9:$U$12,$Q$48:$T$51)/K14</f>
        <v>0.99999999999999989</v>
      </c>
      <c r="M14" s="25" cm="1">
        <f t="array" ref="M14">$U$20*NMultDensity(A14:D14,$U$22:$U$25,$Q$48:$T$51)/K14</f>
        <v>8.5884790907309433E-17</v>
      </c>
      <c r="N14" s="39" cm="1">
        <f t="array" ref="N14">$U$33*NMultDensity(A14:D14,$U$35:$U$38,$Q$48:$T$51)/K14</f>
        <v>8.2845501270444562E-34</v>
      </c>
      <c r="P14" s="20" t="s">
        <v>12</v>
      </c>
      <c r="Q14" s="4">
        <f>MIN(A2:A51)</f>
        <v>4.3</v>
      </c>
      <c r="R14" s="5">
        <f>MIN(B2:B51)</f>
        <v>2.2999999999999998</v>
      </c>
      <c r="S14" s="13">
        <f>MIN(C2:C51)</f>
        <v>1</v>
      </c>
      <c r="T14" s="14">
        <f>MIN(D2:D51)</f>
        <v>0.1</v>
      </c>
    </row>
    <row r="15" spans="1:21" ht="15.75" thickBot="1" x14ac:dyDescent="0.3">
      <c r="A15" s="60">
        <v>4.3</v>
      </c>
      <c r="B15" s="25">
        <v>3</v>
      </c>
      <c r="C15" s="25">
        <v>1.1000000000000001</v>
      </c>
      <c r="D15" s="57">
        <v>0.1</v>
      </c>
      <c r="E15" s="67" t="s">
        <v>31</v>
      </c>
      <c r="F15" s="68" t="s">
        <v>5</v>
      </c>
      <c r="G15" s="68">
        <f t="shared" ca="1" si="0"/>
        <v>1.0777438934534134</v>
      </c>
      <c r="H15" s="49">
        <f t="shared" ca="1" si="1"/>
        <v>0.1180884101434756</v>
      </c>
      <c r="I15" s="65" t="s">
        <v>5</v>
      </c>
      <c r="J15" s="58" t="str">
        <f t="shared" si="2"/>
        <v>setosa</v>
      </c>
      <c r="K15" s="25" cm="1">
        <f t="array" ref="K15">$U$7*NMultDensity(A15:D15,$U$9:$U$12,$Q$48:$T$51)+$U$20*NMultDensity(A15:D15,$U$22:$U$25,$Q$48:$T$51)+$U$33*NMultDensity(A15:D15,$U$35:$U$38,$Q$48:$T$51)</f>
        <v>8.2891243982558066E-2</v>
      </c>
      <c r="L15" s="25" cm="1">
        <f t="array" ref="L15">$U$7*NMultDensity(A15:D15,$U$9:$U$12,$Q$48:$T$51)/K15</f>
        <v>1</v>
      </c>
      <c r="M15" s="25" cm="1">
        <f t="array" ref="M15">$U$20*NMultDensity(A15:D15,$U$22:$U$25,$Q$48:$T$51)/K15</f>
        <v>2.0560357892382131E-17</v>
      </c>
      <c r="N15" s="39" cm="1">
        <f t="array" ref="N15">$U$33*NMultDensity(A15:D15,$U$35:$U$38,$Q$48:$T$51)/K15</f>
        <v>1.4409933912346194E-34</v>
      </c>
      <c r="P15" s="21" t="s">
        <v>13</v>
      </c>
      <c r="Q15" s="15">
        <f>MAX(A2:A51)</f>
        <v>5.8</v>
      </c>
      <c r="R15" s="16">
        <f>MAX(B2:B51)</f>
        <v>4.4000000000000004</v>
      </c>
      <c r="S15" s="17">
        <f>MAX(C2:C51)</f>
        <v>1.9</v>
      </c>
      <c r="T15" s="18">
        <f>MAX(D2:D51)</f>
        <v>0.6</v>
      </c>
    </row>
    <row r="16" spans="1:21" x14ac:dyDescent="0.25">
      <c r="A16" s="60">
        <v>5.8</v>
      </c>
      <c r="B16" s="25">
        <v>4</v>
      </c>
      <c r="C16" s="25">
        <v>1.2</v>
      </c>
      <c r="D16" s="57">
        <v>0.2</v>
      </c>
      <c r="E16" s="67" t="s">
        <v>31</v>
      </c>
      <c r="F16" s="68" t="s">
        <v>5</v>
      </c>
      <c r="G16" s="68">
        <f t="shared" ca="1" si="0"/>
        <v>1.2154792862974024</v>
      </c>
      <c r="H16" s="49">
        <f t="shared" ca="1" si="1"/>
        <v>0.19863508140312094</v>
      </c>
      <c r="I16" s="65" t="s">
        <v>5</v>
      </c>
      <c r="J16" s="58" t="str">
        <f t="shared" si="2"/>
        <v>setosa</v>
      </c>
      <c r="K16" s="25" cm="1">
        <f t="array" ref="K16">$U$7*NMultDensity(A16:D16,$U$9:$U$12,$Q$48:$T$51)+$U$20*NMultDensity(A16:D16,$U$22:$U$25,$Q$48:$T$51)+$U$33*NMultDensity(A16:D16,$U$35:$U$38,$Q$48:$T$51)</f>
        <v>5.8047405978874577E-4</v>
      </c>
      <c r="L16" s="25" cm="1">
        <f t="array" ref="L16">$U$7*NMultDensity(A16:D16,$U$9:$U$12,$Q$48:$T$51)/K16</f>
        <v>1</v>
      </c>
      <c r="M16" s="25" cm="1">
        <f t="array" ref="M16">$U$20*NMultDensity(A16:D16,$U$22:$U$25,$Q$48:$T$51)/K16</f>
        <v>5.639857317234486E-31</v>
      </c>
      <c r="N16" s="39" cm="1">
        <f t="array" ref="N16">$U$33*NMultDensity(A16:D16,$U$35:$U$38,$Q$48:$T$51)/K16</f>
        <v>1.1458015853431963E-51</v>
      </c>
    </row>
    <row r="17" spans="1:21" ht="15.75" thickBot="1" x14ac:dyDescent="0.3">
      <c r="A17" s="60">
        <v>5.7</v>
      </c>
      <c r="B17" s="25">
        <v>4.4000000000000004</v>
      </c>
      <c r="C17" s="25">
        <v>1.5</v>
      </c>
      <c r="D17" s="57">
        <v>0.4</v>
      </c>
      <c r="E17" s="67" t="s">
        <v>31</v>
      </c>
      <c r="F17" s="68" t="s">
        <v>5</v>
      </c>
      <c r="G17" s="68">
        <f t="shared" ca="1" si="0"/>
        <v>1.4963492643956473</v>
      </c>
      <c r="H17" s="49">
        <f t="shared" ca="1" si="1"/>
        <v>0.38879427717833859</v>
      </c>
      <c r="I17" s="65" t="s">
        <v>5</v>
      </c>
      <c r="J17" s="58" t="str">
        <f t="shared" si="2"/>
        <v>setosa</v>
      </c>
      <c r="K17" s="25" cm="1">
        <f t="array" ref="K17">$U$7*NMultDensity(A17:D17,$U$9:$U$12,$Q$48:$T$51)+$U$20*NMultDensity(A17:D17,$U$22:$U$25,$Q$48:$T$51)+$U$33*NMultDensity(A17:D17,$U$35:$U$38,$Q$48:$T$51)</f>
        <v>5.9468913127018637E-4</v>
      </c>
      <c r="L17" s="25" cm="1">
        <f t="array" ref="L17">$U$7*NMultDensity(A17:D17,$U$9:$U$12,$Q$48:$T$51)/K17</f>
        <v>1</v>
      </c>
      <c r="M17" s="25" cm="1">
        <f t="array" ref="M17">$U$20*NMultDensity(A17:D17,$U$22:$U$25,$Q$48:$T$51)/K17</f>
        <v>2.7006381009578541E-29</v>
      </c>
      <c r="N17" s="39" cm="1">
        <f t="array" ref="N17">$U$33*NMultDensity(A17:D17,$U$35:$U$38,$Q$48:$T$51)/K17</f>
        <v>1.4887075949877504E-48</v>
      </c>
      <c r="P17" s="19" t="s">
        <v>14</v>
      </c>
      <c r="Q17" s="19">
        <f>COUNT(C2:C51)</f>
        <v>50</v>
      </c>
    </row>
    <row r="18" spans="1:21" ht="15.75" thickTop="1" x14ac:dyDescent="0.25">
      <c r="A18" s="60">
        <v>5.4</v>
      </c>
      <c r="B18" s="25">
        <v>3.9</v>
      </c>
      <c r="C18" s="25">
        <v>1.3</v>
      </c>
      <c r="D18" s="57">
        <v>0.4</v>
      </c>
      <c r="E18" s="67" t="s">
        <v>31</v>
      </c>
      <c r="F18" s="68" t="s">
        <v>5</v>
      </c>
      <c r="G18" s="68">
        <f t="shared" ca="1" si="0"/>
        <v>1.2880373637518141</v>
      </c>
      <c r="H18" s="49">
        <f t="shared" ca="1" si="1"/>
        <v>0.4058275335277145</v>
      </c>
      <c r="I18" s="65" t="s">
        <v>5</v>
      </c>
      <c r="J18" s="58" t="str">
        <f t="shared" si="2"/>
        <v>setosa</v>
      </c>
      <c r="K18" s="25" cm="1">
        <f t="array" ref="K18">$U$7*NMultDensity(A18:D18,$U$9:$U$12,$Q$48:$T$51)+$U$20*NMultDensity(A18:D18,$U$22:$U$25,$Q$48:$T$51)+$U$33*NMultDensity(A18:D18,$U$35:$U$38,$Q$48:$T$51)</f>
        <v>2.5763017203157518E-2</v>
      </c>
      <c r="L18" s="25" cm="1">
        <f t="array" ref="L18">$U$7*NMultDensity(A18:D18,$U$9:$U$12,$Q$48:$T$51)/K18</f>
        <v>1</v>
      </c>
      <c r="M18" s="25" cm="1">
        <f t="array" ref="M18">$U$20*NMultDensity(A18:D18,$U$22:$U$25,$Q$48:$T$51)/K18</f>
        <v>1.9164584262226849E-25</v>
      </c>
      <c r="N18" s="39" cm="1">
        <f t="array" ref="N18">$U$33*NMultDensity(A18:D18,$U$35:$U$38,$Q$48:$T$51)/K18</f>
        <v>6.1792018917205719E-44</v>
      </c>
    </row>
    <row r="19" spans="1:21" x14ac:dyDescent="0.25">
      <c r="A19" s="60">
        <v>5.0999999999999996</v>
      </c>
      <c r="B19" s="25">
        <v>3.5</v>
      </c>
      <c r="C19" s="25">
        <v>1.4</v>
      </c>
      <c r="D19" s="57">
        <v>0.3</v>
      </c>
      <c r="E19" s="67" t="s">
        <v>31</v>
      </c>
      <c r="F19" s="68" t="s">
        <v>5</v>
      </c>
      <c r="G19" s="68">
        <f t="shared" ca="1" si="0"/>
        <v>1.3758348819401589</v>
      </c>
      <c r="H19" s="49">
        <f t="shared" ca="1" si="1"/>
        <v>0.30804614721416312</v>
      </c>
      <c r="I19" s="65" t="s">
        <v>5</v>
      </c>
      <c r="J19" s="58" t="str">
        <f t="shared" si="2"/>
        <v>setosa</v>
      </c>
      <c r="K19" s="25" cm="1">
        <f t="array" ref="K19">$U$7*NMultDensity(A19:D19,$U$9:$U$12,$Q$48:$T$51)+$U$20*NMultDensity(A19:D19,$U$22:$U$25,$Q$48:$T$51)+$U$33*NMultDensity(A19:D19,$U$35:$U$38,$Q$48:$T$51)</f>
        <v>0.23932778945172301</v>
      </c>
      <c r="L19" s="25" cm="1">
        <f t="array" ref="L19">$U$7*NMultDensity(A19:D19,$U$9:$U$12,$Q$48:$T$51)/K19</f>
        <v>1</v>
      </c>
      <c r="M19" s="25" cm="1">
        <f t="array" ref="M19">$U$20*NMultDensity(A19:D19,$U$22:$U$25,$Q$48:$T$51)/K19</f>
        <v>1.3254136654148133E-20</v>
      </c>
      <c r="N19" s="39" cm="1">
        <f t="array" ref="N19">$U$33*NMultDensity(A19:D19,$U$35:$U$38,$Q$48:$T$51)/K19</f>
        <v>4.9461984501813795E-38</v>
      </c>
      <c r="U19" s="1"/>
    </row>
    <row r="20" spans="1:21" ht="15.75" thickBot="1" x14ac:dyDescent="0.3">
      <c r="A20" s="60">
        <v>5.7</v>
      </c>
      <c r="B20" s="25">
        <v>3.8</v>
      </c>
      <c r="C20" s="25">
        <v>1.7</v>
      </c>
      <c r="D20" s="57">
        <v>0.3</v>
      </c>
      <c r="E20" s="67" t="s">
        <v>31</v>
      </c>
      <c r="F20" s="68" t="s">
        <v>5</v>
      </c>
      <c r="G20" s="68">
        <f t="shared" ca="1" si="0"/>
        <v>1.6939860113040957</v>
      </c>
      <c r="H20" s="49">
        <f t="shared" ca="1" si="1"/>
        <v>0.28548349477359308</v>
      </c>
      <c r="I20" s="65" t="s">
        <v>5</v>
      </c>
      <c r="J20" s="58" t="str">
        <f t="shared" si="2"/>
        <v>setosa</v>
      </c>
      <c r="K20" s="25" cm="1">
        <f t="array" ref="K20">$U$7*NMultDensity(A20:D20,$U$9:$U$12,$Q$48:$T$51)+$U$20*NMultDensity(A20:D20,$U$22:$U$25,$Q$48:$T$51)+$U$33*NMultDensity(A20:D20,$U$35:$U$38,$Q$48:$T$51)</f>
        <v>7.0473198776203588E-2</v>
      </c>
      <c r="L20" s="25" cm="1">
        <f t="array" ref="L20">$U$7*NMultDensity(A20:D20,$U$9:$U$12,$Q$48:$T$51)/K20</f>
        <v>1</v>
      </c>
      <c r="M20" s="25" cm="1">
        <f t="array" ref="M20">$U$20*NMultDensity(A20:D20,$U$22:$U$25,$Q$48:$T$51)/K20</f>
        <v>4.4924571436296908E-23</v>
      </c>
      <c r="N20" s="39" cm="1">
        <f t="array" ref="N20">$U$33*NMultDensity(A20:D20,$U$35:$U$38,$Q$48:$T$51)/K20</f>
        <v>4.4073907572124553E-41</v>
      </c>
      <c r="P20" s="94" t="s">
        <v>18</v>
      </c>
      <c r="Q20" s="95"/>
      <c r="R20" s="96"/>
      <c r="S20" s="90" t="s">
        <v>17</v>
      </c>
      <c r="T20" s="91"/>
      <c r="U20" s="28">
        <f>1/3</f>
        <v>0.33333333333333331</v>
      </c>
    </row>
    <row r="21" spans="1:21" ht="15.75" thickBot="1" x14ac:dyDescent="0.3">
      <c r="A21" s="60">
        <v>5.0999999999999996</v>
      </c>
      <c r="B21" s="25">
        <v>3.8</v>
      </c>
      <c r="C21" s="25">
        <v>1.5</v>
      </c>
      <c r="D21" s="57">
        <v>0.3</v>
      </c>
      <c r="E21" s="67" t="s">
        <v>31</v>
      </c>
      <c r="F21" s="68" t="s">
        <v>5</v>
      </c>
      <c r="G21" s="68">
        <f t="shared" ca="1" si="0"/>
        <v>1.4940290147038324</v>
      </c>
      <c r="H21" s="49">
        <f t="shared" ca="1" si="1"/>
        <v>0.30023038823703402</v>
      </c>
      <c r="I21" s="65" t="s">
        <v>5</v>
      </c>
      <c r="J21" s="58" t="str">
        <f t="shared" si="2"/>
        <v>setosa</v>
      </c>
      <c r="K21" s="25" cm="1">
        <f t="array" ref="K21">$U$7*NMultDensity(A21:D21,$U$9:$U$12,$Q$48:$T$51)+$U$20*NMultDensity(A21:D21,$U$22:$U$25,$Q$48:$T$51)+$U$33*NMultDensity(A21:D21,$U$35:$U$38,$Q$48:$T$51)</f>
        <v>0.12243484991438053</v>
      </c>
      <c r="L21" s="25" cm="1">
        <f t="array" ref="L21">$U$7*NMultDensity(A21:D21,$U$9:$U$12,$Q$48:$T$51)/K21</f>
        <v>1</v>
      </c>
      <c r="M21" s="25" cm="1">
        <f t="array" ref="M21">$U$20*NMultDensity(A21:D21,$U$22:$U$25,$Q$48:$T$51)/K21</f>
        <v>2.6320336387077001E-22</v>
      </c>
      <c r="N21" s="39" cm="1">
        <f t="array" ref="N21">$U$33*NMultDensity(A21:D21,$U$35:$U$38,$Q$48:$T$51)/K21</f>
        <v>5.9029160966621749E-40</v>
      </c>
      <c r="Q21" s="22" t="s">
        <v>15</v>
      </c>
      <c r="R21" s="23" t="s">
        <v>16</v>
      </c>
      <c r="S21" s="23" t="s">
        <v>9</v>
      </c>
      <c r="T21" s="59" t="s">
        <v>10</v>
      </c>
      <c r="U21" s="47" t="s">
        <v>11</v>
      </c>
    </row>
    <row r="22" spans="1:21" x14ac:dyDescent="0.25">
      <c r="A22" s="60">
        <v>5.4</v>
      </c>
      <c r="B22" s="25">
        <v>3.4</v>
      </c>
      <c r="C22" s="25">
        <v>1.7</v>
      </c>
      <c r="D22" s="57">
        <v>0.2</v>
      </c>
      <c r="E22" s="67" t="s">
        <v>31</v>
      </c>
      <c r="F22" s="68" t="s">
        <v>5</v>
      </c>
      <c r="G22" s="68">
        <f t="shared" ca="1" si="0"/>
        <v>1.6896963139561041</v>
      </c>
      <c r="H22" s="49">
        <f t="shared" ca="1" si="1"/>
        <v>0.20707407381389692</v>
      </c>
      <c r="I22" s="65" t="s">
        <v>5</v>
      </c>
      <c r="J22" s="58" t="str">
        <f t="shared" si="2"/>
        <v>setosa</v>
      </c>
      <c r="K22" s="25" cm="1">
        <f t="array" ref="K22">$U$7*NMultDensity(A22:D22,$U$9:$U$12,$Q$48:$T$51)+$U$20*NMultDensity(A22:D22,$U$22:$U$25,$Q$48:$T$51)+$U$33*NMultDensity(A22:D22,$U$35:$U$38,$Q$48:$T$51)</f>
        <v>0.19189556739310415</v>
      </c>
      <c r="L22" s="25" cm="1">
        <f t="array" ref="L22">$U$7*NMultDensity(A22:D22,$U$9:$U$12,$Q$48:$T$51)/K22</f>
        <v>1</v>
      </c>
      <c r="M22" s="25" cm="1">
        <f t="array" ref="M22">$U$20*NMultDensity(A22:D22,$U$22:$U$25,$Q$48:$T$51)/K22</f>
        <v>3.5220223445093719E-19</v>
      </c>
      <c r="N22" s="39" cm="1">
        <f t="array" ref="N22">$U$33*NMultDensity(A22:D22,$U$35:$U$38,$Q$48:$T$51)/K22</f>
        <v>1.8772077746274063E-36</v>
      </c>
      <c r="P22" s="29" t="s">
        <v>15</v>
      </c>
      <c r="Q22" s="26">
        <f>_xlfn.COVARIANCE.S($A$52:$A$101,A52:A101)</f>
        <v>0.2664326530612246</v>
      </c>
      <c r="R22" s="26">
        <f>_xlfn.COVARIANCE.S($A$52:$A$101,B52:B101)</f>
        <v>8.5183673469387738E-2</v>
      </c>
      <c r="S22" s="26">
        <f>_xlfn.COVARIANCE.S($A$52:$A$101,C52:C101)</f>
        <v>0.18289795918367358</v>
      </c>
      <c r="T22" s="26">
        <f>_xlfn.COVARIANCE.S($A$52:$A$101,D52:D101)</f>
        <v>5.5779591836734706E-2</v>
      </c>
      <c r="U22" s="7">
        <f>Q26</f>
        <v>5.9359999999999999</v>
      </c>
    </row>
    <row r="23" spans="1:21" x14ac:dyDescent="0.25">
      <c r="A23" s="60">
        <v>5.0999999999999996</v>
      </c>
      <c r="B23" s="25">
        <v>3.7</v>
      </c>
      <c r="C23" s="25">
        <v>1.5</v>
      </c>
      <c r="D23" s="57">
        <v>0.4</v>
      </c>
      <c r="E23" s="67" t="s">
        <v>31</v>
      </c>
      <c r="F23" s="68" t="s">
        <v>5</v>
      </c>
      <c r="G23" s="68">
        <f t="shared" ca="1" si="0"/>
        <v>1.4927056460618304</v>
      </c>
      <c r="H23" s="49">
        <f t="shared" ca="1" si="1"/>
        <v>0.41165410361023175</v>
      </c>
      <c r="I23" s="65" t="s">
        <v>5</v>
      </c>
      <c r="J23" s="58" t="str">
        <f t="shared" si="2"/>
        <v>setosa</v>
      </c>
      <c r="K23" s="25" cm="1">
        <f t="array" ref="K23">$U$7*NMultDensity(A23:D23,$U$9:$U$12,$Q$48:$T$51)+$U$20*NMultDensity(A23:D23,$U$22:$U$25,$Q$48:$T$51)+$U$33*NMultDensity(A23:D23,$U$35:$U$38,$Q$48:$T$51)</f>
        <v>0.18011339543289306</v>
      </c>
      <c r="L23" s="25" cm="1">
        <f t="array" ref="L23">$U$7*NMultDensity(A23:D23,$U$9:$U$12,$Q$48:$T$51)/K23</f>
        <v>1</v>
      </c>
      <c r="M23" s="25" cm="1">
        <f t="array" ref="M23">$U$20*NMultDensity(A23:D23,$U$22:$U$25,$Q$48:$T$51)/K23</f>
        <v>1.8539757024593821E-20</v>
      </c>
      <c r="N23" s="39" cm="1">
        <f t="array" ref="N23">$U$33*NMultDensity(A23:D23,$U$35:$U$38,$Q$48:$T$51)/K23</f>
        <v>2.0317746259451767E-37</v>
      </c>
      <c r="P23" s="30" t="s">
        <v>16</v>
      </c>
      <c r="Q23" s="26">
        <f>_xlfn.COVARIANCE.S($B$52:$B$101,A52:A101)</f>
        <v>8.5183673469387738E-2</v>
      </c>
      <c r="R23" s="26">
        <f>_xlfn.COVARIANCE.S($B$52:$B$101,B52:B101)</f>
        <v>9.8469387755102056E-2</v>
      </c>
      <c r="S23" s="26">
        <f>_xlfn.COVARIANCE.S($B$52:$B$101,C52:C101)</f>
        <v>8.2653061224489829E-2</v>
      </c>
      <c r="T23" s="26">
        <f>_xlfn.COVARIANCE.S($B$52:$B$101,D52:D101)</f>
        <v>4.1204081632653065E-2</v>
      </c>
      <c r="U23" s="8">
        <f>R26</f>
        <v>2.7700000000000005</v>
      </c>
    </row>
    <row r="24" spans="1:21" x14ac:dyDescent="0.25">
      <c r="A24" s="60">
        <v>4.5999999999999996</v>
      </c>
      <c r="B24" s="25">
        <v>3.6</v>
      </c>
      <c r="C24" s="25">
        <v>1</v>
      </c>
      <c r="D24" s="57">
        <v>0.2</v>
      </c>
      <c r="E24" s="67" t="s">
        <v>32</v>
      </c>
      <c r="F24" s="68" t="s">
        <v>5</v>
      </c>
      <c r="G24" s="68">
        <f t="shared" ca="1" si="0"/>
        <v>0.99037891570960557</v>
      </c>
      <c r="H24" s="49">
        <f t="shared" ca="1" si="1"/>
        <v>0.21045416219234958</v>
      </c>
      <c r="I24" s="65" t="s">
        <v>5</v>
      </c>
      <c r="J24" s="58" t="str">
        <f t="shared" si="2"/>
        <v>setosa</v>
      </c>
      <c r="K24" s="25" cm="1">
        <f t="array" ref="K24">$U$7*NMultDensity(A24:D24,$U$9:$U$12,$Q$48:$T$51)+$U$20*NMultDensity(A24:D24,$U$22:$U$25,$Q$48:$T$51)+$U$33*NMultDensity(A24:D24,$U$35:$U$38,$Q$48:$T$51)</f>
        <v>0.1043700076624758</v>
      </c>
      <c r="L24" s="25" cm="1">
        <f t="array" ref="L24">$U$7*NMultDensity(A24:D24,$U$9:$U$12,$Q$48:$T$51)/K24</f>
        <v>1</v>
      </c>
      <c r="M24" s="25" cm="1">
        <f t="array" ref="M24">$U$20*NMultDensity(A24:D24,$U$22:$U$25,$Q$48:$T$51)/K24</f>
        <v>5.1063358022449449E-24</v>
      </c>
      <c r="N24" s="39" cm="1">
        <f t="array" ref="N24">$U$33*NMultDensity(A24:D24,$U$35:$U$38,$Q$48:$T$51)/K24</f>
        <v>1.3299867356816017E-42</v>
      </c>
      <c r="P24" s="30" t="s">
        <v>9</v>
      </c>
      <c r="Q24" s="26">
        <f>_xlfn.COVARIANCE.S($C$52:$C$101,A52:A101)</f>
        <v>0.18289795918367358</v>
      </c>
      <c r="R24" s="26">
        <f>_xlfn.COVARIANCE.S($C$52:$C$101,B52:B101)</f>
        <v>8.2653061224489829E-2</v>
      </c>
      <c r="S24" s="27">
        <f>_xlfn.COVARIANCE.S($C$52:$C$101,C52:C101)</f>
        <v>0.22081632653061237</v>
      </c>
      <c r="T24" s="33">
        <f>_xlfn.COVARIANCE.S($C$52:$C$101,D52:D101)</f>
        <v>7.3102040816326527E-2</v>
      </c>
      <c r="U24" s="8">
        <f>S26</f>
        <v>4.26</v>
      </c>
    </row>
    <row r="25" spans="1:21" ht="15.75" thickBot="1" x14ac:dyDescent="0.3">
      <c r="A25" s="60">
        <v>5.0999999999999996</v>
      </c>
      <c r="B25" s="25">
        <v>3.3</v>
      </c>
      <c r="C25" s="25">
        <v>1.7</v>
      </c>
      <c r="D25" s="57">
        <v>0.5</v>
      </c>
      <c r="E25" s="67" t="s">
        <v>32</v>
      </c>
      <c r="F25" s="68" t="s">
        <v>5</v>
      </c>
      <c r="G25" s="68">
        <f t="shared" ca="1" si="0"/>
        <v>1.6755452448650958</v>
      </c>
      <c r="H25" s="49">
        <f t="shared" ca="1" si="1"/>
        <v>0.52012586143864314</v>
      </c>
      <c r="I25" s="65" t="s">
        <v>5</v>
      </c>
      <c r="J25" s="58" t="str">
        <f t="shared" si="2"/>
        <v>setosa</v>
      </c>
      <c r="K25" s="25" cm="1">
        <f t="array" ref="K25">$U$7*NMultDensity(A25:D25,$U$9:$U$12,$Q$48:$T$51)+$U$20*NMultDensity(A25:D25,$U$22:$U$25,$Q$48:$T$51)+$U$33*NMultDensity(A25:D25,$U$35:$U$38,$Q$48:$T$51)</f>
        <v>7.9988899807943215E-2</v>
      </c>
      <c r="L25" s="25" cm="1">
        <f t="array" ref="L25">$U$7*NMultDensity(A25:D25,$U$9:$U$12,$Q$48:$T$51)/K25</f>
        <v>0.99999999999995492</v>
      </c>
      <c r="M25" s="25" cm="1">
        <f t="array" ref="M25">$U$20*NMultDensity(A25:D25,$U$22:$U$25,$Q$48:$T$51)/K25</f>
        <v>4.5144856962167077E-14</v>
      </c>
      <c r="N25" s="39" cm="1">
        <f t="array" ref="N25">$U$33*NMultDensity(A25:D25,$U$35:$U$38,$Q$48:$T$51)/K25</f>
        <v>3.8896853759414989E-29</v>
      </c>
      <c r="P25" s="45" t="s">
        <v>10</v>
      </c>
      <c r="Q25" s="26">
        <f>_xlfn.COVARIANCE.S($D$52:$D$101,A52:A101)</f>
        <v>5.5779591836734706E-2</v>
      </c>
      <c r="R25" s="26">
        <f>_xlfn.COVARIANCE.S($D$52:$D$101,B52:B101)</f>
        <v>4.1204081632653065E-2</v>
      </c>
      <c r="S25" s="34">
        <f>_xlfn.COVARIANCE.S($D$52:$D$101,C52:C101)</f>
        <v>7.3102040816326527E-2</v>
      </c>
      <c r="T25" s="35">
        <f>_xlfn.COVARIANCE.S($D$52:$D$101,D52:D101)</f>
        <v>3.9106122448979576E-2</v>
      </c>
      <c r="U25" s="9">
        <f>T26</f>
        <v>1.3259999999999998</v>
      </c>
    </row>
    <row r="26" spans="1:21" ht="15.75" thickBot="1" x14ac:dyDescent="0.3">
      <c r="A26" s="60">
        <v>4.8</v>
      </c>
      <c r="B26" s="25">
        <v>3.4</v>
      </c>
      <c r="C26" s="25">
        <v>1.9</v>
      </c>
      <c r="D26" s="57">
        <v>0.2</v>
      </c>
      <c r="E26" s="67" t="s">
        <v>32</v>
      </c>
      <c r="F26" s="68" t="s">
        <v>5</v>
      </c>
      <c r="G26" s="68">
        <f t="shared" ca="1" si="0"/>
        <v>1.9036736649669448</v>
      </c>
      <c r="H26" s="49">
        <f t="shared" ca="1" si="1"/>
        <v>0.17993376845673539</v>
      </c>
      <c r="I26" s="65" t="s">
        <v>5</v>
      </c>
      <c r="J26" s="58" t="str">
        <f t="shared" si="2"/>
        <v>setosa</v>
      </c>
      <c r="K26" s="25" cm="1">
        <f t="array" ref="K26">$U$7*NMultDensity(A26:D26,$U$9:$U$12,$Q$48:$T$51)+$U$20*NMultDensity(A26:D26,$U$22:$U$25,$Q$48:$T$51)+$U$33*NMultDensity(A26:D26,$U$35:$U$38,$Q$48:$T$51)</f>
        <v>2.4821344267586254E-2</v>
      </c>
      <c r="L26" s="25" cm="1">
        <f t="array" ref="L26">$U$7*NMultDensity(A26:D26,$U$9:$U$12,$Q$48:$T$51)/K26</f>
        <v>0.99999999999998757</v>
      </c>
      <c r="M26" s="25" cm="1">
        <f t="array" ref="M26">$U$20*NMultDensity(A26:D26,$U$22:$U$25,$Q$48:$T$51)/K26</f>
        <v>1.2496117752402808E-14</v>
      </c>
      <c r="N26" s="39" cm="1">
        <f t="array" ref="N26">$U$33*NMultDensity(A26:D26,$U$35:$U$38,$Q$48:$T$51)/K26</f>
        <v>3.1363957393356187E-30</v>
      </c>
      <c r="P26" s="44" t="s">
        <v>11</v>
      </c>
      <c r="Q26" s="10">
        <f>AVERAGE(A$52:A$101)</f>
        <v>5.9359999999999999</v>
      </c>
      <c r="R26" s="11">
        <f>AVERAGE(B$52:B$101)</f>
        <v>2.7700000000000005</v>
      </c>
      <c r="S26" s="11">
        <f>AVERAGE(C$52:C$101)</f>
        <v>4.26</v>
      </c>
      <c r="T26" s="12">
        <f>AVERAGE(D$52:D$101)</f>
        <v>1.3259999999999998</v>
      </c>
    </row>
    <row r="27" spans="1:21" x14ac:dyDescent="0.25">
      <c r="A27" s="60">
        <v>5</v>
      </c>
      <c r="B27" s="25">
        <v>3</v>
      </c>
      <c r="C27" s="25">
        <v>1.6</v>
      </c>
      <c r="D27" s="57">
        <v>0.2</v>
      </c>
      <c r="E27" s="67" t="s">
        <v>32</v>
      </c>
      <c r="F27" s="68" t="s">
        <v>5</v>
      </c>
      <c r="G27" s="68">
        <f t="shared" ca="1" si="0"/>
        <v>1.5954417400146759</v>
      </c>
      <c r="H27" s="49">
        <f t="shared" ca="1" si="1"/>
        <v>0.1984354986401286</v>
      </c>
      <c r="I27" s="65" t="s">
        <v>5</v>
      </c>
      <c r="J27" s="58" t="str">
        <f t="shared" si="2"/>
        <v>setosa</v>
      </c>
      <c r="K27" s="25" cm="1">
        <f t="array" ref="K27">$U$7*NMultDensity(A27:D27,$U$9:$U$12,$Q$48:$T$51)+$U$20*NMultDensity(A27:D27,$U$22:$U$25,$Q$48:$T$51)+$U$33*NMultDensity(A27:D27,$U$35:$U$38,$Q$48:$T$51)</f>
        <v>7.2837653826425555E-2</v>
      </c>
      <c r="L27" s="25" cm="1">
        <f t="array" ref="L27">$U$7*NMultDensity(A27:D27,$U$9:$U$12,$Q$48:$T$51)/K27</f>
        <v>0.99999999999999201</v>
      </c>
      <c r="M27" s="25" cm="1">
        <f t="array" ref="M27">$U$20*NMultDensity(A27:D27,$U$22:$U$25,$Q$48:$T$51)/K27</f>
        <v>8.0164774565039958E-15</v>
      </c>
      <c r="N27" s="39" cm="1">
        <f t="array" ref="N27">$U$33*NMultDensity(A27:D27,$U$35:$U$38,$Q$48:$T$51)/K27</f>
        <v>5.1569100501926199E-31</v>
      </c>
      <c r="P27" s="31" t="s">
        <v>12</v>
      </c>
      <c r="Q27" s="2">
        <f>MIN(A52:A101)</f>
        <v>4.9000000000000004</v>
      </c>
      <c r="R27" s="3">
        <f>MIN(B52:B101)</f>
        <v>2</v>
      </c>
      <c r="S27" s="36">
        <f>MIN(C52:C101)</f>
        <v>3</v>
      </c>
      <c r="T27" s="37">
        <f>MIN(D52:D101)</f>
        <v>1</v>
      </c>
    </row>
    <row r="28" spans="1:21" ht="15.75" thickBot="1" x14ac:dyDescent="0.3">
      <c r="A28" s="60">
        <v>5</v>
      </c>
      <c r="B28" s="25">
        <v>3.4</v>
      </c>
      <c r="C28" s="25">
        <v>1.6</v>
      </c>
      <c r="D28" s="57">
        <v>0.4</v>
      </c>
      <c r="E28" s="67" t="s">
        <v>32</v>
      </c>
      <c r="F28" s="68" t="s">
        <v>5</v>
      </c>
      <c r="G28" s="68">
        <f t="shared" ca="1" si="0"/>
        <v>1.5880696939004113</v>
      </c>
      <c r="H28" s="49">
        <f t="shared" ca="1" si="1"/>
        <v>0.39878944500571534</v>
      </c>
      <c r="I28" s="65" t="s">
        <v>5</v>
      </c>
      <c r="J28" s="58" t="str">
        <f t="shared" si="2"/>
        <v>setosa</v>
      </c>
      <c r="K28" s="25" cm="1">
        <f t="array" ref="K28">$U$7*NMultDensity(A28:D28,$U$9:$U$12,$Q$48:$T$51)+$U$20*NMultDensity(A28:D28,$U$22:$U$25,$Q$48:$T$51)+$U$33*NMultDensity(A28:D28,$U$35:$U$38,$Q$48:$T$51)</f>
        <v>0.19440768010147114</v>
      </c>
      <c r="L28" s="25" cm="1">
        <f t="array" ref="L28">$U$7*NMultDensity(A28:D28,$U$9:$U$12,$Q$48:$T$51)/K28</f>
        <v>0.99999999999999989</v>
      </c>
      <c r="M28" s="25" cm="1">
        <f t="array" ref="M28">$U$20*NMultDensity(A28:D28,$U$22:$U$25,$Q$48:$T$51)/K28</f>
        <v>2.0155844966966814E-16</v>
      </c>
      <c r="N28" s="39" cm="1">
        <f t="array" ref="N28">$U$33*NMultDensity(A28:D28,$U$35:$U$38,$Q$48:$T$51)/K28</f>
        <v>2.4636602595165416E-32</v>
      </c>
      <c r="P28" s="32" t="s">
        <v>13</v>
      </c>
      <c r="Q28" s="15">
        <f>MAX(A52:A101)</f>
        <v>7</v>
      </c>
      <c r="R28" s="16">
        <f>MAX(B52:B101)</f>
        <v>3.4</v>
      </c>
      <c r="S28" s="17">
        <f>MAX(C52:C101)</f>
        <v>5.0999999999999996</v>
      </c>
      <c r="T28" s="18">
        <f>MAX(D52:D101)</f>
        <v>1.8</v>
      </c>
    </row>
    <row r="29" spans="1:21" x14ac:dyDescent="0.25">
      <c r="A29" s="60">
        <v>5.2</v>
      </c>
      <c r="B29" s="25">
        <v>3.5</v>
      </c>
      <c r="C29" s="25">
        <v>1.5</v>
      </c>
      <c r="D29" s="57">
        <v>0.2</v>
      </c>
      <c r="E29" s="67" t="s">
        <v>32</v>
      </c>
      <c r="F29" s="68" t="s">
        <v>5</v>
      </c>
      <c r="G29" s="68">
        <f t="shared" ca="1" si="0"/>
        <v>1.5233238600130632</v>
      </c>
      <c r="H29" s="49">
        <f t="shared" ca="1" si="1"/>
        <v>0.21929917383832162</v>
      </c>
      <c r="I29" s="65" t="s">
        <v>5</v>
      </c>
      <c r="J29" s="58" t="str">
        <f t="shared" si="2"/>
        <v>setosa</v>
      </c>
      <c r="K29" s="25" cm="1">
        <f t="array" ref="K29">$U$7*NMultDensity(A29:D29,$U$9:$U$12,$Q$48:$T$51)+$U$20*NMultDensity(A29:D29,$U$22:$U$25,$Q$48:$T$51)+$U$33*NMultDensity(A29:D29,$U$35:$U$38,$Q$48:$T$51)</f>
        <v>0.23919526232943086</v>
      </c>
      <c r="L29" s="25" cm="1">
        <f t="array" ref="L29">$U$7*NMultDensity(A29:D29,$U$9:$U$12,$Q$48:$T$51)/K29</f>
        <v>1</v>
      </c>
      <c r="M29" s="25" cm="1">
        <f t="array" ref="M29">$U$20*NMultDensity(A29:D29,$U$22:$U$25,$Q$48:$T$51)/K29</f>
        <v>4.5652875721822495E-21</v>
      </c>
      <c r="N29" s="39" cm="1">
        <f t="array" ref="N29">$U$33*NMultDensity(A29:D29,$U$35:$U$38,$Q$48:$T$51)/K29</f>
        <v>7.6687594041060887E-39</v>
      </c>
    </row>
    <row r="30" spans="1:21" ht="15.75" thickBot="1" x14ac:dyDescent="0.3">
      <c r="A30" s="60">
        <v>5.2</v>
      </c>
      <c r="B30" s="25">
        <v>3.4</v>
      </c>
      <c r="C30" s="25">
        <v>1.4</v>
      </c>
      <c r="D30" s="57">
        <v>0.2</v>
      </c>
      <c r="E30" s="67" t="s">
        <v>32</v>
      </c>
      <c r="F30" s="68" t="s">
        <v>5</v>
      </c>
      <c r="G30" s="68">
        <f t="shared" ca="1" si="0"/>
        <v>1.3933559000500015</v>
      </c>
      <c r="H30" s="49">
        <f t="shared" ca="1" si="1"/>
        <v>0.19865425221337599</v>
      </c>
      <c r="I30" s="65" t="s">
        <v>5</v>
      </c>
      <c r="J30" s="58" t="str">
        <f t="shared" si="2"/>
        <v>setosa</v>
      </c>
      <c r="K30" s="25" cm="1">
        <f t="array" ref="K30">$U$7*NMultDensity(A30:D30,$U$9:$U$12,$Q$48:$T$51)+$U$20*NMultDensity(A30:D30,$U$22:$U$25,$Q$48:$T$51)+$U$33*NMultDensity(A30:D30,$U$35:$U$38,$Q$48:$T$51)</f>
        <v>0.20358732822984413</v>
      </c>
      <c r="L30" s="25" cm="1">
        <f t="array" ref="L30">$U$7*NMultDensity(A30:D30,$U$9:$U$12,$Q$48:$T$51)/K30</f>
        <v>1</v>
      </c>
      <c r="M30" s="25" cm="1">
        <f t="array" ref="M30">$U$20*NMultDensity(A30:D30,$U$22:$U$25,$Q$48:$T$51)/K30</f>
        <v>3.9487431966725759E-21</v>
      </c>
      <c r="N30" s="39" cm="1">
        <f t="array" ref="N30">$U$33*NMultDensity(A30:D30,$U$35:$U$38,$Q$48:$T$51)/K30</f>
        <v>4.7473856424233657E-39</v>
      </c>
      <c r="P30" s="19" t="s">
        <v>14</v>
      </c>
      <c r="Q30" s="19">
        <f>COUNT(C52:C101)</f>
        <v>50</v>
      </c>
    </row>
    <row r="31" spans="1:21" ht="15.75" thickTop="1" x14ac:dyDescent="0.25">
      <c r="A31" s="60">
        <v>4.7</v>
      </c>
      <c r="B31" s="25">
        <v>3.2</v>
      </c>
      <c r="C31" s="25">
        <v>1.6</v>
      </c>
      <c r="D31" s="57">
        <v>0.2</v>
      </c>
      <c r="E31" s="67" t="s">
        <v>32</v>
      </c>
      <c r="F31" s="68" t="s">
        <v>5</v>
      </c>
      <c r="G31" s="68">
        <f t="shared" ca="1" si="0"/>
        <v>1.6107024048487428</v>
      </c>
      <c r="H31" s="49">
        <f t="shared" ca="1" si="1"/>
        <v>0.1977723969033722</v>
      </c>
      <c r="I31" s="65" t="s">
        <v>5</v>
      </c>
      <c r="J31" s="58" t="str">
        <f t="shared" si="2"/>
        <v>setosa</v>
      </c>
      <c r="K31" s="25" cm="1">
        <f t="array" ref="K31">$U$7*NMultDensity(A31:D31,$U$9:$U$12,$Q$48:$T$51)+$U$20*NMultDensity(A31:D31,$U$22:$U$25,$Q$48:$T$51)+$U$33*NMultDensity(A31:D31,$U$35:$U$38,$Q$48:$T$51)</f>
        <v>9.6482617677069046E-2</v>
      </c>
      <c r="L31" s="25" cm="1">
        <f t="array" ref="L31">$U$7*NMultDensity(A31:D31,$U$9:$U$12,$Q$48:$T$51)/K31</f>
        <v>0.99999999999999711</v>
      </c>
      <c r="M31" s="25" cm="1">
        <f t="array" ref="M31">$U$20*NMultDensity(A31:D31,$U$22:$U$25,$Q$48:$T$51)/K31</f>
        <v>2.9400989166788463E-15</v>
      </c>
      <c r="N31" s="39" cm="1">
        <f t="array" ref="N31">$U$33*NMultDensity(A31:D31,$U$35:$U$38,$Q$48:$T$51)/K31</f>
        <v>2.6203838856655529E-31</v>
      </c>
    </row>
    <row r="32" spans="1:21" x14ac:dyDescent="0.25">
      <c r="A32" s="60">
        <v>4.8</v>
      </c>
      <c r="B32" s="25">
        <v>3.1</v>
      </c>
      <c r="C32" s="25">
        <v>1.6</v>
      </c>
      <c r="D32" s="57">
        <v>0.2</v>
      </c>
      <c r="E32" s="67" t="s">
        <v>32</v>
      </c>
      <c r="F32" s="68" t="s">
        <v>5</v>
      </c>
      <c r="G32" s="68">
        <f t="shared" ca="1" si="0"/>
        <v>1.5786196861423036</v>
      </c>
      <c r="H32" s="49">
        <f t="shared" ca="1" si="1"/>
        <v>0.22050806985054897</v>
      </c>
      <c r="I32" s="65" t="s">
        <v>5</v>
      </c>
      <c r="J32" s="58" t="str">
        <f t="shared" si="2"/>
        <v>setosa</v>
      </c>
      <c r="K32" s="25" cm="1">
        <f t="array" ref="K32">$U$7*NMultDensity(A32:D32,$U$9:$U$12,$Q$48:$T$51)+$U$20*NMultDensity(A32:D32,$U$22:$U$25,$Q$48:$T$51)+$U$33*NMultDensity(A32:D32,$U$35:$U$38,$Q$48:$T$51)</f>
        <v>9.791293381906982E-2</v>
      </c>
      <c r="L32" s="25" cm="1">
        <f t="array" ref="L32">$U$7*NMultDensity(A32:D32,$U$9:$U$12,$Q$48:$T$51)/K32</f>
        <v>0.9999999999999919</v>
      </c>
      <c r="M32" s="25" cm="1">
        <f t="array" ref="M32">$U$20*NMultDensity(A32:D32,$U$22:$U$25,$Q$48:$T$51)/K32</f>
        <v>8.0862536984050346E-15</v>
      </c>
      <c r="N32" s="39" cm="1">
        <f t="array" ref="N32">$U$33*NMultDensity(A32:D32,$U$35:$U$38,$Q$48:$T$51)/K32</f>
        <v>7.4407900965907295E-31</v>
      </c>
    </row>
    <row r="33" spans="1:21" ht="15.75" thickBot="1" x14ac:dyDescent="0.3">
      <c r="A33" s="60">
        <v>5.4</v>
      </c>
      <c r="B33" s="25">
        <v>3.4</v>
      </c>
      <c r="C33" s="25">
        <v>1.5</v>
      </c>
      <c r="D33" s="57">
        <v>0.4</v>
      </c>
      <c r="E33" s="67" t="s">
        <v>33</v>
      </c>
      <c r="F33" s="68" t="s">
        <v>5</v>
      </c>
      <c r="G33" s="68">
        <f t="shared" ca="1" si="0"/>
        <v>1.4753980004246521</v>
      </c>
      <c r="H33" s="49">
        <f t="shared" ca="1" si="1"/>
        <v>0.39557385348134932</v>
      </c>
      <c r="I33" s="65" t="s">
        <v>5</v>
      </c>
      <c r="J33" s="58" t="str">
        <f t="shared" si="2"/>
        <v>setosa</v>
      </c>
      <c r="K33" s="25" cm="1">
        <f t="array" ref="K33">$U$7*NMultDensity(A33:D33,$U$9:$U$12,$Q$48:$T$51)+$U$20*NMultDensity(A33:D33,$U$22:$U$25,$Q$48:$T$51)+$U$33*NMultDensity(A33:D33,$U$35:$U$38,$Q$48:$T$51)</f>
        <v>8.4479461805948119E-2</v>
      </c>
      <c r="L33" s="25" cm="1">
        <f t="array" ref="L33">$U$7*NMultDensity(A33:D33,$U$9:$U$12,$Q$48:$T$51)/K33</f>
        <v>1</v>
      </c>
      <c r="M33" s="25" cm="1">
        <f t="array" ref="M33">$U$20*NMultDensity(A33:D33,$U$22:$U$25,$Q$48:$T$51)/K33</f>
        <v>3.8570946861320798E-19</v>
      </c>
      <c r="N33" s="39" cm="1">
        <f t="array" ref="N33">$U$33*NMultDensity(A33:D33,$U$35:$U$38,$Q$48:$T$51)/K33</f>
        <v>4.65198099932712E-36</v>
      </c>
      <c r="P33" s="94" t="s">
        <v>18</v>
      </c>
      <c r="Q33" s="95"/>
      <c r="R33" s="96"/>
      <c r="S33" s="90" t="s">
        <v>17</v>
      </c>
      <c r="T33" s="91"/>
      <c r="U33" s="28">
        <f>1-U20-U7</f>
        <v>0.56666666666666676</v>
      </c>
    </row>
    <row r="34" spans="1:21" ht="15.75" thickBot="1" x14ac:dyDescent="0.3">
      <c r="A34" s="60">
        <v>5.2</v>
      </c>
      <c r="B34" s="25">
        <v>4.0999999999999996</v>
      </c>
      <c r="C34" s="25">
        <v>1.5</v>
      </c>
      <c r="D34" s="57">
        <v>0.1</v>
      </c>
      <c r="E34" s="67" t="s">
        <v>33</v>
      </c>
      <c r="F34" s="68" t="s">
        <v>5</v>
      </c>
      <c r="G34" s="68">
        <f t="shared" ref="G34:G65" ca="1" si="3">C34+0.05*RAND()-0.025</f>
        <v>1.5047072218254607</v>
      </c>
      <c r="H34" s="49">
        <f t="shared" ref="H34:H65" ca="1" si="4">D34+0.05*RAND()-0.025</f>
        <v>0.10242512115698071</v>
      </c>
      <c r="I34" s="65" t="s">
        <v>5</v>
      </c>
      <c r="J34" s="58" t="str">
        <f t="shared" ref="J34:J65" si="5">IF(L34&gt;MAX(M34:N34),$I$2,IF(M34&gt;N34,$I$52,$I$102))</f>
        <v>setosa</v>
      </c>
      <c r="K34" s="25" cm="1">
        <f t="array" ref="K34">$U$7*NMultDensity(A34:D34,$U$9:$U$12,$Q$48:$T$51)+$U$20*NMultDensity(A34:D34,$U$22:$U$25,$Q$48:$T$51)+$U$33*NMultDensity(A34:D34,$U$35:$U$38,$Q$48:$T$51)</f>
        <v>3.6417081328321654E-3</v>
      </c>
      <c r="L34" s="25" cm="1">
        <f t="array" ref="L34">$U$7*NMultDensity(A34:D34,$U$9:$U$12,$Q$48:$T$51)/K34</f>
        <v>1</v>
      </c>
      <c r="M34" s="25" cm="1">
        <f t="array" ref="M34">$U$20*NMultDensity(A34:D34,$U$22:$U$25,$Q$48:$T$51)/K34</f>
        <v>2.5060076571053052E-27</v>
      </c>
      <c r="N34" s="39" cm="1">
        <f t="array" ref="N34">$U$33*NMultDensity(A34:D34,$U$35:$U$38,$Q$48:$T$51)/K34</f>
        <v>1.04526731902877E-46</v>
      </c>
      <c r="P34" s="26"/>
      <c r="Q34" s="22" t="s">
        <v>15</v>
      </c>
      <c r="R34" s="23" t="s">
        <v>16</v>
      </c>
      <c r="S34" s="23" t="s">
        <v>9</v>
      </c>
      <c r="T34" s="59" t="s">
        <v>10</v>
      </c>
      <c r="U34" s="47" t="s">
        <v>11</v>
      </c>
    </row>
    <row r="35" spans="1:21" x14ac:dyDescent="0.25">
      <c r="A35" s="60">
        <v>5.5</v>
      </c>
      <c r="B35" s="25">
        <v>4.2</v>
      </c>
      <c r="C35" s="25">
        <v>1.4</v>
      </c>
      <c r="D35" s="57">
        <v>0.2</v>
      </c>
      <c r="E35" s="67" t="s">
        <v>33</v>
      </c>
      <c r="F35" s="68" t="s">
        <v>5</v>
      </c>
      <c r="G35" s="68">
        <f t="shared" ca="1" si="3"/>
        <v>1.4207224265581568</v>
      </c>
      <c r="H35" s="49">
        <f t="shared" ca="1" si="4"/>
        <v>0.18309153773246561</v>
      </c>
      <c r="I35" s="65" t="s">
        <v>5</v>
      </c>
      <c r="J35" s="58" t="str">
        <f t="shared" si="5"/>
        <v>setosa</v>
      </c>
      <c r="K35" s="25" cm="1">
        <f t="array" ref="K35">$U$7*NMultDensity(A35:D35,$U$9:$U$12,$Q$48:$T$51)+$U$20*NMultDensity(A35:D35,$U$22:$U$25,$Q$48:$T$51)+$U$33*NMultDensity(A35:D35,$U$35:$U$38,$Q$48:$T$51)</f>
        <v>2.0874237142739813E-3</v>
      </c>
      <c r="L35" s="25" cm="1">
        <f t="array" ref="L35">$U$7*NMultDensity(A35:D35,$U$9:$U$12,$Q$48:$T$51)/K35</f>
        <v>1</v>
      </c>
      <c r="M35" s="25" cm="1">
        <f t="array" ref="M35">$U$20*NMultDensity(A35:D35,$U$22:$U$25,$Q$48:$T$51)/K35</f>
        <v>1.6096603189716811E-29</v>
      </c>
      <c r="N35" s="39" cm="1">
        <f t="array" ref="N35">$U$33*NMultDensity(A35:D35,$U$35:$U$38,$Q$48:$T$51)/K35</f>
        <v>2.0563711924168975E-49</v>
      </c>
      <c r="P35" s="29" t="s">
        <v>15</v>
      </c>
      <c r="Q35" s="26">
        <f>_xlfn.COVARIANCE.S($A$102:$A$151,A102:A151)</f>
        <v>0.40434285714285706</v>
      </c>
      <c r="R35" s="26">
        <f>_xlfn.COVARIANCE.S($A$102:$A$151,B102:B151)</f>
        <v>9.3763265306122431E-2</v>
      </c>
      <c r="S35" s="26">
        <f>_xlfn.COVARIANCE.S($A$102:$A$151,C102:C151)</f>
        <v>0.30328979591836741</v>
      </c>
      <c r="T35" s="26">
        <f>_xlfn.COVARIANCE.S($A$102:$A$151,D102:D151)</f>
        <v>4.9093877551020432E-2</v>
      </c>
      <c r="U35" s="7">
        <f>Q39</f>
        <v>6.5879999999999983</v>
      </c>
    </row>
    <row r="36" spans="1:21" x14ac:dyDescent="0.25">
      <c r="A36" s="60">
        <v>4.9000000000000004</v>
      </c>
      <c r="B36" s="25">
        <v>3.1</v>
      </c>
      <c r="C36" s="25">
        <v>1.5</v>
      </c>
      <c r="D36" s="57">
        <v>0.2</v>
      </c>
      <c r="E36" s="67" t="s">
        <v>33</v>
      </c>
      <c r="F36" s="68" t="s">
        <v>5</v>
      </c>
      <c r="G36" s="68">
        <f t="shared" ca="1" si="3"/>
        <v>1.4779200011348004</v>
      </c>
      <c r="H36" s="49">
        <f t="shared" ca="1" si="4"/>
        <v>0.18989483571529711</v>
      </c>
      <c r="I36" s="65" t="s">
        <v>5</v>
      </c>
      <c r="J36" s="58" t="str">
        <f t="shared" si="5"/>
        <v>setosa</v>
      </c>
      <c r="K36" s="25" cm="1">
        <f t="array" ref="K36">$U$7*NMultDensity(A36:D36,$U$9:$U$12,$Q$48:$T$51)+$U$20*NMultDensity(A36:D36,$U$22:$U$25,$Q$48:$T$51)+$U$33*NMultDensity(A36:D36,$U$35:$U$38,$Q$48:$T$51)</f>
        <v>0.14049242595997111</v>
      </c>
      <c r="L36" s="25" cm="1">
        <f t="array" ref="L36">$U$7*NMultDensity(A36:D36,$U$9:$U$12,$Q$48:$T$51)/K36</f>
        <v>0.99999999999999956</v>
      </c>
      <c r="M36" s="25" cm="1">
        <f t="array" ref="M36">$U$20*NMultDensity(A36:D36,$U$22:$U$25,$Q$48:$T$51)/K36</f>
        <v>3.3041083276011532E-16</v>
      </c>
      <c r="N36" s="39" cm="1">
        <f t="array" ref="N36">$U$33*NMultDensity(A36:D36,$U$35:$U$38,$Q$48:$T$51)/K36</f>
        <v>9.6633355135565025E-33</v>
      </c>
      <c r="P36" s="30" t="s">
        <v>16</v>
      </c>
      <c r="Q36" s="26">
        <f>_xlfn.COVARIANCE.S($B$102:$B$151,A102:A151)</f>
        <v>9.3763265306122431E-2</v>
      </c>
      <c r="R36" s="26">
        <f>_xlfn.COVARIANCE.S($B$102:$B$151,B102:B151)</f>
        <v>0.10400408163265312</v>
      </c>
      <c r="S36" s="26">
        <f>_xlfn.COVARIANCE.S($B$102:$B$151,C102:C151)</f>
        <v>7.1379591836734674E-2</v>
      </c>
      <c r="T36" s="26">
        <f>_xlfn.COVARIANCE.S($B$102:$B$151,D102:D151)</f>
        <v>4.7628571428571437E-2</v>
      </c>
      <c r="U36" s="8">
        <f>R39</f>
        <v>2.9739999999999998</v>
      </c>
    </row>
    <row r="37" spans="1:21" x14ac:dyDescent="0.25">
      <c r="A37" s="60">
        <v>5</v>
      </c>
      <c r="B37" s="25">
        <v>3.2</v>
      </c>
      <c r="C37" s="25">
        <v>1.2</v>
      </c>
      <c r="D37" s="57">
        <v>0.2</v>
      </c>
      <c r="E37" s="67" t="s">
        <v>33</v>
      </c>
      <c r="F37" s="68" t="s">
        <v>5</v>
      </c>
      <c r="G37" s="68">
        <f t="shared" ca="1" si="3"/>
        <v>1.1825690564812836</v>
      </c>
      <c r="H37" s="49">
        <f t="shared" ca="1" si="4"/>
        <v>0.18231044281739442</v>
      </c>
      <c r="I37" s="65" t="s">
        <v>5</v>
      </c>
      <c r="J37" s="58" t="str">
        <f t="shared" si="5"/>
        <v>setosa</v>
      </c>
      <c r="K37" s="25" cm="1">
        <f t="array" ref="K37">$U$7*NMultDensity(A37:D37,$U$9:$U$12,$Q$48:$T$51)+$U$20*NMultDensity(A37:D37,$U$22:$U$25,$Q$48:$T$51)+$U$33*NMultDensity(A37:D37,$U$35:$U$38,$Q$48:$T$51)</f>
        <v>0.12894243138741721</v>
      </c>
      <c r="L37" s="25" cm="1">
        <f t="array" ref="L37">$U$7*NMultDensity(A37:D37,$U$9:$U$12,$Q$48:$T$51)/K37</f>
        <v>1</v>
      </c>
      <c r="M37" s="25" cm="1">
        <f t="array" ref="M37">$U$20*NMultDensity(A37:D37,$U$22:$U$25,$Q$48:$T$51)/K37</f>
        <v>2.2737295655568795E-20</v>
      </c>
      <c r="N37" s="39" cm="1">
        <f t="array" ref="N37">$U$33*NMultDensity(A37:D37,$U$35:$U$38,$Q$48:$T$51)/K37</f>
        <v>3.0540811432050463E-38</v>
      </c>
      <c r="P37" s="30" t="s">
        <v>9</v>
      </c>
      <c r="Q37" s="26">
        <f>_xlfn.COVARIANCE.S($C$102:$C$151,A102:A151)</f>
        <v>0.30328979591836741</v>
      </c>
      <c r="R37" s="26">
        <f>_xlfn.COVARIANCE.S($C$102:$C$151,B102:B151)</f>
        <v>7.1379591836734674E-2</v>
      </c>
      <c r="S37" s="27">
        <f>_xlfn.COVARIANCE.S($C$102:$C$151,C102:C151)</f>
        <v>0.304587755102041</v>
      </c>
      <c r="T37" s="33">
        <f>_xlfn.COVARIANCE.S($C$102:$C$151,D102:D151)</f>
        <v>4.8824489795918372E-2</v>
      </c>
      <c r="U37" s="8">
        <f>S39</f>
        <v>5.5519999999999996</v>
      </c>
    </row>
    <row r="38" spans="1:21" ht="15.75" thickBot="1" x14ac:dyDescent="0.3">
      <c r="A38" s="60">
        <v>5.5</v>
      </c>
      <c r="B38" s="25">
        <v>3.5</v>
      </c>
      <c r="C38" s="25">
        <v>1.3</v>
      </c>
      <c r="D38" s="57">
        <v>0.2</v>
      </c>
      <c r="E38" s="67" t="s">
        <v>33</v>
      </c>
      <c r="F38" s="68" t="s">
        <v>5</v>
      </c>
      <c r="G38" s="68">
        <f t="shared" ca="1" si="3"/>
        <v>1.2962262334449353</v>
      </c>
      <c r="H38" s="49">
        <f t="shared" ca="1" si="4"/>
        <v>0.20931102872358712</v>
      </c>
      <c r="I38" s="65" t="s">
        <v>5</v>
      </c>
      <c r="J38" s="58" t="str">
        <f t="shared" si="5"/>
        <v>setosa</v>
      </c>
      <c r="K38" s="25" cm="1">
        <f t="array" ref="K38">$U$7*NMultDensity(A38:D38,$U$9:$U$12,$Q$48:$T$51)+$U$20*NMultDensity(A38:D38,$U$22:$U$25,$Q$48:$T$51)+$U$33*NMultDensity(A38:D38,$U$35:$U$38,$Q$48:$T$51)</f>
        <v>3.9575856550370214E-2</v>
      </c>
      <c r="L38" s="25" cm="1">
        <f t="array" ref="L38">$U$7*NMultDensity(A38:D38,$U$9:$U$12,$Q$48:$T$51)/K38</f>
        <v>1</v>
      </c>
      <c r="M38" s="25" cm="1">
        <f t="array" ref="M38">$U$20*NMultDensity(A38:D38,$U$22:$U$25,$Q$48:$T$51)/K38</f>
        <v>2.7474687475048971E-24</v>
      </c>
      <c r="N38" s="39" cm="1">
        <f t="array" ref="N38">$U$33*NMultDensity(A38:D38,$U$35:$U$38,$Q$48:$T$51)/K38</f>
        <v>3.1568757774806719E-43</v>
      </c>
      <c r="P38" s="45" t="s">
        <v>10</v>
      </c>
      <c r="Q38" s="26">
        <f>_xlfn.COVARIANCE.S($D$102:$D$151,A102:A151)</f>
        <v>4.9093877551020432E-2</v>
      </c>
      <c r="R38" s="26">
        <f>_xlfn.COVARIANCE.S($D$102:$D$151,B102:B151)</f>
        <v>4.7628571428571437E-2</v>
      </c>
      <c r="S38" s="34">
        <f>_xlfn.COVARIANCE.S($D$102:$D$151,C102:C151)</f>
        <v>4.8824489795918372E-2</v>
      </c>
      <c r="T38" s="35">
        <f>_xlfn.COVARIANCE.S($D$102:$D$151,D102:D151)</f>
        <v>7.5432653061224472E-2</v>
      </c>
      <c r="U38" s="9">
        <f>T39</f>
        <v>2.0259999999999998</v>
      </c>
    </row>
    <row r="39" spans="1:21" ht="15.75" thickBot="1" x14ac:dyDescent="0.3">
      <c r="A39" s="60">
        <v>4.9000000000000004</v>
      </c>
      <c r="B39" s="25">
        <v>3.6</v>
      </c>
      <c r="C39" s="25">
        <v>1.4</v>
      </c>
      <c r="D39" s="57">
        <v>0.1</v>
      </c>
      <c r="E39" s="67" t="s">
        <v>33</v>
      </c>
      <c r="F39" s="68" t="s">
        <v>5</v>
      </c>
      <c r="G39" s="68">
        <f t="shared" ca="1" si="3"/>
        <v>1.398463553612558</v>
      </c>
      <c r="H39" s="49">
        <f t="shared" ca="1" si="4"/>
        <v>0.11700037162258822</v>
      </c>
      <c r="I39" s="65" t="s">
        <v>5</v>
      </c>
      <c r="J39" s="58" t="str">
        <f t="shared" si="5"/>
        <v>setosa</v>
      </c>
      <c r="K39" s="25" cm="1">
        <f t="array" ref="K39">$U$7*NMultDensity(A39:D39,$U$9:$U$12,$Q$48:$T$51)+$U$20*NMultDensity(A39:D39,$U$22:$U$25,$Q$48:$T$51)+$U$33*NMultDensity(A39:D39,$U$35:$U$38,$Q$48:$T$51)</f>
        <v>0.12321113148693524</v>
      </c>
      <c r="L39" s="25" cm="1">
        <f t="array" ref="L39">$U$7*NMultDensity(A39:D39,$U$9:$U$12,$Q$48:$T$51)/K39</f>
        <v>1</v>
      </c>
      <c r="M39" s="25" cm="1">
        <f t="array" ref="M39">$U$20*NMultDensity(A39:D39,$U$22:$U$25,$Q$48:$T$51)/K39</f>
        <v>1.5687700269516865E-22</v>
      </c>
      <c r="N39" s="39" cm="1">
        <f t="array" ref="N39">$U$33*NMultDensity(A39:D39,$U$35:$U$38,$Q$48:$T$51)/K39</f>
        <v>8.1537748939407372E-41</v>
      </c>
      <c r="P39" s="44" t="s">
        <v>11</v>
      </c>
      <c r="Q39" s="10">
        <f>AVERAGE(A$102:A$151)</f>
        <v>6.5879999999999983</v>
      </c>
      <c r="R39" s="11">
        <f>AVERAGE(B$102:B$151)</f>
        <v>2.9739999999999998</v>
      </c>
      <c r="S39" s="11">
        <f>AVERAGE(C$102:C$151)</f>
        <v>5.5519999999999996</v>
      </c>
      <c r="T39" s="12">
        <f>AVERAGE(D$102:D$151)</f>
        <v>2.0259999999999998</v>
      </c>
      <c r="U39" s="26"/>
    </row>
    <row r="40" spans="1:21" x14ac:dyDescent="0.25">
      <c r="A40" s="60">
        <v>4.4000000000000004</v>
      </c>
      <c r="B40" s="25">
        <v>3</v>
      </c>
      <c r="C40" s="25">
        <v>1.3</v>
      </c>
      <c r="D40" s="57">
        <v>0.2</v>
      </c>
      <c r="E40" s="67" t="s">
        <v>33</v>
      </c>
      <c r="F40" s="68" t="s">
        <v>5</v>
      </c>
      <c r="G40" s="68">
        <f t="shared" ca="1" si="3"/>
        <v>1.2988835855280458</v>
      </c>
      <c r="H40" s="49">
        <f t="shared" ca="1" si="4"/>
        <v>0.19275970571089718</v>
      </c>
      <c r="I40" s="65" t="s">
        <v>5</v>
      </c>
      <c r="J40" s="58" t="str">
        <f t="shared" si="5"/>
        <v>setosa</v>
      </c>
      <c r="K40" s="25" cm="1">
        <f t="array" ref="K40">$U$7*NMultDensity(A40:D40,$U$9:$U$12,$Q$48:$T$51)+$U$20*NMultDensity(A40:D40,$U$22:$U$25,$Q$48:$T$51)+$U$33*NMultDensity(A40:D40,$U$35:$U$38,$Q$48:$T$51)</f>
        <v>6.1311354535358895E-2</v>
      </c>
      <c r="L40" s="25" cm="1">
        <f t="array" ref="L40">$U$7*NMultDensity(A40:D40,$U$9:$U$12,$Q$48:$T$51)/K40</f>
        <v>0.99999999999999467</v>
      </c>
      <c r="M40" s="25" cm="1">
        <f t="array" ref="M40">$U$20*NMultDensity(A40:D40,$U$22:$U$25,$Q$48:$T$51)/K40</f>
        <v>5.3241120989432018E-15</v>
      </c>
      <c r="N40" s="39" cm="1">
        <f t="array" ref="N40">$U$33*NMultDensity(A40:D40,$U$35:$U$38,$Q$48:$T$51)/K40</f>
        <v>3.6750753312118195E-31</v>
      </c>
      <c r="P40" s="31" t="s">
        <v>12</v>
      </c>
      <c r="Q40" s="2">
        <f>MIN(A102:A151)</f>
        <v>4.9000000000000004</v>
      </c>
      <c r="R40" s="3">
        <f>MIN(B102:B151)</f>
        <v>2.2000000000000002</v>
      </c>
      <c r="S40" s="36">
        <f>MIN(C102:C151)</f>
        <v>4.5</v>
      </c>
      <c r="T40" s="37">
        <f>MIN(D102:D151)</f>
        <v>1.4</v>
      </c>
      <c r="U40" s="26"/>
    </row>
    <row r="41" spans="1:21" ht="15.75" thickBot="1" x14ac:dyDescent="0.3">
      <c r="A41" s="60">
        <v>5.0999999999999996</v>
      </c>
      <c r="B41" s="25">
        <v>3.4</v>
      </c>
      <c r="C41" s="25">
        <v>1.5</v>
      </c>
      <c r="D41" s="57">
        <v>0.2</v>
      </c>
      <c r="E41" s="67" t="s">
        <v>33</v>
      </c>
      <c r="F41" s="68" t="s">
        <v>5</v>
      </c>
      <c r="G41" s="68">
        <f t="shared" ca="1" si="3"/>
        <v>1.5058514418868372</v>
      </c>
      <c r="H41" s="49">
        <f t="shared" ca="1" si="4"/>
        <v>0.21223610092419479</v>
      </c>
      <c r="I41" s="65" t="s">
        <v>5</v>
      </c>
      <c r="J41" s="58" t="str">
        <f t="shared" si="5"/>
        <v>setosa</v>
      </c>
      <c r="K41" s="25" cm="1">
        <f t="array" ref="K41">$U$7*NMultDensity(A41:D41,$U$9:$U$12,$Q$48:$T$51)+$U$20*NMultDensity(A41:D41,$U$22:$U$25,$Q$48:$T$51)+$U$33*NMultDensity(A41:D41,$U$35:$U$38,$Q$48:$T$51)</f>
        <v>0.26862565226379675</v>
      </c>
      <c r="L41" s="25" cm="1">
        <f t="array" ref="L41">$U$7*NMultDensity(A41:D41,$U$9:$U$12,$Q$48:$T$51)/K41</f>
        <v>1</v>
      </c>
      <c r="M41" s="25" cm="1">
        <f t="array" ref="M41">$U$20*NMultDensity(A41:D41,$U$22:$U$25,$Q$48:$T$51)/K41</f>
        <v>9.6638899552447553E-20</v>
      </c>
      <c r="N41" s="39" cm="1">
        <f t="array" ref="N41">$U$33*NMultDensity(A41:D41,$U$35:$U$38,$Q$48:$T$51)/K41</f>
        <v>3.6554976305317412E-37</v>
      </c>
      <c r="P41" s="32" t="s">
        <v>13</v>
      </c>
      <c r="Q41" s="15">
        <f>MAX(A102:A151)</f>
        <v>7.9</v>
      </c>
      <c r="R41" s="16">
        <f>MAX(B102:B151)</f>
        <v>3.8</v>
      </c>
      <c r="S41" s="17">
        <f>MAX(C102:C151)</f>
        <v>6.9</v>
      </c>
      <c r="T41" s="18">
        <f>MAX(D102:D151)</f>
        <v>2.5</v>
      </c>
      <c r="U41" s="26"/>
    </row>
    <row r="42" spans="1:21" x14ac:dyDescent="0.25">
      <c r="A42" s="60">
        <v>5</v>
      </c>
      <c r="B42" s="25">
        <v>3.5</v>
      </c>
      <c r="C42" s="25">
        <v>1.3</v>
      </c>
      <c r="D42" s="57">
        <v>0.3</v>
      </c>
      <c r="E42" s="67" t="s">
        <v>34</v>
      </c>
      <c r="F42" s="68" t="s">
        <v>5</v>
      </c>
      <c r="G42" s="68">
        <f t="shared" ca="1" si="3"/>
        <v>1.304277608400231</v>
      </c>
      <c r="H42" s="49">
        <f t="shared" ca="1" si="4"/>
        <v>0.3244299790171839</v>
      </c>
      <c r="I42" s="65" t="s">
        <v>5</v>
      </c>
      <c r="J42" s="58" t="str">
        <f t="shared" si="5"/>
        <v>setosa</v>
      </c>
      <c r="K42" s="25" cm="1">
        <f t="array" ref="K42">$U$7*NMultDensity(A42:D42,$U$9:$U$12,$Q$48:$T$51)+$U$20*NMultDensity(A42:D42,$U$22:$U$25,$Q$48:$T$51)+$U$33*NMultDensity(A42:D42,$U$35:$U$38,$Q$48:$T$51)</f>
        <v>0.22121603703187473</v>
      </c>
      <c r="L42" s="25" cm="1">
        <f t="array" ref="L42">$U$7*NMultDensity(A42:D42,$U$9:$U$12,$Q$48:$T$51)/K42</f>
        <v>1</v>
      </c>
      <c r="M42" s="25" cm="1">
        <f t="array" ref="M42">$U$20*NMultDensity(A42:D42,$U$22:$U$25,$Q$48:$T$51)/K42</f>
        <v>4.1682789439784592E-21</v>
      </c>
      <c r="N42" s="39" cm="1">
        <f t="array" ref="N42">$U$33*NMultDensity(A42:D42,$U$35:$U$38,$Q$48:$T$51)/K42</f>
        <v>1.0783178716223803E-38</v>
      </c>
    </row>
    <row r="43" spans="1:21" ht="15.75" thickBot="1" x14ac:dyDescent="0.3">
      <c r="A43" s="60">
        <v>4.5</v>
      </c>
      <c r="B43" s="25">
        <v>2.2999999999999998</v>
      </c>
      <c r="C43" s="25">
        <v>1.3</v>
      </c>
      <c r="D43" s="57">
        <v>0.3</v>
      </c>
      <c r="E43" s="67" t="s">
        <v>34</v>
      </c>
      <c r="F43" s="68" t="s">
        <v>5</v>
      </c>
      <c r="G43" s="68">
        <f t="shared" ca="1" si="3"/>
        <v>1.3229661868830298</v>
      </c>
      <c r="H43" s="49">
        <f t="shared" ca="1" si="4"/>
        <v>0.31871447236341011</v>
      </c>
      <c r="I43" s="65" t="s">
        <v>5</v>
      </c>
      <c r="J43" s="58" t="str">
        <f t="shared" si="5"/>
        <v>setosa</v>
      </c>
      <c r="K43" s="25" cm="1">
        <f t="array" ref="K43">$U$7*NMultDensity(A43:D43,$U$9:$U$12,$Q$48:$T$51)+$U$20*NMultDensity(A43:D43,$U$22:$U$25,$Q$48:$T$51)+$U$33*NMultDensity(A43:D43,$U$35:$U$38,$Q$48:$T$51)</f>
        <v>2.6901669826780419E-5</v>
      </c>
      <c r="L43" s="25" cm="1">
        <f t="array" ref="L43">$U$7*NMultDensity(A43:D43,$U$9:$U$12,$Q$48:$T$51)/K43</f>
        <v>0.99999997332414514</v>
      </c>
      <c r="M43" s="25" cm="1">
        <f t="array" ref="M43">$U$20*NMultDensity(A43:D43,$U$22:$U$25,$Q$48:$T$51)/K43</f>
        <v>2.6675854861147874E-8</v>
      </c>
      <c r="N43" s="39" cm="1">
        <f t="array" ref="N43">$U$33*NMultDensity(A43:D43,$U$35:$U$38,$Q$48:$T$51)/K43</f>
        <v>7.656285290850224E-23</v>
      </c>
      <c r="P43" s="19" t="s">
        <v>14</v>
      </c>
      <c r="Q43" s="19">
        <f>COUNT(C102:C151)</f>
        <v>50</v>
      </c>
    </row>
    <row r="44" spans="1:21" ht="15.75" thickTop="1" x14ac:dyDescent="0.25">
      <c r="A44" s="60">
        <v>4.4000000000000004</v>
      </c>
      <c r="B44" s="25">
        <v>3.2</v>
      </c>
      <c r="C44" s="25">
        <v>1.3</v>
      </c>
      <c r="D44" s="57">
        <v>0.2</v>
      </c>
      <c r="E44" s="67" t="s">
        <v>34</v>
      </c>
      <c r="F44" s="68" t="s">
        <v>5</v>
      </c>
      <c r="G44" s="68">
        <f t="shared" ca="1" si="3"/>
        <v>1.2777665357183354</v>
      </c>
      <c r="H44" s="49">
        <f t="shared" ca="1" si="4"/>
        <v>0.20291090542540277</v>
      </c>
      <c r="I44" s="65" t="s">
        <v>5</v>
      </c>
      <c r="J44" s="58" t="str">
        <f t="shared" si="5"/>
        <v>setosa</v>
      </c>
      <c r="K44" s="25" cm="1">
        <f t="array" ref="K44">$U$7*NMultDensity(A44:D44,$U$9:$U$12,$Q$48:$T$51)+$U$20*NMultDensity(A44:D44,$U$22:$U$25,$Q$48:$T$51)+$U$33*NMultDensity(A44:D44,$U$35:$U$38,$Q$48:$T$51)</f>
        <v>0.10164913227913049</v>
      </c>
      <c r="L44" s="25" cm="1">
        <f t="array" ref="L44">$U$7*NMultDensity(A44:D44,$U$9:$U$12,$Q$48:$T$51)/K44</f>
        <v>0.99999999999999989</v>
      </c>
      <c r="M44" s="25" cm="1">
        <f t="array" ref="M44">$U$20*NMultDensity(A44:D44,$U$22:$U$25,$Q$48:$T$51)/K44</f>
        <v>9.1448783727420246E-17</v>
      </c>
      <c r="N44" s="39" cm="1">
        <f t="array" ref="N44">$U$33*NMultDensity(A44:D44,$U$35:$U$38,$Q$48:$T$51)/K44</f>
        <v>2.7151305616961788E-33</v>
      </c>
    </row>
    <row r="45" spans="1:21" x14ac:dyDescent="0.25">
      <c r="A45" s="60">
        <v>5</v>
      </c>
      <c r="B45" s="25">
        <v>3.5</v>
      </c>
      <c r="C45" s="25">
        <v>1.6</v>
      </c>
      <c r="D45" s="57">
        <v>0.6</v>
      </c>
      <c r="E45" s="67" t="s">
        <v>34</v>
      </c>
      <c r="F45" s="68" t="s">
        <v>5</v>
      </c>
      <c r="G45" s="68">
        <f t="shared" ca="1" si="3"/>
        <v>1.6207493395178256</v>
      </c>
      <c r="H45" s="49">
        <f t="shared" ca="1" si="4"/>
        <v>0.59213341563985289</v>
      </c>
      <c r="I45" s="65" t="s">
        <v>5</v>
      </c>
      <c r="J45" s="58" t="str">
        <f t="shared" si="5"/>
        <v>setosa</v>
      </c>
      <c r="K45" s="25" cm="1">
        <f t="array" ref="K45">$U$7*NMultDensity(A45:D45,$U$9:$U$12,$Q$48:$T$51)+$U$20*NMultDensity(A45:D45,$U$22:$U$25,$Q$48:$T$51)+$U$33*NMultDensity(A45:D45,$U$35:$U$38,$Q$48:$T$51)</f>
        <v>7.0832415704738722E-2</v>
      </c>
      <c r="L45" s="25" cm="1">
        <f t="array" ref="L45">$U$7*NMultDensity(A45:D45,$U$9:$U$12,$Q$48:$T$51)/K45</f>
        <v>0.99999999999999789</v>
      </c>
      <c r="M45" s="25" cm="1">
        <f t="array" ref="M45">$U$20*NMultDensity(A45:D45,$U$22:$U$25,$Q$48:$T$51)/K45</f>
        <v>2.2512427577085182E-15</v>
      </c>
      <c r="N45" s="39" cm="1">
        <f t="array" ref="N45">$U$33*NMultDensity(A45:D45,$U$35:$U$38,$Q$48:$T$51)/K45</f>
        <v>1.8534691894067905E-30</v>
      </c>
    </row>
    <row r="46" spans="1:21" ht="15.75" thickBot="1" x14ac:dyDescent="0.3">
      <c r="A46" s="60">
        <v>5.0999999999999996</v>
      </c>
      <c r="B46" s="25">
        <v>3.8</v>
      </c>
      <c r="C46" s="25">
        <v>1.9</v>
      </c>
      <c r="D46" s="57">
        <v>0.4</v>
      </c>
      <c r="E46" s="67" t="s">
        <v>34</v>
      </c>
      <c r="F46" s="68" t="s">
        <v>5</v>
      </c>
      <c r="G46" s="68">
        <f t="shared" ca="1" si="3"/>
        <v>1.9029008304890647</v>
      </c>
      <c r="H46" s="49">
        <f t="shared" ca="1" si="4"/>
        <v>0.41249144930218418</v>
      </c>
      <c r="I46" s="65" t="s">
        <v>5</v>
      </c>
      <c r="J46" s="58" t="str">
        <f t="shared" si="5"/>
        <v>setosa</v>
      </c>
      <c r="K46" s="25" cm="1">
        <f t="array" ref="K46">$U$7*NMultDensity(A46:D46,$U$9:$U$12,$Q$48:$T$51)+$U$20*NMultDensity(A46:D46,$U$22:$U$25,$Q$48:$T$51)+$U$33*NMultDensity(A46:D46,$U$35:$U$38,$Q$48:$T$51)</f>
        <v>5.9957486569107793E-2</v>
      </c>
      <c r="L46" s="25" cm="1">
        <f t="array" ref="L46">$U$7*NMultDensity(A46:D46,$U$9:$U$12,$Q$48:$T$51)/K46</f>
        <v>1</v>
      </c>
      <c r="M46" s="25" cm="1">
        <f t="array" ref="M46">$U$20*NMultDensity(A46:D46,$U$22:$U$25,$Q$48:$T$51)/K46</f>
        <v>1.4714479995507154E-17</v>
      </c>
      <c r="N46" s="39" cm="1">
        <f t="array" ref="N46">$U$33*NMultDensity(A46:D46,$U$35:$U$38,$Q$48:$T$51)/K46</f>
        <v>2.1785685302367371E-33</v>
      </c>
      <c r="P46" s="94" t="s">
        <v>25</v>
      </c>
      <c r="Q46" s="95"/>
      <c r="R46" s="96"/>
      <c r="S46" s="90" t="s">
        <v>17</v>
      </c>
      <c r="T46" s="91"/>
    </row>
    <row r="47" spans="1:21" ht="15.75" thickBot="1" x14ac:dyDescent="0.3">
      <c r="A47" s="60">
        <v>4.8</v>
      </c>
      <c r="B47" s="25">
        <v>3</v>
      </c>
      <c r="C47" s="25">
        <v>1.4</v>
      </c>
      <c r="D47" s="57">
        <v>0.3</v>
      </c>
      <c r="E47" s="67" t="s">
        <v>34</v>
      </c>
      <c r="F47" s="68" t="s">
        <v>5</v>
      </c>
      <c r="G47" s="68">
        <f t="shared" ca="1" si="3"/>
        <v>1.4007548898212225</v>
      </c>
      <c r="H47" s="49">
        <f t="shared" ca="1" si="4"/>
        <v>0.29981898130613582</v>
      </c>
      <c r="I47" s="65" t="s">
        <v>5</v>
      </c>
      <c r="J47" s="58" t="str">
        <f t="shared" si="5"/>
        <v>setosa</v>
      </c>
      <c r="K47" s="25" cm="1">
        <f t="array" ref="K47">$U$7*NMultDensity(A47:D47,$U$9:$U$12,$Q$48:$T$51)+$U$20*NMultDensity(A47:D47,$U$22:$U$25,$Q$48:$T$51)+$U$33*NMultDensity(A47:D47,$U$35:$U$38,$Q$48:$T$51)</f>
        <v>6.3702298437769464E-2</v>
      </c>
      <c r="L47" s="25" cm="1">
        <f t="array" ref="L47">$U$7*NMultDensity(A47:D47,$U$9:$U$12,$Q$48:$T$51)/K47</f>
        <v>0.99999999999999256</v>
      </c>
      <c r="M47" s="25" cm="1">
        <f t="array" ref="M47">$U$20*NMultDensity(A47:D47,$U$22:$U$25,$Q$48:$T$51)/K47</f>
        <v>7.3193448733505796E-15</v>
      </c>
      <c r="N47" s="39" cm="1">
        <f t="array" ref="N47">$U$33*NMultDensity(A47:D47,$U$35:$U$38,$Q$48:$T$51)/K47</f>
        <v>7.2512227551361869E-31</v>
      </c>
      <c r="P47" s="26"/>
      <c r="Q47" s="22" t="s">
        <v>15</v>
      </c>
      <c r="R47" s="23" t="s">
        <v>16</v>
      </c>
      <c r="S47" s="23" t="s">
        <v>9</v>
      </c>
      <c r="T47" s="59" t="s">
        <v>10</v>
      </c>
    </row>
    <row r="48" spans="1:21" x14ac:dyDescent="0.25">
      <c r="A48" s="60">
        <v>5.0999999999999996</v>
      </c>
      <c r="B48" s="25">
        <v>3.8</v>
      </c>
      <c r="C48" s="25">
        <v>1.6</v>
      </c>
      <c r="D48" s="57">
        <v>0.2</v>
      </c>
      <c r="E48" s="67" t="s">
        <v>34</v>
      </c>
      <c r="F48" s="68" t="s">
        <v>5</v>
      </c>
      <c r="G48" s="68">
        <f t="shared" ca="1" si="3"/>
        <v>1.6052425364158796</v>
      </c>
      <c r="H48" s="49">
        <f t="shared" ca="1" si="4"/>
        <v>0.19022742223310132</v>
      </c>
      <c r="I48" s="65" t="s">
        <v>5</v>
      </c>
      <c r="J48" s="58" t="str">
        <f t="shared" si="5"/>
        <v>setosa</v>
      </c>
      <c r="K48" s="25" cm="1">
        <f t="array" ref="K48">$U$7*NMultDensity(A48:D48,$U$9:$U$12,$Q$48:$T$51)+$U$20*NMultDensity(A48:D48,$U$22:$U$25,$Q$48:$T$51)+$U$33*NMultDensity(A48:D48,$U$35:$U$38,$Q$48:$T$51)</f>
        <v>7.847939352995803E-2</v>
      </c>
      <c r="L48" s="25" cm="1">
        <f t="array" ref="L48">$U$7*NMultDensity(A48:D48,$U$9:$U$12,$Q$48:$T$51)/K48</f>
        <v>1</v>
      </c>
      <c r="M48" s="25" cm="1">
        <f t="array" ref="M48">$U$20*NMultDensity(A48:D48,$U$22:$U$25,$Q$48:$T$51)/K48</f>
        <v>2.5151120548230158E-22</v>
      </c>
      <c r="N48" s="39" cm="1">
        <f t="array" ref="N48">$U$33*NMultDensity(A48:D48,$U$35:$U$38,$Q$48:$T$51)/K48</f>
        <v>3.7497629724193468E-40</v>
      </c>
      <c r="P48" s="29" t="s">
        <v>15</v>
      </c>
      <c r="Q48" s="2">
        <f t="shared" ref="Q48:T51" si="6">$U$7*Q9+$U$20*Q22+$U$33*Q35</f>
        <v>0.33036340136054426</v>
      </c>
      <c r="R48" s="3">
        <f t="shared" si="6"/>
        <v>9.1448707482993191E-2</v>
      </c>
      <c r="S48" s="3">
        <f t="shared" si="6"/>
        <v>0.23446571428571439</v>
      </c>
      <c r="T48" s="48">
        <f t="shared" si="6"/>
        <v>4.7446122448979611E-2</v>
      </c>
    </row>
    <row r="49" spans="1:20" x14ac:dyDescent="0.25">
      <c r="A49" s="60">
        <v>4.5999999999999996</v>
      </c>
      <c r="B49" s="25">
        <v>3.2</v>
      </c>
      <c r="C49" s="25">
        <v>1.4</v>
      </c>
      <c r="D49" s="57">
        <v>0.2</v>
      </c>
      <c r="E49" s="67" t="s">
        <v>34</v>
      </c>
      <c r="F49" s="68" t="s">
        <v>5</v>
      </c>
      <c r="G49" s="68">
        <f t="shared" ca="1" si="3"/>
        <v>1.40162416775731</v>
      </c>
      <c r="H49" s="49">
        <f t="shared" ca="1" si="4"/>
        <v>0.20301234614934094</v>
      </c>
      <c r="I49" s="65" t="s">
        <v>5</v>
      </c>
      <c r="J49" s="58" t="str">
        <f t="shared" si="5"/>
        <v>setosa</v>
      </c>
      <c r="K49" s="25" cm="1">
        <f t="array" ref="K49">$U$7*NMultDensity(A49:D49,$U$9:$U$12,$Q$48:$T$51)+$U$20*NMultDensity(A49:D49,$U$22:$U$25,$Q$48:$T$51)+$U$33*NMultDensity(A49:D49,$U$35:$U$38,$Q$48:$T$51)</f>
        <v>0.14644951114643065</v>
      </c>
      <c r="L49" s="25" cm="1">
        <f t="array" ref="L49">$U$7*NMultDensity(A49:D49,$U$9:$U$12,$Q$48:$T$51)/K49</f>
        <v>0.99999999999999978</v>
      </c>
      <c r="M49" s="25" cm="1">
        <f t="array" ref="M49">$U$20*NMultDensity(A49:D49,$U$22:$U$25,$Q$48:$T$51)/K49</f>
        <v>1.0481498952552531E-16</v>
      </c>
      <c r="N49" s="39" cm="1">
        <f t="array" ref="N49">$U$33*NMultDensity(A49:D49,$U$35:$U$38,$Q$48:$T$51)/K49</f>
        <v>3.0397076870479012E-33</v>
      </c>
      <c r="P49" s="30" t="s">
        <v>16</v>
      </c>
      <c r="Q49" s="4">
        <f t="shared" si="6"/>
        <v>9.1448707482993191E-2</v>
      </c>
      <c r="R49" s="5">
        <f t="shared" si="6"/>
        <v>0.10612775510204087</v>
      </c>
      <c r="S49" s="5">
        <f t="shared" si="6"/>
        <v>6.9169251700680279E-2</v>
      </c>
      <c r="T49" s="49">
        <f t="shared" si="6"/>
        <v>4.1654013605442186E-2</v>
      </c>
    </row>
    <row r="50" spans="1:20" x14ac:dyDescent="0.25">
      <c r="A50" s="60">
        <v>5.3</v>
      </c>
      <c r="B50" s="25">
        <v>3.7</v>
      </c>
      <c r="C50" s="25">
        <v>1.5</v>
      </c>
      <c r="D50" s="57">
        <v>0.2</v>
      </c>
      <c r="E50" s="67" t="s">
        <v>34</v>
      </c>
      <c r="F50" s="68" t="s">
        <v>5</v>
      </c>
      <c r="G50" s="68">
        <f t="shared" ca="1" si="3"/>
        <v>1.501990193397992</v>
      </c>
      <c r="H50" s="49">
        <f t="shared" ca="1" si="4"/>
        <v>0.22140509522227647</v>
      </c>
      <c r="I50" s="65" t="s">
        <v>5</v>
      </c>
      <c r="J50" s="58" t="str">
        <f t="shared" si="5"/>
        <v>setosa</v>
      </c>
      <c r="K50" s="25" cm="1">
        <f t="array" ref="K50">$U$7*NMultDensity(A50:D50,$U$9:$U$12,$Q$48:$T$51)+$U$20*NMultDensity(A50:D50,$U$22:$U$25,$Q$48:$T$51)+$U$33*NMultDensity(A50:D50,$U$35:$U$38,$Q$48:$T$51)</f>
        <v>0.13468111432880711</v>
      </c>
      <c r="L50" s="25" cm="1">
        <f t="array" ref="L50">$U$7*NMultDensity(A50:D50,$U$9:$U$12,$Q$48:$T$51)/K50</f>
        <v>1</v>
      </c>
      <c r="M50" s="25" cm="1">
        <f t="array" ref="M50">$U$20*NMultDensity(A50:D50,$U$22:$U$25,$Q$48:$T$51)/K50</f>
        <v>2.8265044546793463E-23</v>
      </c>
      <c r="N50" s="39" cm="1">
        <f t="array" ref="N50">$U$33*NMultDensity(A50:D50,$U$35:$U$38,$Q$48:$T$51)/K50</f>
        <v>1.3828209636389511E-41</v>
      </c>
      <c r="P50" s="30" t="s">
        <v>9</v>
      </c>
      <c r="Q50" s="4">
        <f t="shared" si="6"/>
        <v>0.23446571428571439</v>
      </c>
      <c r="R50" s="5">
        <f t="shared" si="6"/>
        <v>6.9169251700680279E-2</v>
      </c>
      <c r="S50" s="51">
        <f t="shared" si="6"/>
        <v>0.24922108843537433</v>
      </c>
      <c r="T50" s="54">
        <f t="shared" si="6"/>
        <v>5.2641496598639453E-2</v>
      </c>
    </row>
    <row r="51" spans="1:20" ht="15.75" thickBot="1" x14ac:dyDescent="0.3">
      <c r="A51" s="60">
        <v>5</v>
      </c>
      <c r="B51" s="25">
        <v>3.3</v>
      </c>
      <c r="C51" s="25">
        <v>1.4</v>
      </c>
      <c r="D51" s="57">
        <v>0.2</v>
      </c>
      <c r="E51" s="67" t="s">
        <v>34</v>
      </c>
      <c r="F51" s="68" t="s">
        <v>5</v>
      </c>
      <c r="G51" s="68">
        <f t="shared" ca="1" si="3"/>
        <v>1.406506275245013</v>
      </c>
      <c r="H51" s="49">
        <f t="shared" ca="1" si="4"/>
        <v>0.19076543266517326</v>
      </c>
      <c r="I51" s="65" t="s">
        <v>5</v>
      </c>
      <c r="J51" s="58" t="str">
        <f t="shared" si="5"/>
        <v>setosa</v>
      </c>
      <c r="K51" s="25" cm="1">
        <f t="array" ref="K51">$U$7*NMultDensity(A51:D51,$U$9:$U$12,$Q$48:$T$51)+$U$20*NMultDensity(A51:D51,$U$22:$U$25,$Q$48:$T$51)+$U$33*NMultDensity(A51:D51,$U$35:$U$38,$Q$48:$T$51)</f>
        <v>0.25203868469920659</v>
      </c>
      <c r="L51" s="25" cm="1">
        <f t="array" ref="L51">$U$7*NMultDensity(A51:D51,$U$9:$U$12,$Q$48:$T$51)/K51</f>
        <v>1</v>
      </c>
      <c r="M51" s="25" cm="1">
        <f t="array" ref="M51">$U$20*NMultDensity(A51:D51,$U$22:$U$25,$Q$48:$T$51)/K51</f>
        <v>2.3189529387198618E-19</v>
      </c>
      <c r="N51" s="39" cm="1">
        <f t="array" ref="N51">$U$33*NMultDensity(A51:D51,$U$35:$U$38,$Q$48:$T$51)/K51</f>
        <v>9.2717035348887332E-37</v>
      </c>
      <c r="P51" s="45" t="s">
        <v>10</v>
      </c>
      <c r="Q51" s="15">
        <f t="shared" si="6"/>
        <v>4.7446122448979611E-2</v>
      </c>
      <c r="R51" s="16">
        <f t="shared" si="6"/>
        <v>4.1654013605442186E-2</v>
      </c>
      <c r="S51" s="53">
        <f t="shared" si="6"/>
        <v>5.2641496598639453E-2</v>
      </c>
      <c r="T51" s="52">
        <f t="shared" si="6"/>
        <v>5.6891156462585024E-2</v>
      </c>
    </row>
    <row r="52" spans="1:20" x14ac:dyDescent="0.25">
      <c r="A52" s="60">
        <v>7</v>
      </c>
      <c r="B52" s="25">
        <v>3.2</v>
      </c>
      <c r="C52" s="25">
        <v>4.7</v>
      </c>
      <c r="D52" s="57">
        <v>1.4</v>
      </c>
      <c r="E52" s="67" t="s">
        <v>31</v>
      </c>
      <c r="F52" s="68" t="s">
        <v>6</v>
      </c>
      <c r="G52" s="68">
        <f t="shared" ca="1" si="3"/>
        <v>4.7005162016303208</v>
      </c>
      <c r="H52" s="49">
        <f t="shared" ca="1" si="4"/>
        <v>1.3810949128946675</v>
      </c>
      <c r="I52" s="65" t="s">
        <v>6</v>
      </c>
      <c r="J52" s="38" t="str">
        <f t="shared" si="5"/>
        <v>versicolor</v>
      </c>
      <c r="K52" s="25" cm="1">
        <f t="array" ref="K52">$U$7*NMultDensity(A52:D52,$U$9:$U$12,$Q$48:$T$51)+$U$20*NMultDensity(A52:D52,$U$22:$U$25,$Q$48:$T$51)+$U$33*NMultDensity(A52:D52,$U$35:$U$38,$Q$48:$T$51)</f>
        <v>7.7240663646016366E-2</v>
      </c>
      <c r="L52" s="25" cm="1">
        <f t="array" ref="L52">$U$7*NMultDensity(A52:D52,$U$9:$U$12,$Q$48:$T$51)/K52</f>
        <v>6.7419550833413194E-17</v>
      </c>
      <c r="M52" s="25" cm="1">
        <f t="array" ref="M52">$U$20*NMultDensity(A52:D52,$U$22:$U$25,$Q$48:$T$51)/K52</f>
        <v>0.99979716613327685</v>
      </c>
      <c r="N52" s="39" cm="1">
        <f t="array" ref="N52">$U$33*NMultDensity(A52:D52,$U$35:$U$38,$Q$48:$T$51)/K52</f>
        <v>2.0283386672317928E-4</v>
      </c>
    </row>
    <row r="53" spans="1:20" x14ac:dyDescent="0.25">
      <c r="A53" s="60">
        <v>6.4</v>
      </c>
      <c r="B53" s="25">
        <v>3.2</v>
      </c>
      <c r="C53" s="25">
        <v>4.5</v>
      </c>
      <c r="D53" s="57">
        <v>1.5</v>
      </c>
      <c r="E53" s="67" t="s">
        <v>31</v>
      </c>
      <c r="F53" s="68" t="s">
        <v>6</v>
      </c>
      <c r="G53" s="68">
        <f t="shared" ca="1" si="3"/>
        <v>4.5154444353581171</v>
      </c>
      <c r="H53" s="49">
        <f t="shared" ca="1" si="4"/>
        <v>1.4826109264966905</v>
      </c>
      <c r="I53" s="65" t="s">
        <v>6</v>
      </c>
      <c r="J53" s="38" t="str">
        <f t="shared" si="5"/>
        <v>versicolor</v>
      </c>
      <c r="K53" s="25" cm="1">
        <f t="array" ref="K53">$U$7*NMultDensity(A53:D53,$U$9:$U$12,$Q$48:$T$51)+$U$20*NMultDensity(A53:D53,$U$22:$U$25,$Q$48:$T$51)+$U$33*NMultDensity(A53:D53,$U$35:$U$38,$Q$48:$T$51)</f>
        <v>0.36074175537564729</v>
      </c>
      <c r="L53" s="25" cm="1">
        <f t="array" ref="L53">$U$7*NMultDensity(A53:D53,$U$9:$U$12,$Q$48:$T$51)/K53</f>
        <v>1.2449258493233933E-18</v>
      </c>
      <c r="M53" s="25" cm="1">
        <f t="array" ref="M53">$U$20*NMultDensity(A53:D53,$U$22:$U$25,$Q$48:$T$51)/K53</f>
        <v>0.99851593025396612</v>
      </c>
      <c r="N53" s="39" cm="1">
        <f t="array" ref="N53">$U$33*NMultDensity(A53:D53,$U$35:$U$38,$Q$48:$T$51)/K53</f>
        <v>1.4840697460337809E-3</v>
      </c>
      <c r="P53" s="77" t="s">
        <v>38</v>
      </c>
      <c r="Q53" s="77" t="s">
        <v>37</v>
      </c>
      <c r="R53" s="26"/>
      <c r="S53" s="26"/>
      <c r="T53" s="26"/>
    </row>
    <row r="54" spans="1:20" x14ac:dyDescent="0.25">
      <c r="A54" s="60">
        <v>6.9</v>
      </c>
      <c r="B54" s="25">
        <v>3.1</v>
      </c>
      <c r="C54" s="25">
        <v>4.9000000000000004</v>
      </c>
      <c r="D54" s="57">
        <v>1.5</v>
      </c>
      <c r="E54" s="67" t="s">
        <v>31</v>
      </c>
      <c r="F54" s="68" t="s">
        <v>6</v>
      </c>
      <c r="G54" s="68">
        <f t="shared" ca="1" si="3"/>
        <v>4.8996744465809323</v>
      </c>
      <c r="H54" s="49">
        <f t="shared" ca="1" si="4"/>
        <v>1.4965171337255041</v>
      </c>
      <c r="I54" s="65" t="s">
        <v>6</v>
      </c>
      <c r="J54" s="38" t="str">
        <f t="shared" si="5"/>
        <v>versicolor</v>
      </c>
      <c r="K54" s="25" cm="1">
        <f t="array" ref="K54">$U$7*NMultDensity(A54:D54,$U$9:$U$12,$Q$48:$T$51)+$U$20*NMultDensity(A54:D54,$U$22:$U$25,$Q$48:$T$51)+$U$33*NMultDensity(A54:D54,$U$35:$U$38,$Q$48:$T$51)</f>
        <v>0.2222787650658174</v>
      </c>
      <c r="L54" s="25" cm="1">
        <f t="array" ref="L54">$U$7*NMultDensity(A54:D54,$U$9:$U$12,$Q$48:$T$51)/K54</f>
        <v>4.4050221001986151E-21</v>
      </c>
      <c r="M54" s="25" cm="1">
        <f t="array" ref="M54">$U$20*NMultDensity(A54:D54,$U$22:$U$25,$Q$48:$T$51)/K54</f>
        <v>0.9933989657246447</v>
      </c>
      <c r="N54" s="39" cm="1">
        <f t="array" ref="N54">$U$33*NMultDensity(A54:D54,$U$35:$U$38,$Q$48:$T$51)/K54</f>
        <v>6.6010342753553128E-3</v>
      </c>
      <c r="P54" s="77" t="s">
        <v>35</v>
      </c>
      <c r="Q54" s="26" t="s">
        <v>5</v>
      </c>
      <c r="R54" s="26" t="s">
        <v>6</v>
      </c>
      <c r="S54" s="26" t="s">
        <v>7</v>
      </c>
      <c r="T54" s="26" t="s">
        <v>36</v>
      </c>
    </row>
    <row r="55" spans="1:20" x14ac:dyDescent="0.25">
      <c r="A55" s="60">
        <v>5.5</v>
      </c>
      <c r="B55" s="25">
        <v>2.2999999999999998</v>
      </c>
      <c r="C55" s="25">
        <v>4</v>
      </c>
      <c r="D55" s="57">
        <v>1.3</v>
      </c>
      <c r="E55" s="67" t="s">
        <v>31</v>
      </c>
      <c r="F55" s="68" t="s">
        <v>6</v>
      </c>
      <c r="G55" s="68">
        <f t="shared" ca="1" si="3"/>
        <v>3.9901545021275484</v>
      </c>
      <c r="H55" s="49">
        <f t="shared" ca="1" si="4"/>
        <v>1.3240067548976138</v>
      </c>
      <c r="I55" s="65" t="s">
        <v>6</v>
      </c>
      <c r="J55" s="38" t="str">
        <f t="shared" si="5"/>
        <v>versicolor</v>
      </c>
      <c r="K55" s="25" cm="1">
        <f t="array" ref="K55">$U$7*NMultDensity(A55:D55,$U$9:$U$12,$Q$48:$T$51)+$U$20*NMultDensity(A55:D55,$U$22:$U$25,$Q$48:$T$51)+$U$33*NMultDensity(A55:D55,$U$35:$U$38,$Q$48:$T$51)</f>
        <v>0.24282833644213672</v>
      </c>
      <c r="L55" s="25" cm="1">
        <f t="array" ref="L55">$U$7*NMultDensity(A55:D55,$U$9:$U$12,$Q$48:$T$51)/K55</f>
        <v>6.6188476324533303E-24</v>
      </c>
      <c r="M55" s="25" cm="1">
        <f t="array" ref="M55">$U$20*NMultDensity(A55:D55,$U$22:$U$25,$Q$48:$T$51)/K55</f>
        <v>0.99511458322515411</v>
      </c>
      <c r="N55" s="39" cm="1">
        <f t="array" ref="N55">$U$33*NMultDensity(A55:D55,$U$35:$U$38,$Q$48:$T$51)/K55</f>
        <v>4.8854167748458343E-3</v>
      </c>
      <c r="P55" s="26" t="s">
        <v>31</v>
      </c>
      <c r="Q55" s="78">
        <v>22</v>
      </c>
      <c r="R55" s="78">
        <v>9</v>
      </c>
      <c r="S55" s="78">
        <v>30</v>
      </c>
      <c r="T55" s="78">
        <v>61</v>
      </c>
    </row>
    <row r="56" spans="1:20" x14ac:dyDescent="0.25">
      <c r="A56" s="60">
        <v>6.5</v>
      </c>
      <c r="B56" s="25">
        <v>2.8</v>
      </c>
      <c r="C56" s="25">
        <v>4.5999999999999996</v>
      </c>
      <c r="D56" s="57">
        <v>1.5</v>
      </c>
      <c r="E56" s="67" t="s">
        <v>31</v>
      </c>
      <c r="F56" s="68" t="s">
        <v>6</v>
      </c>
      <c r="G56" s="68">
        <f t="shared" ca="1" si="3"/>
        <v>4.5806584722477766</v>
      </c>
      <c r="H56" s="49">
        <f t="shared" ca="1" si="4"/>
        <v>1.4894526986753063</v>
      </c>
      <c r="I56" s="65" t="s">
        <v>6</v>
      </c>
      <c r="J56" s="38" t="str">
        <f t="shared" si="5"/>
        <v>versicolor</v>
      </c>
      <c r="K56" s="25" cm="1">
        <f t="array" ref="K56">$U$7*NMultDensity(A56:D56,$U$9:$U$12,$Q$48:$T$51)+$U$20*NMultDensity(A56:D56,$U$22:$U$25,$Q$48:$T$51)+$U$33*NMultDensity(A56:D56,$U$35:$U$38,$Q$48:$T$51)</f>
        <v>0.3871669154472569</v>
      </c>
      <c r="L56" s="25" cm="1">
        <f t="array" ref="L56">$U$7*NMultDensity(A56:D56,$U$9:$U$12,$Q$48:$T$51)/K56</f>
        <v>1.1435397115126175E-22</v>
      </c>
      <c r="M56" s="25" cm="1">
        <f t="array" ref="M56">$U$20*NMultDensity(A56:D56,$U$22:$U$25,$Q$48:$T$51)/K56</f>
        <v>0.98854387175350955</v>
      </c>
      <c r="N56" s="39" cm="1">
        <f t="array" ref="N56">$U$33*NMultDensity(A56:D56,$U$35:$U$38,$Q$48:$T$51)/K56</f>
        <v>1.1456128246490465E-2</v>
      </c>
      <c r="P56" s="26" t="s">
        <v>32</v>
      </c>
      <c r="Q56" s="78">
        <v>9</v>
      </c>
      <c r="R56" s="78">
        <v>19</v>
      </c>
      <c r="S56" s="78">
        <v>19</v>
      </c>
      <c r="T56" s="78">
        <v>47</v>
      </c>
    </row>
    <row r="57" spans="1:20" x14ac:dyDescent="0.25">
      <c r="A57" s="60">
        <v>5.7</v>
      </c>
      <c r="B57" s="25">
        <v>2.8</v>
      </c>
      <c r="C57" s="25">
        <v>4.5</v>
      </c>
      <c r="D57" s="57">
        <v>1.3</v>
      </c>
      <c r="E57" s="67" t="s">
        <v>31</v>
      </c>
      <c r="F57" s="68" t="s">
        <v>6</v>
      </c>
      <c r="G57" s="68">
        <f t="shared" ca="1" si="3"/>
        <v>4.4804986809635965</v>
      </c>
      <c r="H57" s="49">
        <f t="shared" ca="1" si="4"/>
        <v>1.2914588310864978</v>
      </c>
      <c r="I57" s="65" t="s">
        <v>6</v>
      </c>
      <c r="J57" s="38" t="str">
        <f t="shared" si="5"/>
        <v>versicolor</v>
      </c>
      <c r="K57" s="25" cm="1">
        <f t="array" ref="K57">$U$7*NMultDensity(A57:D57,$U$9:$U$12,$Q$48:$T$51)+$U$20*NMultDensity(A57:D57,$U$22:$U$25,$Q$48:$T$51)+$U$33*NMultDensity(A57:D57,$U$35:$U$38,$Q$48:$T$51)</f>
        <v>0.26276732044327294</v>
      </c>
      <c r="L57" s="25" cm="1">
        <f t="array" ref="L57">$U$7*NMultDensity(A57:D57,$U$9:$U$12,$Q$48:$T$51)/K57</f>
        <v>2.4489902342393587E-23</v>
      </c>
      <c r="M57" s="25" cm="1">
        <f t="array" ref="M57">$U$20*NMultDensity(A57:D57,$U$22:$U$25,$Q$48:$T$51)/K57</f>
        <v>0.98815617364955211</v>
      </c>
      <c r="N57" s="39" cm="1">
        <f t="array" ref="N57">$U$33*NMultDensity(A57:D57,$U$35:$U$38,$Q$48:$T$51)/K57</f>
        <v>1.1843826350447824E-2</v>
      </c>
      <c r="P57" s="26" t="s">
        <v>33</v>
      </c>
      <c r="Q57" s="78">
        <v>9</v>
      </c>
      <c r="R57" s="78">
        <v>9</v>
      </c>
      <c r="S57" s="78"/>
      <c r="T57" s="78">
        <v>18</v>
      </c>
    </row>
    <row r="58" spans="1:20" x14ac:dyDescent="0.25">
      <c r="A58" s="60">
        <v>6.3</v>
      </c>
      <c r="B58" s="25">
        <v>3.3</v>
      </c>
      <c r="C58" s="25">
        <v>4.7</v>
      </c>
      <c r="D58" s="57">
        <v>1.6</v>
      </c>
      <c r="E58" s="67" t="s">
        <v>31</v>
      </c>
      <c r="F58" s="68" t="s">
        <v>6</v>
      </c>
      <c r="G58" s="68">
        <f t="shared" ca="1" si="3"/>
        <v>4.7009661297915812</v>
      </c>
      <c r="H58" s="49">
        <f t="shared" ca="1" si="4"/>
        <v>1.5968963499503492</v>
      </c>
      <c r="I58" s="65" t="s">
        <v>6</v>
      </c>
      <c r="J58" s="38" t="str">
        <f t="shared" si="5"/>
        <v>versicolor</v>
      </c>
      <c r="K58" s="25" cm="1">
        <f t="array" ref="K58">$U$7*NMultDensity(A58:D58,$U$9:$U$12,$Q$48:$T$51)+$U$20*NMultDensity(A58:D58,$U$22:$U$25,$Q$48:$T$51)+$U$33*NMultDensity(A58:D58,$U$35:$U$38,$Q$48:$T$51)</f>
        <v>0.21236957011864438</v>
      </c>
      <c r="L58" s="25" cm="1">
        <f t="array" ref="L58">$U$7*NMultDensity(A58:D58,$U$9:$U$12,$Q$48:$T$51)/K58</f>
        <v>4.6752888697066439E-21</v>
      </c>
      <c r="M58" s="25" cm="1">
        <f t="array" ref="M58">$U$20*NMultDensity(A58:D58,$U$22:$U$25,$Q$48:$T$51)/K58</f>
        <v>0.97949059645652359</v>
      </c>
      <c r="N58" s="39" cm="1">
        <f t="array" ref="N58">$U$33*NMultDensity(A58:D58,$U$35:$U$38,$Q$48:$T$51)/K58</f>
        <v>2.0509403543476336E-2</v>
      </c>
      <c r="P58" s="26" t="s">
        <v>34</v>
      </c>
      <c r="Q58" s="78">
        <v>10</v>
      </c>
      <c r="R58" s="78">
        <v>13</v>
      </c>
      <c r="S58" s="78">
        <v>1</v>
      </c>
      <c r="T58" s="78">
        <v>24</v>
      </c>
    </row>
    <row r="59" spans="1:20" x14ac:dyDescent="0.25">
      <c r="A59" s="60">
        <v>4.9000000000000004</v>
      </c>
      <c r="B59" s="25">
        <v>2.4</v>
      </c>
      <c r="C59" s="25">
        <v>3.3</v>
      </c>
      <c r="D59" s="57">
        <v>1</v>
      </c>
      <c r="E59" s="67" t="s">
        <v>31</v>
      </c>
      <c r="F59" s="68" t="s">
        <v>6</v>
      </c>
      <c r="G59" s="68">
        <f t="shared" ca="1" si="3"/>
        <v>3.2943031006940502</v>
      </c>
      <c r="H59" s="49">
        <f t="shared" ca="1" si="4"/>
        <v>1.0189324610594084</v>
      </c>
      <c r="I59" s="65" t="s">
        <v>6</v>
      </c>
      <c r="J59" s="38" t="str">
        <f t="shared" si="5"/>
        <v>versicolor</v>
      </c>
      <c r="K59" s="25" cm="1">
        <f t="array" ref="K59">$U$7*NMultDensity(A59:D59,$U$9:$U$12,$Q$48:$T$51)+$U$20*NMultDensity(A59:D59,$U$22:$U$25,$Q$48:$T$51)+$U$33*NMultDensity(A59:D59,$U$35:$U$38,$Q$48:$T$51)</f>
        <v>0.11527117244195806</v>
      </c>
      <c r="L59" s="25" cm="1">
        <f t="array" ref="L59">$U$7*NMultDensity(A59:D59,$U$9:$U$12,$Q$48:$T$51)/K59</f>
        <v>3.6407220542418788E-16</v>
      </c>
      <c r="M59" s="25" cm="1">
        <f t="array" ref="M59">$U$20*NMultDensity(A59:D59,$U$22:$U$25,$Q$48:$T$51)/K59</f>
        <v>0.99999490435981742</v>
      </c>
      <c r="N59" s="39" cm="1">
        <f t="array" ref="N59">$U$33*NMultDensity(A59:D59,$U$35:$U$38,$Q$48:$T$51)/K59</f>
        <v>5.0956401822868835E-6</v>
      </c>
      <c r="P59" s="26" t="s">
        <v>36</v>
      </c>
      <c r="Q59" s="78">
        <v>50</v>
      </c>
      <c r="R59" s="78">
        <v>50</v>
      </c>
      <c r="S59" s="78">
        <v>50</v>
      </c>
      <c r="T59" s="78">
        <v>150</v>
      </c>
    </row>
    <row r="60" spans="1:20" ht="15.75" thickBot="1" x14ac:dyDescent="0.3">
      <c r="A60" s="60">
        <v>6.6</v>
      </c>
      <c r="B60" s="25">
        <v>2.9</v>
      </c>
      <c r="C60" s="25">
        <v>4.5999999999999996</v>
      </c>
      <c r="D60" s="57">
        <v>1.3</v>
      </c>
      <c r="E60" s="67" t="s">
        <v>31</v>
      </c>
      <c r="F60" s="68" t="s">
        <v>6</v>
      </c>
      <c r="G60" s="68">
        <f t="shared" ca="1" si="3"/>
        <v>4.6158663476584589</v>
      </c>
      <c r="H60" s="49">
        <f t="shared" ca="1" si="4"/>
        <v>1.3012839639364424</v>
      </c>
      <c r="I60" s="65" t="s">
        <v>6</v>
      </c>
      <c r="J60" s="38" t="str">
        <f t="shared" si="5"/>
        <v>versicolor</v>
      </c>
      <c r="K60" s="25" cm="1">
        <f t="array" ref="K60">$U$7*NMultDensity(A60:D60,$U$9:$U$12,$Q$48:$T$51)+$U$20*NMultDensity(A60:D60,$U$22:$U$25,$Q$48:$T$51)+$U$33*NMultDensity(A60:D60,$U$35:$U$38,$Q$48:$T$51)</f>
        <v>0.39828700926172911</v>
      </c>
      <c r="L60" s="25" cm="1">
        <f t="array" ref="L60">$U$7*NMultDensity(A60:D60,$U$9:$U$12,$Q$48:$T$51)/K60</f>
        <v>2.0858233268179365E-19</v>
      </c>
      <c r="M60" s="25" cm="1">
        <f t="array" ref="M60">$U$20*NMultDensity(A60:D60,$U$22:$U$25,$Q$48:$T$51)/K60</f>
        <v>0.99949915836435488</v>
      </c>
      <c r="N60" s="39" cm="1">
        <f t="array" ref="N60">$U$33*NMultDensity(A60:D60,$U$35:$U$38,$Q$48:$T$51)/K60</f>
        <v>5.0084163564518137E-4</v>
      </c>
    </row>
    <row r="61" spans="1:20" x14ac:dyDescent="0.25">
      <c r="A61" s="60">
        <v>5.2</v>
      </c>
      <c r="B61" s="25">
        <v>2.7</v>
      </c>
      <c r="C61" s="25">
        <v>3.9</v>
      </c>
      <c r="D61" s="57">
        <v>1.4</v>
      </c>
      <c r="E61" s="67" t="s">
        <v>32</v>
      </c>
      <c r="F61" s="68" t="s">
        <v>6</v>
      </c>
      <c r="G61" s="68">
        <f t="shared" ca="1" si="3"/>
        <v>3.8808483796754403</v>
      </c>
      <c r="H61" s="49">
        <f t="shared" ca="1" si="4"/>
        <v>1.3978239490894264</v>
      </c>
      <c r="I61" s="65" t="s">
        <v>6</v>
      </c>
      <c r="J61" s="38" t="str">
        <f t="shared" si="5"/>
        <v>versicolor</v>
      </c>
      <c r="K61" s="25" cm="1">
        <f t="array" ref="K61">$U$7*NMultDensity(A61:D61,$U$9:$U$12,$Q$48:$T$51)+$U$20*NMultDensity(A61:D61,$U$22:$U$25,$Q$48:$T$51)+$U$33*NMultDensity(A61:D61,$U$35:$U$38,$Q$48:$T$51)</f>
        <v>0.28166727281158543</v>
      </c>
      <c r="L61" s="25" cm="1">
        <f t="array" ref="L61">$U$7*NMultDensity(A61:D61,$U$9:$U$12,$Q$48:$T$51)/K61</f>
        <v>1.0045208731079753E-21</v>
      </c>
      <c r="M61" s="25" cm="1">
        <f t="array" ref="M61">$U$20*NMultDensity(A61:D61,$U$22:$U$25,$Q$48:$T$51)/K61</f>
        <v>0.99561831824235503</v>
      </c>
      <c r="N61" s="39" cm="1">
        <f t="array" ref="N61">$U$33*NMultDensity(A61:D61,$U$35:$U$38,$Q$48:$T$51)/K61</f>
        <v>4.3816817576449825E-3</v>
      </c>
      <c r="P61" s="80" t="str">
        <f>P55</f>
        <v>blue</v>
      </c>
      <c r="Q61" s="75">
        <f>Q55/$Q$59</f>
        <v>0.44</v>
      </c>
      <c r="R61" s="76">
        <f>R55/$R$59</f>
        <v>0.18</v>
      </c>
      <c r="S61" s="76">
        <f>S55/$S$59</f>
        <v>0.6</v>
      </c>
      <c r="T61" s="76">
        <f>Q61*$U$7+R61*$U$20+S61*$U$33</f>
        <v>0.44400000000000006</v>
      </c>
    </row>
    <row r="62" spans="1:20" x14ac:dyDescent="0.25">
      <c r="A62" s="60">
        <v>5</v>
      </c>
      <c r="B62" s="25">
        <v>2</v>
      </c>
      <c r="C62" s="25">
        <v>3.5</v>
      </c>
      <c r="D62" s="57">
        <v>1</v>
      </c>
      <c r="E62" s="67" t="s">
        <v>32</v>
      </c>
      <c r="F62" s="68" t="s">
        <v>6</v>
      </c>
      <c r="G62" s="68">
        <f t="shared" ca="1" si="3"/>
        <v>3.5132871729887736</v>
      </c>
      <c r="H62" s="49">
        <f t="shared" ca="1" si="4"/>
        <v>0.97946510666825104</v>
      </c>
      <c r="I62" s="65" t="s">
        <v>6</v>
      </c>
      <c r="J62" s="38" t="str">
        <f t="shared" si="5"/>
        <v>versicolor</v>
      </c>
      <c r="K62" s="25" cm="1">
        <f t="array" ref="K62">$U$7*NMultDensity(A62:D62,$U$9:$U$12,$Q$48:$T$51)+$U$20*NMultDensity(A62:D62,$U$22:$U$25,$Q$48:$T$51)+$U$33*NMultDensity(A62:D62,$U$35:$U$38,$Q$48:$T$51)</f>
        <v>4.8425084736642234E-2</v>
      </c>
      <c r="L62" s="25" cm="1">
        <f t="array" ref="L62">$U$7*NMultDensity(A62:D62,$U$9:$U$12,$Q$48:$T$51)/K62</f>
        <v>3.8289166852863376E-21</v>
      </c>
      <c r="M62" s="25" cm="1">
        <f t="array" ref="M62">$U$20*NMultDensity(A62:D62,$U$22:$U$25,$Q$48:$T$51)/K62</f>
        <v>0.99991536084896016</v>
      </c>
      <c r="N62" s="39" cm="1">
        <f t="array" ref="N62">$U$33*NMultDensity(A62:D62,$U$35:$U$38,$Q$48:$T$51)/K62</f>
        <v>8.4639151039828377E-5</v>
      </c>
      <c r="P62" s="79" t="str">
        <f>P56</f>
        <v>violet</v>
      </c>
      <c r="Q62" s="75">
        <f>Q56/$Q$59</f>
        <v>0.18</v>
      </c>
      <c r="R62" s="76">
        <f>R56/$R$59</f>
        <v>0.38</v>
      </c>
      <c r="S62" s="76">
        <f>S56/$S$59</f>
        <v>0.38</v>
      </c>
      <c r="T62" s="76">
        <f>Q62*$U$7+R62*$U$20+S62*$U$33</f>
        <v>0.36</v>
      </c>
    </row>
    <row r="63" spans="1:20" x14ac:dyDescent="0.25">
      <c r="A63" s="60">
        <v>5.9</v>
      </c>
      <c r="B63" s="25">
        <v>3</v>
      </c>
      <c r="C63" s="25">
        <v>4.2</v>
      </c>
      <c r="D63" s="57">
        <v>1.5</v>
      </c>
      <c r="E63" s="67" t="s">
        <v>32</v>
      </c>
      <c r="F63" s="68" t="s">
        <v>6</v>
      </c>
      <c r="G63" s="68">
        <f t="shared" ca="1" si="3"/>
        <v>4.1871809020514119</v>
      </c>
      <c r="H63" s="49">
        <f t="shared" ca="1" si="4"/>
        <v>1.4853060891734389</v>
      </c>
      <c r="I63" s="65" t="s">
        <v>6</v>
      </c>
      <c r="J63" s="38" t="str">
        <f t="shared" si="5"/>
        <v>versicolor</v>
      </c>
      <c r="K63" s="25" cm="1">
        <f t="array" ref="K63">$U$7*NMultDensity(A63:D63,$U$9:$U$12,$Q$48:$T$51)+$U$20*NMultDensity(A63:D63,$U$22:$U$25,$Q$48:$T$51)+$U$33*NMultDensity(A63:D63,$U$35:$U$38,$Q$48:$T$51)</f>
        <v>0.56130100259411841</v>
      </c>
      <c r="L63" s="25" cm="1">
        <f t="array" ref="L63">$U$7*NMultDensity(A63:D63,$U$9:$U$12,$Q$48:$T$51)/K63</f>
        <v>8.9231014743386924E-20</v>
      </c>
      <c r="M63" s="25" cm="1">
        <f t="array" ref="M63">$U$20*NMultDensity(A63:D63,$U$22:$U$25,$Q$48:$T$51)/K63</f>
        <v>0.99749564872591567</v>
      </c>
      <c r="N63" s="39" cm="1">
        <f t="array" ref="N63">$U$33*NMultDensity(A63:D63,$U$35:$U$38,$Q$48:$T$51)/K63</f>
        <v>2.5043512740844033E-3</v>
      </c>
      <c r="P63" s="74" t="str">
        <f>P57</f>
        <v>white</v>
      </c>
      <c r="Q63" s="75">
        <f>Q57/$Q$59</f>
        <v>0.18</v>
      </c>
      <c r="R63" s="76">
        <f>R57/$R$59</f>
        <v>0.18</v>
      </c>
      <c r="S63" s="76">
        <f>S57/$S$59</f>
        <v>0</v>
      </c>
      <c r="T63" s="76">
        <f>Q63*$U$7+R63*$U$20+S63*$U$33</f>
        <v>7.8E-2</v>
      </c>
    </row>
    <row r="64" spans="1:20" ht="15.75" thickBot="1" x14ac:dyDescent="0.3">
      <c r="A64" s="60">
        <v>6</v>
      </c>
      <c r="B64" s="25">
        <v>2.2000000000000002</v>
      </c>
      <c r="C64" s="25">
        <v>4</v>
      </c>
      <c r="D64" s="57">
        <v>1</v>
      </c>
      <c r="E64" s="67" t="s">
        <v>32</v>
      </c>
      <c r="F64" s="68" t="s">
        <v>6</v>
      </c>
      <c r="G64" s="68">
        <f t="shared" ca="1" si="3"/>
        <v>3.9841137443161636</v>
      </c>
      <c r="H64" s="49">
        <f t="shared" ca="1" si="4"/>
        <v>1.0179759008349984</v>
      </c>
      <c r="I64" s="65" t="s">
        <v>6</v>
      </c>
      <c r="J64" s="38" t="str">
        <f t="shared" si="5"/>
        <v>versicolor</v>
      </c>
      <c r="K64" s="25" cm="1">
        <f t="array" ref="K64">$U$7*NMultDensity(A64:D64,$U$9:$U$12,$Q$48:$T$51)+$U$20*NMultDensity(A64:D64,$U$22:$U$25,$Q$48:$T$51)+$U$33*NMultDensity(A64:D64,$U$35:$U$38,$Q$48:$T$51)</f>
        <v>6.5597491773096261E-2</v>
      </c>
      <c r="L64" s="25" cm="1">
        <f t="array" ref="L64">$U$7*NMultDensity(A64:D64,$U$9:$U$12,$Q$48:$T$51)/K64</f>
        <v>1.1270432095962766E-19</v>
      </c>
      <c r="M64" s="25" cm="1">
        <f t="array" ref="M64">$U$20*NMultDensity(A64:D64,$U$22:$U$25,$Q$48:$T$51)/K64</f>
        <v>0.99996762826778585</v>
      </c>
      <c r="N64" s="39" cm="1">
        <f t="array" ref="N64">$U$33*NMultDensity(A64:D64,$U$35:$U$38,$Q$48:$T$51)/K64</f>
        <v>3.2371732214171299E-5</v>
      </c>
      <c r="P64" s="81" t="str">
        <f>P58</f>
        <v>yellow</v>
      </c>
      <c r="Q64" s="75">
        <f>Q58/$Q$59</f>
        <v>0.2</v>
      </c>
      <c r="R64" s="76">
        <f>R58/$R$59</f>
        <v>0.26</v>
      </c>
      <c r="S64" s="76">
        <f>S58/$S$59</f>
        <v>0.02</v>
      </c>
      <c r="T64" s="76">
        <f>Q64*$U$7+R64*$U$20+S64*$U$33</f>
        <v>0.11800000000000001</v>
      </c>
    </row>
    <row r="65" spans="1:14" x14ac:dyDescent="0.25">
      <c r="A65" s="60">
        <v>6.1</v>
      </c>
      <c r="B65" s="25">
        <v>2.9</v>
      </c>
      <c r="C65" s="25">
        <v>4.7</v>
      </c>
      <c r="D65" s="57">
        <v>1.4</v>
      </c>
      <c r="E65" s="67" t="s">
        <v>32</v>
      </c>
      <c r="F65" s="68" t="s">
        <v>6</v>
      </c>
      <c r="G65" s="68">
        <f t="shared" ca="1" si="3"/>
        <v>4.7101418636516001</v>
      </c>
      <c r="H65" s="49">
        <f t="shared" ca="1" si="4"/>
        <v>1.3820570900458924</v>
      </c>
      <c r="I65" s="65" t="s">
        <v>6</v>
      </c>
      <c r="J65" s="38" t="str">
        <f t="shared" si="5"/>
        <v>versicolor</v>
      </c>
      <c r="K65" s="25" cm="1">
        <f t="array" ref="K65">$U$7*NMultDensity(A65:D65,$U$9:$U$12,$Q$48:$T$51)+$U$20*NMultDensity(A65:D65,$U$22:$U$25,$Q$48:$T$51)+$U$33*NMultDensity(A65:D65,$U$35:$U$38,$Q$48:$T$51)</f>
        <v>0.46475062719574867</v>
      </c>
      <c r="L65" s="25" cm="1">
        <f t="array" ref="L65">$U$7*NMultDensity(A65:D65,$U$9:$U$12,$Q$48:$T$51)/K65</f>
        <v>1.5226928567107112E-23</v>
      </c>
      <c r="M65" s="25" cm="1">
        <f t="array" ref="M65">$U$20*NMultDensity(A65:D65,$U$22:$U$25,$Q$48:$T$51)/K65</f>
        <v>0.97652892992407125</v>
      </c>
      <c r="N65" s="39" cm="1">
        <f t="array" ref="N65">$U$33*NMultDensity(A65:D65,$U$35:$U$38,$Q$48:$T$51)/K65</f>
        <v>2.3471070075928697E-2</v>
      </c>
    </row>
    <row r="66" spans="1:14" x14ac:dyDescent="0.25">
      <c r="A66" s="60">
        <v>5.6</v>
      </c>
      <c r="B66" s="25">
        <v>2.9</v>
      </c>
      <c r="C66" s="25">
        <v>3.6</v>
      </c>
      <c r="D66" s="57">
        <v>1.3</v>
      </c>
      <c r="E66" s="67" t="s">
        <v>32</v>
      </c>
      <c r="F66" s="68" t="s">
        <v>6</v>
      </c>
      <c r="G66" s="68">
        <f t="shared" ref="G66:G97" ca="1" si="7">C66+0.05*RAND()-0.025</f>
        <v>3.6162845170005045</v>
      </c>
      <c r="H66" s="49">
        <f t="shared" ref="H66:H97" ca="1" si="8">D66+0.05*RAND()-0.025</f>
        <v>1.3189776492165821</v>
      </c>
      <c r="I66" s="65" t="s">
        <v>6</v>
      </c>
      <c r="J66" s="38" t="str">
        <f t="shared" ref="J66:J97" si="9">IF(L66&gt;MAX(M66:N66),$I$2,IF(M66&gt;N66,$I$52,$I$102))</f>
        <v>versicolor</v>
      </c>
      <c r="K66" s="25" cm="1">
        <f t="array" ref="K66">$U$7*NMultDensity(A66:D66,$U$9:$U$12,$Q$48:$T$51)+$U$20*NMultDensity(A66:D66,$U$22:$U$25,$Q$48:$T$51)+$U$33*NMultDensity(A66:D66,$U$35:$U$38,$Q$48:$T$51)</f>
        <v>0.18444711500976979</v>
      </c>
      <c r="L66" s="25" cm="1">
        <f t="array" ref="L66">$U$7*NMultDensity(A66:D66,$U$9:$U$12,$Q$48:$T$51)/K66</f>
        <v>2.2051401911750059E-14</v>
      </c>
      <c r="M66" s="25" cm="1">
        <f t="array" ref="M66">$U$20*NMultDensity(A66:D66,$U$22:$U$25,$Q$48:$T$51)/K66</f>
        <v>0.99998715861782383</v>
      </c>
      <c r="N66" s="39" cm="1">
        <f t="array" ref="N66">$U$33*NMultDensity(A66:D66,$U$35:$U$38,$Q$48:$T$51)/K66</f>
        <v>1.2841382154039355E-5</v>
      </c>
    </row>
    <row r="67" spans="1:14" x14ac:dyDescent="0.25">
      <c r="A67" s="60">
        <v>6.7</v>
      </c>
      <c r="B67" s="25">
        <v>3.1</v>
      </c>
      <c r="C67" s="25">
        <v>4.4000000000000004</v>
      </c>
      <c r="D67" s="57">
        <v>1.4</v>
      </c>
      <c r="E67" s="67" t="s">
        <v>32</v>
      </c>
      <c r="F67" s="68" t="s">
        <v>6</v>
      </c>
      <c r="G67" s="68">
        <f t="shared" ca="1" si="7"/>
        <v>4.3988494206929127</v>
      </c>
      <c r="H67" s="49">
        <f t="shared" ca="1" si="8"/>
        <v>1.420925439662353</v>
      </c>
      <c r="I67" s="65" t="s">
        <v>6</v>
      </c>
      <c r="J67" s="38" t="str">
        <f t="shared" si="9"/>
        <v>versicolor</v>
      </c>
      <c r="K67" s="25" cm="1">
        <f t="array" ref="K67">$U$7*NMultDensity(A67:D67,$U$9:$U$12,$Q$48:$T$51)+$U$20*NMultDensity(A67:D67,$U$22:$U$25,$Q$48:$T$51)+$U$33*NMultDensity(A67:D67,$U$35:$U$38,$Q$48:$T$51)</f>
        <v>0.13008192055248749</v>
      </c>
      <c r="L67" s="25" cm="1">
        <f t="array" ref="L67">$U$7*NMultDensity(A67:D67,$U$9:$U$12,$Q$48:$T$51)/K67</f>
        <v>2.8410480704211229E-16</v>
      </c>
      <c r="M67" s="25" cm="1">
        <f t="array" ref="M67">$U$20*NMultDensity(A67:D67,$U$22:$U$25,$Q$48:$T$51)/K67</f>
        <v>0.99989696215689194</v>
      </c>
      <c r="N67" s="39" cm="1">
        <f t="array" ref="N67">$U$33*NMultDensity(A67:D67,$U$35:$U$38,$Q$48:$T$51)/K67</f>
        <v>1.0303784310775895E-4</v>
      </c>
    </row>
    <row r="68" spans="1:14" x14ac:dyDescent="0.25">
      <c r="A68" s="60">
        <v>5.6</v>
      </c>
      <c r="B68" s="25">
        <v>3</v>
      </c>
      <c r="C68" s="25">
        <v>4.5</v>
      </c>
      <c r="D68" s="57">
        <v>1.5</v>
      </c>
      <c r="E68" s="67" t="s">
        <v>32</v>
      </c>
      <c r="F68" s="68" t="s">
        <v>6</v>
      </c>
      <c r="G68" s="68">
        <f t="shared" ca="1" si="7"/>
        <v>4.5182346916957652</v>
      </c>
      <c r="H68" s="49">
        <f t="shared" ca="1" si="8"/>
        <v>1.5040941408961173</v>
      </c>
      <c r="I68" s="65" t="s">
        <v>6</v>
      </c>
      <c r="J68" s="38" t="str">
        <f t="shared" si="9"/>
        <v>versicolor</v>
      </c>
      <c r="K68" s="25" cm="1">
        <f t="array" ref="K68">$U$7*NMultDensity(A68:D68,$U$9:$U$12,$Q$48:$T$51)+$U$20*NMultDensity(A68:D68,$U$22:$U$25,$Q$48:$T$51)+$U$33*NMultDensity(A68:D68,$U$35:$U$38,$Q$48:$T$51)</f>
        <v>0.12371931203002325</v>
      </c>
      <c r="L68" s="25" cm="1">
        <f t="array" ref="L68">$U$7*NMultDensity(A68:D68,$U$9:$U$12,$Q$48:$T$51)/K68</f>
        <v>5.6601521966359862E-24</v>
      </c>
      <c r="M68" s="25" cm="1">
        <f t="array" ref="M68">$U$20*NMultDensity(A68:D68,$U$22:$U$25,$Q$48:$T$51)/K68</f>
        <v>0.92747570649855782</v>
      </c>
      <c r="N68" s="39" cm="1">
        <f t="array" ref="N68">$U$33*NMultDensity(A68:D68,$U$35:$U$38,$Q$48:$T$51)/K68</f>
        <v>7.2524293501442183E-2</v>
      </c>
    </row>
    <row r="69" spans="1:14" x14ac:dyDescent="0.25">
      <c r="A69" s="60">
        <v>5.8</v>
      </c>
      <c r="B69" s="25">
        <v>2.7</v>
      </c>
      <c r="C69" s="25">
        <v>4.0999999999999996</v>
      </c>
      <c r="D69" s="57">
        <v>1</v>
      </c>
      <c r="E69" s="67" t="s">
        <v>32</v>
      </c>
      <c r="F69" s="68" t="s">
        <v>6</v>
      </c>
      <c r="G69" s="68">
        <f t="shared" ca="1" si="7"/>
        <v>4.0960546844382932</v>
      </c>
      <c r="H69" s="49">
        <f t="shared" ca="1" si="8"/>
        <v>1.0055903398277324</v>
      </c>
      <c r="I69" s="65" t="s">
        <v>6</v>
      </c>
      <c r="J69" s="38" t="str">
        <f t="shared" si="9"/>
        <v>versicolor</v>
      </c>
      <c r="K69" s="25" cm="1">
        <f t="array" ref="K69">$U$7*NMultDensity(A69:D69,$U$9:$U$12,$Q$48:$T$51)+$U$20*NMultDensity(A69:D69,$U$22:$U$25,$Q$48:$T$51)+$U$33*NMultDensity(A69:D69,$U$35:$U$38,$Q$48:$T$51)</f>
        <v>0.29807712625902399</v>
      </c>
      <c r="L69" s="25" cm="1">
        <f t="array" ref="L69">$U$7*NMultDensity(A69:D69,$U$9:$U$12,$Q$48:$T$51)/K69</f>
        <v>4.2931646957592715E-17</v>
      </c>
      <c r="M69" s="25" cm="1">
        <f t="array" ref="M69">$U$20*NMultDensity(A69:D69,$U$22:$U$25,$Q$48:$T$51)/K69</f>
        <v>0.99998174887126734</v>
      </c>
      <c r="N69" s="39" cm="1">
        <f t="array" ref="N69">$U$33*NMultDensity(A69:D69,$U$35:$U$38,$Q$48:$T$51)/K69</f>
        <v>1.8251128732680476E-5</v>
      </c>
    </row>
    <row r="70" spans="1:14" x14ac:dyDescent="0.25">
      <c r="A70" s="60">
        <v>6.2</v>
      </c>
      <c r="B70" s="25">
        <v>2.2000000000000002</v>
      </c>
      <c r="C70" s="25">
        <v>4.5</v>
      </c>
      <c r="D70" s="57">
        <v>1.5</v>
      </c>
      <c r="E70" s="67" t="s">
        <v>32</v>
      </c>
      <c r="F70" s="68" t="s">
        <v>6</v>
      </c>
      <c r="G70" s="68">
        <f t="shared" ca="1" si="7"/>
        <v>4.5118156886293956</v>
      </c>
      <c r="H70" s="49">
        <f t="shared" ca="1" si="8"/>
        <v>1.5050811807894886</v>
      </c>
      <c r="I70" s="65" t="s">
        <v>6</v>
      </c>
      <c r="J70" s="38" t="str">
        <f t="shared" si="9"/>
        <v>versicolor</v>
      </c>
      <c r="K70" s="25" cm="1">
        <f t="array" ref="K70">$U$7*NMultDensity(A70:D70,$U$9:$U$12,$Q$48:$T$51)+$U$20*NMultDensity(A70:D70,$U$22:$U$25,$Q$48:$T$51)+$U$33*NMultDensity(A70:D70,$U$35:$U$38,$Q$48:$T$51)</f>
        <v>1.4925335858652843E-2</v>
      </c>
      <c r="L70" s="25" cm="1">
        <f t="array" ref="L70">$U$7*NMultDensity(A70:D70,$U$9:$U$12,$Q$48:$T$51)/K70</f>
        <v>1.9847964620100796E-28</v>
      </c>
      <c r="M70" s="25" cm="1">
        <f t="array" ref="M70">$U$20*NMultDensity(A70:D70,$U$22:$U$25,$Q$48:$T$51)/K70</f>
        <v>0.81954384397832647</v>
      </c>
      <c r="N70" s="39" cm="1">
        <f t="array" ref="N70">$U$33*NMultDensity(A70:D70,$U$35:$U$38,$Q$48:$T$51)/K70</f>
        <v>0.18045615602167353</v>
      </c>
    </row>
    <row r="71" spans="1:14" x14ac:dyDescent="0.25">
      <c r="A71" s="60">
        <v>5.6</v>
      </c>
      <c r="B71" s="25">
        <v>2.5</v>
      </c>
      <c r="C71" s="25">
        <v>3.9</v>
      </c>
      <c r="D71" s="57">
        <v>1.1000000000000001</v>
      </c>
      <c r="E71" s="67" t="s">
        <v>32</v>
      </c>
      <c r="F71" s="68" t="s">
        <v>6</v>
      </c>
      <c r="G71" s="68">
        <f t="shared" ca="1" si="7"/>
        <v>3.8787090050658719</v>
      </c>
      <c r="H71" s="49">
        <f t="shared" ca="1" si="8"/>
        <v>1.1193073564518492</v>
      </c>
      <c r="I71" s="65" t="s">
        <v>6</v>
      </c>
      <c r="J71" s="38" t="str">
        <f t="shared" si="9"/>
        <v>versicolor</v>
      </c>
      <c r="K71" s="25" cm="1">
        <f t="array" ref="K71">$U$7*NMultDensity(A71:D71,$U$9:$U$12,$Q$48:$T$51)+$U$20*NMultDensity(A71:D71,$U$22:$U$25,$Q$48:$T$51)+$U$33*NMultDensity(A71:D71,$U$35:$U$38,$Q$48:$T$51)</f>
        <v>0.54097616516704583</v>
      </c>
      <c r="L71" s="25" cm="1">
        <f t="array" ref="L71">$U$7*NMultDensity(A71:D71,$U$9:$U$12,$Q$48:$T$51)/K71</f>
        <v>8.0760538062740322E-19</v>
      </c>
      <c r="M71" s="25" cm="1">
        <f t="array" ref="M71">$U$20*NMultDensity(A71:D71,$U$22:$U$25,$Q$48:$T$51)/K71</f>
        <v>0.99993465556598782</v>
      </c>
      <c r="N71" s="39" cm="1">
        <f t="array" ref="N71">$U$33*NMultDensity(A71:D71,$U$35:$U$38,$Q$48:$T$51)/K71</f>
        <v>6.5344434012085294E-5</v>
      </c>
    </row>
    <row r="72" spans="1:14" x14ac:dyDescent="0.25">
      <c r="A72" s="60">
        <v>5.9</v>
      </c>
      <c r="B72" s="25">
        <v>3.2</v>
      </c>
      <c r="C72" s="25">
        <v>4.8</v>
      </c>
      <c r="D72" s="57">
        <v>1.8</v>
      </c>
      <c r="E72" s="67" t="s">
        <v>32</v>
      </c>
      <c r="F72" s="68" t="s">
        <v>6</v>
      </c>
      <c r="G72" s="68">
        <f t="shared" ca="1" si="7"/>
        <v>4.7868745199274372</v>
      </c>
      <c r="H72" s="49">
        <f t="shared" ca="1" si="8"/>
        <v>1.7855643344247356</v>
      </c>
      <c r="I72" s="65" t="s">
        <v>6</v>
      </c>
      <c r="J72" s="38" t="str">
        <f t="shared" si="9"/>
        <v>virginica</v>
      </c>
      <c r="K72" s="25" cm="1">
        <f t="array" ref="K72">$U$7*NMultDensity(A72:D72,$U$9:$U$12,$Q$48:$T$51)+$U$20*NMultDensity(A72:D72,$U$22:$U$25,$Q$48:$T$51)+$U$33*NMultDensity(A72:D72,$U$35:$U$38,$Q$48:$T$51)</f>
        <v>0.11337888586547279</v>
      </c>
      <c r="L72" s="25" cm="1">
        <f t="array" ref="L72">$U$7*NMultDensity(A72:D72,$U$9:$U$12,$Q$48:$T$51)/K72</f>
        <v>3.249232735337583E-27</v>
      </c>
      <c r="M72" s="25" cm="1">
        <f t="array" ref="M72">$U$20*NMultDensity(A72:D72,$U$22:$U$25,$Q$48:$T$51)/K72</f>
        <v>0.23131506965483892</v>
      </c>
      <c r="N72" s="39" cm="1">
        <f t="array" ref="N72">$U$33*NMultDensity(A72:D72,$U$35:$U$38,$Q$48:$T$51)/K72</f>
        <v>0.76868493034516105</v>
      </c>
    </row>
    <row r="73" spans="1:14" x14ac:dyDescent="0.25">
      <c r="A73" s="60">
        <v>6.1</v>
      </c>
      <c r="B73" s="25">
        <v>2.8</v>
      </c>
      <c r="C73" s="25">
        <v>4</v>
      </c>
      <c r="D73" s="57">
        <v>1.3</v>
      </c>
      <c r="E73" s="67" t="s">
        <v>32</v>
      </c>
      <c r="F73" s="68" t="s">
        <v>6</v>
      </c>
      <c r="G73" s="68">
        <f t="shared" ca="1" si="7"/>
        <v>3.9844963540943961</v>
      </c>
      <c r="H73" s="49">
        <f t="shared" ca="1" si="8"/>
        <v>1.2907705576988375</v>
      </c>
      <c r="I73" s="65" t="s">
        <v>6</v>
      </c>
      <c r="J73" s="38" t="str">
        <f t="shared" si="9"/>
        <v>versicolor</v>
      </c>
      <c r="K73" s="25" cm="1">
        <f t="array" ref="K73">$U$7*NMultDensity(A73:D73,$U$9:$U$12,$Q$48:$T$51)+$U$20*NMultDensity(A73:D73,$U$22:$U$25,$Q$48:$T$51)+$U$33*NMultDensity(A73:D73,$U$35:$U$38,$Q$48:$T$51)</f>
        <v>0.37855522033942612</v>
      </c>
      <c r="L73" s="25" cm="1">
        <f t="array" ref="L73">$U$7*NMultDensity(A73:D73,$U$9:$U$12,$Q$48:$T$51)/K73</f>
        <v>7.842467905879076E-17</v>
      </c>
      <c r="M73" s="25" cm="1">
        <f t="array" ref="M73">$U$20*NMultDensity(A73:D73,$U$22:$U$25,$Q$48:$T$51)/K73</f>
        <v>0.99994259081455417</v>
      </c>
      <c r="N73" s="39" cm="1">
        <f t="array" ref="N73">$U$33*NMultDensity(A73:D73,$U$35:$U$38,$Q$48:$T$51)/K73</f>
        <v>5.7409185445722606E-5</v>
      </c>
    </row>
    <row r="74" spans="1:14" x14ac:dyDescent="0.25">
      <c r="A74" s="60">
        <v>6.3</v>
      </c>
      <c r="B74" s="25">
        <v>2.5</v>
      </c>
      <c r="C74" s="25">
        <v>4.9000000000000004</v>
      </c>
      <c r="D74" s="57">
        <v>1.5</v>
      </c>
      <c r="E74" s="67" t="s">
        <v>32</v>
      </c>
      <c r="F74" s="68" t="s">
        <v>6</v>
      </c>
      <c r="G74" s="68">
        <f t="shared" ca="1" si="7"/>
        <v>4.9025541223850411</v>
      </c>
      <c r="H74" s="49">
        <f t="shared" ca="1" si="8"/>
        <v>1.4927471205491227</v>
      </c>
      <c r="I74" s="65" t="s">
        <v>6</v>
      </c>
      <c r="J74" s="38" t="str">
        <f t="shared" si="9"/>
        <v>versicolor</v>
      </c>
      <c r="K74" s="25" cm="1">
        <f t="array" ref="K74">$U$7*NMultDensity(A74:D74,$U$9:$U$12,$Q$48:$T$51)+$U$20*NMultDensity(A74:D74,$U$22:$U$25,$Q$48:$T$51)+$U$33*NMultDensity(A74:D74,$U$35:$U$38,$Q$48:$T$51)</f>
        <v>0.15769098986264707</v>
      </c>
      <c r="L74" s="25" cm="1">
        <f t="array" ref="L74">$U$7*NMultDensity(A74:D74,$U$9:$U$12,$Q$48:$T$51)/K74</f>
        <v>2.6406988596081071E-29</v>
      </c>
      <c r="M74" s="25" cm="1">
        <f t="array" ref="M74">$U$20*NMultDensity(A74:D74,$U$22:$U$25,$Q$48:$T$51)/K74</f>
        <v>0.53579358412573286</v>
      </c>
      <c r="N74" s="39" cm="1">
        <f t="array" ref="N74">$U$33*NMultDensity(A74:D74,$U$35:$U$38,$Q$48:$T$51)/K74</f>
        <v>0.4642064158742672</v>
      </c>
    </row>
    <row r="75" spans="1:14" x14ac:dyDescent="0.25">
      <c r="A75" s="60">
        <v>6.1</v>
      </c>
      <c r="B75" s="25">
        <v>2.8</v>
      </c>
      <c r="C75" s="25">
        <v>4.7</v>
      </c>
      <c r="D75" s="57">
        <v>1.2</v>
      </c>
      <c r="E75" s="67" t="s">
        <v>32</v>
      </c>
      <c r="F75" s="68" t="s">
        <v>6</v>
      </c>
      <c r="G75" s="68">
        <f t="shared" ca="1" si="7"/>
        <v>4.7002755457276999</v>
      </c>
      <c r="H75" s="49">
        <f t="shared" ca="1" si="8"/>
        <v>1.1773059074891203</v>
      </c>
      <c r="I75" s="65" t="s">
        <v>6</v>
      </c>
      <c r="J75" s="38" t="str">
        <f t="shared" si="9"/>
        <v>versicolor</v>
      </c>
      <c r="K75" s="25" cm="1">
        <f t="array" ref="K75">$U$7*NMultDensity(A75:D75,$U$9:$U$12,$Q$48:$T$51)+$U$20*NMultDensity(A75:D75,$U$22:$U$25,$Q$48:$T$51)+$U$33*NMultDensity(A75:D75,$U$35:$U$38,$Q$48:$T$51)</f>
        <v>0.25747823080864635</v>
      </c>
      <c r="L75" s="25" cm="1">
        <f t="array" ref="L75">$U$7*NMultDensity(A75:D75,$U$9:$U$12,$Q$48:$T$51)/K75</f>
        <v>1.7354078992451866E-22</v>
      </c>
      <c r="M75" s="25" cm="1">
        <f t="array" ref="M75">$U$20*NMultDensity(A75:D75,$U$22:$U$25,$Q$48:$T$51)/K75</f>
        <v>0.99644436152724991</v>
      </c>
      <c r="N75" s="39" cm="1">
        <f t="array" ref="N75">$U$33*NMultDensity(A75:D75,$U$35:$U$38,$Q$48:$T$51)/K75</f>
        <v>3.5556384727500959E-3</v>
      </c>
    </row>
    <row r="76" spans="1:14" x14ac:dyDescent="0.25">
      <c r="A76" s="60">
        <v>6.4</v>
      </c>
      <c r="B76" s="25">
        <v>2.9</v>
      </c>
      <c r="C76" s="25">
        <v>4.3</v>
      </c>
      <c r="D76" s="57">
        <v>1.3</v>
      </c>
      <c r="E76" s="67" t="s">
        <v>32</v>
      </c>
      <c r="F76" s="68" t="s">
        <v>6</v>
      </c>
      <c r="G76" s="68">
        <f t="shared" ca="1" si="7"/>
        <v>4.314573108245761</v>
      </c>
      <c r="H76" s="49">
        <f t="shared" ca="1" si="8"/>
        <v>1.3013050375532669</v>
      </c>
      <c r="I76" s="65" t="s">
        <v>6</v>
      </c>
      <c r="J76" s="38" t="str">
        <f t="shared" si="9"/>
        <v>versicolor</v>
      </c>
      <c r="K76" s="25" cm="1">
        <f t="array" ref="K76">$U$7*NMultDensity(A76:D76,$U$9:$U$12,$Q$48:$T$51)+$U$20*NMultDensity(A76:D76,$U$22:$U$25,$Q$48:$T$51)+$U$33*NMultDensity(A76:D76,$U$35:$U$38,$Q$48:$T$51)</f>
        <v>0.40453856413887301</v>
      </c>
      <c r="L76" s="25" cm="1">
        <f t="array" ref="L76">$U$7*NMultDensity(A76:D76,$U$9:$U$12,$Q$48:$T$51)/K76</f>
        <v>1.8611407495626923E-17</v>
      </c>
      <c r="M76" s="25" cm="1">
        <f t="array" ref="M76">$U$20*NMultDensity(A76:D76,$U$22:$U$25,$Q$48:$T$51)/K76</f>
        <v>0.99988698286569933</v>
      </c>
      <c r="N76" s="39" cm="1">
        <f t="array" ref="N76">$U$33*NMultDensity(A76:D76,$U$35:$U$38,$Q$48:$T$51)/K76</f>
        <v>1.130171343006546E-4</v>
      </c>
    </row>
    <row r="77" spans="1:14" x14ac:dyDescent="0.25">
      <c r="A77" s="60">
        <v>6.6</v>
      </c>
      <c r="B77" s="25">
        <v>3</v>
      </c>
      <c r="C77" s="25">
        <v>4.4000000000000004</v>
      </c>
      <c r="D77" s="57">
        <v>1.4</v>
      </c>
      <c r="E77" s="67" t="s">
        <v>32</v>
      </c>
      <c r="F77" s="68" t="s">
        <v>6</v>
      </c>
      <c r="G77" s="68">
        <f t="shared" ca="1" si="7"/>
        <v>4.4045232352931105</v>
      </c>
      <c r="H77" s="49">
        <f t="shared" ca="1" si="8"/>
        <v>1.3990698895345095</v>
      </c>
      <c r="I77" s="65" t="s">
        <v>6</v>
      </c>
      <c r="J77" s="38" t="str">
        <f t="shared" si="9"/>
        <v>versicolor</v>
      </c>
      <c r="K77" s="25" cm="1">
        <f t="array" ref="K77">$U$7*NMultDensity(A77:D77,$U$9:$U$12,$Q$48:$T$51)+$U$20*NMultDensity(A77:D77,$U$22:$U$25,$Q$48:$T$51)+$U$33*NMultDensity(A77:D77,$U$35:$U$38,$Q$48:$T$51)</f>
        <v>0.23992727562188262</v>
      </c>
      <c r="L77" s="25" cm="1">
        <f t="array" ref="L77">$U$7*NMultDensity(A77:D77,$U$9:$U$12,$Q$48:$T$51)/K77</f>
        <v>1.3419574040580322E-17</v>
      </c>
      <c r="M77" s="25" cm="1">
        <f t="array" ref="M77">$U$20*NMultDensity(A77:D77,$U$22:$U$25,$Q$48:$T$51)/K77</f>
        <v>0.99976800517258813</v>
      </c>
      <c r="N77" s="39" cm="1">
        <f t="array" ref="N77">$U$33*NMultDensity(A77:D77,$U$35:$U$38,$Q$48:$T$51)/K77</f>
        <v>2.319948274118708E-4</v>
      </c>
    </row>
    <row r="78" spans="1:14" x14ac:dyDescent="0.25">
      <c r="A78" s="60">
        <v>6.8</v>
      </c>
      <c r="B78" s="25">
        <v>2.8</v>
      </c>
      <c r="C78" s="25">
        <v>4.8</v>
      </c>
      <c r="D78" s="57">
        <v>1.4</v>
      </c>
      <c r="E78" s="67" t="s">
        <v>32</v>
      </c>
      <c r="F78" s="68" t="s">
        <v>6</v>
      </c>
      <c r="G78" s="68">
        <f t="shared" ca="1" si="7"/>
        <v>4.779159783010182</v>
      </c>
      <c r="H78" s="49">
        <f t="shared" ca="1" si="8"/>
        <v>1.3858445150810841</v>
      </c>
      <c r="I78" s="65" t="s">
        <v>6</v>
      </c>
      <c r="J78" s="38" t="str">
        <f t="shared" si="9"/>
        <v>versicolor</v>
      </c>
      <c r="K78" s="25" cm="1">
        <f t="array" ref="K78">$U$7*NMultDensity(A78:D78,$U$9:$U$12,$Q$48:$T$51)+$U$20*NMultDensity(A78:D78,$U$22:$U$25,$Q$48:$T$51)+$U$33*NMultDensity(A78:D78,$U$35:$U$38,$Q$48:$T$51)</f>
        <v>0.22409710186379081</v>
      </c>
      <c r="L78" s="25" cm="1">
        <f t="array" ref="L78">$U$7*NMultDensity(A78:D78,$U$9:$U$12,$Q$48:$T$51)/K78</f>
        <v>2.9153176361377725E-22</v>
      </c>
      <c r="M78" s="25" cm="1">
        <f t="array" ref="M78">$U$20*NMultDensity(A78:D78,$U$22:$U$25,$Q$48:$T$51)/K78</f>
        <v>0.99493047609950647</v>
      </c>
      <c r="N78" s="39" cm="1">
        <f t="array" ref="N78">$U$33*NMultDensity(A78:D78,$U$35:$U$38,$Q$48:$T$51)/K78</f>
        <v>5.0695239004934839E-3</v>
      </c>
    </row>
    <row r="79" spans="1:14" x14ac:dyDescent="0.25">
      <c r="A79" s="60">
        <v>6.7</v>
      </c>
      <c r="B79" s="25">
        <v>3</v>
      </c>
      <c r="C79" s="25">
        <v>5</v>
      </c>
      <c r="D79" s="57">
        <v>1.7</v>
      </c>
      <c r="E79" s="67" t="s">
        <v>32</v>
      </c>
      <c r="F79" s="68" t="s">
        <v>6</v>
      </c>
      <c r="G79" s="68">
        <f t="shared" ca="1" si="7"/>
        <v>4.9864981955772114</v>
      </c>
      <c r="H79" s="49">
        <f t="shared" ca="1" si="8"/>
        <v>1.6843083183738503</v>
      </c>
      <c r="I79" s="65" t="s">
        <v>6</v>
      </c>
      <c r="J79" s="38" t="str">
        <f t="shared" si="9"/>
        <v>versicolor</v>
      </c>
      <c r="K79" s="25" cm="1">
        <f t="array" ref="K79">$U$7*NMultDensity(A79:D79,$U$9:$U$12,$Q$48:$T$51)+$U$20*NMultDensity(A79:D79,$U$22:$U$25,$Q$48:$T$51)+$U$33*NMultDensity(A79:D79,$U$35:$U$38,$Q$48:$T$51)</f>
        <v>0.24007108225655971</v>
      </c>
      <c r="L79" s="25" cm="1">
        <f t="array" ref="L79">$U$7*NMultDensity(A79:D79,$U$9:$U$12,$Q$48:$T$51)/K79</f>
        <v>6.7701641016188937E-26</v>
      </c>
      <c r="M79" s="25" cm="1">
        <f t="array" ref="M79">$U$20*NMultDensity(A79:D79,$U$22:$U$25,$Q$48:$T$51)/K79</f>
        <v>0.67407415715541663</v>
      </c>
      <c r="N79" s="39" cm="1">
        <f t="array" ref="N79">$U$33*NMultDensity(A79:D79,$U$35:$U$38,$Q$48:$T$51)/K79</f>
        <v>0.32592584284458337</v>
      </c>
    </row>
    <row r="80" spans="1:14" x14ac:dyDescent="0.25">
      <c r="A80" s="60">
        <v>6</v>
      </c>
      <c r="B80" s="25">
        <v>2.9</v>
      </c>
      <c r="C80" s="25">
        <v>4.5</v>
      </c>
      <c r="D80" s="57">
        <v>1.5</v>
      </c>
      <c r="E80" s="67" t="s">
        <v>33</v>
      </c>
      <c r="F80" s="68" t="s">
        <v>6</v>
      </c>
      <c r="G80" s="68">
        <f t="shared" ca="1" si="7"/>
        <v>4.5047829731461722</v>
      </c>
      <c r="H80" s="49">
        <f t="shared" ca="1" si="8"/>
        <v>1.4785873186803757</v>
      </c>
      <c r="I80" s="65" t="s">
        <v>6</v>
      </c>
      <c r="J80" s="38" t="str">
        <f t="shared" si="9"/>
        <v>versicolor</v>
      </c>
      <c r="K80" s="25" cm="1">
        <f t="array" ref="K80">$U$7*NMultDensity(A80:D80,$U$9:$U$12,$Q$48:$T$51)+$U$20*NMultDensity(A80:D80,$U$22:$U$25,$Q$48:$T$51)+$U$33*NMultDensity(A80:D80,$U$35:$U$38,$Q$48:$T$51)</f>
        <v>0.64842324195673751</v>
      </c>
      <c r="L80" s="25" cm="1">
        <f t="array" ref="L80">$U$7*NMultDensity(A80:D80,$U$9:$U$12,$Q$48:$T$51)/K80</f>
        <v>4.6220738997311426E-23</v>
      </c>
      <c r="M80" s="25" cm="1">
        <f t="array" ref="M80">$U$20*NMultDensity(A80:D80,$U$22:$U$25,$Q$48:$T$51)/K80</f>
        <v>0.97554906198569602</v>
      </c>
      <c r="N80" s="39" cm="1">
        <f t="array" ref="N80">$U$33*NMultDensity(A80:D80,$U$35:$U$38,$Q$48:$T$51)/K80</f>
        <v>2.4450938014303918E-2</v>
      </c>
    </row>
    <row r="81" spans="1:14" x14ac:dyDescent="0.25">
      <c r="A81" s="60">
        <v>5.7</v>
      </c>
      <c r="B81" s="25">
        <v>2.6</v>
      </c>
      <c r="C81" s="25">
        <v>3.5</v>
      </c>
      <c r="D81" s="57">
        <v>1</v>
      </c>
      <c r="E81" s="67" t="s">
        <v>33</v>
      </c>
      <c r="F81" s="68" t="s">
        <v>6</v>
      </c>
      <c r="G81" s="68">
        <f t="shared" ca="1" si="7"/>
        <v>3.5180319226361854</v>
      </c>
      <c r="H81" s="49">
        <f t="shared" ca="1" si="8"/>
        <v>0.99176940424923121</v>
      </c>
      <c r="I81" s="65" t="s">
        <v>6</v>
      </c>
      <c r="J81" s="38" t="str">
        <f t="shared" si="9"/>
        <v>versicolor</v>
      </c>
      <c r="K81" s="25" cm="1">
        <f t="array" ref="K81">$U$7*NMultDensity(A81:D81,$U$9:$U$12,$Q$48:$T$51)+$U$20*NMultDensity(A81:D81,$U$22:$U$25,$Q$48:$T$51)+$U$33*NMultDensity(A81:D81,$U$35:$U$38,$Q$48:$T$51)</f>
        <v>7.9455388778113353E-2</v>
      </c>
      <c r="L81" s="25" cm="1">
        <f t="array" ref="L81">$U$7*NMultDensity(A81:D81,$U$9:$U$12,$Q$48:$T$51)/K81</f>
        <v>9.5579490784408782E-13</v>
      </c>
      <c r="M81" s="25" cm="1">
        <f t="array" ref="M81">$U$20*NMultDensity(A81:D81,$U$22:$U$25,$Q$48:$T$51)/K81</f>
        <v>0.99999956040874538</v>
      </c>
      <c r="N81" s="39" cm="1">
        <f t="array" ref="N81">$U$33*NMultDensity(A81:D81,$U$35:$U$38,$Q$48:$T$51)/K81</f>
        <v>4.3959029884146657E-7</v>
      </c>
    </row>
    <row r="82" spans="1:14" x14ac:dyDescent="0.25">
      <c r="A82" s="60">
        <v>5.5</v>
      </c>
      <c r="B82" s="25">
        <v>2.4</v>
      </c>
      <c r="C82" s="25">
        <v>3.8</v>
      </c>
      <c r="D82" s="57">
        <v>1.1000000000000001</v>
      </c>
      <c r="E82" s="67" t="s">
        <v>33</v>
      </c>
      <c r="F82" s="68" t="s">
        <v>6</v>
      </c>
      <c r="G82" s="68">
        <f t="shared" ca="1" si="7"/>
        <v>3.8035031621945898</v>
      </c>
      <c r="H82" s="49">
        <f t="shared" ca="1" si="8"/>
        <v>1.0860082630724266</v>
      </c>
      <c r="I82" s="65" t="s">
        <v>6</v>
      </c>
      <c r="J82" s="38" t="str">
        <f t="shared" si="9"/>
        <v>versicolor</v>
      </c>
      <c r="K82" s="25" cm="1">
        <f t="array" ref="K82">$U$7*NMultDensity(A82:D82,$U$9:$U$12,$Q$48:$T$51)+$U$20*NMultDensity(A82:D82,$U$22:$U$25,$Q$48:$T$51)+$U$33*NMultDensity(A82:D82,$U$35:$U$38,$Q$48:$T$51)</f>
        <v>0.41718963826578592</v>
      </c>
      <c r="L82" s="25" cm="1">
        <f t="array" ref="L82">$U$7*NMultDensity(A82:D82,$U$9:$U$12,$Q$48:$T$51)/K82</f>
        <v>3.3655622451477006E-19</v>
      </c>
      <c r="M82" s="25" cm="1">
        <f t="array" ref="M82">$U$20*NMultDensity(A82:D82,$U$22:$U$25,$Q$48:$T$51)/K82</f>
        <v>0.99993093149531098</v>
      </c>
      <c r="N82" s="39" cm="1">
        <f t="array" ref="N82">$U$33*NMultDensity(A82:D82,$U$35:$U$38,$Q$48:$T$51)/K82</f>
        <v>6.9068504689014887E-5</v>
      </c>
    </row>
    <row r="83" spans="1:14" x14ac:dyDescent="0.25">
      <c r="A83" s="60">
        <v>5.5</v>
      </c>
      <c r="B83" s="25">
        <v>2.4</v>
      </c>
      <c r="C83" s="25">
        <v>3.7</v>
      </c>
      <c r="D83" s="57">
        <v>1</v>
      </c>
      <c r="E83" s="67" t="s">
        <v>33</v>
      </c>
      <c r="F83" s="68" t="s">
        <v>6</v>
      </c>
      <c r="G83" s="68">
        <f t="shared" ca="1" si="7"/>
        <v>3.7167613496972431</v>
      </c>
      <c r="H83" s="49">
        <f t="shared" ca="1" si="8"/>
        <v>1.003030484094416</v>
      </c>
      <c r="I83" s="65" t="s">
        <v>6</v>
      </c>
      <c r="J83" s="38" t="str">
        <f t="shared" si="9"/>
        <v>versicolor</v>
      </c>
      <c r="K83" s="25" cm="1">
        <f t="array" ref="K83">$U$7*NMultDensity(A83:D83,$U$9:$U$12,$Q$48:$T$51)+$U$20*NMultDensity(A83:D83,$U$22:$U$25,$Q$48:$T$51)+$U$33*NMultDensity(A83:D83,$U$35:$U$38,$Q$48:$T$51)</f>
        <v>0.27598495522095606</v>
      </c>
      <c r="L83" s="25" cm="1">
        <f t="array" ref="L83">$U$7*NMultDensity(A83:D83,$U$9:$U$12,$Q$48:$T$51)/K83</f>
        <v>2.7409750470131003E-17</v>
      </c>
      <c r="M83" s="25" cm="1">
        <f t="array" ref="M83">$U$20*NMultDensity(A83:D83,$U$22:$U$25,$Q$48:$T$51)/K83</f>
        <v>0.99998988308768577</v>
      </c>
      <c r="N83" s="39" cm="1">
        <f t="array" ref="N83">$U$33*NMultDensity(A83:D83,$U$35:$U$38,$Q$48:$T$51)/K83</f>
        <v>1.0116912314122325E-5</v>
      </c>
    </row>
    <row r="84" spans="1:14" x14ac:dyDescent="0.25">
      <c r="A84" s="60">
        <v>5.8</v>
      </c>
      <c r="B84" s="25">
        <v>2.7</v>
      </c>
      <c r="C84" s="25">
        <v>3.9</v>
      </c>
      <c r="D84" s="57">
        <v>1.2</v>
      </c>
      <c r="E84" s="67" t="s">
        <v>33</v>
      </c>
      <c r="F84" s="68" t="s">
        <v>6</v>
      </c>
      <c r="G84" s="68">
        <f t="shared" ca="1" si="7"/>
        <v>3.8993374128407718</v>
      </c>
      <c r="H84" s="49">
        <f t="shared" ca="1" si="8"/>
        <v>1.1944505468270639</v>
      </c>
      <c r="I84" s="65" t="s">
        <v>6</v>
      </c>
      <c r="J84" s="38" t="str">
        <f t="shared" si="9"/>
        <v>versicolor</v>
      </c>
      <c r="K84" s="25" cm="1">
        <f t="array" ref="K84">$U$7*NMultDensity(A84:D84,$U$9:$U$12,$Q$48:$T$51)+$U$20*NMultDensity(A84:D84,$U$22:$U$25,$Q$48:$T$51)+$U$33*NMultDensity(A84:D84,$U$35:$U$38,$Q$48:$T$51)</f>
        <v>0.58912264062269382</v>
      </c>
      <c r="L84" s="25" cm="1">
        <f t="array" ref="L84">$U$7*NMultDensity(A84:D84,$U$9:$U$12,$Q$48:$T$51)/K84</f>
        <v>3.9201198613196045E-17</v>
      </c>
      <c r="M84" s="25" cm="1">
        <f t="array" ref="M84">$U$20*NMultDensity(A84:D84,$U$22:$U$25,$Q$48:$T$51)/K84</f>
        <v>0.99995870123038633</v>
      </c>
      <c r="N84" s="39" cm="1">
        <f t="array" ref="N84">$U$33*NMultDensity(A84:D84,$U$35:$U$38,$Q$48:$T$51)/K84</f>
        <v>4.1298769613650766E-5</v>
      </c>
    </row>
    <row r="85" spans="1:14" x14ac:dyDescent="0.25">
      <c r="A85" s="60">
        <v>6</v>
      </c>
      <c r="B85" s="25">
        <v>2.7</v>
      </c>
      <c r="C85" s="25">
        <v>5.0999999999999996</v>
      </c>
      <c r="D85" s="57">
        <v>1.6</v>
      </c>
      <c r="E85" s="67" t="s">
        <v>33</v>
      </c>
      <c r="F85" s="68" t="s">
        <v>6</v>
      </c>
      <c r="G85" s="68">
        <f t="shared" ca="1" si="7"/>
        <v>5.1218853807755664</v>
      </c>
      <c r="H85" s="49">
        <f t="shared" ca="1" si="8"/>
        <v>1.5854728008103884</v>
      </c>
      <c r="I85" s="65" t="s">
        <v>6</v>
      </c>
      <c r="J85" s="38" t="str">
        <f t="shared" si="9"/>
        <v>virginica</v>
      </c>
      <c r="K85" s="25" cm="1">
        <f t="array" ref="K85">$U$7*NMultDensity(A85:D85,$U$9:$U$12,$Q$48:$T$51)+$U$20*NMultDensity(A85:D85,$U$22:$U$25,$Q$48:$T$51)+$U$33*NMultDensity(A85:D85,$U$35:$U$38,$Q$48:$T$51)</f>
        <v>0.27677968145765319</v>
      </c>
      <c r="L85" s="25" cm="1">
        <f t="array" ref="L85">$U$7*NMultDensity(A85:D85,$U$9:$U$12,$Q$48:$T$51)/K85</f>
        <v>1.0133428574588866E-32</v>
      </c>
      <c r="M85" s="25" cm="1">
        <f t="array" ref="M85">$U$20*NMultDensity(A85:D85,$U$22:$U$25,$Q$48:$T$51)/K85</f>
        <v>5.417253225547191E-2</v>
      </c>
      <c r="N85" s="39" cm="1">
        <f t="array" ref="N85">$U$33*NMultDensity(A85:D85,$U$35:$U$38,$Q$48:$T$51)/K85</f>
        <v>0.94582746774452808</v>
      </c>
    </row>
    <row r="86" spans="1:14" x14ac:dyDescent="0.25">
      <c r="A86" s="60">
        <v>5.4</v>
      </c>
      <c r="B86" s="25">
        <v>3</v>
      </c>
      <c r="C86" s="25">
        <v>4.5</v>
      </c>
      <c r="D86" s="57">
        <v>1.5</v>
      </c>
      <c r="E86" s="67" t="s">
        <v>33</v>
      </c>
      <c r="F86" s="68" t="s">
        <v>6</v>
      </c>
      <c r="G86" s="68">
        <f t="shared" ca="1" si="7"/>
        <v>4.5046963258962975</v>
      </c>
      <c r="H86" s="49">
        <f t="shared" ca="1" si="8"/>
        <v>1.5213813029503569</v>
      </c>
      <c r="I86" s="65" t="s">
        <v>6</v>
      </c>
      <c r="J86" s="38" t="str">
        <f t="shared" si="9"/>
        <v>versicolor</v>
      </c>
      <c r="K86" s="25" cm="1">
        <f t="array" ref="K86">$U$7*NMultDensity(A86:D86,$U$9:$U$12,$Q$48:$T$51)+$U$20*NMultDensity(A86:D86,$U$22:$U$25,$Q$48:$T$51)+$U$33*NMultDensity(A86:D86,$U$35:$U$38,$Q$48:$T$51)</f>
        <v>3.3203398182748117E-2</v>
      </c>
      <c r="L86" s="25" cm="1">
        <f t="array" ref="L86">$U$7*NMultDensity(A86:D86,$U$9:$U$12,$Q$48:$T$51)/K86</f>
        <v>6.7738793971671286E-25</v>
      </c>
      <c r="M86" s="25" cm="1">
        <f t="array" ref="M86">$U$20*NMultDensity(A86:D86,$U$22:$U$25,$Q$48:$T$51)/K86</f>
        <v>0.85429980984202258</v>
      </c>
      <c r="N86" s="39" cm="1">
        <f t="array" ref="N86">$U$33*NMultDensity(A86:D86,$U$35:$U$38,$Q$48:$T$51)/K86</f>
        <v>0.14570019015797731</v>
      </c>
    </row>
    <row r="87" spans="1:14" x14ac:dyDescent="0.25">
      <c r="A87" s="60">
        <v>6</v>
      </c>
      <c r="B87" s="25">
        <v>3.4</v>
      </c>
      <c r="C87" s="25">
        <v>4.5</v>
      </c>
      <c r="D87" s="57">
        <v>1.6</v>
      </c>
      <c r="E87" s="67" t="s">
        <v>33</v>
      </c>
      <c r="F87" s="68" t="s">
        <v>6</v>
      </c>
      <c r="G87" s="68">
        <f t="shared" ca="1" si="7"/>
        <v>4.5055093849095806</v>
      </c>
      <c r="H87" s="49">
        <f t="shared" ca="1" si="8"/>
        <v>1.6211400091862656</v>
      </c>
      <c r="I87" s="65" t="s">
        <v>6</v>
      </c>
      <c r="J87" s="38" t="str">
        <f t="shared" si="9"/>
        <v>versicolor</v>
      </c>
      <c r="K87" s="25" cm="1">
        <f t="array" ref="K87">$U$7*NMultDensity(A87:D87,$U$9:$U$12,$Q$48:$T$51)+$U$20*NMultDensity(A87:D87,$U$22:$U$25,$Q$48:$T$51)+$U$33*NMultDensity(A87:D87,$U$35:$U$38,$Q$48:$T$51)</f>
        <v>7.9152440688801881E-2</v>
      </c>
      <c r="L87" s="25" cm="1">
        <f t="array" ref="L87">$U$7*NMultDensity(A87:D87,$U$9:$U$12,$Q$48:$T$51)/K87</f>
        <v>1.3145309652238885E-19</v>
      </c>
      <c r="M87" s="25" cm="1">
        <f t="array" ref="M87">$U$20*NMultDensity(A87:D87,$U$22:$U$25,$Q$48:$T$51)/K87</f>
        <v>0.99034812251841153</v>
      </c>
      <c r="N87" s="39" cm="1">
        <f t="array" ref="N87">$U$33*NMultDensity(A87:D87,$U$35:$U$38,$Q$48:$T$51)/K87</f>
        <v>9.6518774815884164E-3</v>
      </c>
    </row>
    <row r="88" spans="1:14" x14ac:dyDescent="0.25">
      <c r="A88" s="60">
        <v>6.7</v>
      </c>
      <c r="B88" s="25">
        <v>3.1</v>
      </c>
      <c r="C88" s="25">
        <v>4.7</v>
      </c>
      <c r="D88" s="57">
        <v>1.5</v>
      </c>
      <c r="E88" s="67" t="s">
        <v>33</v>
      </c>
      <c r="F88" s="68" t="s">
        <v>6</v>
      </c>
      <c r="G88" s="68">
        <f t="shared" ca="1" si="7"/>
        <v>4.7011139471570358</v>
      </c>
      <c r="H88" s="49">
        <f t="shared" ca="1" si="8"/>
        <v>1.5032874056462227</v>
      </c>
      <c r="I88" s="65" t="s">
        <v>6</v>
      </c>
      <c r="J88" s="38" t="str">
        <f t="shared" si="9"/>
        <v>versicolor</v>
      </c>
      <c r="K88" s="25" cm="1">
        <f t="array" ref="K88">$U$7*NMultDensity(A88:D88,$U$9:$U$12,$Q$48:$T$51)+$U$20*NMultDensity(A88:D88,$U$22:$U$25,$Q$48:$T$51)+$U$33*NMultDensity(A88:D88,$U$35:$U$38,$Q$48:$T$51)</f>
        <v>0.32468863412807236</v>
      </c>
      <c r="L88" s="25" cm="1">
        <f t="array" ref="L88">$U$7*NMultDensity(A88:D88,$U$9:$U$12,$Q$48:$T$51)/K88</f>
        <v>4.4691933189164533E-20</v>
      </c>
      <c r="M88" s="25" cm="1">
        <f t="array" ref="M88">$U$20*NMultDensity(A88:D88,$U$22:$U$25,$Q$48:$T$51)/K88</f>
        <v>0.99681694920481123</v>
      </c>
      <c r="N88" s="39" cm="1">
        <f t="array" ref="N88">$U$33*NMultDensity(A88:D88,$U$35:$U$38,$Q$48:$T$51)/K88</f>
        <v>3.183050795188833E-3</v>
      </c>
    </row>
    <row r="89" spans="1:14" x14ac:dyDescent="0.25">
      <c r="A89" s="60">
        <v>6.3</v>
      </c>
      <c r="B89" s="25">
        <v>2.2999999999999998</v>
      </c>
      <c r="C89" s="25">
        <v>4.4000000000000004</v>
      </c>
      <c r="D89" s="57">
        <v>1.3</v>
      </c>
      <c r="E89" s="67" t="s">
        <v>34</v>
      </c>
      <c r="F89" s="68" t="s">
        <v>6</v>
      </c>
      <c r="G89" s="68">
        <f t="shared" ca="1" si="7"/>
        <v>4.385046321985147</v>
      </c>
      <c r="H89" s="49">
        <f t="shared" ca="1" si="8"/>
        <v>1.3024608267291857</v>
      </c>
      <c r="I89" s="65" t="s">
        <v>6</v>
      </c>
      <c r="J89" s="38" t="str">
        <f t="shared" si="9"/>
        <v>versicolor</v>
      </c>
      <c r="K89" s="25" cm="1">
        <f t="array" ref="K89">$U$7*NMultDensity(A89:D89,$U$9:$U$12,$Q$48:$T$51)+$U$20*NMultDensity(A89:D89,$U$22:$U$25,$Q$48:$T$51)+$U$33*NMultDensity(A89:D89,$U$35:$U$38,$Q$48:$T$51)</f>
        <v>7.4743633997443562E-2</v>
      </c>
      <c r="L89" s="25" cm="1">
        <f t="array" ref="L89">$U$7*NMultDensity(A89:D89,$U$9:$U$12,$Q$48:$T$51)/K89</f>
        <v>3.8369921021268522E-24</v>
      </c>
      <c r="M89" s="25" cm="1">
        <f t="array" ref="M89">$U$20*NMultDensity(A89:D89,$U$22:$U$25,$Q$48:$T$51)/K89</f>
        <v>0.99555087553779054</v>
      </c>
      <c r="N89" s="39" cm="1">
        <f t="array" ref="N89">$U$33*NMultDensity(A89:D89,$U$35:$U$38,$Q$48:$T$51)/K89</f>
        <v>4.4491244622094969E-3</v>
      </c>
    </row>
    <row r="90" spans="1:14" x14ac:dyDescent="0.25">
      <c r="A90" s="60">
        <v>5.6</v>
      </c>
      <c r="B90" s="25">
        <v>3</v>
      </c>
      <c r="C90" s="25">
        <v>4.0999999999999996</v>
      </c>
      <c r="D90" s="57">
        <v>1.3</v>
      </c>
      <c r="E90" s="67" t="s">
        <v>34</v>
      </c>
      <c r="F90" s="68" t="s">
        <v>6</v>
      </c>
      <c r="G90" s="68">
        <f t="shared" ca="1" si="7"/>
        <v>4.1130961153713805</v>
      </c>
      <c r="H90" s="49">
        <f t="shared" ca="1" si="8"/>
        <v>1.2962694288060124</v>
      </c>
      <c r="I90" s="65" t="s">
        <v>6</v>
      </c>
      <c r="J90" s="38" t="str">
        <f t="shared" si="9"/>
        <v>versicolor</v>
      </c>
      <c r="K90" s="25" cm="1">
        <f t="array" ref="K90">$U$7*NMultDensity(A90:D90,$U$9:$U$12,$Q$48:$T$51)+$U$20*NMultDensity(A90:D90,$U$22:$U$25,$Q$48:$T$51)+$U$33*NMultDensity(A90:D90,$U$35:$U$38,$Q$48:$T$51)</f>
        <v>0.35064110165614759</v>
      </c>
      <c r="L90" s="25" cm="1">
        <f t="array" ref="L90">$U$7*NMultDensity(A90:D90,$U$9:$U$12,$Q$48:$T$51)/K90</f>
        <v>3.1484480836413912E-18</v>
      </c>
      <c r="M90" s="25" cm="1">
        <f t="array" ref="M90">$U$20*NMultDensity(A90:D90,$U$22:$U$25,$Q$48:$T$51)/K90</f>
        <v>0.99963053256964407</v>
      </c>
      <c r="N90" s="39" cm="1">
        <f t="array" ref="N90">$U$33*NMultDensity(A90:D90,$U$35:$U$38,$Q$48:$T$51)/K90</f>
        <v>3.694674303559997E-4</v>
      </c>
    </row>
    <row r="91" spans="1:14" x14ac:dyDescent="0.25">
      <c r="A91" s="60">
        <v>5.5</v>
      </c>
      <c r="B91" s="25">
        <v>2.5</v>
      </c>
      <c r="C91" s="25">
        <v>4</v>
      </c>
      <c r="D91" s="57">
        <v>1.3</v>
      </c>
      <c r="E91" s="67" t="s">
        <v>34</v>
      </c>
      <c r="F91" s="68" t="s">
        <v>6</v>
      </c>
      <c r="G91" s="68">
        <f t="shared" ca="1" si="7"/>
        <v>4.0243398956853911</v>
      </c>
      <c r="H91" s="49">
        <f t="shared" ca="1" si="8"/>
        <v>1.3013828952108806</v>
      </c>
      <c r="I91" s="65" t="s">
        <v>6</v>
      </c>
      <c r="J91" s="38" t="str">
        <f t="shared" si="9"/>
        <v>versicolor</v>
      </c>
      <c r="K91" s="25" cm="1">
        <f t="array" ref="K91">$U$7*NMultDensity(A91:D91,$U$9:$U$12,$Q$48:$T$51)+$U$20*NMultDensity(A91:D91,$U$22:$U$25,$Q$48:$T$51)+$U$33*NMultDensity(A91:D91,$U$35:$U$38,$Q$48:$T$51)</f>
        <v>0.55788476367425144</v>
      </c>
      <c r="L91" s="25" cm="1">
        <f t="array" ref="L91">$U$7*NMultDensity(A91:D91,$U$9:$U$12,$Q$48:$T$51)/K91</f>
        <v>3.8642252889373204E-22</v>
      </c>
      <c r="M91" s="25" cm="1">
        <f t="array" ref="M91">$U$20*NMultDensity(A91:D91,$U$22:$U$25,$Q$48:$T$51)/K91</f>
        <v>0.99789279811254716</v>
      </c>
      <c r="N91" s="39" cm="1">
        <f t="array" ref="N91">$U$33*NMultDensity(A91:D91,$U$35:$U$38,$Q$48:$T$51)/K91</f>
        <v>2.1072018874527701E-3</v>
      </c>
    </row>
    <row r="92" spans="1:14" x14ac:dyDescent="0.25">
      <c r="A92" s="60">
        <v>5.5</v>
      </c>
      <c r="B92" s="25">
        <v>2.6</v>
      </c>
      <c r="C92" s="25">
        <v>4.4000000000000004</v>
      </c>
      <c r="D92" s="57">
        <v>1.2</v>
      </c>
      <c r="E92" s="67" t="s">
        <v>34</v>
      </c>
      <c r="F92" s="68" t="s">
        <v>6</v>
      </c>
      <c r="G92" s="68">
        <f t="shared" ca="1" si="7"/>
        <v>4.3820492485962177</v>
      </c>
      <c r="H92" s="49">
        <f t="shared" ca="1" si="8"/>
        <v>1.2052976311383465</v>
      </c>
      <c r="I92" s="65" t="s">
        <v>6</v>
      </c>
      <c r="J92" s="38" t="str">
        <f t="shared" si="9"/>
        <v>versicolor</v>
      </c>
      <c r="K92" s="25" cm="1">
        <f t="array" ref="K92">$U$7*NMultDensity(A92:D92,$U$9:$U$12,$Q$48:$T$51)+$U$20*NMultDensity(A92:D92,$U$22:$U$25,$Q$48:$T$51)+$U$33*NMultDensity(A92:D92,$U$35:$U$38,$Q$48:$T$51)</f>
        <v>0.15490016207872223</v>
      </c>
      <c r="L92" s="25" cm="1">
        <f t="array" ref="L92">$U$7*NMultDensity(A92:D92,$U$9:$U$12,$Q$48:$T$51)/K92</f>
        <v>4.464436941272707E-24</v>
      </c>
      <c r="M92" s="25" cm="1">
        <f t="array" ref="M92">$U$20*NMultDensity(A92:D92,$U$22:$U$25,$Q$48:$T$51)/K92</f>
        <v>0.99117662095395209</v>
      </c>
      <c r="N92" s="39" cm="1">
        <f t="array" ref="N92">$U$33*NMultDensity(A92:D92,$U$35:$U$38,$Q$48:$T$51)/K92</f>
        <v>8.823379046047913E-3</v>
      </c>
    </row>
    <row r="93" spans="1:14" x14ac:dyDescent="0.25">
      <c r="A93" s="60">
        <v>6.1</v>
      </c>
      <c r="B93" s="25">
        <v>3</v>
      </c>
      <c r="C93" s="25">
        <v>4.5999999999999996</v>
      </c>
      <c r="D93" s="57">
        <v>1.4</v>
      </c>
      <c r="E93" s="67" t="s">
        <v>34</v>
      </c>
      <c r="F93" s="68" t="s">
        <v>6</v>
      </c>
      <c r="G93" s="68">
        <f t="shared" ca="1" si="7"/>
        <v>4.590215777096442</v>
      </c>
      <c r="H93" s="49">
        <f t="shared" ca="1" si="8"/>
        <v>1.4049297397700593</v>
      </c>
      <c r="I93" s="65" t="s">
        <v>6</v>
      </c>
      <c r="J93" s="38" t="str">
        <f t="shared" si="9"/>
        <v>versicolor</v>
      </c>
      <c r="K93" s="25" cm="1">
        <f t="array" ref="K93">$U$7*NMultDensity(A93:D93,$U$9:$U$12,$Q$48:$T$51)+$U$20*NMultDensity(A93:D93,$U$22:$U$25,$Q$48:$T$51)+$U$33*NMultDensity(A93:D93,$U$35:$U$38,$Q$48:$T$51)</f>
        <v>0.53331394819442157</v>
      </c>
      <c r="L93" s="25" cm="1">
        <f t="array" ref="L93">$U$7*NMultDensity(A93:D93,$U$9:$U$12,$Q$48:$T$51)/K93</f>
        <v>1.0418474537659015E-21</v>
      </c>
      <c r="M93" s="25" cm="1">
        <f t="array" ref="M93">$U$20*NMultDensity(A93:D93,$U$22:$U$25,$Q$48:$T$51)/K93</f>
        <v>0.99265522347432067</v>
      </c>
      <c r="N93" s="39" cm="1">
        <f t="array" ref="N93">$U$33*NMultDensity(A93:D93,$U$35:$U$38,$Q$48:$T$51)/K93</f>
        <v>7.344776525679368E-3</v>
      </c>
    </row>
    <row r="94" spans="1:14" x14ac:dyDescent="0.25">
      <c r="A94" s="60">
        <v>5.8</v>
      </c>
      <c r="B94" s="25">
        <v>2.6</v>
      </c>
      <c r="C94" s="25">
        <v>4</v>
      </c>
      <c r="D94" s="57">
        <v>1.2</v>
      </c>
      <c r="E94" s="67" t="s">
        <v>34</v>
      </c>
      <c r="F94" s="68" t="s">
        <v>6</v>
      </c>
      <c r="G94" s="68">
        <f t="shared" ca="1" si="7"/>
        <v>3.9751492591577358</v>
      </c>
      <c r="H94" s="49">
        <f t="shared" ca="1" si="8"/>
        <v>1.1875337936226067</v>
      </c>
      <c r="I94" s="65" t="s">
        <v>6</v>
      </c>
      <c r="J94" s="38" t="str">
        <f t="shared" si="9"/>
        <v>versicolor</v>
      </c>
      <c r="K94" s="25" cm="1">
        <f t="array" ref="K94">$U$7*NMultDensity(A94:D94,$U$9:$U$12,$Q$48:$T$51)+$U$20*NMultDensity(A94:D94,$U$22:$U$25,$Q$48:$T$51)+$U$33*NMultDensity(A94:D94,$U$35:$U$38,$Q$48:$T$51)</f>
        <v>0.7029671502181265</v>
      </c>
      <c r="L94" s="25" cm="1">
        <f t="array" ref="L94">$U$7*NMultDensity(A94:D94,$U$9:$U$12,$Q$48:$T$51)/K94</f>
        <v>5.8234522051087698E-19</v>
      </c>
      <c r="M94" s="25" cm="1">
        <f t="array" ref="M94">$U$20*NMultDensity(A94:D94,$U$22:$U$25,$Q$48:$T$51)/K94</f>
        <v>0.99986585811326811</v>
      </c>
      <c r="N94" s="39" cm="1">
        <f t="array" ref="N94">$U$33*NMultDensity(A94:D94,$U$35:$U$38,$Q$48:$T$51)/K94</f>
        <v>1.3414188673186217E-4</v>
      </c>
    </row>
    <row r="95" spans="1:14" x14ac:dyDescent="0.25">
      <c r="A95" s="60">
        <v>5</v>
      </c>
      <c r="B95" s="25">
        <v>2.2999999999999998</v>
      </c>
      <c r="C95" s="25">
        <v>3.3</v>
      </c>
      <c r="D95" s="57">
        <v>1</v>
      </c>
      <c r="E95" s="67" t="s">
        <v>34</v>
      </c>
      <c r="F95" s="68" t="s">
        <v>6</v>
      </c>
      <c r="G95" s="68">
        <f t="shared" ca="1" si="7"/>
        <v>3.3100283632782928</v>
      </c>
      <c r="H95" s="49">
        <f t="shared" ca="1" si="8"/>
        <v>0.99913919155836484</v>
      </c>
      <c r="I95" s="65" t="s">
        <v>6</v>
      </c>
      <c r="J95" s="38" t="str">
        <f t="shared" si="9"/>
        <v>versicolor</v>
      </c>
      <c r="K95" s="25" cm="1">
        <f t="array" ref="K95">$U$7*NMultDensity(A95:D95,$U$9:$U$12,$Q$48:$T$51)+$U$20*NMultDensity(A95:D95,$U$22:$U$25,$Q$48:$T$51)+$U$33*NMultDensity(A95:D95,$U$35:$U$38,$Q$48:$T$51)</f>
        <v>0.11144319297317715</v>
      </c>
      <c r="L95" s="25" cm="1">
        <f t="array" ref="L95">$U$7*NMultDensity(A95:D95,$U$9:$U$12,$Q$48:$T$51)/K95</f>
        <v>1.3237379875677269E-16</v>
      </c>
      <c r="M95" s="25" cm="1">
        <f t="array" ref="M95">$U$20*NMultDensity(A95:D95,$U$22:$U$25,$Q$48:$T$51)/K95</f>
        <v>0.99999473901099178</v>
      </c>
      <c r="N95" s="39" cm="1">
        <f t="array" ref="N95">$U$33*NMultDensity(A95:D95,$U$35:$U$38,$Q$48:$T$51)/K95</f>
        <v>5.2609890080663448E-6</v>
      </c>
    </row>
    <row r="96" spans="1:14" x14ac:dyDescent="0.25">
      <c r="A96" s="60">
        <v>5.6</v>
      </c>
      <c r="B96" s="25">
        <v>2.7</v>
      </c>
      <c r="C96" s="25">
        <v>4.2</v>
      </c>
      <c r="D96" s="57">
        <v>1.3</v>
      </c>
      <c r="E96" s="67" t="s">
        <v>34</v>
      </c>
      <c r="F96" s="68" t="s">
        <v>6</v>
      </c>
      <c r="G96" s="68">
        <f t="shared" ca="1" si="7"/>
        <v>4.2089711391354516</v>
      </c>
      <c r="H96" s="49">
        <f t="shared" ca="1" si="8"/>
        <v>1.2935617971950728</v>
      </c>
      <c r="I96" s="65" t="s">
        <v>6</v>
      </c>
      <c r="J96" s="38" t="str">
        <f t="shared" si="9"/>
        <v>versicolor</v>
      </c>
      <c r="K96" s="25" cm="1">
        <f t="array" ref="K96">$U$7*NMultDensity(A96:D96,$U$9:$U$12,$Q$48:$T$51)+$U$20*NMultDensity(A96:D96,$U$22:$U$25,$Q$48:$T$51)+$U$33*NMultDensity(A96:D96,$U$35:$U$38,$Q$48:$T$51)</f>
        <v>0.65232539535635659</v>
      </c>
      <c r="L96" s="25" cm="1">
        <f t="array" ref="L96">$U$7*NMultDensity(A96:D96,$U$9:$U$12,$Q$48:$T$51)/K96</f>
        <v>8.0149107726109399E-22</v>
      </c>
      <c r="M96" s="25" cm="1">
        <f t="array" ref="M96">$U$20*NMultDensity(A96:D96,$U$22:$U$25,$Q$48:$T$51)/K96</f>
        <v>0.99721644394846987</v>
      </c>
      <c r="N96" s="39" cm="1">
        <f t="array" ref="N96">$U$33*NMultDensity(A96:D96,$U$35:$U$38,$Q$48:$T$51)/K96</f>
        <v>2.7835560515300181E-3</v>
      </c>
    </row>
    <row r="97" spans="1:14" x14ac:dyDescent="0.25">
      <c r="A97" s="60">
        <v>5.7</v>
      </c>
      <c r="B97" s="25">
        <v>3</v>
      </c>
      <c r="C97" s="25">
        <v>4.2</v>
      </c>
      <c r="D97" s="57">
        <v>1.2</v>
      </c>
      <c r="E97" s="67" t="s">
        <v>34</v>
      </c>
      <c r="F97" s="68" t="s">
        <v>6</v>
      </c>
      <c r="G97" s="68">
        <f t="shared" ca="1" si="7"/>
        <v>4.1761043572270271</v>
      </c>
      <c r="H97" s="49">
        <f t="shared" ca="1" si="8"/>
        <v>1.1934242763502967</v>
      </c>
      <c r="I97" s="65" t="s">
        <v>6</v>
      </c>
      <c r="J97" s="38" t="str">
        <f t="shared" si="9"/>
        <v>versicolor</v>
      </c>
      <c r="K97" s="25" cm="1">
        <f t="array" ref="K97">$U$7*NMultDensity(A97:D97,$U$9:$U$12,$Q$48:$T$51)+$U$20*NMultDensity(A97:D97,$U$22:$U$25,$Q$48:$T$51)+$U$33*NMultDensity(A97:D97,$U$35:$U$38,$Q$48:$T$51)</f>
        <v>0.25310985792810609</v>
      </c>
      <c r="L97" s="25" cm="1">
        <f t="array" ref="L97">$U$7*NMultDensity(A97:D97,$U$9:$U$12,$Q$48:$T$51)/K97</f>
        <v>9.142565511720239E-18</v>
      </c>
      <c r="M97" s="25" cm="1">
        <f t="array" ref="M97">$U$20*NMultDensity(A97:D97,$U$22:$U$25,$Q$48:$T$51)/K97</f>
        <v>0.99983365824459536</v>
      </c>
      <c r="N97" s="39" cm="1">
        <f t="array" ref="N97">$U$33*NMultDensity(A97:D97,$U$35:$U$38,$Q$48:$T$51)/K97</f>
        <v>1.6634175540466436E-4</v>
      </c>
    </row>
    <row r="98" spans="1:14" x14ac:dyDescent="0.25">
      <c r="A98" s="60">
        <v>5.7</v>
      </c>
      <c r="B98" s="25">
        <v>2.9</v>
      </c>
      <c r="C98" s="25">
        <v>4.2</v>
      </c>
      <c r="D98" s="57">
        <v>1.3</v>
      </c>
      <c r="E98" s="67" t="s">
        <v>34</v>
      </c>
      <c r="F98" s="68" t="s">
        <v>6</v>
      </c>
      <c r="G98" s="68">
        <f t="shared" ref="G98:G129" ca="1" si="10">C98+0.05*RAND()-0.025</f>
        <v>4.1831651291565262</v>
      </c>
      <c r="H98" s="49">
        <f t="shared" ref="H98:H129" ca="1" si="11">D98+0.05*RAND()-0.025</f>
        <v>1.2894374499087413</v>
      </c>
      <c r="I98" s="65" t="s">
        <v>6</v>
      </c>
      <c r="J98" s="38" t="str">
        <f t="shared" ref="J98:J129" si="12">IF(L98&gt;MAX(M98:N98),$I$2,IF(M98&gt;N98,$I$52,$I$102))</f>
        <v>versicolor</v>
      </c>
      <c r="K98" s="25" cm="1">
        <f t="array" ref="K98">$U$7*NMultDensity(A98:D98,$U$9:$U$12,$Q$48:$T$51)+$U$20*NMultDensity(A98:D98,$U$22:$U$25,$Q$48:$T$51)+$U$33*NMultDensity(A98:D98,$U$35:$U$38,$Q$48:$T$51)</f>
        <v>0.59066519894330816</v>
      </c>
      <c r="L98" s="25" cm="1">
        <f t="array" ref="L98">$U$7*NMultDensity(A98:D98,$U$9:$U$12,$Q$48:$T$51)/K98</f>
        <v>1.2971040175806964E-19</v>
      </c>
      <c r="M98" s="25" cm="1">
        <f t="array" ref="M98">$U$20*NMultDensity(A98:D98,$U$22:$U$25,$Q$48:$T$51)/K98</f>
        <v>0.99918769911608685</v>
      </c>
      <c r="N98" s="39" cm="1">
        <f t="array" ref="N98">$U$33*NMultDensity(A98:D98,$U$35:$U$38,$Q$48:$T$51)/K98</f>
        <v>8.1230088391311313E-4</v>
      </c>
    </row>
    <row r="99" spans="1:14" x14ac:dyDescent="0.25">
      <c r="A99" s="60">
        <v>6.2</v>
      </c>
      <c r="B99" s="25">
        <v>2.9</v>
      </c>
      <c r="C99" s="25">
        <v>4.3</v>
      </c>
      <c r="D99" s="57">
        <v>1.3</v>
      </c>
      <c r="E99" s="67" t="s">
        <v>34</v>
      </c>
      <c r="F99" s="68" t="s">
        <v>6</v>
      </c>
      <c r="G99" s="68">
        <f t="shared" ca="1" si="10"/>
        <v>4.3222555358617427</v>
      </c>
      <c r="H99" s="49">
        <f t="shared" ca="1" si="11"/>
        <v>1.3165280803213666</v>
      </c>
      <c r="I99" s="65" t="s">
        <v>6</v>
      </c>
      <c r="J99" s="38" t="str">
        <f t="shared" si="12"/>
        <v>versicolor</v>
      </c>
      <c r="K99" s="25" cm="1">
        <f t="array" ref="K99">$U$7*NMultDensity(A99:D99,$U$9:$U$12,$Q$48:$T$51)+$U$20*NMultDensity(A99:D99,$U$22:$U$25,$Q$48:$T$51)+$U$33*NMultDensity(A99:D99,$U$35:$U$38,$Q$48:$T$51)</f>
        <v>0.69917604603249461</v>
      </c>
      <c r="L99" s="25" cm="1">
        <f t="array" ref="L99">$U$7*NMultDensity(A99:D99,$U$9:$U$12,$Q$48:$T$51)/K99</f>
        <v>2.4178137118727433E-18</v>
      </c>
      <c r="M99" s="25" cm="1">
        <f t="array" ref="M99">$U$20*NMultDensity(A99:D99,$U$22:$U$25,$Q$48:$T$51)/K99</f>
        <v>0.99975353504812103</v>
      </c>
      <c r="N99" s="39" cm="1">
        <f t="array" ref="N99">$U$33*NMultDensity(A99:D99,$U$35:$U$38,$Q$48:$T$51)/K99</f>
        <v>2.4646495187897777E-4</v>
      </c>
    </row>
    <row r="100" spans="1:14" x14ac:dyDescent="0.25">
      <c r="A100" s="60">
        <v>5.0999999999999996</v>
      </c>
      <c r="B100" s="25">
        <v>2.5</v>
      </c>
      <c r="C100" s="25">
        <v>3</v>
      </c>
      <c r="D100" s="57">
        <v>1.1000000000000001</v>
      </c>
      <c r="E100" s="67" t="s">
        <v>34</v>
      </c>
      <c r="F100" s="68" t="s">
        <v>6</v>
      </c>
      <c r="G100" s="68">
        <f t="shared" ca="1" si="10"/>
        <v>2.9867631985012588</v>
      </c>
      <c r="H100" s="49">
        <f t="shared" ca="1" si="11"/>
        <v>1.1122680893323387</v>
      </c>
      <c r="I100" s="65" t="s">
        <v>6</v>
      </c>
      <c r="J100" s="38" t="str">
        <f t="shared" si="12"/>
        <v>versicolor</v>
      </c>
      <c r="K100" s="25" cm="1">
        <f t="array" ref="K100">$U$7*NMultDensity(A100:D100,$U$9:$U$12,$Q$48:$T$51)+$U$20*NMultDensity(A100:D100,$U$22:$U$25,$Q$48:$T$51)+$U$33*NMultDensity(A100:D100,$U$35:$U$38,$Q$48:$T$51)</f>
        <v>2.1679048143719157E-2</v>
      </c>
      <c r="L100" s="25" cm="1">
        <f t="array" ref="L100">$U$7*NMultDensity(A100:D100,$U$9:$U$12,$Q$48:$T$51)/K100</f>
        <v>1.5899234668348359E-12</v>
      </c>
      <c r="M100" s="25" cm="1">
        <f t="array" ref="M100">$U$20*NMultDensity(A100:D100,$U$22:$U$25,$Q$48:$T$51)/K100</f>
        <v>0.99999949215655748</v>
      </c>
      <c r="N100" s="39" cm="1">
        <f t="array" ref="N100">$U$33*NMultDensity(A100:D100,$U$35:$U$38,$Q$48:$T$51)/K100</f>
        <v>5.0784185257241197E-7</v>
      </c>
    </row>
    <row r="101" spans="1:14" x14ac:dyDescent="0.25">
      <c r="A101" s="60">
        <v>5.7</v>
      </c>
      <c r="B101" s="25">
        <v>2.8</v>
      </c>
      <c r="C101" s="25">
        <v>4.0999999999999996</v>
      </c>
      <c r="D101" s="57">
        <v>1.3</v>
      </c>
      <c r="E101" s="67" t="s">
        <v>34</v>
      </c>
      <c r="F101" s="68" t="s">
        <v>6</v>
      </c>
      <c r="G101" s="68">
        <f t="shared" ca="1" si="10"/>
        <v>4.1080170583819351</v>
      </c>
      <c r="H101" s="49">
        <f t="shared" ca="1" si="11"/>
        <v>1.3110129956014636</v>
      </c>
      <c r="I101" s="65" t="s">
        <v>6</v>
      </c>
      <c r="J101" s="38" t="str">
        <f t="shared" si="12"/>
        <v>versicolor</v>
      </c>
      <c r="K101" s="25" cm="1">
        <f t="array" ref="K101">$U$7*NMultDensity(A101:D101,$U$9:$U$12,$Q$48:$T$51)+$U$20*NMultDensity(A101:D101,$U$22:$U$25,$Q$48:$T$51)+$U$33*NMultDensity(A101:D101,$U$35:$U$38,$Q$48:$T$51)</f>
        <v>0.81250935159604076</v>
      </c>
      <c r="L101" s="25" cm="1">
        <f t="array" ref="L101">$U$7*NMultDensity(A101:D101,$U$9:$U$12,$Q$48:$T$51)/K101</f>
        <v>1.499976154749516E-19</v>
      </c>
      <c r="M101" s="25" cm="1">
        <f t="array" ref="M101">$U$20*NMultDensity(A101:D101,$U$22:$U$25,$Q$48:$T$51)/K101</f>
        <v>0.99941849175637543</v>
      </c>
      <c r="N101" s="39" cm="1">
        <f t="array" ref="N101">$U$33*NMultDensity(A101:D101,$U$35:$U$38,$Q$48:$T$51)/K101</f>
        <v>5.8150824362465528E-4</v>
      </c>
    </row>
    <row r="102" spans="1:14" x14ac:dyDescent="0.25">
      <c r="A102" s="60">
        <v>6.3</v>
      </c>
      <c r="B102" s="25">
        <v>3.3</v>
      </c>
      <c r="C102" s="25">
        <v>6</v>
      </c>
      <c r="D102" s="57">
        <v>2.5</v>
      </c>
      <c r="E102" s="67" t="s">
        <v>31</v>
      </c>
      <c r="F102" s="68" t="s">
        <v>7</v>
      </c>
      <c r="G102" s="68">
        <f t="shared" ca="1" si="10"/>
        <v>6.0248312952747796</v>
      </c>
      <c r="H102" s="49">
        <f t="shared" ca="1" si="11"/>
        <v>2.5212274422282412</v>
      </c>
      <c r="I102" s="65" t="s">
        <v>7</v>
      </c>
      <c r="J102" s="38" t="str">
        <f t="shared" si="12"/>
        <v>virginica</v>
      </c>
      <c r="K102" s="25" cm="1">
        <f t="array" ref="K102">$U$7*NMultDensity(A102:D102,$U$9:$U$12,$Q$48:$T$51)+$U$20*NMultDensity(A102:D102,$U$22:$U$25,$Q$48:$T$51)+$U$33*NMultDensity(A102:D102,$U$35:$U$38,$Q$48:$T$51)</f>
        <v>2.092842251070403E-2</v>
      </c>
      <c r="L102" s="25" cm="1">
        <f t="array" ref="L102">$U$7*NMultDensity(A102:D102,$U$9:$U$12,$Q$48:$T$51)/K102</f>
        <v>3.5983733924045907E-49</v>
      </c>
      <c r="M102" s="25" cm="1">
        <f t="array" ref="M102">$U$20*NMultDensity(A102:D102,$U$22:$U$25,$Q$48:$T$51)/K102</f>
        <v>7.1923401753672672E-8</v>
      </c>
      <c r="N102" s="39" cm="1">
        <f t="array" ref="N102">$U$33*NMultDensity(A102:D102,$U$35:$U$38,$Q$48:$T$51)/K102</f>
        <v>0.99999992807659832</v>
      </c>
    </row>
    <row r="103" spans="1:14" x14ac:dyDescent="0.25">
      <c r="A103" s="60">
        <v>5.8</v>
      </c>
      <c r="B103" s="25">
        <v>2.7</v>
      </c>
      <c r="C103" s="25">
        <v>5.0999999999999996</v>
      </c>
      <c r="D103" s="57">
        <v>1.9</v>
      </c>
      <c r="E103" s="67" t="s">
        <v>31</v>
      </c>
      <c r="F103" s="68" t="s">
        <v>7</v>
      </c>
      <c r="G103" s="68">
        <f t="shared" ca="1" si="10"/>
        <v>5.1037133215195727</v>
      </c>
      <c r="H103" s="49">
        <f t="shared" ca="1" si="11"/>
        <v>1.8867986661527369</v>
      </c>
      <c r="I103" s="65" t="s">
        <v>7</v>
      </c>
      <c r="J103" s="38" t="str">
        <f t="shared" si="12"/>
        <v>virginica</v>
      </c>
      <c r="K103" s="25" cm="1">
        <f t="array" ref="K103">$U$7*NMultDensity(A103:D103,$U$9:$U$12,$Q$48:$T$51)+$U$20*NMultDensity(A103:D103,$U$22:$U$25,$Q$48:$T$51)+$U$33*NMultDensity(A103:D103,$U$35:$U$38,$Q$48:$T$51)</f>
        <v>0.56945734812675763</v>
      </c>
      <c r="L103" s="25" cm="1">
        <f t="array" ref="L103">$U$7*NMultDensity(A103:D103,$U$9:$U$12,$Q$48:$T$51)/K103</f>
        <v>2.4627333467148457E-38</v>
      </c>
      <c r="M103" s="25" cm="1">
        <f t="array" ref="M103">$U$20*NMultDensity(A103:D103,$U$22:$U$25,$Q$48:$T$51)/K103</f>
        <v>7.9720948106347324E-4</v>
      </c>
      <c r="N103" s="39" cm="1">
        <f t="array" ref="N103">$U$33*NMultDensity(A103:D103,$U$35:$U$38,$Q$48:$T$51)/K103</f>
        <v>0.99920279051893657</v>
      </c>
    </row>
    <row r="104" spans="1:14" x14ac:dyDescent="0.25">
      <c r="A104" s="60">
        <v>7.1</v>
      </c>
      <c r="B104" s="25">
        <v>3</v>
      </c>
      <c r="C104" s="25">
        <v>5.9</v>
      </c>
      <c r="D104" s="57">
        <v>2.1</v>
      </c>
      <c r="E104" s="67" t="s">
        <v>31</v>
      </c>
      <c r="F104" s="68" t="s">
        <v>7</v>
      </c>
      <c r="G104" s="68">
        <f t="shared" ca="1" si="10"/>
        <v>5.9131948232659939</v>
      </c>
      <c r="H104" s="49">
        <f t="shared" ca="1" si="11"/>
        <v>2.1177028898491708</v>
      </c>
      <c r="I104" s="65" t="s">
        <v>7</v>
      </c>
      <c r="J104" s="38" t="str">
        <f t="shared" si="12"/>
        <v>virginica</v>
      </c>
      <c r="K104" s="25" cm="1">
        <f t="array" ref="K104">$U$7*NMultDensity(A104:D104,$U$9:$U$12,$Q$48:$T$51)+$U$20*NMultDensity(A104:D104,$U$22:$U$25,$Q$48:$T$51)+$U$33*NMultDensity(A104:D104,$U$35:$U$38,$Q$48:$T$51)</f>
        <v>0.96721876129491313</v>
      </c>
      <c r="L104" s="25" cm="1">
        <f t="array" ref="L104">$U$7*NMultDensity(A104:D104,$U$9:$U$12,$Q$48:$T$51)/K104</f>
        <v>2.6122227159066331E-40</v>
      </c>
      <c r="M104" s="25" cm="1">
        <f t="array" ref="M104">$U$20*NMultDensity(A104:D104,$U$22:$U$25,$Q$48:$T$51)/K104</f>
        <v>1.0316411196856127E-4</v>
      </c>
      <c r="N104" s="39" cm="1">
        <f t="array" ref="N104">$U$33*NMultDensity(A104:D104,$U$35:$U$38,$Q$48:$T$51)/K104</f>
        <v>0.99989683588803147</v>
      </c>
    </row>
    <row r="105" spans="1:14" x14ac:dyDescent="0.25">
      <c r="A105" s="60">
        <v>6.3</v>
      </c>
      <c r="B105" s="25">
        <v>2.9</v>
      </c>
      <c r="C105" s="25">
        <v>5.6</v>
      </c>
      <c r="D105" s="57">
        <v>1.8</v>
      </c>
      <c r="E105" s="67" t="s">
        <v>31</v>
      </c>
      <c r="F105" s="68" t="s">
        <v>7</v>
      </c>
      <c r="G105" s="68">
        <f t="shared" ca="1" si="10"/>
        <v>5.5777417443950821</v>
      </c>
      <c r="H105" s="49">
        <f t="shared" ca="1" si="11"/>
        <v>1.7966221736735157</v>
      </c>
      <c r="I105" s="65" t="s">
        <v>7</v>
      </c>
      <c r="J105" s="38" t="str">
        <f t="shared" si="12"/>
        <v>virginica</v>
      </c>
      <c r="K105" s="25" cm="1">
        <f t="array" ref="K105">$U$7*NMultDensity(A105:D105,$U$9:$U$12,$Q$48:$T$51)+$U$20*NMultDensity(A105:D105,$U$22:$U$25,$Q$48:$T$51)+$U$33*NMultDensity(A105:D105,$U$35:$U$38,$Q$48:$T$51)</f>
        <v>0.43615955616380186</v>
      </c>
      <c r="L105" s="25" cm="1">
        <f t="array" ref="L105">$U$7*NMultDensity(A105:D105,$U$9:$U$12,$Q$48:$T$51)/K105</f>
        <v>4.855944091083319E-38</v>
      </c>
      <c r="M105" s="25" cm="1">
        <f t="array" ref="M105">$U$20*NMultDensity(A105:D105,$U$22:$U$25,$Q$48:$T$51)/K105</f>
        <v>9.5072487675589034E-4</v>
      </c>
      <c r="N105" s="39" cm="1">
        <f t="array" ref="N105">$U$33*NMultDensity(A105:D105,$U$35:$U$38,$Q$48:$T$51)/K105</f>
        <v>0.99904927512324404</v>
      </c>
    </row>
    <row r="106" spans="1:14" x14ac:dyDescent="0.25">
      <c r="A106" s="60">
        <v>6.5</v>
      </c>
      <c r="B106" s="25">
        <v>3</v>
      </c>
      <c r="C106" s="25">
        <v>5.8</v>
      </c>
      <c r="D106" s="57">
        <v>2.2000000000000002</v>
      </c>
      <c r="E106" s="67" t="s">
        <v>31</v>
      </c>
      <c r="F106" s="68" t="s">
        <v>7</v>
      </c>
      <c r="G106" s="68">
        <f t="shared" ca="1" si="10"/>
        <v>5.7969379522668731</v>
      </c>
      <c r="H106" s="49">
        <f t="shared" ca="1" si="11"/>
        <v>2.1880171299173958</v>
      </c>
      <c r="I106" s="65" t="s">
        <v>7</v>
      </c>
      <c r="J106" s="38" t="str">
        <f t="shared" si="12"/>
        <v>virginica</v>
      </c>
      <c r="K106" s="25" cm="1">
        <f t="array" ref="K106">$U$7*NMultDensity(A106:D106,$U$9:$U$12,$Q$48:$T$51)+$U$20*NMultDensity(A106:D106,$U$22:$U$25,$Q$48:$T$51)+$U$33*NMultDensity(A106:D106,$U$35:$U$38,$Q$48:$T$51)</f>
        <v>0.75823154715831875</v>
      </c>
      <c r="L106" s="25" cm="1">
        <f t="array" ref="L106">$U$7*NMultDensity(A106:D106,$U$9:$U$12,$Q$48:$T$51)/K106</f>
        <v>3.5082259802614476E-44</v>
      </c>
      <c r="M106" s="25" cm="1">
        <f t="array" ref="M106">$U$20*NMultDensity(A106:D106,$U$22:$U$25,$Q$48:$T$51)/K106</f>
        <v>6.6105157890146503E-6</v>
      </c>
      <c r="N106" s="39" cm="1">
        <f t="array" ref="N106">$U$33*NMultDensity(A106:D106,$U$35:$U$38,$Q$48:$T$51)/K106</f>
        <v>0.99999338948421101</v>
      </c>
    </row>
    <row r="107" spans="1:14" x14ac:dyDescent="0.25">
      <c r="A107" s="60">
        <v>7.6</v>
      </c>
      <c r="B107" s="25">
        <v>3</v>
      </c>
      <c r="C107" s="25">
        <v>6.6</v>
      </c>
      <c r="D107" s="57">
        <v>2.1</v>
      </c>
      <c r="E107" s="67" t="s">
        <v>31</v>
      </c>
      <c r="F107" s="68" t="s">
        <v>7</v>
      </c>
      <c r="G107" s="68">
        <f t="shared" ca="1" si="10"/>
        <v>6.6167284180134214</v>
      </c>
      <c r="H107" s="49">
        <f t="shared" ca="1" si="11"/>
        <v>2.1002711979844357</v>
      </c>
      <c r="I107" s="65" t="s">
        <v>7</v>
      </c>
      <c r="J107" s="38" t="str">
        <f t="shared" si="12"/>
        <v>virginica</v>
      </c>
      <c r="K107" s="25" cm="1">
        <f t="array" ref="K107">$U$7*NMultDensity(A107:D107,$U$9:$U$12,$Q$48:$T$51)+$U$20*NMultDensity(A107:D107,$U$22:$U$25,$Q$48:$T$51)+$U$33*NMultDensity(A107:D107,$U$35:$U$38,$Q$48:$T$51)</f>
        <v>0.10746613874539997</v>
      </c>
      <c r="L107" s="25" cm="1">
        <f t="array" ref="L107">$U$7*NMultDensity(A107:D107,$U$9:$U$12,$Q$48:$T$51)/K107</f>
        <v>3.6426129640121644E-46</v>
      </c>
      <c r="M107" s="25" cm="1">
        <f t="array" ref="M107">$U$20*NMultDensity(A107:D107,$U$22:$U$25,$Q$48:$T$51)/K107</f>
        <v>3.639088129412752E-6</v>
      </c>
      <c r="N107" s="39" cm="1">
        <f t="array" ref="N107">$U$33*NMultDensity(A107:D107,$U$35:$U$38,$Q$48:$T$51)/K107</f>
        <v>0.9999963609118705</v>
      </c>
    </row>
    <row r="108" spans="1:14" x14ac:dyDescent="0.25">
      <c r="A108" s="60">
        <v>4.9000000000000004</v>
      </c>
      <c r="B108" s="25">
        <v>2.5</v>
      </c>
      <c r="C108" s="25">
        <v>4.5</v>
      </c>
      <c r="D108" s="57">
        <v>1.7</v>
      </c>
      <c r="E108" s="67" t="s">
        <v>31</v>
      </c>
      <c r="F108" s="68" t="s">
        <v>7</v>
      </c>
      <c r="G108" s="68">
        <f t="shared" ca="1" si="10"/>
        <v>4.4864813778687465</v>
      </c>
      <c r="H108" s="49">
        <f t="shared" ca="1" si="11"/>
        <v>1.720355520909892</v>
      </c>
      <c r="I108" s="65" t="s">
        <v>7</v>
      </c>
      <c r="J108" s="38" t="str">
        <f t="shared" si="12"/>
        <v>virginica</v>
      </c>
      <c r="K108" s="25" cm="1">
        <f t="array" ref="K108">$U$7*NMultDensity(A108:D108,$U$9:$U$12,$Q$48:$T$51)+$U$20*NMultDensity(A108:D108,$U$22:$U$25,$Q$48:$T$51)+$U$33*NMultDensity(A108:D108,$U$35:$U$38,$Q$48:$T$51)</f>
        <v>1.6030761822706411E-2</v>
      </c>
      <c r="L108" s="25" cm="1">
        <f t="array" ref="L108">$U$7*NMultDensity(A108:D108,$U$9:$U$12,$Q$48:$T$51)/K108</f>
        <v>2.1373069238957037E-35</v>
      </c>
      <c r="M108" s="25" cm="1">
        <f t="array" ref="M108">$U$20*NMultDensity(A108:D108,$U$22:$U$25,$Q$48:$T$51)/K108</f>
        <v>9.7637100283841718E-3</v>
      </c>
      <c r="N108" s="39" cm="1">
        <f t="array" ref="N108">$U$33*NMultDensity(A108:D108,$U$35:$U$38,$Q$48:$T$51)/K108</f>
        <v>0.99023628997161584</v>
      </c>
    </row>
    <row r="109" spans="1:14" x14ac:dyDescent="0.25">
      <c r="A109" s="60">
        <v>7.3</v>
      </c>
      <c r="B109" s="25">
        <v>2.9</v>
      </c>
      <c r="C109" s="25">
        <v>6.3</v>
      </c>
      <c r="D109" s="57">
        <v>1.8</v>
      </c>
      <c r="E109" s="67" t="s">
        <v>31</v>
      </c>
      <c r="F109" s="68" t="s">
        <v>7</v>
      </c>
      <c r="G109" s="68">
        <f t="shared" ca="1" si="10"/>
        <v>6.2960580914027862</v>
      </c>
      <c r="H109" s="49">
        <f t="shared" ca="1" si="11"/>
        <v>1.7882641768882006</v>
      </c>
      <c r="I109" s="65" t="s">
        <v>7</v>
      </c>
      <c r="J109" s="38" t="str">
        <f t="shared" si="12"/>
        <v>virginica</v>
      </c>
      <c r="K109" s="25" cm="1">
        <f t="array" ref="K109">$U$7*NMultDensity(A109:D109,$U$9:$U$12,$Q$48:$T$51)+$U$20*NMultDensity(A109:D109,$U$22:$U$25,$Q$48:$T$51)+$U$33*NMultDensity(A109:D109,$U$35:$U$38,$Q$48:$T$51)</f>
        <v>0.10204196487565342</v>
      </c>
      <c r="L109" s="25" cm="1">
        <f t="array" ref="L109">$U$7*NMultDensity(A109:D109,$U$9:$U$12,$Q$48:$T$51)/K109</f>
        <v>7.822798140755688E-41</v>
      </c>
      <c r="M109" s="25" cm="1">
        <f t="array" ref="M109">$U$20*NMultDensity(A109:D109,$U$22:$U$25,$Q$48:$T$51)/K109</f>
        <v>2.3575361797135934E-4</v>
      </c>
      <c r="N109" s="39" cm="1">
        <f t="array" ref="N109">$U$33*NMultDensity(A109:D109,$U$35:$U$38,$Q$48:$T$51)/K109</f>
        <v>0.99976424638202865</v>
      </c>
    </row>
    <row r="110" spans="1:14" x14ac:dyDescent="0.25">
      <c r="A110" s="60">
        <v>6.7</v>
      </c>
      <c r="B110" s="25">
        <v>2.5</v>
      </c>
      <c r="C110" s="25">
        <v>5.8</v>
      </c>
      <c r="D110" s="57">
        <v>1.8</v>
      </c>
      <c r="E110" s="67" t="s">
        <v>31</v>
      </c>
      <c r="F110" s="68" t="s">
        <v>7</v>
      </c>
      <c r="G110" s="68">
        <f t="shared" ca="1" si="10"/>
        <v>5.818517135461355</v>
      </c>
      <c r="H110" s="49">
        <f t="shared" ca="1" si="11"/>
        <v>1.7763251273489284</v>
      </c>
      <c r="I110" s="65" t="s">
        <v>7</v>
      </c>
      <c r="J110" s="38" t="str">
        <f t="shared" si="12"/>
        <v>virginica</v>
      </c>
      <c r="K110" s="25" cm="1">
        <f t="array" ref="K110">$U$7*NMultDensity(A110:D110,$U$9:$U$12,$Q$48:$T$51)+$U$20*NMultDensity(A110:D110,$U$22:$U$25,$Q$48:$T$51)+$U$33*NMultDensity(A110:D110,$U$35:$U$38,$Q$48:$T$51)</f>
        <v>0.22158363957880148</v>
      </c>
      <c r="L110" s="25" cm="1">
        <f t="array" ref="L110">$U$7*NMultDensity(A110:D110,$U$9:$U$12,$Q$48:$T$51)/K110</f>
        <v>2.1162812028157174E-42</v>
      </c>
      <c r="M110" s="25" cm="1">
        <f t="array" ref="M110">$U$20*NMultDensity(A110:D110,$U$22:$U$25,$Q$48:$T$51)/K110</f>
        <v>1.8449474137864118E-4</v>
      </c>
      <c r="N110" s="39" cm="1">
        <f t="array" ref="N110">$U$33*NMultDensity(A110:D110,$U$35:$U$38,$Q$48:$T$51)/K110</f>
        <v>0.9998155052586214</v>
      </c>
    </row>
    <row r="111" spans="1:14" x14ac:dyDescent="0.25">
      <c r="A111" s="60">
        <v>7.2</v>
      </c>
      <c r="B111" s="25">
        <v>3.6</v>
      </c>
      <c r="C111" s="25">
        <v>6.1</v>
      </c>
      <c r="D111" s="57">
        <v>2.5</v>
      </c>
      <c r="E111" s="67" t="s">
        <v>31</v>
      </c>
      <c r="F111" s="68" t="s">
        <v>7</v>
      </c>
      <c r="G111" s="68">
        <f t="shared" ca="1" si="10"/>
        <v>6.1147411414877091</v>
      </c>
      <c r="H111" s="49">
        <f t="shared" ca="1" si="11"/>
        <v>2.4977097577594751</v>
      </c>
      <c r="I111" s="65" t="s">
        <v>7</v>
      </c>
      <c r="J111" s="38" t="str">
        <f t="shared" si="12"/>
        <v>virginica</v>
      </c>
      <c r="K111" s="25" cm="1">
        <f t="array" ref="K111">$U$7*NMultDensity(A111:D111,$U$9:$U$12,$Q$48:$T$51)+$U$20*NMultDensity(A111:D111,$U$22:$U$25,$Q$48:$T$51)+$U$33*NMultDensity(A111:D111,$U$35:$U$38,$Q$48:$T$51)</f>
        <v>0.1330296205152138</v>
      </c>
      <c r="L111" s="25" cm="1">
        <f t="array" ref="L111">$U$7*NMultDensity(A111:D111,$U$9:$U$12,$Q$48:$T$51)/K111</f>
        <v>9.8098444555326707E-42</v>
      </c>
      <c r="M111" s="25" cm="1">
        <f t="array" ref="M111">$U$20*NMultDensity(A111:D111,$U$22:$U$25,$Q$48:$T$51)/K111</f>
        <v>3.9996614753427774E-6</v>
      </c>
      <c r="N111" s="39" cm="1">
        <f t="array" ref="N111">$U$33*NMultDensity(A111:D111,$U$35:$U$38,$Q$48:$T$51)/K111</f>
        <v>0.99999600033852476</v>
      </c>
    </row>
    <row r="112" spans="1:14" x14ac:dyDescent="0.25">
      <c r="A112" s="60">
        <v>6.5</v>
      </c>
      <c r="B112" s="25">
        <v>3.2</v>
      </c>
      <c r="C112" s="25">
        <v>5.0999999999999996</v>
      </c>
      <c r="D112" s="57">
        <v>2</v>
      </c>
      <c r="E112" s="67" t="s">
        <v>31</v>
      </c>
      <c r="F112" s="68" t="s">
        <v>7</v>
      </c>
      <c r="G112" s="68">
        <f t="shared" ca="1" si="10"/>
        <v>5.0957316377506139</v>
      </c>
      <c r="H112" s="49">
        <f t="shared" ca="1" si="11"/>
        <v>2.0178074354195328</v>
      </c>
      <c r="I112" s="65" t="s">
        <v>7</v>
      </c>
      <c r="J112" s="38" t="str">
        <f t="shared" si="12"/>
        <v>virginica</v>
      </c>
      <c r="K112" s="25" cm="1">
        <f t="array" ref="K112">$U$7*NMultDensity(A112:D112,$U$9:$U$12,$Q$48:$T$51)+$U$20*NMultDensity(A112:D112,$U$22:$U$25,$Q$48:$T$51)+$U$33*NMultDensity(A112:D112,$U$35:$U$38,$Q$48:$T$51)</f>
        <v>0.41398659191037546</v>
      </c>
      <c r="L112" s="25" cm="1">
        <f t="array" ref="L112">$U$7*NMultDensity(A112:D112,$U$9:$U$12,$Q$48:$T$51)/K112</f>
        <v>3.3367438163866204E-30</v>
      </c>
      <c r="M112" s="25" cm="1">
        <f t="array" ref="M112">$U$20*NMultDensity(A112:D112,$U$22:$U$25,$Q$48:$T$51)/K112</f>
        <v>3.0481638206945817E-2</v>
      </c>
      <c r="N112" s="39" cm="1">
        <f t="array" ref="N112">$U$33*NMultDensity(A112:D112,$U$35:$U$38,$Q$48:$T$51)/K112</f>
        <v>0.96951836179305417</v>
      </c>
    </row>
    <row r="113" spans="1:14" x14ac:dyDescent="0.25">
      <c r="A113" s="60">
        <v>6.4</v>
      </c>
      <c r="B113" s="25">
        <v>2.7</v>
      </c>
      <c r="C113" s="25">
        <v>5.3</v>
      </c>
      <c r="D113" s="57">
        <v>1.9</v>
      </c>
      <c r="E113" s="67" t="s">
        <v>31</v>
      </c>
      <c r="F113" s="68" t="s">
        <v>7</v>
      </c>
      <c r="G113" s="68">
        <f t="shared" ca="1" si="10"/>
        <v>5.3066477445760611</v>
      </c>
      <c r="H113" s="49">
        <f t="shared" ca="1" si="11"/>
        <v>1.8851161260360383</v>
      </c>
      <c r="I113" s="65" t="s">
        <v>7</v>
      </c>
      <c r="J113" s="38" t="str">
        <f t="shared" si="12"/>
        <v>virginica</v>
      </c>
      <c r="K113" s="25" cm="1">
        <f t="array" ref="K113">$U$7*NMultDensity(A113:D113,$U$9:$U$12,$Q$48:$T$51)+$U$20*NMultDensity(A113:D113,$U$22:$U$25,$Q$48:$T$51)+$U$33*NMultDensity(A113:D113,$U$35:$U$38,$Q$48:$T$51)</f>
        <v>1.0479304990627698</v>
      </c>
      <c r="L113" s="25" cm="1">
        <f t="array" ref="L113">$U$7*NMultDensity(A113:D113,$U$9:$U$12,$Q$48:$T$51)/K113</f>
        <v>3.2950152329664449E-37</v>
      </c>
      <c r="M113" s="25" cm="1">
        <f t="array" ref="M113">$U$20*NMultDensity(A113:D113,$U$22:$U$25,$Q$48:$T$51)/K113</f>
        <v>1.8205600064742239E-3</v>
      </c>
      <c r="N113" s="39" cm="1">
        <f t="array" ref="N113">$U$33*NMultDensity(A113:D113,$U$35:$U$38,$Q$48:$T$51)/K113</f>
        <v>0.99817943999352576</v>
      </c>
    </row>
    <row r="114" spans="1:14" x14ac:dyDescent="0.25">
      <c r="A114" s="60">
        <v>6.8</v>
      </c>
      <c r="B114" s="25">
        <v>3</v>
      </c>
      <c r="C114" s="25">
        <v>5.5</v>
      </c>
      <c r="D114" s="57">
        <v>2.1</v>
      </c>
      <c r="E114" s="67" t="s">
        <v>31</v>
      </c>
      <c r="F114" s="68" t="s">
        <v>7</v>
      </c>
      <c r="G114" s="68">
        <f t="shared" ca="1" si="10"/>
        <v>5.4971509509328449</v>
      </c>
      <c r="H114" s="49">
        <f t="shared" ca="1" si="11"/>
        <v>2.1148378838409752</v>
      </c>
      <c r="I114" s="65" t="s">
        <v>7</v>
      </c>
      <c r="J114" s="38" t="str">
        <f t="shared" si="12"/>
        <v>virginica</v>
      </c>
      <c r="K114" s="25" cm="1">
        <f t="array" ref="K114">$U$7*NMultDensity(A114:D114,$U$9:$U$12,$Q$48:$T$51)+$U$20*NMultDensity(A114:D114,$U$22:$U$25,$Q$48:$T$51)+$U$33*NMultDensity(A114:D114,$U$35:$U$38,$Q$48:$T$51)</f>
        <v>1.0238927323425369</v>
      </c>
      <c r="L114" s="25" cm="1">
        <f t="array" ref="L114">$U$7*NMultDensity(A114:D114,$U$9:$U$12,$Q$48:$T$51)/K114</f>
        <v>4.7353393821331417E-37</v>
      </c>
      <c r="M114" s="25" cm="1">
        <f t="array" ref="M114">$U$20*NMultDensity(A114:D114,$U$22:$U$25,$Q$48:$T$51)/K114</f>
        <v>6.5938895315927168E-4</v>
      </c>
      <c r="N114" s="39" cm="1">
        <f t="array" ref="N114">$U$33*NMultDensity(A114:D114,$U$35:$U$38,$Q$48:$T$51)/K114</f>
        <v>0.99934061104684069</v>
      </c>
    </row>
    <row r="115" spans="1:14" x14ac:dyDescent="0.25">
      <c r="A115" s="60">
        <v>5.7</v>
      </c>
      <c r="B115" s="25">
        <v>2.5</v>
      </c>
      <c r="C115" s="25">
        <v>5</v>
      </c>
      <c r="D115" s="57">
        <v>2</v>
      </c>
      <c r="E115" s="67" t="s">
        <v>31</v>
      </c>
      <c r="F115" s="68" t="s">
        <v>7</v>
      </c>
      <c r="G115" s="68">
        <f t="shared" ca="1" si="10"/>
        <v>4.977114220058624</v>
      </c>
      <c r="H115" s="49">
        <f t="shared" ca="1" si="11"/>
        <v>2.0209781960840303</v>
      </c>
      <c r="I115" s="65" t="s">
        <v>7</v>
      </c>
      <c r="J115" s="38" t="str">
        <f t="shared" si="12"/>
        <v>virginica</v>
      </c>
      <c r="K115" s="25" cm="1">
        <f t="array" ref="K115">$U$7*NMultDensity(A115:D115,$U$9:$U$12,$Q$48:$T$51)+$U$20*NMultDensity(A115:D115,$U$22:$U$25,$Q$48:$T$51)+$U$33*NMultDensity(A115:D115,$U$35:$U$38,$Q$48:$T$51)</f>
        <v>0.23270360719678171</v>
      </c>
      <c r="L115" s="25" cm="1">
        <f t="array" ref="L115">$U$7*NMultDensity(A115:D115,$U$9:$U$12,$Q$48:$T$51)/K115</f>
        <v>2.8227649737902291E-41</v>
      </c>
      <c r="M115" s="25" cm="1">
        <f t="array" ref="M115">$U$20*NMultDensity(A115:D115,$U$22:$U$25,$Q$48:$T$51)/K115</f>
        <v>1.544480202300318E-4</v>
      </c>
      <c r="N115" s="39" cm="1">
        <f t="array" ref="N115">$U$33*NMultDensity(A115:D115,$U$35:$U$38,$Q$48:$T$51)/K115</f>
        <v>0.99984555197976999</v>
      </c>
    </row>
    <row r="116" spans="1:14" x14ac:dyDescent="0.25">
      <c r="A116" s="60">
        <v>5.8</v>
      </c>
      <c r="B116" s="25">
        <v>2.8</v>
      </c>
      <c r="C116" s="25">
        <v>5.0999999999999996</v>
      </c>
      <c r="D116" s="57">
        <v>2.4</v>
      </c>
      <c r="E116" s="67" t="s">
        <v>31</v>
      </c>
      <c r="F116" s="68" t="s">
        <v>7</v>
      </c>
      <c r="G116" s="68">
        <f t="shared" ca="1" si="10"/>
        <v>5.0851784561563234</v>
      </c>
      <c r="H116" s="49">
        <f t="shared" ca="1" si="11"/>
        <v>2.3930619788019225</v>
      </c>
      <c r="I116" s="65" t="s">
        <v>7</v>
      </c>
      <c r="J116" s="38" t="str">
        <f t="shared" si="12"/>
        <v>virginica</v>
      </c>
      <c r="K116" s="25" cm="1">
        <f t="array" ref="K116">$U$7*NMultDensity(A116:D116,$U$9:$U$12,$Q$48:$T$51)+$U$20*NMultDensity(A116:D116,$U$22:$U$25,$Q$48:$T$51)+$U$33*NMultDensity(A116:D116,$U$35:$U$38,$Q$48:$T$51)</f>
        <v>3.5919401610476499E-2</v>
      </c>
      <c r="L116" s="25" cm="1">
        <f t="array" ref="L116">$U$7*NMultDensity(A116:D116,$U$9:$U$12,$Q$48:$T$51)/K116</f>
        <v>1.2651562401014002E-44</v>
      </c>
      <c r="M116" s="25" cm="1">
        <f t="array" ref="M116">$U$20*NMultDensity(A116:D116,$U$22:$U$25,$Q$48:$T$51)/K116</f>
        <v>3.5987731162751397E-6</v>
      </c>
      <c r="N116" s="39" cm="1">
        <f t="array" ref="N116">$U$33*NMultDensity(A116:D116,$U$35:$U$38,$Q$48:$T$51)/K116</f>
        <v>0.99999640122688371</v>
      </c>
    </row>
    <row r="117" spans="1:14" x14ac:dyDescent="0.25">
      <c r="A117" s="60">
        <v>6.4</v>
      </c>
      <c r="B117" s="25">
        <v>3.2</v>
      </c>
      <c r="C117" s="25">
        <v>5.3</v>
      </c>
      <c r="D117" s="57">
        <v>2.2999999999999998</v>
      </c>
      <c r="E117" s="67" t="s">
        <v>31</v>
      </c>
      <c r="F117" s="68" t="s">
        <v>7</v>
      </c>
      <c r="G117" s="68">
        <f t="shared" ca="1" si="10"/>
        <v>5.2881536895474186</v>
      </c>
      <c r="H117" s="49">
        <f t="shared" ca="1" si="11"/>
        <v>2.2989741798599912</v>
      </c>
      <c r="I117" s="65" t="s">
        <v>7</v>
      </c>
      <c r="J117" s="38" t="str">
        <f t="shared" si="12"/>
        <v>virginica</v>
      </c>
      <c r="K117" s="25" cm="1">
        <f t="array" ref="K117">$U$7*NMultDensity(A117:D117,$U$9:$U$12,$Q$48:$T$51)+$U$20*NMultDensity(A117:D117,$U$22:$U$25,$Q$48:$T$51)+$U$33*NMultDensity(A117:D117,$U$35:$U$38,$Q$48:$T$51)</f>
        <v>0.40592645056006899</v>
      </c>
      <c r="L117" s="25" cm="1">
        <f t="array" ref="L117">$U$7*NMultDensity(A117:D117,$U$9:$U$12,$Q$48:$T$51)/K117</f>
        <v>9.1831378914531612E-38</v>
      </c>
      <c r="M117" s="25" cm="1">
        <f t="array" ref="M117">$U$20*NMultDensity(A117:D117,$U$22:$U$25,$Q$48:$T$51)/K117</f>
        <v>1.4248771765071894E-4</v>
      </c>
      <c r="N117" s="39" cm="1">
        <f t="array" ref="N117">$U$33*NMultDensity(A117:D117,$U$35:$U$38,$Q$48:$T$51)/K117</f>
        <v>0.9998575122823492</v>
      </c>
    </row>
    <row r="118" spans="1:14" x14ac:dyDescent="0.25">
      <c r="A118" s="60">
        <v>6.5</v>
      </c>
      <c r="B118" s="25">
        <v>3</v>
      </c>
      <c r="C118" s="25">
        <v>5.5</v>
      </c>
      <c r="D118" s="57">
        <v>1.8</v>
      </c>
      <c r="E118" s="67" t="s">
        <v>31</v>
      </c>
      <c r="F118" s="68" t="s">
        <v>7</v>
      </c>
      <c r="G118" s="68">
        <f t="shared" ca="1" si="10"/>
        <v>5.4816877590410336</v>
      </c>
      <c r="H118" s="49">
        <f t="shared" ca="1" si="11"/>
        <v>1.8096641006121825</v>
      </c>
      <c r="I118" s="65" t="s">
        <v>7</v>
      </c>
      <c r="J118" s="38" t="str">
        <f t="shared" si="12"/>
        <v>virginica</v>
      </c>
      <c r="K118" s="25" cm="1">
        <f t="array" ref="K118">$U$7*NMultDensity(A118:D118,$U$9:$U$12,$Q$48:$T$51)+$U$20*NMultDensity(A118:D118,$U$22:$U$25,$Q$48:$T$51)+$U$33*NMultDensity(A118:D118,$U$35:$U$38,$Q$48:$T$51)</f>
        <v>0.74485214210336581</v>
      </c>
      <c r="L118" s="25" cm="1">
        <f t="array" ref="L118">$U$7*NMultDensity(A118:D118,$U$9:$U$12,$Q$48:$T$51)/K118</f>
        <v>1.7720740484284901E-34</v>
      </c>
      <c r="M118" s="25" cm="1">
        <f t="array" ref="M118">$U$20*NMultDensity(A118:D118,$U$22:$U$25,$Q$48:$T$51)/K118</f>
        <v>6.6970898215454652E-3</v>
      </c>
      <c r="N118" s="39" cm="1">
        <f t="array" ref="N118">$U$33*NMultDensity(A118:D118,$U$35:$U$38,$Q$48:$T$51)/K118</f>
        <v>0.99330291017845462</v>
      </c>
    </row>
    <row r="119" spans="1:14" x14ac:dyDescent="0.25">
      <c r="A119" s="60">
        <v>7.7</v>
      </c>
      <c r="B119" s="25">
        <v>3.8</v>
      </c>
      <c r="C119" s="25">
        <v>6.7</v>
      </c>
      <c r="D119" s="57">
        <v>2.2000000000000002</v>
      </c>
      <c r="E119" s="67" t="s">
        <v>31</v>
      </c>
      <c r="F119" s="68" t="s">
        <v>7</v>
      </c>
      <c r="G119" s="68">
        <f t="shared" ca="1" si="10"/>
        <v>6.6761961934574954</v>
      </c>
      <c r="H119" s="49">
        <f t="shared" ca="1" si="11"/>
        <v>2.2093589169690135</v>
      </c>
      <c r="I119" s="65" t="s">
        <v>7</v>
      </c>
      <c r="J119" s="38" t="str">
        <f t="shared" si="12"/>
        <v>virginica</v>
      </c>
      <c r="K119" s="25" cm="1">
        <f t="array" ref="K119">$U$7*NMultDensity(A119:D119,$U$9:$U$12,$Q$48:$T$51)+$U$20*NMultDensity(A119:D119,$U$22:$U$25,$Q$48:$T$51)+$U$33*NMultDensity(A119:D119,$U$35:$U$38,$Q$48:$T$51)</f>
        <v>1.100470121775959E-2</v>
      </c>
      <c r="L119" s="25" cm="1">
        <f t="array" ref="L119">$U$7*NMultDensity(A119:D119,$U$9:$U$12,$Q$48:$T$51)/K119</f>
        <v>9.009710548030823E-40</v>
      </c>
      <c r="M119" s="25" cm="1">
        <f t="array" ref="M119">$U$20*NMultDensity(A119:D119,$U$22:$U$25,$Q$48:$T$51)/K119</f>
        <v>2.2997784368649547E-5</v>
      </c>
      <c r="N119" s="39" cm="1">
        <f t="array" ref="N119">$U$33*NMultDensity(A119:D119,$U$35:$U$38,$Q$48:$T$51)/K119</f>
        <v>0.99997700221563135</v>
      </c>
    </row>
    <row r="120" spans="1:14" x14ac:dyDescent="0.25">
      <c r="A120" s="60">
        <v>7.7</v>
      </c>
      <c r="B120" s="25">
        <v>2.6</v>
      </c>
      <c r="C120" s="25">
        <v>6.9</v>
      </c>
      <c r="D120" s="57">
        <v>2.2999999999999998</v>
      </c>
      <c r="E120" s="67" t="s">
        <v>31</v>
      </c>
      <c r="F120" s="68" t="s">
        <v>7</v>
      </c>
      <c r="G120" s="68">
        <f t="shared" ca="1" si="10"/>
        <v>6.9062220723600367</v>
      </c>
      <c r="H120" s="49">
        <f t="shared" ca="1" si="11"/>
        <v>2.3206803997340679</v>
      </c>
      <c r="I120" s="65" t="s">
        <v>7</v>
      </c>
      <c r="J120" s="38" t="str">
        <f t="shared" si="12"/>
        <v>virginica</v>
      </c>
      <c r="K120" s="25" cm="1">
        <f t="array" ref="K120">$U$7*NMultDensity(A120:D120,$U$9:$U$12,$Q$48:$T$51)+$U$20*NMultDensity(A120:D120,$U$22:$U$25,$Q$48:$T$51)+$U$33*NMultDensity(A120:D120,$U$35:$U$38,$Q$48:$T$51)</f>
        <v>7.9285089607240204E-4</v>
      </c>
      <c r="L120" s="25" cm="1">
        <f t="array" ref="L120">$U$7*NMultDensity(A120:D120,$U$9:$U$12,$Q$48:$T$51)/K120</f>
        <v>1.4021025234918647E-56</v>
      </c>
      <c r="M120" s="25" cm="1">
        <f t="array" ref="M120">$U$20*NMultDensity(A120:D120,$U$22:$U$25,$Q$48:$T$51)/K120</f>
        <v>1.0012354130965016E-8</v>
      </c>
      <c r="N120" s="39" cm="1">
        <f t="array" ref="N120">$U$33*NMultDensity(A120:D120,$U$35:$U$38,$Q$48:$T$51)/K120</f>
        <v>0.99999998998764583</v>
      </c>
    </row>
    <row r="121" spans="1:14" x14ac:dyDescent="0.25">
      <c r="A121" s="60">
        <v>6</v>
      </c>
      <c r="B121" s="25">
        <v>2.2000000000000002</v>
      </c>
      <c r="C121" s="25">
        <v>5</v>
      </c>
      <c r="D121" s="57">
        <v>1.5</v>
      </c>
      <c r="E121" s="67" t="s">
        <v>31</v>
      </c>
      <c r="F121" s="68" t="s">
        <v>7</v>
      </c>
      <c r="G121" s="68">
        <f t="shared" ca="1" si="10"/>
        <v>4.9931760845805302</v>
      </c>
      <c r="H121" s="49">
        <f t="shared" ca="1" si="11"/>
        <v>1.4806125019174048</v>
      </c>
      <c r="I121" s="65" t="s">
        <v>7</v>
      </c>
      <c r="J121" s="38" t="str">
        <f t="shared" si="12"/>
        <v>virginica</v>
      </c>
      <c r="K121" s="25" cm="1">
        <f t="array" ref="K121">$U$7*NMultDensity(A121:D121,$U$9:$U$12,$Q$48:$T$51)+$U$20*NMultDensity(A121:D121,$U$22:$U$25,$Q$48:$T$51)+$U$33*NMultDensity(A121:D121,$U$35:$U$38,$Q$48:$T$51)</f>
        <v>5.2160165655300593E-2</v>
      </c>
      <c r="L121" s="25" cm="1">
        <f t="array" ref="L121">$U$7*NMultDensity(A121:D121,$U$9:$U$12,$Q$48:$T$51)/K121</f>
        <v>2.6681062178340675E-35</v>
      </c>
      <c r="M121" s="25" cm="1">
        <f t="array" ref="M121">$U$20*NMultDensity(A121:D121,$U$22:$U$25,$Q$48:$T$51)/K121</f>
        <v>4.5297802380003874E-2</v>
      </c>
      <c r="N121" s="39" cm="1">
        <f t="array" ref="N121">$U$33*NMultDensity(A121:D121,$U$35:$U$38,$Q$48:$T$51)/K121</f>
        <v>0.9547021976199962</v>
      </c>
    </row>
    <row r="122" spans="1:14" x14ac:dyDescent="0.25">
      <c r="A122" s="60">
        <v>6.9</v>
      </c>
      <c r="B122" s="25">
        <v>3.2</v>
      </c>
      <c r="C122" s="25">
        <v>5.7</v>
      </c>
      <c r="D122" s="57">
        <v>2.2999999999999998</v>
      </c>
      <c r="E122" s="67" t="s">
        <v>31</v>
      </c>
      <c r="F122" s="68" t="s">
        <v>7</v>
      </c>
      <c r="G122" s="68">
        <f t="shared" ca="1" si="10"/>
        <v>5.7024014402963044</v>
      </c>
      <c r="H122" s="49">
        <f t="shared" ca="1" si="11"/>
        <v>2.3176096812893343</v>
      </c>
      <c r="I122" s="65" t="s">
        <v>7</v>
      </c>
      <c r="J122" s="38" t="str">
        <f t="shared" si="12"/>
        <v>virginica</v>
      </c>
      <c r="K122" s="25" cm="1">
        <f t="array" ref="K122">$U$7*NMultDensity(A122:D122,$U$9:$U$12,$Q$48:$T$51)+$U$20*NMultDensity(A122:D122,$U$22:$U$25,$Q$48:$T$51)+$U$33*NMultDensity(A122:D122,$U$35:$U$38,$Q$48:$T$51)</f>
        <v>0.69127322109804279</v>
      </c>
      <c r="L122" s="25" cm="1">
        <f t="array" ref="L122">$U$7*NMultDensity(A122:D122,$U$9:$U$12,$Q$48:$T$51)/K122</f>
        <v>8.4999540754341409E-40</v>
      </c>
      <c r="M122" s="25" cm="1">
        <f t="array" ref="M122">$U$20*NMultDensity(A122:D122,$U$22:$U$25,$Q$48:$T$51)/K122</f>
        <v>4.8599564055543145E-5</v>
      </c>
      <c r="N122" s="39" cm="1">
        <f t="array" ref="N122">$U$33*NMultDensity(A122:D122,$U$35:$U$38,$Q$48:$T$51)/K122</f>
        <v>0.99995140043594444</v>
      </c>
    </row>
    <row r="123" spans="1:14" x14ac:dyDescent="0.25">
      <c r="A123" s="60">
        <v>5.6</v>
      </c>
      <c r="B123" s="25">
        <v>2.8</v>
      </c>
      <c r="C123" s="25">
        <v>4.9000000000000004</v>
      </c>
      <c r="D123" s="57">
        <v>2</v>
      </c>
      <c r="E123" s="67" t="s">
        <v>31</v>
      </c>
      <c r="F123" s="68" t="s">
        <v>7</v>
      </c>
      <c r="G123" s="68">
        <f t="shared" ca="1" si="10"/>
        <v>4.9035091414986809</v>
      </c>
      <c r="H123" s="49">
        <f t="shared" ca="1" si="11"/>
        <v>2.0074304487201022</v>
      </c>
      <c r="I123" s="65" t="s">
        <v>7</v>
      </c>
      <c r="J123" s="38" t="str">
        <f t="shared" si="12"/>
        <v>virginica</v>
      </c>
      <c r="K123" s="25" cm="1">
        <f t="array" ref="K123">$U$7*NMultDensity(A123:D123,$U$9:$U$12,$Q$48:$T$51)+$U$20*NMultDensity(A123:D123,$U$22:$U$25,$Q$48:$T$51)+$U$33*NMultDensity(A123:D123,$U$35:$U$38,$Q$48:$T$51)</f>
        <v>0.3174577687895711</v>
      </c>
      <c r="L123" s="25" cm="1">
        <f t="array" ref="L123">$U$7*NMultDensity(A123:D123,$U$9:$U$12,$Q$48:$T$51)/K123</f>
        <v>2.0376842984124633E-37</v>
      </c>
      <c r="M123" s="25" cm="1">
        <f t="array" ref="M123">$U$20*NMultDensity(A123:D123,$U$22:$U$25,$Q$48:$T$51)/K123</f>
        <v>7.8930702754276998E-4</v>
      </c>
      <c r="N123" s="39" cm="1">
        <f t="array" ref="N123">$U$33*NMultDensity(A123:D123,$U$35:$U$38,$Q$48:$T$51)/K123</f>
        <v>0.99921069297245724</v>
      </c>
    </row>
    <row r="124" spans="1:14" x14ac:dyDescent="0.25">
      <c r="A124" s="60">
        <v>7.7</v>
      </c>
      <c r="B124" s="25">
        <v>2.8</v>
      </c>
      <c r="C124" s="25">
        <v>6.7</v>
      </c>
      <c r="D124" s="57">
        <v>2</v>
      </c>
      <c r="E124" s="67" t="s">
        <v>31</v>
      </c>
      <c r="F124" s="68" t="s">
        <v>7</v>
      </c>
      <c r="G124" s="68">
        <f t="shared" ca="1" si="10"/>
        <v>6.6827312786784088</v>
      </c>
      <c r="H124" s="49">
        <f t="shared" ca="1" si="11"/>
        <v>1.9769088588635744</v>
      </c>
      <c r="I124" s="65" t="s">
        <v>7</v>
      </c>
      <c r="J124" s="38" t="str">
        <f t="shared" si="12"/>
        <v>virginica</v>
      </c>
      <c r="K124" s="25" cm="1">
        <f t="array" ref="K124">$U$7*NMultDensity(A124:D124,$U$9:$U$12,$Q$48:$T$51)+$U$20*NMultDensity(A124:D124,$U$22:$U$25,$Q$48:$T$51)+$U$33*NMultDensity(A124:D124,$U$35:$U$38,$Q$48:$T$51)</f>
        <v>2.1103254053809493E-2</v>
      </c>
      <c r="L124" s="25" cm="1">
        <f t="array" ref="L124">$U$7*NMultDensity(A124:D124,$U$9:$U$12,$Q$48:$T$51)/K124</f>
        <v>1.7357372993211807E-47</v>
      </c>
      <c r="M124" s="25" cm="1">
        <f t="array" ref="M124">$U$20*NMultDensity(A124:D124,$U$22:$U$25,$Q$48:$T$51)/K124</f>
        <v>3.4773587104628382E-6</v>
      </c>
      <c r="N124" s="39" cm="1">
        <f t="array" ref="N124">$U$33*NMultDensity(A124:D124,$U$35:$U$38,$Q$48:$T$51)/K124</f>
        <v>0.99999652264128958</v>
      </c>
    </row>
    <row r="125" spans="1:14" x14ac:dyDescent="0.25">
      <c r="A125" s="60">
        <v>6.3</v>
      </c>
      <c r="B125" s="25">
        <v>2.7</v>
      </c>
      <c r="C125" s="25">
        <v>4.9000000000000004</v>
      </c>
      <c r="D125" s="57">
        <v>1.8</v>
      </c>
      <c r="E125" s="67" t="s">
        <v>31</v>
      </c>
      <c r="F125" s="68" t="s">
        <v>7</v>
      </c>
      <c r="G125" s="68">
        <f t="shared" ca="1" si="10"/>
        <v>4.9201135152594553</v>
      </c>
      <c r="H125" s="49">
        <f t="shared" ca="1" si="11"/>
        <v>1.8115989394807219</v>
      </c>
      <c r="I125" s="65" t="s">
        <v>7</v>
      </c>
      <c r="J125" s="38" t="str">
        <f t="shared" si="12"/>
        <v>virginica</v>
      </c>
      <c r="K125" s="25" cm="1">
        <f t="array" ref="K125">$U$7*NMultDensity(A125:D125,$U$9:$U$12,$Q$48:$T$51)+$U$20*NMultDensity(A125:D125,$U$22:$U$25,$Q$48:$T$51)+$U$33*NMultDensity(A125:D125,$U$35:$U$38,$Q$48:$T$51)</f>
        <v>0.37763814820817881</v>
      </c>
      <c r="L125" s="25" cm="1">
        <f t="array" ref="L125">$U$7*NMultDensity(A125:D125,$U$9:$U$12,$Q$48:$T$51)/K125</f>
        <v>2.7493596167959002E-31</v>
      </c>
      <c r="M125" s="25" cm="1">
        <f t="array" ref="M125">$U$20*NMultDensity(A125:D125,$U$22:$U$25,$Q$48:$T$51)/K125</f>
        <v>7.5383247905340955E-2</v>
      </c>
      <c r="N125" s="39" cm="1">
        <f t="array" ref="N125">$U$33*NMultDensity(A125:D125,$U$35:$U$38,$Q$48:$T$51)/K125</f>
        <v>0.9246167520946591</v>
      </c>
    </row>
    <row r="126" spans="1:14" x14ac:dyDescent="0.25">
      <c r="A126" s="60">
        <v>6.7</v>
      </c>
      <c r="B126" s="25">
        <v>3.3</v>
      </c>
      <c r="C126" s="25">
        <v>5.7</v>
      </c>
      <c r="D126" s="57">
        <v>2.1</v>
      </c>
      <c r="E126" s="67" t="s">
        <v>31</v>
      </c>
      <c r="F126" s="68" t="s">
        <v>7</v>
      </c>
      <c r="G126" s="68">
        <f t="shared" ca="1" si="10"/>
        <v>5.6763596513815457</v>
      </c>
      <c r="H126" s="49">
        <f t="shared" ca="1" si="11"/>
        <v>2.1158330029325692</v>
      </c>
      <c r="I126" s="65" t="s">
        <v>7</v>
      </c>
      <c r="J126" s="38" t="str">
        <f t="shared" si="12"/>
        <v>virginica</v>
      </c>
      <c r="K126" s="25" cm="1">
        <f t="array" ref="K126">$U$7*NMultDensity(A126:D126,$U$9:$U$12,$Q$48:$T$51)+$U$20*NMultDensity(A126:D126,$U$22:$U$25,$Q$48:$T$51)+$U$33*NMultDensity(A126:D126,$U$35:$U$38,$Q$48:$T$51)</f>
        <v>0.86339416646689859</v>
      </c>
      <c r="L126" s="25" cm="1">
        <f t="array" ref="L126">$U$7*NMultDensity(A126:D126,$U$9:$U$12,$Q$48:$T$51)/K126</f>
        <v>5.1546476184355237E-37</v>
      </c>
      <c r="M126" s="25" cm="1">
        <f t="array" ref="M126">$U$20*NMultDensity(A126:D126,$U$22:$U$25,$Q$48:$T$51)/K126</f>
        <v>3.4883705780071886E-4</v>
      </c>
      <c r="N126" s="39" cm="1">
        <f t="array" ref="N126">$U$33*NMultDensity(A126:D126,$U$35:$U$38,$Q$48:$T$51)/K126</f>
        <v>0.99965116294219925</v>
      </c>
    </row>
    <row r="127" spans="1:14" x14ac:dyDescent="0.25">
      <c r="A127" s="60">
        <v>7.2</v>
      </c>
      <c r="B127" s="25">
        <v>3.2</v>
      </c>
      <c r="C127" s="25">
        <v>6</v>
      </c>
      <c r="D127" s="57">
        <v>1.8</v>
      </c>
      <c r="E127" s="67" t="s">
        <v>31</v>
      </c>
      <c r="F127" s="68" t="s">
        <v>7</v>
      </c>
      <c r="G127" s="68">
        <f t="shared" ca="1" si="10"/>
        <v>6.0238058867518012</v>
      </c>
      <c r="H127" s="49">
        <f t="shared" ca="1" si="11"/>
        <v>1.8159255830226464</v>
      </c>
      <c r="I127" s="65" t="s">
        <v>7</v>
      </c>
      <c r="J127" s="38" t="str">
        <f t="shared" si="12"/>
        <v>virginica</v>
      </c>
      <c r="K127" s="25" cm="1">
        <f t="array" ref="K127">$U$7*NMultDensity(A127:D127,$U$9:$U$12,$Q$48:$T$51)+$U$20*NMultDensity(A127:D127,$U$22:$U$25,$Q$48:$T$51)+$U$33*NMultDensity(A127:D127,$U$35:$U$38,$Q$48:$T$51)</f>
        <v>0.18923771825439054</v>
      </c>
      <c r="L127" s="25" cm="1">
        <f t="array" ref="L127">$U$7*NMultDensity(A127:D127,$U$9:$U$12,$Q$48:$T$51)/K127</f>
        <v>1.9854037722255659E-34</v>
      </c>
      <c r="M127" s="25" cm="1">
        <f t="array" ref="M127">$U$20*NMultDensity(A127:D127,$U$22:$U$25,$Q$48:$T$51)/K127</f>
        <v>5.4432561905408162E-3</v>
      </c>
      <c r="N127" s="39" cm="1">
        <f t="array" ref="N127">$U$33*NMultDensity(A127:D127,$U$35:$U$38,$Q$48:$T$51)/K127</f>
        <v>0.99455674380945913</v>
      </c>
    </row>
    <row r="128" spans="1:14" x14ac:dyDescent="0.25">
      <c r="A128" s="60">
        <v>6.2</v>
      </c>
      <c r="B128" s="25">
        <v>2.8</v>
      </c>
      <c r="C128" s="25">
        <v>4.8</v>
      </c>
      <c r="D128" s="57">
        <v>1.8</v>
      </c>
      <c r="E128" s="67" t="s">
        <v>31</v>
      </c>
      <c r="F128" s="68" t="s">
        <v>7</v>
      </c>
      <c r="G128" s="68">
        <f t="shared" ca="1" si="10"/>
        <v>4.7914930199897139</v>
      </c>
      <c r="H128" s="49">
        <f t="shared" ca="1" si="11"/>
        <v>1.8216397084118987</v>
      </c>
      <c r="I128" s="65" t="s">
        <v>7</v>
      </c>
      <c r="J128" s="38" t="str">
        <f t="shared" si="12"/>
        <v>virginica</v>
      </c>
      <c r="K128" s="25" cm="1">
        <f t="array" ref="K128">$U$7*NMultDensity(A128:D128,$U$9:$U$12,$Q$48:$T$51)+$U$20*NMultDensity(A128:D128,$U$22:$U$25,$Q$48:$T$51)+$U$33*NMultDensity(A128:D128,$U$35:$U$38,$Q$48:$T$51)</f>
        <v>0.36676489935585216</v>
      </c>
      <c r="L128" s="25" cm="1">
        <f t="array" ref="L128">$U$7*NMultDensity(A128:D128,$U$9:$U$12,$Q$48:$T$51)/K128</f>
        <v>1.3455441609031909E-29</v>
      </c>
      <c r="M128" s="25" cm="1">
        <f t="array" ref="M128">$U$20*NMultDensity(A128:D128,$U$22:$U$25,$Q$48:$T$51)/K128</f>
        <v>0.15205893824626321</v>
      </c>
      <c r="N128" s="39" cm="1">
        <f t="array" ref="N128">$U$33*NMultDensity(A128:D128,$U$35:$U$38,$Q$48:$T$51)/K128</f>
        <v>0.84794106175373685</v>
      </c>
    </row>
    <row r="129" spans="1:14" x14ac:dyDescent="0.25">
      <c r="A129" s="60">
        <v>6.1</v>
      </c>
      <c r="B129" s="25">
        <v>3</v>
      </c>
      <c r="C129" s="25">
        <v>4.9000000000000004</v>
      </c>
      <c r="D129" s="57">
        <v>1.8</v>
      </c>
      <c r="E129" s="67" t="s">
        <v>31</v>
      </c>
      <c r="F129" s="68" t="s">
        <v>7</v>
      </c>
      <c r="G129" s="68">
        <f t="shared" ca="1" si="10"/>
        <v>4.881390570287742</v>
      </c>
      <c r="H129" s="49">
        <f t="shared" ca="1" si="11"/>
        <v>1.7891772622918445</v>
      </c>
      <c r="I129" s="65" t="s">
        <v>7</v>
      </c>
      <c r="J129" s="38" t="str">
        <f t="shared" si="12"/>
        <v>virginica</v>
      </c>
      <c r="K129" s="25" cm="1">
        <f t="array" ref="K129">$U$7*NMultDensity(A129:D129,$U$9:$U$12,$Q$48:$T$51)+$U$20*NMultDensity(A129:D129,$U$22:$U$25,$Q$48:$T$51)+$U$33*NMultDensity(A129:D129,$U$35:$U$38,$Q$48:$T$51)</f>
        <v>0.44202898713591232</v>
      </c>
      <c r="L129" s="25" cm="1">
        <f t="array" ref="L129">$U$7*NMultDensity(A129:D129,$U$9:$U$12,$Q$48:$T$51)/K129</f>
        <v>2.4630497963566641E-29</v>
      </c>
      <c r="M129" s="25" cm="1">
        <f t="array" ref="M129">$U$20*NMultDensity(A129:D129,$U$22:$U$25,$Q$48:$T$51)/K129</f>
        <v>0.11700677734968089</v>
      </c>
      <c r="N129" s="39" cm="1">
        <f t="array" ref="N129">$U$33*NMultDensity(A129:D129,$U$35:$U$38,$Q$48:$T$51)/K129</f>
        <v>0.88299322265031921</v>
      </c>
    </row>
    <row r="130" spans="1:14" x14ac:dyDescent="0.25">
      <c r="A130" s="60">
        <v>6.4</v>
      </c>
      <c r="B130" s="25">
        <v>2.8</v>
      </c>
      <c r="C130" s="25">
        <v>5.6</v>
      </c>
      <c r="D130" s="57">
        <v>2.1</v>
      </c>
      <c r="E130" s="67" t="s">
        <v>31</v>
      </c>
      <c r="F130" s="68" t="s">
        <v>7</v>
      </c>
      <c r="G130" s="68">
        <f t="shared" ref="G130:G151" ca="1" si="13">C130+0.05*RAND()-0.025</f>
        <v>5.5948749797289432</v>
      </c>
      <c r="H130" s="49">
        <f t="shared" ref="H130:H151" ca="1" si="14">D130+0.05*RAND()-0.025</f>
        <v>2.1244849845857656</v>
      </c>
      <c r="I130" s="65" t="s">
        <v>7</v>
      </c>
      <c r="J130" s="38" t="str">
        <f t="shared" ref="J130:J151" si="15">IF(L130&gt;MAX(M130:N130),$I$2,IF(M130&gt;N130,$I$52,$I$102))</f>
        <v>virginica</v>
      </c>
      <c r="K130" s="25" cm="1">
        <f t="array" ref="K130">$U$7*NMultDensity(A130:D130,$U$9:$U$12,$Q$48:$T$51)+$U$20*NMultDensity(A130:D130,$U$22:$U$25,$Q$48:$T$51)+$U$33*NMultDensity(A130:D130,$U$35:$U$38,$Q$48:$T$51)</f>
        <v>0.96415691079130583</v>
      </c>
      <c r="L130" s="25" cm="1">
        <f t="array" ref="L130">$U$7*NMultDensity(A130:D130,$U$9:$U$12,$Q$48:$T$51)/K130</f>
        <v>6.6100843081369873E-43</v>
      </c>
      <c r="M130" s="25" cm="1">
        <f t="array" ref="M130">$U$20*NMultDensity(A130:D130,$U$22:$U$25,$Q$48:$T$51)/K130</f>
        <v>2.8003190934767413E-5</v>
      </c>
      <c r="N130" s="39" cm="1">
        <f t="array" ref="N130">$U$33*NMultDensity(A130:D130,$U$35:$U$38,$Q$48:$T$51)/K130</f>
        <v>0.99997199680906523</v>
      </c>
    </row>
    <row r="131" spans="1:14" x14ac:dyDescent="0.25">
      <c r="A131" s="60">
        <v>7.2</v>
      </c>
      <c r="B131" s="25">
        <v>3</v>
      </c>
      <c r="C131" s="25">
        <v>5.8</v>
      </c>
      <c r="D131" s="57">
        <v>1.6</v>
      </c>
      <c r="E131" s="67" t="s">
        <v>31</v>
      </c>
      <c r="F131" s="68" t="s">
        <v>7</v>
      </c>
      <c r="G131" s="68">
        <f t="shared" ca="1" si="13"/>
        <v>5.8159784753075758</v>
      </c>
      <c r="H131" s="49">
        <f t="shared" ca="1" si="14"/>
        <v>1.5940981263996663</v>
      </c>
      <c r="I131" s="65" t="s">
        <v>7</v>
      </c>
      <c r="J131" s="38" t="str">
        <f t="shared" si="15"/>
        <v>virginica</v>
      </c>
      <c r="K131" s="25" cm="1">
        <f t="array" ref="K131">$U$7*NMultDensity(A131:D131,$U$9:$U$12,$Q$48:$T$51)+$U$20*NMultDensity(A131:D131,$U$22:$U$25,$Q$48:$T$51)+$U$33*NMultDensity(A131:D131,$U$35:$U$38,$Q$48:$T$51)</f>
        <v>6.0611479660352227E-2</v>
      </c>
      <c r="L131" s="25" cm="1">
        <f t="array" ref="L131">$U$7*NMultDensity(A131:D131,$U$9:$U$12,$Q$48:$T$51)/K131</f>
        <v>4.1085085164755597E-31</v>
      </c>
      <c r="M131" s="25" cm="1">
        <f t="array" ref="M131">$U$20*NMultDensity(A131:D131,$U$22:$U$25,$Q$48:$T$51)/K131</f>
        <v>9.8882554766272085E-2</v>
      </c>
      <c r="N131" s="39" cm="1">
        <f t="array" ref="N131">$U$33*NMultDensity(A131:D131,$U$35:$U$38,$Q$48:$T$51)/K131</f>
        <v>0.90111744523372794</v>
      </c>
    </row>
    <row r="132" spans="1:14" x14ac:dyDescent="0.25">
      <c r="A132" s="60">
        <v>7.4</v>
      </c>
      <c r="B132" s="25">
        <v>2.8</v>
      </c>
      <c r="C132" s="25">
        <v>6.1</v>
      </c>
      <c r="D132" s="57">
        <v>1.9</v>
      </c>
      <c r="E132" s="67" t="s">
        <v>32</v>
      </c>
      <c r="F132" s="68" t="s">
        <v>7</v>
      </c>
      <c r="G132" s="68">
        <f t="shared" ca="1" si="13"/>
        <v>6.1002690501934582</v>
      </c>
      <c r="H132" s="49">
        <f t="shared" ca="1" si="14"/>
        <v>1.8920824019224467</v>
      </c>
      <c r="I132" s="65" t="s">
        <v>7</v>
      </c>
      <c r="J132" s="38" t="str">
        <f t="shared" si="15"/>
        <v>virginica</v>
      </c>
      <c r="K132" s="25" cm="1">
        <f t="array" ref="K132">$U$7*NMultDensity(A132:D132,$U$9:$U$12,$Q$48:$T$51)+$U$20*NMultDensity(A132:D132,$U$22:$U$25,$Q$48:$T$51)+$U$33*NMultDensity(A132:D132,$U$35:$U$38,$Q$48:$T$51)</f>
        <v>0.19244751856218575</v>
      </c>
      <c r="L132" s="25" cm="1">
        <f t="array" ref="L132">$U$7*NMultDensity(A132:D132,$U$9:$U$12,$Q$48:$T$51)/K132</f>
        <v>3.288633700372639E-40</v>
      </c>
      <c r="M132" s="25" cm="1">
        <f t="array" ref="M132">$U$20*NMultDensity(A132:D132,$U$22:$U$25,$Q$48:$T$51)/K132</f>
        <v>3.2336081104199162E-4</v>
      </c>
      <c r="N132" s="39" cm="1">
        <f t="array" ref="N132">$U$33*NMultDensity(A132:D132,$U$35:$U$38,$Q$48:$T$51)/K132</f>
        <v>0.99967663918895799</v>
      </c>
    </row>
    <row r="133" spans="1:14" x14ac:dyDescent="0.25">
      <c r="A133" s="60">
        <v>7.9</v>
      </c>
      <c r="B133" s="25">
        <v>3.8</v>
      </c>
      <c r="C133" s="25">
        <v>6.4</v>
      </c>
      <c r="D133" s="57">
        <v>2</v>
      </c>
      <c r="E133" s="67" t="s">
        <v>32</v>
      </c>
      <c r="F133" s="68" t="s">
        <v>7</v>
      </c>
      <c r="G133" s="68">
        <f t="shared" ca="1" si="13"/>
        <v>6.4198526580236299</v>
      </c>
      <c r="H133" s="49">
        <f t="shared" ca="1" si="14"/>
        <v>2.0159878401640774</v>
      </c>
      <c r="I133" s="65" t="s">
        <v>7</v>
      </c>
      <c r="J133" s="38" t="str">
        <f t="shared" si="15"/>
        <v>virginica</v>
      </c>
      <c r="K133" s="25" cm="1">
        <f t="array" ref="K133">$U$7*NMultDensity(A133:D133,$U$9:$U$12,$Q$48:$T$51)+$U$20*NMultDensity(A133:D133,$U$22:$U$25,$Q$48:$T$51)+$U$33*NMultDensity(A133:D133,$U$35:$U$38,$Q$48:$T$51)</f>
        <v>5.2043665529543188E-3</v>
      </c>
      <c r="L133" s="25" cm="1">
        <f t="array" ref="L133">$U$7*NMultDensity(A133:D133,$U$9:$U$12,$Q$48:$T$51)/K133</f>
        <v>8.7437454654320825E-32</v>
      </c>
      <c r="M133" s="25" cm="1">
        <f t="array" ref="M133">$U$20*NMultDensity(A133:D133,$U$22:$U$25,$Q$48:$T$51)/K133</f>
        <v>4.9566319224797588E-3</v>
      </c>
      <c r="N133" s="39" cm="1">
        <f t="array" ref="N133">$U$33*NMultDensity(A133:D133,$U$35:$U$38,$Q$48:$T$51)/K133</f>
        <v>0.99504336807752014</v>
      </c>
    </row>
    <row r="134" spans="1:14" x14ac:dyDescent="0.25">
      <c r="A134" s="60">
        <v>6.4</v>
      </c>
      <c r="B134" s="25">
        <v>2.8</v>
      </c>
      <c r="C134" s="25">
        <v>5.6</v>
      </c>
      <c r="D134" s="57">
        <v>2.2000000000000002</v>
      </c>
      <c r="E134" s="67" t="s">
        <v>32</v>
      </c>
      <c r="F134" s="68" t="s">
        <v>7</v>
      </c>
      <c r="G134" s="68">
        <f t="shared" ca="1" si="13"/>
        <v>5.5951020375026648</v>
      </c>
      <c r="H134" s="49">
        <f t="shared" ca="1" si="14"/>
        <v>2.2033888157883581</v>
      </c>
      <c r="I134" s="65" t="s">
        <v>7</v>
      </c>
      <c r="J134" s="38" t="str">
        <f t="shared" si="15"/>
        <v>virginica</v>
      </c>
      <c r="K134" s="25" cm="1">
        <f t="array" ref="K134">$U$7*NMultDensity(A134:D134,$U$9:$U$12,$Q$48:$T$51)+$U$20*NMultDensity(A134:D134,$U$22:$U$25,$Q$48:$T$51)+$U$33*NMultDensity(A134:D134,$U$35:$U$38,$Q$48:$T$51)</f>
        <v>0.63039071415884884</v>
      </c>
      <c r="L134" s="25" cm="1">
        <f t="array" ref="L134">$U$7*NMultDensity(A134:D134,$U$9:$U$12,$Q$48:$T$51)/K134</f>
        <v>2.2343140022668623E-44</v>
      </c>
      <c r="M134" s="25" cm="1">
        <f t="array" ref="M134">$U$20*NMultDensity(A134:D134,$U$22:$U$25,$Q$48:$T$51)/K134</f>
        <v>8.7382145569479242E-6</v>
      </c>
      <c r="N134" s="39" cm="1">
        <f t="array" ref="N134">$U$33*NMultDensity(A134:D134,$U$35:$U$38,$Q$48:$T$51)/K134</f>
        <v>0.99999126178544306</v>
      </c>
    </row>
    <row r="135" spans="1:14" x14ac:dyDescent="0.25">
      <c r="A135" s="60">
        <v>6.3</v>
      </c>
      <c r="B135" s="25">
        <v>2.8</v>
      </c>
      <c r="C135" s="25">
        <v>5.0999999999999996</v>
      </c>
      <c r="D135" s="57">
        <v>1.5</v>
      </c>
      <c r="E135" s="67" t="s">
        <v>32</v>
      </c>
      <c r="F135" s="68" t="s">
        <v>7</v>
      </c>
      <c r="G135" s="68">
        <f t="shared" ca="1" si="13"/>
        <v>5.0820668881235482</v>
      </c>
      <c r="H135" s="49">
        <f t="shared" ca="1" si="14"/>
        <v>1.4916922767820773</v>
      </c>
      <c r="I135" s="65" t="s">
        <v>7</v>
      </c>
      <c r="J135" s="38" t="str">
        <f t="shared" si="15"/>
        <v>virginica</v>
      </c>
      <c r="K135" s="25" cm="1">
        <f t="array" ref="K135">$U$7*NMultDensity(A135:D135,$U$9:$U$12,$Q$48:$T$51)+$U$20*NMultDensity(A135:D135,$U$22:$U$25,$Q$48:$T$51)+$U$33*NMultDensity(A135:D135,$U$35:$U$38,$Q$48:$T$51)</f>
        <v>0.19687501652277128</v>
      </c>
      <c r="L135" s="25" cm="1">
        <f t="array" ref="L135">$U$7*NMultDensity(A135:D135,$U$9:$U$12,$Q$48:$T$51)/K135</f>
        <v>1.3338514476928785E-28</v>
      </c>
      <c r="M135" s="25" cm="1">
        <f t="array" ref="M135">$U$20*NMultDensity(A135:D135,$U$22:$U$25,$Q$48:$T$51)/K135</f>
        <v>0.47410000975774869</v>
      </c>
      <c r="N135" s="39" cm="1">
        <f t="array" ref="N135">$U$33*NMultDensity(A135:D135,$U$35:$U$38,$Q$48:$T$51)/K135</f>
        <v>0.52589999024225131</v>
      </c>
    </row>
    <row r="136" spans="1:14" x14ac:dyDescent="0.25">
      <c r="A136" s="60">
        <v>6.1</v>
      </c>
      <c r="B136" s="25">
        <v>2.6</v>
      </c>
      <c r="C136" s="25">
        <v>5.6</v>
      </c>
      <c r="D136" s="57">
        <v>1.4</v>
      </c>
      <c r="E136" s="67" t="s">
        <v>32</v>
      </c>
      <c r="F136" s="68" t="s">
        <v>7</v>
      </c>
      <c r="G136" s="68">
        <f t="shared" ca="1" si="13"/>
        <v>5.6068501914622253</v>
      </c>
      <c r="H136" s="49">
        <f t="shared" ca="1" si="14"/>
        <v>1.4164362025551243</v>
      </c>
      <c r="I136" s="65" t="s">
        <v>7</v>
      </c>
      <c r="J136" s="38" t="str">
        <f t="shared" si="15"/>
        <v>virginica</v>
      </c>
      <c r="K136" s="25" cm="1">
        <f t="array" ref="K136">$U$7*NMultDensity(A136:D136,$U$9:$U$12,$Q$48:$T$51)+$U$20*NMultDensity(A136:D136,$U$22:$U$25,$Q$48:$T$51)+$U$33*NMultDensity(A136:D136,$U$35:$U$38,$Q$48:$T$51)</f>
        <v>4.0389820878107881E-3</v>
      </c>
      <c r="L136" s="25" cm="1">
        <f t="array" ref="L136">$U$7*NMultDensity(A136:D136,$U$9:$U$12,$Q$48:$T$51)/K136</f>
        <v>1.3905571899619546E-36</v>
      </c>
      <c r="M136" s="25" cm="1">
        <f t="array" ref="M136">$U$20*NMultDensity(A136:D136,$U$22:$U$25,$Q$48:$T$51)/K136</f>
        <v>1.2816234360835285E-2</v>
      </c>
      <c r="N136" s="39" cm="1">
        <f t="array" ref="N136">$U$33*NMultDensity(A136:D136,$U$35:$U$38,$Q$48:$T$51)/K136</f>
        <v>0.98718376563916477</v>
      </c>
    </row>
    <row r="137" spans="1:14" x14ac:dyDescent="0.25">
      <c r="A137" s="60">
        <v>7.7</v>
      </c>
      <c r="B137" s="25">
        <v>3</v>
      </c>
      <c r="C137" s="25">
        <v>6.1</v>
      </c>
      <c r="D137" s="57">
        <v>2.2999999999999998</v>
      </c>
      <c r="E137" s="67" t="s">
        <v>32</v>
      </c>
      <c r="F137" s="68" t="s">
        <v>7</v>
      </c>
      <c r="G137" s="68">
        <f t="shared" ca="1" si="13"/>
        <v>6.1166582917162122</v>
      </c>
      <c r="H137" s="49">
        <f t="shared" ca="1" si="14"/>
        <v>2.289345293403291</v>
      </c>
      <c r="I137" s="65" t="s">
        <v>7</v>
      </c>
      <c r="J137" s="38" t="str">
        <f t="shared" si="15"/>
        <v>virginica</v>
      </c>
      <c r="K137" s="25" cm="1">
        <f t="array" ref="K137">$U$7*NMultDensity(A137:D137,$U$9:$U$12,$Q$48:$T$51)+$U$20*NMultDensity(A137:D137,$U$22:$U$25,$Q$48:$T$51)+$U$33*NMultDensity(A137:D137,$U$35:$U$38,$Q$48:$T$51)</f>
        <v>4.3167765511211723E-2</v>
      </c>
      <c r="L137" s="25" cm="1">
        <f t="array" ref="L137">$U$7*NMultDensity(A137:D137,$U$9:$U$12,$Q$48:$T$51)/K137</f>
        <v>3.9974935464937546E-42</v>
      </c>
      <c r="M137" s="25" cm="1">
        <f t="array" ref="M137">$U$20*NMultDensity(A137:D137,$U$22:$U$25,$Q$48:$T$51)/K137</f>
        <v>2.2964377059852012E-5</v>
      </c>
      <c r="N137" s="39" cm="1">
        <f t="array" ref="N137">$U$33*NMultDensity(A137:D137,$U$35:$U$38,$Q$48:$T$51)/K137</f>
        <v>0.99997703562294016</v>
      </c>
    </row>
    <row r="138" spans="1:14" x14ac:dyDescent="0.25">
      <c r="A138" s="60">
        <v>6.3</v>
      </c>
      <c r="B138" s="25">
        <v>3.4</v>
      </c>
      <c r="C138" s="25">
        <v>5.6</v>
      </c>
      <c r="D138" s="57">
        <v>2.4</v>
      </c>
      <c r="E138" s="67" t="s">
        <v>32</v>
      </c>
      <c r="F138" s="68" t="s">
        <v>7</v>
      </c>
      <c r="G138" s="68">
        <f t="shared" ca="1" si="13"/>
        <v>5.6118135180812319</v>
      </c>
      <c r="H138" s="49">
        <f t="shared" ca="1" si="14"/>
        <v>2.3865160276659281</v>
      </c>
      <c r="I138" s="65" t="s">
        <v>7</v>
      </c>
      <c r="J138" s="38" t="str">
        <f t="shared" si="15"/>
        <v>virginica</v>
      </c>
      <c r="K138" s="25" cm="1">
        <f t="array" ref="K138">$U$7*NMultDensity(A138:D138,$U$9:$U$12,$Q$48:$T$51)+$U$20*NMultDensity(A138:D138,$U$22:$U$25,$Q$48:$T$51)+$U$33*NMultDensity(A138:D138,$U$35:$U$38,$Q$48:$T$51)</f>
        <v>0.13049283900295508</v>
      </c>
      <c r="L138" s="25" cm="1">
        <f t="array" ref="L138">$U$7*NMultDensity(A138:D138,$U$9:$U$12,$Q$48:$T$51)/K138</f>
        <v>1.5450605120745521E-41</v>
      </c>
      <c r="M138" s="25" cm="1">
        <f t="array" ref="M138">$U$20*NMultDensity(A138:D138,$U$22:$U$25,$Q$48:$T$51)/K138</f>
        <v>7.239713405307958E-6</v>
      </c>
      <c r="N138" s="39" cm="1">
        <f t="array" ref="N138">$U$33*NMultDensity(A138:D138,$U$35:$U$38,$Q$48:$T$51)/K138</f>
        <v>0.99999276028659478</v>
      </c>
    </row>
    <row r="139" spans="1:14" x14ac:dyDescent="0.25">
      <c r="A139" s="60">
        <v>6.4</v>
      </c>
      <c r="B139" s="25">
        <v>3.1</v>
      </c>
      <c r="C139" s="25">
        <v>5.5</v>
      </c>
      <c r="D139" s="57">
        <v>1.8</v>
      </c>
      <c r="E139" s="67" t="s">
        <v>32</v>
      </c>
      <c r="F139" s="68" t="s">
        <v>7</v>
      </c>
      <c r="G139" s="68">
        <f t="shared" ca="1" si="13"/>
        <v>5.4903933168175314</v>
      </c>
      <c r="H139" s="49">
        <f t="shared" ca="1" si="14"/>
        <v>1.7909886117194036</v>
      </c>
      <c r="I139" s="65" t="s">
        <v>7</v>
      </c>
      <c r="J139" s="38" t="str">
        <f t="shared" si="15"/>
        <v>virginica</v>
      </c>
      <c r="K139" s="25" cm="1">
        <f t="array" ref="K139">$U$7*NMultDensity(A139:D139,$U$9:$U$12,$Q$48:$T$51)+$U$20*NMultDensity(A139:D139,$U$22:$U$25,$Q$48:$T$51)+$U$33*NMultDensity(A139:D139,$U$35:$U$38,$Q$48:$T$51)</f>
        <v>0.42384531994540281</v>
      </c>
      <c r="L139" s="25" cm="1">
        <f t="array" ref="L139">$U$7*NMultDensity(A139:D139,$U$9:$U$12,$Q$48:$T$51)/K139</f>
        <v>5.0308530296712437E-34</v>
      </c>
      <c r="M139" s="25" cm="1">
        <f t="array" ref="M139">$U$20*NMultDensity(A139:D139,$U$22:$U$25,$Q$48:$T$51)/K139</f>
        <v>6.912903073672475E-3</v>
      </c>
      <c r="N139" s="39" cm="1">
        <f t="array" ref="N139">$U$33*NMultDensity(A139:D139,$U$35:$U$38,$Q$48:$T$51)/K139</f>
        <v>0.99308709692632746</v>
      </c>
    </row>
    <row r="140" spans="1:14" x14ac:dyDescent="0.25">
      <c r="A140" s="60">
        <v>6</v>
      </c>
      <c r="B140" s="25">
        <v>3</v>
      </c>
      <c r="C140" s="25">
        <v>4.8</v>
      </c>
      <c r="D140" s="57">
        <v>1.8</v>
      </c>
      <c r="E140" s="67" t="s">
        <v>32</v>
      </c>
      <c r="F140" s="68" t="s">
        <v>7</v>
      </c>
      <c r="G140" s="68">
        <f t="shared" ca="1" si="13"/>
        <v>4.8079569555895141</v>
      </c>
      <c r="H140" s="49">
        <f t="shared" ca="1" si="14"/>
        <v>1.8089787369005312</v>
      </c>
      <c r="I140" s="65" t="s">
        <v>7</v>
      </c>
      <c r="J140" s="38" t="str">
        <f t="shared" si="15"/>
        <v>virginica</v>
      </c>
      <c r="K140" s="25" cm="1">
        <f t="array" ref="K140">$U$7*NMultDensity(A140:D140,$U$9:$U$12,$Q$48:$T$51)+$U$20*NMultDensity(A140:D140,$U$22:$U$25,$Q$48:$T$51)+$U$33*NMultDensity(A140:D140,$U$35:$U$38,$Q$48:$T$51)</f>
        <v>0.34387904486065957</v>
      </c>
      <c r="L140" s="25" cm="1">
        <f t="array" ref="L140">$U$7*NMultDensity(A140:D140,$U$9:$U$12,$Q$48:$T$51)/K140</f>
        <v>1.0741689409225385E-28</v>
      </c>
      <c r="M140" s="25" cm="1">
        <f t="array" ref="M140">$U$20*NMultDensity(A140:D140,$U$22:$U$25,$Q$48:$T$51)/K140</f>
        <v>0.16047809013648845</v>
      </c>
      <c r="N140" s="39" cm="1">
        <f t="array" ref="N140">$U$33*NMultDensity(A140:D140,$U$35:$U$38,$Q$48:$T$51)/K140</f>
        <v>0.83952190986351161</v>
      </c>
    </row>
    <row r="141" spans="1:14" x14ac:dyDescent="0.25">
      <c r="A141" s="60">
        <v>6.9</v>
      </c>
      <c r="B141" s="25">
        <v>3.1</v>
      </c>
      <c r="C141" s="25">
        <v>5.4</v>
      </c>
      <c r="D141" s="57">
        <v>2.1</v>
      </c>
      <c r="E141" s="67" t="s">
        <v>32</v>
      </c>
      <c r="F141" s="68" t="s">
        <v>7</v>
      </c>
      <c r="G141" s="68">
        <f t="shared" ca="1" si="13"/>
        <v>5.4167499229850193</v>
      </c>
      <c r="H141" s="49">
        <f t="shared" ca="1" si="14"/>
        <v>2.092532973838396</v>
      </c>
      <c r="I141" s="65" t="s">
        <v>7</v>
      </c>
      <c r="J141" s="38" t="str">
        <f t="shared" si="15"/>
        <v>virginica</v>
      </c>
      <c r="K141" s="25" cm="1">
        <f t="array" ref="K141">$U$7*NMultDensity(A141:D141,$U$9:$U$12,$Q$48:$T$51)+$U$20*NMultDensity(A141:D141,$U$22:$U$25,$Q$48:$T$51)+$U$33*NMultDensity(A141:D141,$U$35:$U$38,$Q$48:$T$51)</f>
        <v>0.51770976805144409</v>
      </c>
      <c r="L141" s="25" cm="1">
        <f t="array" ref="L141">$U$7*NMultDensity(A141:D141,$U$9:$U$12,$Q$48:$T$51)/K141</f>
        <v>4.2315042624782092E-34</v>
      </c>
      <c r="M141" s="25" cm="1">
        <f t="array" ref="M141">$U$20*NMultDensity(A141:D141,$U$22:$U$25,$Q$48:$T$51)/K141</f>
        <v>3.1554232813737304E-3</v>
      </c>
      <c r="N141" s="39" cm="1">
        <f t="array" ref="N141">$U$33*NMultDensity(A141:D141,$U$35:$U$38,$Q$48:$T$51)/K141</f>
        <v>0.99684457671862614</v>
      </c>
    </row>
    <row r="142" spans="1:14" x14ac:dyDescent="0.25">
      <c r="A142" s="60">
        <v>6.7</v>
      </c>
      <c r="B142" s="25">
        <v>3.1</v>
      </c>
      <c r="C142" s="25">
        <v>5.6</v>
      </c>
      <c r="D142" s="57">
        <v>2.4</v>
      </c>
      <c r="E142" s="67" t="s">
        <v>32</v>
      </c>
      <c r="F142" s="68" t="s">
        <v>7</v>
      </c>
      <c r="G142" s="68">
        <f t="shared" ca="1" si="13"/>
        <v>5.5902431746233079</v>
      </c>
      <c r="H142" s="49">
        <f t="shared" ca="1" si="14"/>
        <v>2.4146573662985911</v>
      </c>
      <c r="I142" s="65" t="s">
        <v>7</v>
      </c>
      <c r="J142" s="38" t="str">
        <f t="shared" si="15"/>
        <v>virginica</v>
      </c>
      <c r="K142" s="25" cm="1">
        <f t="array" ref="K142">$U$7*NMultDensity(A142:D142,$U$9:$U$12,$Q$48:$T$51)+$U$20*NMultDensity(A142:D142,$U$22:$U$25,$Q$48:$T$51)+$U$33*NMultDensity(A142:D142,$U$35:$U$38,$Q$48:$T$51)</f>
        <v>0.32342250359681451</v>
      </c>
      <c r="L142" s="25" cm="1">
        <f t="array" ref="L142">$U$7*NMultDensity(A142:D142,$U$9:$U$12,$Q$48:$T$51)/K142</f>
        <v>2.764812272555421E-42</v>
      </c>
      <c r="M142" s="25" cm="1">
        <f t="array" ref="M142">$U$20*NMultDensity(A142:D142,$U$22:$U$25,$Q$48:$T$51)/K142</f>
        <v>9.7151292765674234E-6</v>
      </c>
      <c r="N142" s="39" cm="1">
        <f t="array" ref="N142">$U$33*NMultDensity(A142:D142,$U$35:$U$38,$Q$48:$T$51)/K142</f>
        <v>0.9999902848707235</v>
      </c>
    </row>
    <row r="143" spans="1:14" x14ac:dyDescent="0.25">
      <c r="A143" s="60">
        <v>6.9</v>
      </c>
      <c r="B143" s="25">
        <v>3.1</v>
      </c>
      <c r="C143" s="25">
        <v>5.0999999999999996</v>
      </c>
      <c r="D143" s="57">
        <v>2.2999999999999998</v>
      </c>
      <c r="E143" s="67" t="s">
        <v>32</v>
      </c>
      <c r="F143" s="68" t="s">
        <v>7</v>
      </c>
      <c r="G143" s="68">
        <f t="shared" ca="1" si="13"/>
        <v>5.1118016253430225</v>
      </c>
      <c r="H143" s="49">
        <f t="shared" ca="1" si="14"/>
        <v>2.3232566786470961</v>
      </c>
      <c r="I143" s="65" t="s">
        <v>7</v>
      </c>
      <c r="J143" s="38" t="str">
        <f t="shared" si="15"/>
        <v>virginica</v>
      </c>
      <c r="K143" s="25" cm="1">
        <f t="array" ref="K143">$U$7*NMultDensity(A143:D143,$U$9:$U$12,$Q$48:$T$51)+$U$20*NMultDensity(A143:D143,$U$22:$U$25,$Q$48:$T$51)+$U$33*NMultDensity(A143:D143,$U$35:$U$38,$Q$48:$T$51)</f>
        <v>1.486235484908081E-2</v>
      </c>
      <c r="L143" s="25" cm="1">
        <f t="array" ref="L143">$U$7*NMultDensity(A143:D143,$U$9:$U$12,$Q$48:$T$51)/K143</f>
        <v>3.209650711591797E-33</v>
      </c>
      <c r="M143" s="25" cm="1">
        <f t="array" ref="M143">$U$20*NMultDensity(A143:D143,$U$22:$U$25,$Q$48:$T$51)/K143</f>
        <v>2.9712892522290985E-3</v>
      </c>
      <c r="N143" s="39" cm="1">
        <f t="array" ref="N143">$U$33*NMultDensity(A143:D143,$U$35:$U$38,$Q$48:$T$51)/K143</f>
        <v>0.99702871074777089</v>
      </c>
    </row>
    <row r="144" spans="1:14" x14ac:dyDescent="0.25">
      <c r="A144" s="60">
        <v>5.8</v>
      </c>
      <c r="B144" s="25">
        <v>2.7</v>
      </c>
      <c r="C144" s="25">
        <v>5.0999999999999996</v>
      </c>
      <c r="D144" s="57">
        <v>1.9</v>
      </c>
      <c r="E144" s="67" t="s">
        <v>32</v>
      </c>
      <c r="F144" s="68" t="s">
        <v>7</v>
      </c>
      <c r="G144" s="68">
        <f t="shared" ca="1" si="13"/>
        <v>5.094998096427255</v>
      </c>
      <c r="H144" s="49">
        <f t="shared" ca="1" si="14"/>
        <v>1.8992770863489219</v>
      </c>
      <c r="I144" s="65" t="s">
        <v>7</v>
      </c>
      <c r="J144" s="38" t="str">
        <f t="shared" si="15"/>
        <v>virginica</v>
      </c>
      <c r="K144" s="25" cm="1">
        <f t="array" ref="K144">$U$7*NMultDensity(A144:D144,$U$9:$U$12,$Q$48:$T$51)+$U$20*NMultDensity(A144:D144,$U$22:$U$25,$Q$48:$T$51)+$U$33*NMultDensity(A144:D144,$U$35:$U$38,$Q$48:$T$51)</f>
        <v>0.56945734812675763</v>
      </c>
      <c r="L144" s="25" cm="1">
        <f t="array" ref="L144">$U$7*NMultDensity(A144:D144,$U$9:$U$12,$Q$48:$T$51)/K144</f>
        <v>2.4627333467148457E-38</v>
      </c>
      <c r="M144" s="25" cm="1">
        <f t="array" ref="M144">$U$20*NMultDensity(A144:D144,$U$22:$U$25,$Q$48:$T$51)/K144</f>
        <v>7.9720948106347324E-4</v>
      </c>
      <c r="N144" s="39" cm="1">
        <f t="array" ref="N144">$U$33*NMultDensity(A144:D144,$U$35:$U$38,$Q$48:$T$51)/K144</f>
        <v>0.99920279051893657</v>
      </c>
    </row>
    <row r="145" spans="1:14" x14ac:dyDescent="0.25">
      <c r="A145" s="60">
        <v>6.8</v>
      </c>
      <c r="B145" s="25">
        <v>3.2</v>
      </c>
      <c r="C145" s="25">
        <v>5.9</v>
      </c>
      <c r="D145" s="57">
        <v>2.2999999999999998</v>
      </c>
      <c r="E145" s="67" t="s">
        <v>32</v>
      </c>
      <c r="F145" s="68" t="s">
        <v>7</v>
      </c>
      <c r="G145" s="68">
        <f t="shared" ca="1" si="13"/>
        <v>5.9037899782151841</v>
      </c>
      <c r="H145" s="49">
        <f t="shared" ca="1" si="14"/>
        <v>2.2997792733015832</v>
      </c>
      <c r="I145" s="65" t="s">
        <v>7</v>
      </c>
      <c r="J145" s="38" t="str">
        <f t="shared" si="15"/>
        <v>virginica</v>
      </c>
      <c r="K145" s="25" cm="1">
        <f t="array" ref="K145">$U$7*NMultDensity(A145:D145,$U$9:$U$12,$Q$48:$T$51)+$U$20*NMultDensity(A145:D145,$U$22:$U$25,$Q$48:$T$51)+$U$33*NMultDensity(A145:D145,$U$35:$U$38,$Q$48:$T$51)</f>
        <v>0.76170232438377072</v>
      </c>
      <c r="L145" s="25" cm="1">
        <f t="array" ref="L145">$U$7*NMultDensity(A145:D145,$U$9:$U$12,$Q$48:$T$51)/K145</f>
        <v>5.8740031928799655E-43</v>
      </c>
      <c r="M145" s="25" cm="1">
        <f t="array" ref="M145">$U$20*NMultDensity(A145:D145,$U$22:$U$25,$Q$48:$T$51)/K145</f>
        <v>7.2508168474674029E-6</v>
      </c>
      <c r="N145" s="39" cm="1">
        <f t="array" ref="N145">$U$33*NMultDensity(A145:D145,$U$35:$U$38,$Q$48:$T$51)/K145</f>
        <v>0.99999274918315251</v>
      </c>
    </row>
    <row r="146" spans="1:14" x14ac:dyDescent="0.25">
      <c r="A146" s="60">
        <v>6.7</v>
      </c>
      <c r="B146" s="25">
        <v>3.3</v>
      </c>
      <c r="C146" s="25">
        <v>5.7</v>
      </c>
      <c r="D146" s="57">
        <v>2.5</v>
      </c>
      <c r="E146" s="67" t="s">
        <v>32</v>
      </c>
      <c r="F146" s="68" t="s">
        <v>7</v>
      </c>
      <c r="G146" s="68">
        <f t="shared" ca="1" si="13"/>
        <v>5.7016115967954191</v>
      </c>
      <c r="H146" s="49">
        <f t="shared" ca="1" si="14"/>
        <v>2.4836064020109223</v>
      </c>
      <c r="I146" s="65" t="s">
        <v>7</v>
      </c>
      <c r="J146" s="38" t="str">
        <f t="shared" si="15"/>
        <v>virginica</v>
      </c>
      <c r="K146" s="25" cm="1">
        <f t="array" ref="K146">$U$7*NMultDensity(A146:D146,$U$9:$U$12,$Q$48:$T$51)+$U$20*NMultDensity(A146:D146,$U$22:$U$25,$Q$48:$T$51)+$U$33*NMultDensity(A146:D146,$U$35:$U$38,$Q$48:$T$51)</f>
        <v>0.17944751472275852</v>
      </c>
      <c r="L146" s="25" cm="1">
        <f t="array" ref="L146">$U$7*NMultDensity(A146:D146,$U$9:$U$12,$Q$48:$T$51)/K146</f>
        <v>6.7307651250617197E-43</v>
      </c>
      <c r="M146" s="25" cm="1">
        <f t="array" ref="M146">$U$20*NMultDensity(A146:D146,$U$22:$U$25,$Q$48:$T$51)/K146</f>
        <v>3.3082625249774143E-6</v>
      </c>
      <c r="N146" s="39" cm="1">
        <f t="array" ref="N146">$U$33*NMultDensity(A146:D146,$U$35:$U$38,$Q$48:$T$51)/K146</f>
        <v>0.99999669173747507</v>
      </c>
    </row>
    <row r="147" spans="1:14" x14ac:dyDescent="0.25">
      <c r="A147" s="60">
        <v>6.7</v>
      </c>
      <c r="B147" s="25">
        <v>3</v>
      </c>
      <c r="C147" s="25">
        <v>5.2</v>
      </c>
      <c r="D147" s="57">
        <v>2.2999999999999998</v>
      </c>
      <c r="E147" s="67" t="s">
        <v>32</v>
      </c>
      <c r="F147" s="68" t="s">
        <v>7</v>
      </c>
      <c r="G147" s="68">
        <f t="shared" ca="1" si="13"/>
        <v>5.1892107079913918</v>
      </c>
      <c r="H147" s="49">
        <f t="shared" ca="1" si="14"/>
        <v>2.2815323388106945</v>
      </c>
      <c r="I147" s="65" t="s">
        <v>7</v>
      </c>
      <c r="J147" s="38" t="str">
        <f t="shared" si="15"/>
        <v>virginica</v>
      </c>
      <c r="K147" s="25" cm="1">
        <f t="array" ref="K147">$U$7*NMultDensity(A147:D147,$U$9:$U$12,$Q$48:$T$51)+$U$20*NMultDensity(A147:D147,$U$22:$U$25,$Q$48:$T$51)+$U$33*NMultDensity(A147:D147,$U$35:$U$38,$Q$48:$T$51)</f>
        <v>9.3792257163863149E-2</v>
      </c>
      <c r="L147" s="25" cm="1">
        <f t="array" ref="L147">$U$7*NMultDensity(A147:D147,$U$9:$U$12,$Q$48:$T$51)/K147</f>
        <v>8.7670620559365988E-37</v>
      </c>
      <c r="M147" s="25" cm="1">
        <f t="array" ref="M147">$U$20*NMultDensity(A147:D147,$U$22:$U$25,$Q$48:$T$51)/K147</f>
        <v>4.2045368320172848E-4</v>
      </c>
      <c r="N147" s="39" cm="1">
        <f t="array" ref="N147">$U$33*NMultDensity(A147:D147,$U$35:$U$38,$Q$48:$T$51)/K147</f>
        <v>0.99957954631679824</v>
      </c>
    </row>
    <row r="148" spans="1:14" x14ac:dyDescent="0.25">
      <c r="A148" s="60">
        <v>6.3</v>
      </c>
      <c r="B148" s="25">
        <v>2.5</v>
      </c>
      <c r="C148" s="25">
        <v>5</v>
      </c>
      <c r="D148" s="57">
        <v>1.9</v>
      </c>
      <c r="E148" s="67" t="s">
        <v>32</v>
      </c>
      <c r="F148" s="68" t="s">
        <v>7</v>
      </c>
      <c r="G148" s="68">
        <f t="shared" ca="1" si="13"/>
        <v>4.9892167746325136</v>
      </c>
      <c r="H148" s="49">
        <f t="shared" ca="1" si="14"/>
        <v>1.8887317436965494</v>
      </c>
      <c r="I148" s="65" t="s">
        <v>7</v>
      </c>
      <c r="J148" s="38" t="str">
        <f t="shared" si="15"/>
        <v>virginica</v>
      </c>
      <c r="K148" s="25" cm="1">
        <f t="array" ref="K148">$U$7*NMultDensity(A148:D148,$U$9:$U$12,$Q$48:$T$51)+$U$20*NMultDensity(A148:D148,$U$22:$U$25,$Q$48:$T$51)+$U$33*NMultDensity(A148:D148,$U$35:$U$38,$Q$48:$T$51)</f>
        <v>0.23071662103485921</v>
      </c>
      <c r="L148" s="25" cm="1">
        <f t="array" ref="L148">$U$7*NMultDensity(A148:D148,$U$9:$U$12,$Q$48:$T$51)/K148</f>
        <v>3.9308800385829136E-36</v>
      </c>
      <c r="M148" s="25" cm="1">
        <f t="array" ref="M148">$U$20*NMultDensity(A148:D148,$U$22:$U$25,$Q$48:$T$51)/K148</f>
        <v>5.1100387659509822E-3</v>
      </c>
      <c r="N148" s="39" cm="1">
        <f t="array" ref="N148">$U$33*NMultDensity(A148:D148,$U$35:$U$38,$Q$48:$T$51)/K148</f>
        <v>0.99488996123404905</v>
      </c>
    </row>
    <row r="149" spans="1:14" x14ac:dyDescent="0.25">
      <c r="A149" s="60">
        <v>6.5</v>
      </c>
      <c r="B149" s="25">
        <v>3</v>
      </c>
      <c r="C149" s="25">
        <v>5.2</v>
      </c>
      <c r="D149" s="57">
        <v>2</v>
      </c>
      <c r="E149" s="67" t="s">
        <v>32</v>
      </c>
      <c r="F149" s="68" t="s">
        <v>7</v>
      </c>
      <c r="G149" s="68">
        <f t="shared" ca="1" si="13"/>
        <v>5.2243872951218604</v>
      </c>
      <c r="H149" s="49">
        <f t="shared" ca="1" si="14"/>
        <v>2.0026665642838966</v>
      </c>
      <c r="I149" s="65" t="s">
        <v>7</v>
      </c>
      <c r="J149" s="38" t="str">
        <f t="shared" si="15"/>
        <v>virginica</v>
      </c>
      <c r="K149" s="25" cm="1">
        <f t="array" ref="K149">$U$7*NMultDensity(A149:D149,$U$9:$U$12,$Q$48:$T$51)+$U$20*NMultDensity(A149:D149,$U$22:$U$25,$Q$48:$T$51)+$U$33*NMultDensity(A149:D149,$U$35:$U$38,$Q$48:$T$51)</f>
        <v>0.92455612836977918</v>
      </c>
      <c r="L149" s="25" cm="1">
        <f t="array" ref="L149">$U$7*NMultDensity(A149:D149,$U$9:$U$12,$Q$48:$T$51)/K149</f>
        <v>1.344419820027825E-33</v>
      </c>
      <c r="M149" s="25" cm="1">
        <f t="array" ref="M149">$U$20*NMultDensity(A149:D149,$U$22:$U$25,$Q$48:$T$51)/K149</f>
        <v>6.3075903592885642E-3</v>
      </c>
      <c r="N149" s="39" cm="1">
        <f t="array" ref="N149">$U$33*NMultDensity(A149:D149,$U$35:$U$38,$Q$48:$T$51)/K149</f>
        <v>0.99369240964071148</v>
      </c>
    </row>
    <row r="150" spans="1:14" x14ac:dyDescent="0.25">
      <c r="A150" s="60">
        <v>6.2</v>
      </c>
      <c r="B150" s="25">
        <v>3.4</v>
      </c>
      <c r="C150" s="25">
        <v>5.4</v>
      </c>
      <c r="D150" s="57">
        <v>2.2999999999999998</v>
      </c>
      <c r="E150" s="67" t="s">
        <v>32</v>
      </c>
      <c r="F150" s="68" t="s">
        <v>7</v>
      </c>
      <c r="G150" s="68">
        <f t="shared" ca="1" si="13"/>
        <v>5.40250893932867</v>
      </c>
      <c r="H150" s="49">
        <f t="shared" ca="1" si="14"/>
        <v>2.2871146396057682</v>
      </c>
      <c r="I150" s="65" t="s">
        <v>7</v>
      </c>
      <c r="J150" s="38" t="str">
        <f t="shared" si="15"/>
        <v>virginica</v>
      </c>
      <c r="K150" s="25" cm="1">
        <f t="array" ref="K150">$U$7*NMultDensity(A150:D150,$U$9:$U$12,$Q$48:$T$51)+$U$20*NMultDensity(A150:D150,$U$22:$U$25,$Q$48:$T$51)+$U$33*NMultDensity(A150:D150,$U$35:$U$38,$Q$48:$T$51)</f>
        <v>0.16978253196638696</v>
      </c>
      <c r="L150" s="25" cm="1">
        <f t="array" ref="L150">$U$7*NMultDensity(A150:D150,$U$9:$U$12,$Q$48:$T$51)/K150</f>
        <v>3.9402332201799864E-38</v>
      </c>
      <c r="M150" s="25" cm="1">
        <f t="array" ref="M150">$U$20*NMultDensity(A150:D150,$U$22:$U$25,$Q$48:$T$51)/K150</f>
        <v>7.1298647006725154E-5</v>
      </c>
      <c r="N150" s="39" cm="1">
        <f t="array" ref="N150">$U$33*NMultDensity(A150:D150,$U$35:$U$38,$Q$48:$T$51)/K150</f>
        <v>0.99992870135299328</v>
      </c>
    </row>
    <row r="151" spans="1:14" ht="15.75" thickBot="1" x14ac:dyDescent="0.3">
      <c r="A151" s="62">
        <v>5.9</v>
      </c>
      <c r="B151" s="61">
        <v>3</v>
      </c>
      <c r="C151" s="61">
        <v>5.0999999999999996</v>
      </c>
      <c r="D151" s="63">
        <v>1.8</v>
      </c>
      <c r="E151" s="55" t="s">
        <v>34</v>
      </c>
      <c r="F151" s="56" t="s">
        <v>7</v>
      </c>
      <c r="G151" s="56">
        <f t="shared" ca="1" si="13"/>
        <v>5.0754651017451931</v>
      </c>
      <c r="H151" s="50">
        <f t="shared" ca="1" si="14"/>
        <v>1.8082730612028319</v>
      </c>
      <c r="I151" s="66" t="s">
        <v>7</v>
      </c>
      <c r="J151" s="40" t="str">
        <f t="shared" si="15"/>
        <v>virginica</v>
      </c>
      <c r="K151" s="61" cm="1">
        <f t="array" ref="K151">$U$7*NMultDensity(A151:D151,$U$9:$U$12,$Q$48:$T$51)+$U$20*NMultDensity(A151:D151,$U$22:$U$25,$Q$48:$T$51)+$U$33*NMultDensity(A151:D151,$U$35:$U$38,$Q$48:$T$51)</f>
        <v>0.3247761341021374</v>
      </c>
      <c r="L151" s="61" cm="1">
        <f t="array" ref="L151">$U$7*NMultDensity(A151:D151,$U$9:$U$12,$Q$48:$T$51)/K151</f>
        <v>4.6425529555274783E-33</v>
      </c>
      <c r="M151" s="61" cm="1">
        <f t="array" ref="M151">$U$20*NMultDensity(A151:D151,$U$22:$U$25,$Q$48:$T$51)/K151</f>
        <v>1.3209332204708546E-2</v>
      </c>
      <c r="N151" s="41" cm="1">
        <f t="array" ref="N151">$U$33*NMultDensity(A151:D151,$U$35:$U$38,$Q$48:$T$51)/K151</f>
        <v>0.98679066779529145</v>
      </c>
    </row>
  </sheetData>
  <mergeCells count="12">
    <mergeCell ref="S7:T7"/>
    <mergeCell ref="S20:T20"/>
    <mergeCell ref="P20:R20"/>
    <mergeCell ref="S46:T46"/>
    <mergeCell ref="P46:R46"/>
    <mergeCell ref="P33:R33"/>
    <mergeCell ref="S33:T33"/>
    <mergeCell ref="P2:R2"/>
    <mergeCell ref="P3:Q3"/>
    <mergeCell ref="P4:Q4"/>
    <mergeCell ref="P5:Q5"/>
    <mergeCell ref="P7:R7"/>
  </mergeCells>
  <conditionalFormatting sqref="P62">
    <cfRule type="colorScale" priority="4">
      <colorScale>
        <cfvo type="min"/>
        <cfvo type="max"/>
        <color rgb="FFFF7128"/>
        <color rgb="FFFFEF9C"/>
      </colorScale>
    </cfRule>
  </conditionalFormatting>
  <conditionalFormatting sqref="U52:U105">
    <cfRule type="expression" dxfId="5" priority="76">
      <formula>($U$20*N2Density(U$1,$T52,$S$26:$T$26,$S$24:$T$25)&gt;=MAX($U$7*N2Density(U$1,$T52,$S$13:$T$13,$S$11:$T$12),U$33*N2Density(U$1,$T52,$S$39:$T$39,$S$37:$T$38)))</formula>
    </cfRule>
    <cfRule type="expression" dxfId="4" priority="77">
      <formula>($U$7*N2Density(U$1,$T52,$S$13:$T$13,$S$11:$T$12)&gt;=MAX($U$20*N2Density(U$1,$T52,$S$26:$T$26,$S$24:$T$25),$U$33*N2Density(U$1,$T52,$S$39:$T$39,$S$37:$T$38)))</formula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5" operator="notContains" id="{D79FBE09-B171-4A0A-A813-EC2E97F062DA}">
            <xm:f>ISERROR(SEARCH($I$102,J102))</xm:f>
            <xm:f>$I$102</xm:f>
            <x14:dxf>
              <fill>
                <patternFill>
                  <bgColor rgb="FFFF5050"/>
                </patternFill>
              </fill>
            </x14:dxf>
          </x14:cfRule>
          <xm:sqref>J102:J151</xm:sqref>
        </x14:conditionalFormatting>
        <x14:conditionalFormatting xmlns:xm="http://schemas.microsoft.com/office/excel/2006/main">
          <x14:cfRule type="notContainsText" priority="6" operator="notContains" id="{426BDD0B-5689-4ECC-813E-27EB481E27EA}">
            <xm:f>ISERROR(SEARCH($I$2,J2))</xm:f>
            <xm:f>$I$2</xm:f>
            <x14:dxf>
              <fill>
                <patternFill patternType="solid">
                  <fgColor auto="1"/>
                  <bgColor rgb="FFFF5050"/>
                </patternFill>
              </fill>
            </x14:dxf>
          </x14:cfRule>
          <xm:sqref>J2:J51</xm:sqref>
        </x14:conditionalFormatting>
        <x14:conditionalFormatting xmlns:xm="http://schemas.microsoft.com/office/excel/2006/main">
          <x14:cfRule type="notContainsText" priority="7" operator="notContains" id="{16AA583A-B668-4803-BF75-FD7614E1FDF6}">
            <xm:f>ISERROR(SEARCH($I$52,J52))</xm:f>
            <xm:f>$I$52</xm:f>
            <x14:dxf>
              <fill>
                <patternFill>
                  <bgColor rgb="FFFF5050"/>
                </patternFill>
              </fill>
            </x14:dxf>
          </x14:cfRule>
          <xm:sqref>J52:J101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NaiwnaGęstość</vt:lpstr>
      <vt:lpstr>NaiwnyBayes_Petal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2020-05-23T12:32:56Z</dcterms:created>
  <dcterms:modified xsi:type="dcterms:W3CDTF">2020-06-07T13:19:27Z</dcterms:modified>
</cp:coreProperties>
</file>