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695CE78D-4FE1-462F-A48B-B612C706BE9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2-grupy" sheetId="1" r:id="rId1"/>
    <sheet name="4-grupy" sheetId="3" r:id="rId2"/>
  </sheets>
  <definedNames>
    <definedName name="_m1" localSheetId="1">'4-grupy'!$Q$2</definedName>
    <definedName name="_m2" localSheetId="1">'4-grupy'!$Q$3</definedName>
    <definedName name="_m3" localSheetId="1">'4-grupy'!$Q$4</definedName>
    <definedName name="_m4" localSheetId="1">'4-grupy'!$Q$5</definedName>
    <definedName name="_n1" localSheetId="0">'2-grupy'!$O$2</definedName>
    <definedName name="_n1" localSheetId="1">'4-grupy'!$Q$2</definedName>
    <definedName name="_n2" localSheetId="0">'2-grupy'!$O$3</definedName>
    <definedName name="_n2" localSheetId="1">'4-grupy'!$Q$3</definedName>
    <definedName name="_pl1_2" localSheetId="0">OFFSET('2-grupy'!$Q$2,0,0,'2-grupy'!_n1,1)</definedName>
    <definedName name="_pl1_4" localSheetId="1">OFFSET('4-grupy'!$S$2,0,0,'4-grupy'!_m1,1)</definedName>
    <definedName name="_pl2_2" localSheetId="0">OFFSET('2-grupy'!$Q$2,'2-grupy'!_n1,0,'2-grupy'!_n2,1)</definedName>
    <definedName name="_pl2_4" localSheetId="1">OFFSET('4-grupy'!$S$2,'4-grupy'!_m1,0,'4-grupy'!_m2,1)</definedName>
    <definedName name="_pl3_4" localSheetId="1">OFFSET('4-grupy'!$S$2,'4-grupy'!_m1+'4-grupy'!_m2,0,'4-grupy'!_m3,1)</definedName>
    <definedName name="_pl4_4" localSheetId="1">OFFSET('4-grupy'!$S$2,'4-grupy'!_m1+'4-grupy'!_m2+'4-grupy'!_m3,0,'4-grupy'!_m4,1)</definedName>
    <definedName name="_pw1_2" localSheetId="0">OFFSET('2-grupy'!$R$2,0,0,'2-grupy'!_n1,1)</definedName>
    <definedName name="_pw1_4" localSheetId="1">OFFSET('4-grupy'!$T$2,0,0,'4-grupy'!_m1,1)</definedName>
    <definedName name="_pw2_2" localSheetId="0">OFFSET('2-grupy'!$R$2,'2-grupy'!_n1,0,'2-grupy'!_n2,1)</definedName>
    <definedName name="_pw2_4" localSheetId="1">OFFSET('4-grupy'!$T$2,'4-grupy'!_m1,0,'4-grupy'!_m2,1)</definedName>
    <definedName name="_pw3_4" localSheetId="1">OFFSET('4-grupy'!$T$2,'4-grupy'!_m1+'4-grupy'!_m2,0,'4-grupy'!_m3,1)</definedName>
    <definedName name="_pw4_4" localSheetId="1">OFFSET('4-grupy'!$T$2,'4-grupy'!_m1+'4-grupy'!_m2+'4-grupy'!_m3,0,'4-grupy'!_m4,1)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1" l="1"/>
  <c r="N3" i="1"/>
  <c r="N2" i="1"/>
  <c r="M2" i="1"/>
  <c r="G25" i="3" l="1"/>
  <c r="I46" i="3"/>
  <c r="H102" i="3"/>
  <c r="J66" i="3"/>
  <c r="J54" i="3"/>
  <c r="J97" i="3"/>
  <c r="J88" i="3"/>
  <c r="J112" i="3"/>
  <c r="J39" i="3"/>
  <c r="J59" i="3"/>
  <c r="J63" i="3"/>
  <c r="J103" i="3"/>
  <c r="J111" i="3"/>
  <c r="J144" i="3"/>
  <c r="J116" i="3"/>
  <c r="J78" i="3"/>
  <c r="J14" i="3"/>
  <c r="J149" i="3"/>
  <c r="J145" i="3"/>
  <c r="J133" i="3"/>
  <c r="J125" i="3"/>
  <c r="J114" i="3"/>
  <c r="J98" i="3"/>
  <c r="J38" i="3"/>
  <c r="J2" i="3"/>
  <c r="I2" i="3" l="1"/>
  <c r="I24" i="3"/>
  <c r="I14" i="3"/>
  <c r="I18" i="3"/>
  <c r="H139" i="3"/>
  <c r="H38" i="3"/>
  <c r="H6" i="3"/>
  <c r="H125" i="3"/>
  <c r="H4" i="3"/>
  <c r="I56" i="3"/>
  <c r="I124" i="3"/>
  <c r="I134" i="3"/>
  <c r="I91" i="3"/>
  <c r="I128" i="3"/>
  <c r="G131" i="3"/>
  <c r="G11" i="3"/>
  <c r="G53" i="3"/>
  <c r="G94" i="3"/>
  <c r="G3" i="3"/>
  <c r="H120" i="3"/>
  <c r="H23" i="3"/>
  <c r="H100" i="3"/>
  <c r="H53" i="3"/>
  <c r="H143" i="3"/>
  <c r="H124" i="3"/>
  <c r="H110" i="3"/>
  <c r="H95" i="3"/>
  <c r="H76" i="3"/>
  <c r="H68" i="3"/>
  <c r="H78" i="3"/>
  <c r="H63" i="3"/>
  <c r="H44" i="3"/>
  <c r="H13" i="3"/>
  <c r="H136" i="3"/>
  <c r="H70" i="3"/>
  <c r="H55" i="3"/>
  <c r="H36" i="3"/>
  <c r="H123" i="3"/>
  <c r="H87" i="3"/>
  <c r="H101" i="3"/>
  <c r="H140" i="3"/>
  <c r="H46" i="3"/>
  <c r="H31" i="3"/>
  <c r="H12" i="3"/>
  <c r="H127" i="3"/>
  <c r="H105" i="3"/>
  <c r="H14" i="3"/>
  <c r="H108" i="3"/>
  <c r="G29" i="3"/>
  <c r="G97" i="3"/>
  <c r="G86" i="3"/>
  <c r="J108" i="3"/>
  <c r="J89" i="3"/>
  <c r="I42" i="3"/>
  <c r="I96" i="3"/>
  <c r="J129" i="3"/>
  <c r="I120" i="3"/>
  <c r="J42" i="3"/>
  <c r="J124" i="3"/>
  <c r="J107" i="3"/>
  <c r="J43" i="3"/>
  <c r="J92" i="3"/>
  <c r="J50" i="3"/>
  <c r="J132" i="3"/>
  <c r="J95" i="3"/>
  <c r="J31" i="3"/>
  <c r="J76" i="3"/>
  <c r="J150" i="3"/>
  <c r="J70" i="3"/>
  <c r="J117" i="3"/>
  <c r="J137" i="3"/>
  <c r="I144" i="3"/>
  <c r="I60" i="3"/>
  <c r="J136" i="3"/>
  <c r="J91" i="3"/>
  <c r="J27" i="3"/>
  <c r="J56" i="3"/>
  <c r="J94" i="3"/>
  <c r="J6" i="3"/>
  <c r="I74" i="3"/>
  <c r="J74" i="3"/>
  <c r="J75" i="3"/>
  <c r="J11" i="3"/>
  <c r="J48" i="3"/>
  <c r="I10" i="3"/>
  <c r="I88" i="3"/>
  <c r="J121" i="3"/>
  <c r="J141" i="3"/>
  <c r="J10" i="3"/>
  <c r="J109" i="3"/>
  <c r="J71" i="3"/>
  <c r="J7" i="3"/>
  <c r="J28" i="3"/>
  <c r="I133" i="3"/>
  <c r="I84" i="3"/>
  <c r="J65" i="3"/>
  <c r="I126" i="3"/>
  <c r="J44" i="3"/>
  <c r="J69" i="3"/>
  <c r="I86" i="3"/>
  <c r="J113" i="3"/>
  <c r="J24" i="3"/>
  <c r="J53" i="3"/>
  <c r="I97" i="3"/>
  <c r="J80" i="3"/>
  <c r="J16" i="3"/>
  <c r="J37" i="3"/>
  <c r="J119" i="3"/>
  <c r="J85" i="3"/>
  <c r="J12" i="3"/>
  <c r="J33" i="3"/>
  <c r="J60" i="3"/>
  <c r="J101" i="3"/>
  <c r="J21" i="3"/>
  <c r="G67" i="3"/>
  <c r="G143" i="3"/>
  <c r="G21" i="3"/>
  <c r="G35" i="3"/>
  <c r="G85" i="3"/>
  <c r="G71" i="3"/>
  <c r="G75" i="3"/>
  <c r="G103" i="3"/>
  <c r="J123" i="3"/>
  <c r="J5" i="3"/>
  <c r="J143" i="3"/>
  <c r="I53" i="3"/>
  <c r="I116" i="3"/>
  <c r="I148" i="3"/>
  <c r="I107" i="3"/>
  <c r="I82" i="3"/>
  <c r="I151" i="3"/>
  <c r="I137" i="3"/>
  <c r="I13" i="3"/>
  <c r="I132" i="3"/>
  <c r="I78" i="3"/>
  <c r="I105" i="3"/>
  <c r="I113" i="3"/>
  <c r="I110" i="3"/>
  <c r="I136" i="3"/>
  <c r="I28" i="3"/>
  <c r="I94" i="3"/>
  <c r="I50" i="3"/>
  <c r="I135" i="3"/>
  <c r="I140" i="3"/>
  <c r="I111" i="3"/>
  <c r="G138" i="3"/>
  <c r="G121" i="3"/>
  <c r="G51" i="3"/>
  <c r="G64" i="3"/>
  <c r="G47" i="3"/>
  <c r="J120" i="3"/>
  <c r="J140" i="3"/>
  <c r="J99" i="3"/>
  <c r="J67" i="3"/>
  <c r="J35" i="3"/>
  <c r="J3" i="3"/>
  <c r="J84" i="3"/>
  <c r="J52" i="3"/>
  <c r="J20" i="3"/>
  <c r="J93" i="3"/>
  <c r="J61" i="3"/>
  <c r="J29" i="3"/>
  <c r="J22" i="3"/>
  <c r="J127" i="3"/>
  <c r="G54" i="3"/>
  <c r="J126" i="3"/>
  <c r="J57" i="3"/>
  <c r="J25" i="3"/>
  <c r="J135" i="3"/>
  <c r="J30" i="3"/>
  <c r="J62" i="3"/>
  <c r="J148" i="3"/>
  <c r="J87" i="3"/>
  <c r="J55" i="3"/>
  <c r="J23" i="3"/>
  <c r="J104" i="3"/>
  <c r="J72" i="3"/>
  <c r="J40" i="3"/>
  <c r="J8" i="3"/>
  <c r="J81" i="3"/>
  <c r="J49" i="3"/>
  <c r="J17" i="3"/>
  <c r="J82" i="3"/>
  <c r="J86" i="3"/>
  <c r="J147" i="3"/>
  <c r="J46" i="3"/>
  <c r="J128" i="3"/>
  <c r="J115" i="3"/>
  <c r="J83" i="3"/>
  <c r="J51" i="3"/>
  <c r="J19" i="3"/>
  <c r="J100" i="3"/>
  <c r="J68" i="3"/>
  <c r="J36" i="3"/>
  <c r="J4" i="3"/>
  <c r="J77" i="3"/>
  <c r="J45" i="3"/>
  <c r="J13" i="3"/>
  <c r="J151" i="3"/>
  <c r="J79" i="3"/>
  <c r="J47" i="3"/>
  <c r="J15" i="3"/>
  <c r="J96" i="3"/>
  <c r="J64" i="3"/>
  <c r="J32" i="3"/>
  <c r="J105" i="3"/>
  <c r="J73" i="3"/>
  <c r="J41" i="3"/>
  <c r="J9" i="3"/>
  <c r="G5" i="3"/>
  <c r="G55" i="3"/>
  <c r="G145" i="3"/>
  <c r="G87" i="3"/>
  <c r="G37" i="3"/>
  <c r="G76" i="3"/>
  <c r="G118" i="3"/>
  <c r="G44" i="3"/>
  <c r="G122" i="3"/>
  <c r="G12" i="3"/>
  <c r="G22" i="3"/>
  <c r="G15" i="3"/>
  <c r="H17" i="3"/>
  <c r="H117" i="3"/>
  <c r="H106" i="3"/>
  <c r="H74" i="3"/>
  <c r="H42" i="3"/>
  <c r="H10" i="3"/>
  <c r="H91" i="3"/>
  <c r="H59" i="3"/>
  <c r="H27" i="3"/>
  <c r="H104" i="3"/>
  <c r="H72" i="3"/>
  <c r="H40" i="3"/>
  <c r="H8" i="3"/>
  <c r="H57" i="3"/>
  <c r="H98" i="3"/>
  <c r="H66" i="3"/>
  <c r="H34" i="3"/>
  <c r="H115" i="3"/>
  <c r="H83" i="3"/>
  <c r="H51" i="3"/>
  <c r="H19" i="3"/>
  <c r="H96" i="3"/>
  <c r="H64" i="3"/>
  <c r="H32" i="3"/>
  <c r="H134" i="3"/>
  <c r="H109" i="3"/>
  <c r="H128" i="3"/>
  <c r="H144" i="3"/>
  <c r="H94" i="3"/>
  <c r="H62" i="3"/>
  <c r="H30" i="3"/>
  <c r="H111" i="3"/>
  <c r="H79" i="3"/>
  <c r="H47" i="3"/>
  <c r="H15" i="3"/>
  <c r="H92" i="3"/>
  <c r="H60" i="3"/>
  <c r="H28" i="3"/>
  <c r="H113" i="3"/>
  <c r="H131" i="3"/>
  <c r="H147" i="3"/>
  <c r="H81" i="3"/>
  <c r="H21" i="3"/>
  <c r="H90" i="3"/>
  <c r="H58" i="3"/>
  <c r="H26" i="3"/>
  <c r="H107" i="3"/>
  <c r="H75" i="3"/>
  <c r="H43" i="3"/>
  <c r="H11" i="3"/>
  <c r="H88" i="3"/>
  <c r="H56" i="3"/>
  <c r="H24" i="3"/>
  <c r="H89" i="3"/>
  <c r="H29" i="3"/>
  <c r="H142" i="3"/>
  <c r="H116" i="3"/>
  <c r="H132" i="3"/>
  <c r="H148" i="3"/>
  <c r="H112" i="3"/>
  <c r="H86" i="3"/>
  <c r="H54" i="3"/>
  <c r="H22" i="3"/>
  <c r="H103" i="3"/>
  <c r="H71" i="3"/>
  <c r="H39" i="3"/>
  <c r="H7" i="3"/>
  <c r="H84" i="3"/>
  <c r="H52" i="3"/>
  <c r="H20" i="3"/>
  <c r="H119" i="3"/>
  <c r="H135" i="3"/>
  <c r="H151" i="3"/>
  <c r="H49" i="3"/>
  <c r="H85" i="3"/>
  <c r="H114" i="3"/>
  <c r="H82" i="3"/>
  <c r="H50" i="3"/>
  <c r="H18" i="3"/>
  <c r="H99" i="3"/>
  <c r="H67" i="3"/>
  <c r="H35" i="3"/>
  <c r="H3" i="3"/>
  <c r="H80" i="3"/>
  <c r="H48" i="3"/>
  <c r="H16" i="3"/>
  <c r="H118" i="3"/>
  <c r="G134" i="3"/>
  <c r="G83" i="3"/>
  <c r="G4" i="3"/>
  <c r="G117" i="3"/>
  <c r="G90" i="3"/>
  <c r="G149" i="3"/>
  <c r="G58" i="3"/>
  <c r="G26" i="3"/>
  <c r="G95" i="3"/>
  <c r="G68" i="3"/>
  <c r="I32" i="3"/>
  <c r="I147" i="3"/>
  <c r="J131" i="3"/>
  <c r="I118" i="3"/>
  <c r="J26" i="3"/>
  <c r="J34" i="3"/>
  <c r="I85" i="3"/>
  <c r="J142" i="3"/>
  <c r="I22" i="3"/>
  <c r="I101" i="3"/>
  <c r="I30" i="3"/>
  <c r="I61" i="3"/>
  <c r="J18" i="3"/>
  <c r="I26" i="3"/>
  <c r="J139" i="3"/>
  <c r="I138" i="3"/>
  <c r="J58" i="3"/>
  <c r="I98" i="3"/>
  <c r="I33" i="3"/>
  <c r="I64" i="3"/>
  <c r="I103" i="3"/>
  <c r="J102" i="3"/>
  <c r="I67" i="3"/>
  <c r="I54" i="3"/>
  <c r="I90" i="3"/>
  <c r="I112" i="3"/>
  <c r="I59" i="3"/>
  <c r="I4" i="3"/>
  <c r="I68" i="3"/>
  <c r="I142" i="3"/>
  <c r="I44" i="3"/>
  <c r="I100" i="3"/>
  <c r="I149" i="3"/>
  <c r="I49" i="3"/>
  <c r="I43" i="3"/>
  <c r="J122" i="3"/>
  <c r="I119" i="3"/>
  <c r="I139" i="3"/>
  <c r="I40" i="3"/>
  <c r="I95" i="3"/>
  <c r="I108" i="3"/>
  <c r="I146" i="3"/>
  <c r="I93" i="3"/>
  <c r="I37" i="3"/>
  <c r="J110" i="3"/>
  <c r="I92" i="3"/>
  <c r="I123" i="3"/>
  <c r="I150" i="3"/>
  <c r="I62" i="3"/>
  <c r="I38" i="3"/>
  <c r="I114" i="3"/>
  <c r="I81" i="3"/>
  <c r="I29" i="3"/>
  <c r="J130" i="3"/>
  <c r="I75" i="3"/>
  <c r="I36" i="3"/>
  <c r="I127" i="3"/>
  <c r="I58" i="3"/>
  <c r="I115" i="3"/>
  <c r="I122" i="3"/>
  <c r="I76" i="3"/>
  <c r="I52" i="3"/>
  <c r="I121" i="3"/>
  <c r="I69" i="3"/>
  <c r="I17" i="3"/>
  <c r="I143" i="3"/>
  <c r="I99" i="3"/>
  <c r="I131" i="3"/>
  <c r="I8" i="3"/>
  <c r="I72" i="3"/>
  <c r="I130" i="3"/>
  <c r="I12" i="3"/>
  <c r="I129" i="3"/>
  <c r="I65" i="3"/>
  <c r="G66" i="3"/>
  <c r="G36" i="3"/>
  <c r="G34" i="3"/>
  <c r="G63" i="3"/>
  <c r="G32" i="3"/>
  <c r="H65" i="3"/>
  <c r="H122" i="3"/>
  <c r="H97" i="3"/>
  <c r="H9" i="3"/>
  <c r="H145" i="3"/>
  <c r="H61" i="3"/>
  <c r="H149" i="3"/>
  <c r="H69" i="3"/>
  <c r="G65" i="3"/>
  <c r="G126" i="3"/>
  <c r="G142" i="3"/>
  <c r="G92" i="3"/>
  <c r="G60" i="3"/>
  <c r="G28" i="3"/>
  <c r="G82" i="3"/>
  <c r="G50" i="3"/>
  <c r="G10" i="3"/>
  <c r="G137" i="3"/>
  <c r="G39" i="3"/>
  <c r="G113" i="3"/>
  <c r="G43" i="3"/>
  <c r="G19" i="3"/>
  <c r="G106" i="3"/>
  <c r="G125" i="3"/>
  <c r="G88" i="3"/>
  <c r="G56" i="3"/>
  <c r="G24" i="3"/>
  <c r="G78" i="3"/>
  <c r="G46" i="3"/>
  <c r="K46" i="3" s="1"/>
  <c r="F46" i="3" s="1"/>
  <c r="G6" i="3"/>
  <c r="G105" i="3"/>
  <c r="G119" i="3"/>
  <c r="G146" i="3"/>
  <c r="G33" i="3"/>
  <c r="G79" i="3"/>
  <c r="G130" i="3"/>
  <c r="G150" i="3"/>
  <c r="G69" i="3"/>
  <c r="G108" i="3"/>
  <c r="G84" i="3"/>
  <c r="G52" i="3"/>
  <c r="G20" i="3"/>
  <c r="G74" i="3"/>
  <c r="G42" i="3"/>
  <c r="G107" i="3"/>
  <c r="G7" i="3"/>
  <c r="G89" i="3"/>
  <c r="G123" i="3"/>
  <c r="G115" i="3"/>
  <c r="G110" i="3"/>
  <c r="G93" i="3"/>
  <c r="G80" i="3"/>
  <c r="G48" i="3"/>
  <c r="G16" i="3"/>
  <c r="G70" i="3"/>
  <c r="G38" i="3"/>
  <c r="G23" i="3"/>
  <c r="G57" i="3"/>
  <c r="G101" i="3"/>
  <c r="G139" i="3"/>
  <c r="G61" i="3"/>
  <c r="G99" i="3"/>
  <c r="G133" i="3"/>
  <c r="G112" i="3"/>
  <c r="G72" i="3"/>
  <c r="G40" i="3"/>
  <c r="G8" i="3"/>
  <c r="G62" i="3"/>
  <c r="G30" i="3"/>
  <c r="G140" i="3"/>
  <c r="G18" i="3"/>
  <c r="G41" i="3"/>
  <c r="G116" i="3"/>
  <c r="G14" i="3"/>
  <c r="G81" i="3"/>
  <c r="H137" i="3"/>
  <c r="H133" i="3"/>
  <c r="H93" i="3"/>
  <c r="H126" i="3"/>
  <c r="H141" i="3"/>
  <c r="H33" i="3"/>
  <c r="H130" i="3"/>
  <c r="H150" i="3"/>
  <c r="G141" i="3"/>
  <c r="G148" i="3"/>
  <c r="G102" i="3"/>
  <c r="G17" i="3"/>
  <c r="G120" i="3"/>
  <c r="G104" i="3"/>
  <c r="G31" i="3"/>
  <c r="G91" i="3"/>
  <c r="G73" i="3"/>
  <c r="G129" i="3"/>
  <c r="G49" i="3"/>
  <c r="G135" i="3"/>
  <c r="G96" i="3"/>
  <c r="G114" i="3"/>
  <c r="H45" i="3"/>
  <c r="H138" i="3"/>
  <c r="H121" i="3"/>
  <c r="G124" i="3"/>
  <c r="G109" i="3"/>
  <c r="G132" i="3"/>
  <c r="G136" i="3"/>
  <c r="J106" i="3"/>
  <c r="J146" i="3"/>
  <c r="J134" i="3"/>
  <c r="J90" i="3"/>
  <c r="J138" i="3"/>
  <c r="J118" i="3"/>
  <c r="G144" i="3"/>
  <c r="H41" i="3"/>
  <c r="H146" i="3"/>
  <c r="I106" i="3"/>
  <c r="I6" i="3"/>
  <c r="I117" i="3"/>
  <c r="I89" i="3"/>
  <c r="I57" i="3"/>
  <c r="I21" i="3"/>
  <c r="I15" i="3"/>
  <c r="H5" i="3"/>
  <c r="H37" i="3"/>
  <c r="I20" i="3"/>
  <c r="I141" i="3"/>
  <c r="I77" i="3"/>
  <c r="I45" i="3"/>
  <c r="I5" i="3"/>
  <c r="I47" i="3"/>
  <c r="I70" i="3"/>
  <c r="I125" i="3"/>
  <c r="I145" i="3"/>
  <c r="I73" i="3"/>
  <c r="I41" i="3"/>
  <c r="G13" i="3"/>
  <c r="I16" i="3"/>
  <c r="G45" i="3"/>
  <c r="I31" i="3"/>
  <c r="I71" i="3"/>
  <c r="I39" i="3"/>
  <c r="I9" i="3"/>
  <c r="I63" i="3"/>
  <c r="I27" i="3"/>
  <c r="I104" i="3"/>
  <c r="I87" i="3"/>
  <c r="I55" i="3"/>
  <c r="I11" i="3"/>
  <c r="I102" i="3"/>
  <c r="I83" i="3"/>
  <c r="I51" i="3"/>
  <c r="I7" i="3"/>
  <c r="I25" i="3"/>
  <c r="I79" i="3"/>
  <c r="G98" i="3"/>
  <c r="G111" i="3"/>
  <c r="G100" i="3"/>
  <c r="G147" i="3"/>
  <c r="G9" i="3"/>
  <c r="G128" i="3"/>
  <c r="H129" i="3"/>
  <c r="H25" i="3"/>
  <c r="H77" i="3"/>
  <c r="G127" i="3"/>
  <c r="G151" i="3"/>
  <c r="G59" i="3"/>
  <c r="I66" i="3"/>
  <c r="I80" i="3"/>
  <c r="I35" i="3"/>
  <c r="I3" i="3"/>
  <c r="I34" i="3"/>
  <c r="I109" i="3"/>
  <c r="I23" i="3"/>
  <c r="I48" i="3"/>
  <c r="I19" i="3"/>
  <c r="G27" i="3"/>
  <c r="G77" i="3"/>
  <c r="H73" i="3"/>
  <c r="H2" i="3"/>
  <c r="G2" i="3"/>
  <c r="G58" i="1"/>
  <c r="H31" i="1"/>
  <c r="K14" i="3" l="1"/>
  <c r="F14" i="3" s="1"/>
  <c r="K53" i="3"/>
  <c r="F53" i="3" s="1"/>
  <c r="K97" i="3"/>
  <c r="F97" i="3" s="1"/>
  <c r="K124" i="3"/>
  <c r="F124" i="3" s="1"/>
  <c r="K11" i="3"/>
  <c r="F11" i="3" s="1"/>
  <c r="K87" i="3"/>
  <c r="F87" i="3" s="1"/>
  <c r="K39" i="3"/>
  <c r="F39" i="3" s="1"/>
  <c r="K116" i="3"/>
  <c r="F116" i="3" s="1"/>
  <c r="K76" i="3"/>
  <c r="F76" i="3" s="1"/>
  <c r="K35" i="3"/>
  <c r="F35" i="3" s="1"/>
  <c r="K78" i="3"/>
  <c r="F78" i="3" s="1"/>
  <c r="K101" i="3"/>
  <c r="F101" i="3" s="1"/>
  <c r="K120" i="3"/>
  <c r="F120" i="3" s="1"/>
  <c r="K143" i="3"/>
  <c r="F143" i="3" s="1"/>
  <c r="K60" i="3"/>
  <c r="F60" i="3" s="1"/>
  <c r="K75" i="3"/>
  <c r="F75" i="3" s="1"/>
  <c r="K56" i="3"/>
  <c r="F56" i="3" s="1"/>
  <c r="K84" i="3"/>
  <c r="F84" i="3" s="1"/>
  <c r="K74" i="3"/>
  <c r="F74" i="3" s="1"/>
  <c r="K144" i="3"/>
  <c r="F144" i="3" s="1"/>
  <c r="K123" i="3"/>
  <c r="F123" i="3" s="1"/>
  <c r="K90" i="3"/>
  <c r="F90" i="3" s="1"/>
  <c r="K55" i="3"/>
  <c r="F55" i="3" s="1"/>
  <c r="K94" i="3"/>
  <c r="F94" i="3" s="1"/>
  <c r="K136" i="3"/>
  <c r="F136" i="3" s="1"/>
  <c r="K96" i="3"/>
  <c r="F96" i="3" s="1"/>
  <c r="K12" i="3"/>
  <c r="F12" i="3" s="1"/>
  <c r="K28" i="3"/>
  <c r="F28" i="3" s="1"/>
  <c r="K47" i="3"/>
  <c r="F47" i="3" s="1"/>
  <c r="K50" i="3"/>
  <c r="F50" i="3" s="1"/>
  <c r="K132" i="3"/>
  <c r="F132" i="3" s="1"/>
  <c r="K4" i="3"/>
  <c r="F4" i="3" s="1"/>
  <c r="K86" i="3"/>
  <c r="F86" i="3" s="1"/>
  <c r="K140" i="3"/>
  <c r="F140" i="3" s="1"/>
  <c r="K42" i="3"/>
  <c r="F42" i="3" s="1"/>
  <c r="K24" i="3"/>
  <c r="F24" i="3" s="1"/>
  <c r="K145" i="3"/>
  <c r="F145" i="3" s="1"/>
  <c r="K81" i="3"/>
  <c r="F81" i="3" s="1"/>
  <c r="K58" i="3"/>
  <c r="F58" i="3" s="1"/>
  <c r="K127" i="3"/>
  <c r="F127" i="3" s="1"/>
  <c r="K32" i="3"/>
  <c r="F32" i="3" s="1"/>
  <c r="K17" i="3"/>
  <c r="F17" i="3" s="1"/>
  <c r="K105" i="3"/>
  <c r="F105" i="3" s="1"/>
  <c r="K13" i="3"/>
  <c r="F13" i="3" s="1"/>
  <c r="K51" i="3"/>
  <c r="F51" i="3" s="1"/>
  <c r="K37" i="3"/>
  <c r="F37" i="3" s="1"/>
  <c r="K117" i="3"/>
  <c r="F117" i="3" s="1"/>
  <c r="K98" i="3"/>
  <c r="F98" i="3" s="1"/>
  <c r="K88" i="3"/>
  <c r="F88" i="3" s="1"/>
  <c r="K3" i="3"/>
  <c r="F3" i="3" s="1"/>
  <c r="K15" i="3"/>
  <c r="F15" i="3" s="1"/>
  <c r="K112" i="3"/>
  <c r="F112" i="3" s="1"/>
  <c r="K44" i="3"/>
  <c r="F44" i="3" s="1"/>
  <c r="K21" i="3"/>
  <c r="F21" i="3" s="1"/>
  <c r="K22" i="3"/>
  <c r="F22" i="3" s="1"/>
  <c r="K128" i="3"/>
  <c r="F128" i="3" s="1"/>
  <c r="K7" i="3"/>
  <c r="F7" i="3" s="1"/>
  <c r="K49" i="3"/>
  <c r="F49" i="3" s="1"/>
  <c r="K148" i="3"/>
  <c r="F148" i="3" s="1"/>
  <c r="K68" i="3"/>
  <c r="F68" i="3" s="1"/>
  <c r="K85" i="3"/>
  <c r="F85" i="3" s="1"/>
  <c r="K29" i="3"/>
  <c r="F29" i="3" s="1"/>
  <c r="K64" i="3"/>
  <c r="F64" i="3" s="1"/>
  <c r="K119" i="3"/>
  <c r="F119" i="3" s="1"/>
  <c r="K67" i="3"/>
  <c r="F67" i="3" s="1"/>
  <c r="K103" i="3"/>
  <c r="F103" i="3" s="1"/>
  <c r="K131" i="3"/>
  <c r="F131" i="3" s="1"/>
  <c r="K118" i="3"/>
  <c r="F118" i="3" s="1"/>
  <c r="K30" i="3"/>
  <c r="F30" i="3" s="1"/>
  <c r="K107" i="3"/>
  <c r="F107" i="3" s="1"/>
  <c r="K147" i="3"/>
  <c r="F147" i="3" s="1"/>
  <c r="K83" i="3"/>
  <c r="F83" i="3" s="1"/>
  <c r="K113" i="3"/>
  <c r="F113" i="3" s="1"/>
  <c r="K151" i="3"/>
  <c r="F151" i="3" s="1"/>
  <c r="K91" i="3"/>
  <c r="F91" i="3" s="1"/>
  <c r="K71" i="3"/>
  <c r="F71" i="3" s="1"/>
  <c r="K16" i="3"/>
  <c r="F16" i="3" s="1"/>
  <c r="K18" i="3"/>
  <c r="F18" i="3" s="1"/>
  <c r="K108" i="3"/>
  <c r="F108" i="3" s="1"/>
  <c r="K82" i="3"/>
  <c r="F82" i="3" s="1"/>
  <c r="K149" i="3"/>
  <c r="F149" i="3" s="1"/>
  <c r="K62" i="3"/>
  <c r="F62" i="3" s="1"/>
  <c r="K8" i="3"/>
  <c r="F8" i="3" s="1"/>
  <c r="K110" i="3"/>
  <c r="F110" i="3" s="1"/>
  <c r="K34" i="3"/>
  <c r="F34" i="3" s="1"/>
  <c r="K10" i="3"/>
  <c r="F10" i="3" s="1"/>
  <c r="K36" i="3"/>
  <c r="F36" i="3" s="1"/>
  <c r="K54" i="3"/>
  <c r="F54" i="3" s="1"/>
  <c r="K65" i="3"/>
  <c r="F65" i="3" s="1"/>
  <c r="K135" i="3"/>
  <c r="F135" i="3" s="1"/>
  <c r="K52" i="3"/>
  <c r="F52" i="3" s="1"/>
  <c r="K26" i="3"/>
  <c r="F26" i="3" s="1"/>
  <c r="K59" i="3"/>
  <c r="F59" i="3" s="1"/>
  <c r="K134" i="3"/>
  <c r="F134" i="3" s="1"/>
  <c r="K111" i="3"/>
  <c r="F111" i="3" s="1"/>
  <c r="K95" i="3"/>
  <c r="F95" i="3" s="1"/>
  <c r="K122" i="3"/>
  <c r="F122" i="3" s="1"/>
  <c r="K38" i="3"/>
  <c r="F38" i="3" s="1"/>
  <c r="K100" i="3"/>
  <c r="F100" i="3" s="1"/>
  <c r="K72" i="3"/>
  <c r="F72" i="3" s="1"/>
  <c r="K121" i="3"/>
  <c r="F121" i="3" s="1"/>
  <c r="K139" i="3"/>
  <c r="F139" i="3" s="1"/>
  <c r="K92" i="3"/>
  <c r="F92" i="3" s="1"/>
  <c r="K43" i="3"/>
  <c r="F43" i="3" s="1"/>
  <c r="K142" i="3"/>
  <c r="F142" i="3" s="1"/>
  <c r="K40" i="3"/>
  <c r="F40" i="3" s="1"/>
  <c r="K114" i="3"/>
  <c r="F114" i="3" s="1"/>
  <c r="K115" i="3"/>
  <c r="F115" i="3" s="1"/>
  <c r="K99" i="3"/>
  <c r="F99" i="3" s="1"/>
  <c r="K66" i="3"/>
  <c r="F66" i="3" s="1"/>
  <c r="K130" i="3"/>
  <c r="F130" i="3" s="1"/>
  <c r="K80" i="3"/>
  <c r="F80" i="3" s="1"/>
  <c r="K63" i="3"/>
  <c r="F63" i="3" s="1"/>
  <c r="K79" i="3"/>
  <c r="F79" i="3" s="1"/>
  <c r="K93" i="3"/>
  <c r="F93" i="3" s="1"/>
  <c r="K61" i="3"/>
  <c r="F61" i="3" s="1"/>
  <c r="K19" i="3"/>
  <c r="F19" i="3" s="1"/>
  <c r="K69" i="3"/>
  <c r="F69" i="3" s="1"/>
  <c r="K57" i="3"/>
  <c r="F57" i="3" s="1"/>
  <c r="K126" i="3"/>
  <c r="F126" i="3" s="1"/>
  <c r="K137" i="3"/>
  <c r="F137" i="3" s="1"/>
  <c r="K102" i="3"/>
  <c r="F102" i="3" s="1"/>
  <c r="K20" i="3"/>
  <c r="F20" i="3" s="1"/>
  <c r="K6" i="3"/>
  <c r="F6" i="3" s="1"/>
  <c r="K33" i="3"/>
  <c r="F33" i="3" s="1"/>
  <c r="K23" i="3"/>
  <c r="F23" i="3" s="1"/>
  <c r="K48" i="3"/>
  <c r="F48" i="3" s="1"/>
  <c r="K150" i="3"/>
  <c r="F150" i="3" s="1"/>
  <c r="K133" i="3"/>
  <c r="F133" i="3" s="1"/>
  <c r="K89" i="3"/>
  <c r="F89" i="3" s="1"/>
  <c r="K125" i="3"/>
  <c r="F125" i="3" s="1"/>
  <c r="K70" i="3"/>
  <c r="F70" i="3" s="1"/>
  <c r="K141" i="3"/>
  <c r="F141" i="3" s="1"/>
  <c r="K129" i="3"/>
  <c r="F129" i="3" s="1"/>
  <c r="K138" i="3"/>
  <c r="F138" i="3" s="1"/>
  <c r="K31" i="3"/>
  <c r="F31" i="3" s="1"/>
  <c r="K104" i="3"/>
  <c r="F104" i="3" s="1"/>
  <c r="K109" i="3"/>
  <c r="F109" i="3" s="1"/>
  <c r="K146" i="3"/>
  <c r="F146" i="3" s="1"/>
  <c r="K106" i="3"/>
  <c r="F106" i="3" s="1"/>
  <c r="K73" i="3"/>
  <c r="F73" i="3" s="1"/>
  <c r="K5" i="3"/>
  <c r="F5" i="3" s="1"/>
  <c r="K41" i="3"/>
  <c r="F41" i="3" s="1"/>
  <c r="K9" i="3"/>
  <c r="F9" i="3" s="1"/>
  <c r="K45" i="3"/>
  <c r="F45" i="3" s="1"/>
  <c r="K25" i="3"/>
  <c r="F25" i="3" s="1"/>
  <c r="K27" i="3"/>
  <c r="F27" i="3" s="1"/>
  <c r="K77" i="3"/>
  <c r="F77" i="3" s="1"/>
  <c r="K2" i="3"/>
  <c r="F2" i="3" s="1"/>
  <c r="H23" i="1"/>
  <c r="H39" i="1"/>
  <c r="H113" i="1"/>
  <c r="H129" i="1"/>
  <c r="H63" i="1"/>
  <c r="H118" i="1"/>
  <c r="H137" i="1"/>
  <c r="H59" i="1"/>
  <c r="H4" i="1"/>
  <c r="H36" i="1"/>
  <c r="H7" i="1"/>
  <c r="H75" i="1"/>
  <c r="H44" i="1"/>
  <c r="H13" i="1"/>
  <c r="H89" i="1"/>
  <c r="H108" i="1"/>
  <c r="H21" i="1"/>
  <c r="H97" i="1"/>
  <c r="H58" i="1"/>
  <c r="H5" i="1"/>
  <c r="H33" i="1"/>
  <c r="H79" i="1"/>
  <c r="H139" i="1"/>
  <c r="H86" i="1"/>
  <c r="H43" i="1"/>
  <c r="H134" i="1"/>
  <c r="H15" i="1"/>
  <c r="H47" i="1"/>
  <c r="H103" i="1"/>
  <c r="H26" i="1"/>
  <c r="H6" i="1"/>
  <c r="H17" i="1"/>
  <c r="H57" i="1"/>
  <c r="H111" i="1"/>
  <c r="H28" i="1"/>
  <c r="H2" i="1"/>
  <c r="H19" i="1"/>
  <c r="H41" i="1"/>
  <c r="H73" i="1"/>
  <c r="H105" i="1"/>
  <c r="H151" i="1"/>
  <c r="H40" i="1"/>
  <c r="G138" i="1"/>
  <c r="G90" i="1"/>
  <c r="G74" i="1"/>
  <c r="H9" i="1"/>
  <c r="H25" i="1"/>
  <c r="H49" i="1"/>
  <c r="H81" i="1"/>
  <c r="H123" i="1"/>
  <c r="H12" i="1"/>
  <c r="H60" i="1"/>
  <c r="H11" i="1"/>
  <c r="H27" i="1"/>
  <c r="H55" i="1"/>
  <c r="H87" i="1"/>
  <c r="H127" i="1"/>
  <c r="H18" i="1"/>
  <c r="H70" i="1"/>
  <c r="H132" i="1"/>
  <c r="H107" i="1"/>
  <c r="H135" i="1"/>
  <c r="H10" i="1"/>
  <c r="H38" i="1"/>
  <c r="H76" i="1"/>
  <c r="H150" i="1"/>
  <c r="H84" i="1"/>
  <c r="H65" i="1"/>
  <c r="H91" i="1"/>
  <c r="H119" i="1"/>
  <c r="H143" i="1"/>
  <c r="H20" i="1"/>
  <c r="H48" i="1"/>
  <c r="H92" i="1"/>
  <c r="H71" i="1"/>
  <c r="H95" i="1"/>
  <c r="H121" i="1"/>
  <c r="H145" i="1"/>
  <c r="H22" i="1"/>
  <c r="H56" i="1"/>
  <c r="H100" i="1"/>
  <c r="H68" i="1"/>
  <c r="H116" i="1"/>
  <c r="H3" i="1"/>
  <c r="H29" i="1"/>
  <c r="H45" i="1"/>
  <c r="H61" i="1"/>
  <c r="H77" i="1"/>
  <c r="H93" i="1"/>
  <c r="H109" i="1"/>
  <c r="H125" i="1"/>
  <c r="H141" i="1"/>
  <c r="H8" i="1"/>
  <c r="H24" i="1"/>
  <c r="H42" i="1"/>
  <c r="H64" i="1"/>
  <c r="H88" i="1"/>
  <c r="H124" i="1"/>
  <c r="G128" i="1"/>
  <c r="G38" i="1"/>
  <c r="G122" i="1"/>
  <c r="G14" i="1"/>
  <c r="G112" i="1"/>
  <c r="G93" i="1"/>
  <c r="H35" i="1"/>
  <c r="H51" i="1"/>
  <c r="H67" i="1"/>
  <c r="H83" i="1"/>
  <c r="H99" i="1"/>
  <c r="H115" i="1"/>
  <c r="H131" i="1"/>
  <c r="H147" i="1"/>
  <c r="H14" i="1"/>
  <c r="H30" i="1"/>
  <c r="H52" i="1"/>
  <c r="H72" i="1"/>
  <c r="H102" i="1"/>
  <c r="H140" i="1"/>
  <c r="G106" i="1"/>
  <c r="G53" i="1"/>
  <c r="H37" i="1"/>
  <c r="H53" i="1"/>
  <c r="H69" i="1"/>
  <c r="H85" i="1"/>
  <c r="H101" i="1"/>
  <c r="H117" i="1"/>
  <c r="H133" i="1"/>
  <c r="H149" i="1"/>
  <c r="H16" i="1"/>
  <c r="H32" i="1"/>
  <c r="H54" i="1"/>
  <c r="H74" i="1"/>
  <c r="H104" i="1"/>
  <c r="H148" i="1"/>
  <c r="G96" i="1"/>
  <c r="G144" i="1"/>
  <c r="H120" i="1"/>
  <c r="H136" i="1"/>
  <c r="H90" i="1"/>
  <c r="H106" i="1"/>
  <c r="H122" i="1"/>
  <c r="H138" i="1"/>
  <c r="H46" i="1"/>
  <c r="H62" i="1"/>
  <c r="H78" i="1"/>
  <c r="H94" i="1"/>
  <c r="H110" i="1"/>
  <c r="H126" i="1"/>
  <c r="H142" i="1"/>
  <c r="H80" i="1"/>
  <c r="H96" i="1"/>
  <c r="H112" i="1"/>
  <c r="H128" i="1"/>
  <c r="H144" i="1"/>
  <c r="H34" i="1"/>
  <c r="H50" i="1"/>
  <c r="H66" i="1"/>
  <c r="H82" i="1"/>
  <c r="H98" i="1"/>
  <c r="H114" i="1"/>
  <c r="H130" i="1"/>
  <c r="H146" i="1"/>
  <c r="G80" i="1"/>
  <c r="G64" i="1"/>
  <c r="G48" i="1"/>
  <c r="G22" i="1"/>
  <c r="G131" i="1"/>
  <c r="G140" i="1"/>
  <c r="G124" i="1"/>
  <c r="G108" i="1"/>
  <c r="G92" i="1"/>
  <c r="G76" i="1"/>
  <c r="G60" i="1"/>
  <c r="G44" i="1"/>
  <c r="G18" i="1"/>
  <c r="G113" i="1"/>
  <c r="G120" i="1"/>
  <c r="G88" i="1"/>
  <c r="G72" i="1"/>
  <c r="G56" i="1"/>
  <c r="G85" i="1"/>
  <c r="G150" i="1"/>
  <c r="G134" i="1"/>
  <c r="G118" i="1"/>
  <c r="G102" i="1"/>
  <c r="G86" i="1"/>
  <c r="G70" i="1"/>
  <c r="I70" i="1" s="1"/>
  <c r="F70" i="1" s="1"/>
  <c r="G54" i="1"/>
  <c r="G34" i="1"/>
  <c r="G6" i="1"/>
  <c r="G69" i="1"/>
  <c r="G104" i="1"/>
  <c r="G36" i="1"/>
  <c r="G148" i="1"/>
  <c r="G132" i="1"/>
  <c r="G116" i="1"/>
  <c r="G100" i="1"/>
  <c r="G84" i="1"/>
  <c r="G68" i="1"/>
  <c r="G52" i="1"/>
  <c r="G30" i="1"/>
  <c r="G4" i="1"/>
  <c r="G49" i="1"/>
  <c r="G136" i="1"/>
  <c r="G12" i="1"/>
  <c r="G2" i="1"/>
  <c r="G146" i="1"/>
  <c r="G130" i="1"/>
  <c r="G114" i="1"/>
  <c r="G98" i="1"/>
  <c r="G82" i="1"/>
  <c r="G66" i="1"/>
  <c r="G50" i="1"/>
  <c r="G28" i="1"/>
  <c r="G147" i="1"/>
  <c r="G45" i="1"/>
  <c r="G142" i="1"/>
  <c r="G126" i="1"/>
  <c r="G110" i="1"/>
  <c r="I110" i="1" s="1"/>
  <c r="F110" i="1" s="1"/>
  <c r="G94" i="1"/>
  <c r="G78" i="1"/>
  <c r="G62" i="1"/>
  <c r="G46" i="1"/>
  <c r="G20" i="1"/>
  <c r="G129" i="1"/>
  <c r="G151" i="1"/>
  <c r="G125" i="1"/>
  <c r="G81" i="1"/>
  <c r="G37" i="1"/>
  <c r="G32" i="1"/>
  <c r="G16" i="1"/>
  <c r="G149" i="1"/>
  <c r="I149" i="1" s="1"/>
  <c r="F149" i="1" s="1"/>
  <c r="G117" i="1"/>
  <c r="G77" i="1"/>
  <c r="G33" i="1"/>
  <c r="G21" i="1"/>
  <c r="G145" i="1"/>
  <c r="G109" i="1"/>
  <c r="G65" i="1"/>
  <c r="G17" i="1"/>
  <c r="G42" i="1"/>
  <c r="G26" i="1"/>
  <c r="G10" i="1"/>
  <c r="G141" i="1"/>
  <c r="I141" i="1" s="1"/>
  <c r="F141" i="1" s="1"/>
  <c r="G101" i="1"/>
  <c r="G61" i="1"/>
  <c r="G3" i="1"/>
  <c r="G40" i="1"/>
  <c r="G24" i="1"/>
  <c r="G8" i="1"/>
  <c r="G133" i="1"/>
  <c r="G97" i="1"/>
  <c r="G115" i="1"/>
  <c r="G99" i="1"/>
  <c r="G83" i="1"/>
  <c r="G67" i="1"/>
  <c r="G51" i="1"/>
  <c r="G35" i="1"/>
  <c r="G19" i="1"/>
  <c r="G143" i="1"/>
  <c r="G127" i="1"/>
  <c r="G111" i="1"/>
  <c r="G95" i="1"/>
  <c r="G79" i="1"/>
  <c r="G63" i="1"/>
  <c r="G47" i="1"/>
  <c r="G31" i="1"/>
  <c r="I31" i="1" s="1"/>
  <c r="F31" i="1" s="1"/>
  <c r="G15" i="1"/>
  <c r="G29" i="1"/>
  <c r="I29" i="1" s="1"/>
  <c r="F29" i="1" s="1"/>
  <c r="G13" i="1"/>
  <c r="I13" i="1" s="1"/>
  <c r="F13" i="1" s="1"/>
  <c r="G139" i="1"/>
  <c r="G123" i="1"/>
  <c r="G107" i="1"/>
  <c r="G91" i="1"/>
  <c r="G75" i="1"/>
  <c r="G59" i="1"/>
  <c r="G43" i="1"/>
  <c r="G27" i="1"/>
  <c r="I27" i="1" s="1"/>
  <c r="F27" i="1" s="1"/>
  <c r="G11" i="1"/>
  <c r="G137" i="1"/>
  <c r="G121" i="1"/>
  <c r="G105" i="1"/>
  <c r="G89" i="1"/>
  <c r="G73" i="1"/>
  <c r="G57" i="1"/>
  <c r="G41" i="1"/>
  <c r="G25" i="1"/>
  <c r="G9" i="1"/>
  <c r="G135" i="1"/>
  <c r="G119" i="1"/>
  <c r="G103" i="1"/>
  <c r="G87" i="1"/>
  <c r="G71" i="1"/>
  <c r="G55" i="1"/>
  <c r="G39" i="1"/>
  <c r="G23" i="1"/>
  <c r="G7" i="1"/>
  <c r="G5" i="1"/>
  <c r="I58" i="1"/>
  <c r="F58" i="1" s="1"/>
  <c r="I25" i="1" l="1"/>
  <c r="F25" i="1" s="1"/>
  <c r="I101" i="1"/>
  <c r="F101" i="1" s="1"/>
  <c r="I125" i="1"/>
  <c r="F125" i="1" s="1"/>
  <c r="I20" i="1"/>
  <c r="F20" i="1" s="1"/>
  <c r="I120" i="1"/>
  <c r="F120" i="1" s="1"/>
  <c r="I41" i="1"/>
  <c r="F41" i="1" s="1"/>
  <c r="I46" i="1"/>
  <c r="F46" i="1" s="1"/>
  <c r="I17" i="1"/>
  <c r="F17" i="1" s="1"/>
  <c r="I39" i="1"/>
  <c r="F39" i="1" s="1"/>
  <c r="Q3" i="3"/>
  <c r="Q5" i="3"/>
  <c r="Q4" i="3"/>
  <c r="Q2" i="3"/>
  <c r="I139" i="1"/>
  <c r="F139" i="1" s="1"/>
  <c r="I131" i="1"/>
  <c r="F131" i="1" s="1"/>
  <c r="I96" i="1"/>
  <c r="F96" i="1" s="1"/>
  <c r="I95" i="1"/>
  <c r="F95" i="1" s="1"/>
  <c r="I2" i="1"/>
  <c r="F2" i="1" s="1"/>
  <c r="I75" i="1"/>
  <c r="F75" i="1" s="1"/>
  <c r="I5" i="1"/>
  <c r="F5" i="1" s="1"/>
  <c r="I47" i="1"/>
  <c r="F47" i="1" s="1"/>
  <c r="I129" i="1"/>
  <c r="F129" i="1" s="1"/>
  <c r="I23" i="1"/>
  <c r="F23" i="1" s="1"/>
  <c r="I57" i="1"/>
  <c r="F57" i="1" s="1"/>
  <c r="I43" i="1"/>
  <c r="F43" i="1" s="1"/>
  <c r="I127" i="1"/>
  <c r="F127" i="1" s="1"/>
  <c r="I4" i="1"/>
  <c r="F4" i="1" s="1"/>
  <c r="I134" i="1"/>
  <c r="F134" i="1" s="1"/>
  <c r="I36" i="1"/>
  <c r="F36" i="1" s="1"/>
  <c r="I113" i="1"/>
  <c r="F113" i="1" s="1"/>
  <c r="I111" i="1"/>
  <c r="F111" i="1" s="1"/>
  <c r="I28" i="1"/>
  <c r="F28" i="1" s="1"/>
  <c r="I97" i="1"/>
  <c r="F97" i="1" s="1"/>
  <c r="I21" i="1"/>
  <c r="F21" i="1" s="1"/>
  <c r="I87" i="1"/>
  <c r="F87" i="1" s="1"/>
  <c r="I59" i="1"/>
  <c r="F59" i="1" s="1"/>
  <c r="I86" i="1"/>
  <c r="F86" i="1" s="1"/>
  <c r="I108" i="1"/>
  <c r="F108" i="1" s="1"/>
  <c r="I105" i="1"/>
  <c r="F105" i="1" s="1"/>
  <c r="I63" i="1"/>
  <c r="F63" i="1" s="1"/>
  <c r="I6" i="1"/>
  <c r="F6" i="1" s="1"/>
  <c r="I137" i="1"/>
  <c r="F137" i="1" s="1"/>
  <c r="I118" i="1"/>
  <c r="F118" i="1" s="1"/>
  <c r="I55" i="1"/>
  <c r="F55" i="1" s="1"/>
  <c r="I73" i="1"/>
  <c r="F73" i="1" s="1"/>
  <c r="I143" i="1"/>
  <c r="F143" i="1" s="1"/>
  <c r="I61" i="1"/>
  <c r="F61" i="1" s="1"/>
  <c r="I133" i="1"/>
  <c r="F133" i="1" s="1"/>
  <c r="I10" i="1"/>
  <c r="F10" i="1" s="1"/>
  <c r="I89" i="1"/>
  <c r="F89" i="1" s="1"/>
  <c r="I42" i="1"/>
  <c r="F42" i="1" s="1"/>
  <c r="I15" i="1"/>
  <c r="F15" i="1" s="1"/>
  <c r="I7" i="1"/>
  <c r="F7" i="1" s="1"/>
  <c r="I44" i="1"/>
  <c r="F44" i="1" s="1"/>
  <c r="I22" i="1"/>
  <c r="F22" i="1" s="1"/>
  <c r="I122" i="1"/>
  <c r="F122" i="1" s="1"/>
  <c r="I56" i="1"/>
  <c r="F56" i="1" s="1"/>
  <c r="I38" i="1"/>
  <c r="F38" i="1" s="1"/>
  <c r="I145" i="1"/>
  <c r="F145" i="1" s="1"/>
  <c r="I103" i="1"/>
  <c r="F103" i="1" s="1"/>
  <c r="I19" i="1"/>
  <c r="F19" i="1" s="1"/>
  <c r="I33" i="1"/>
  <c r="F33" i="1" s="1"/>
  <c r="I115" i="1"/>
  <c r="F115" i="1" s="1"/>
  <c r="I119" i="1"/>
  <c r="F119" i="1" s="1"/>
  <c r="I91" i="1"/>
  <c r="F91" i="1" s="1"/>
  <c r="I26" i="1"/>
  <c r="F26" i="1" s="1"/>
  <c r="I135" i="1"/>
  <c r="F135" i="1" s="1"/>
  <c r="I121" i="1"/>
  <c r="F121" i="1" s="1"/>
  <c r="I107" i="1"/>
  <c r="F107" i="1" s="1"/>
  <c r="I24" i="1"/>
  <c r="F24" i="1" s="1"/>
  <c r="I117" i="1"/>
  <c r="F117" i="1" s="1"/>
  <c r="I102" i="1"/>
  <c r="F102" i="1" s="1"/>
  <c r="I9" i="1"/>
  <c r="F9" i="1" s="1"/>
  <c r="I79" i="1"/>
  <c r="F79" i="1" s="1"/>
  <c r="I45" i="1"/>
  <c r="F45" i="1" s="1"/>
  <c r="I11" i="1"/>
  <c r="F11" i="1" s="1"/>
  <c r="I49" i="1"/>
  <c r="F49" i="1" s="1"/>
  <c r="I132" i="1"/>
  <c r="F132" i="1" s="1"/>
  <c r="I90" i="1"/>
  <c r="F90" i="1" s="1"/>
  <c r="I82" i="1"/>
  <c r="F82" i="1" s="1"/>
  <c r="I80" i="1"/>
  <c r="F80" i="1" s="1"/>
  <c r="I84" i="1"/>
  <c r="F84" i="1" s="1"/>
  <c r="I138" i="1"/>
  <c r="F138" i="1" s="1"/>
  <c r="I148" i="1"/>
  <c r="F148" i="1" s="1"/>
  <c r="I14" i="1"/>
  <c r="F14" i="1" s="1"/>
  <c r="I106" i="1"/>
  <c r="F106" i="1" s="1"/>
  <c r="I65" i="1"/>
  <c r="F65" i="1" s="1"/>
  <c r="I60" i="1"/>
  <c r="F60" i="1" s="1"/>
  <c r="I48" i="1"/>
  <c r="F48" i="1" s="1"/>
  <c r="I81" i="1"/>
  <c r="F81" i="1" s="1"/>
  <c r="I123" i="1"/>
  <c r="F123" i="1" s="1"/>
  <c r="I40" i="1"/>
  <c r="F40" i="1" s="1"/>
  <c r="I18" i="1"/>
  <c r="F18" i="1" s="1"/>
  <c r="I12" i="1"/>
  <c r="F12" i="1" s="1"/>
  <c r="I71" i="1"/>
  <c r="F71" i="1" s="1"/>
  <c r="I8" i="1"/>
  <c r="F8" i="1" s="1"/>
  <c r="I151" i="1"/>
  <c r="F151" i="1" s="1"/>
  <c r="I99" i="1"/>
  <c r="F99" i="1" s="1"/>
  <c r="I116" i="1"/>
  <c r="F116" i="1" s="1"/>
  <c r="I54" i="1"/>
  <c r="F54" i="1" s="1"/>
  <c r="I74" i="1"/>
  <c r="F74" i="1" s="1"/>
  <c r="I146" i="1"/>
  <c r="F146" i="1" s="1"/>
  <c r="I32" i="1"/>
  <c r="F32" i="1" s="1"/>
  <c r="I150" i="1"/>
  <c r="F150" i="1" s="1"/>
  <c r="I104" i="1"/>
  <c r="F104" i="1" s="1"/>
  <c r="I76" i="1"/>
  <c r="F76" i="1" s="1"/>
  <c r="I92" i="1"/>
  <c r="F92" i="1" s="1"/>
  <c r="I88" i="1"/>
  <c r="F88" i="1" s="1"/>
  <c r="I144" i="1"/>
  <c r="F144" i="1" s="1"/>
  <c r="I53" i="1"/>
  <c r="F53" i="1" s="1"/>
  <c r="I51" i="1"/>
  <c r="F51" i="1" s="1"/>
  <c r="I68" i="1"/>
  <c r="F68" i="1" s="1"/>
  <c r="I30" i="1"/>
  <c r="F30" i="1" s="1"/>
  <c r="I109" i="1"/>
  <c r="F109" i="1" s="1"/>
  <c r="I100" i="1"/>
  <c r="F100" i="1" s="1"/>
  <c r="I35" i="1"/>
  <c r="F35" i="1" s="1"/>
  <c r="I94" i="1"/>
  <c r="F94" i="1" s="1"/>
  <c r="I136" i="1"/>
  <c r="F136" i="1" s="1"/>
  <c r="I93" i="1"/>
  <c r="F93" i="1" s="1"/>
  <c r="I77" i="1"/>
  <c r="F77" i="1" s="1"/>
  <c r="I128" i="1"/>
  <c r="F128" i="1" s="1"/>
  <c r="I3" i="1"/>
  <c r="F3" i="1" s="1"/>
  <c r="I16" i="1"/>
  <c r="F16" i="1" s="1"/>
  <c r="I147" i="1"/>
  <c r="F147" i="1" s="1"/>
  <c r="I37" i="1"/>
  <c r="F37" i="1" s="1"/>
  <c r="I78" i="1"/>
  <c r="F78" i="1" s="1"/>
  <c r="I64" i="1"/>
  <c r="F64" i="1" s="1"/>
  <c r="I126" i="1"/>
  <c r="F126" i="1" s="1"/>
  <c r="I130" i="1"/>
  <c r="F130" i="1" s="1"/>
  <c r="I34" i="1"/>
  <c r="F34" i="1" s="1"/>
  <c r="I72" i="1"/>
  <c r="F72" i="1" s="1"/>
  <c r="I67" i="1"/>
  <c r="F67" i="1" s="1"/>
  <c r="I52" i="1"/>
  <c r="F52" i="1" s="1"/>
  <c r="I112" i="1"/>
  <c r="F112" i="1" s="1"/>
  <c r="I69" i="1"/>
  <c r="F69" i="1" s="1"/>
  <c r="I124" i="1"/>
  <c r="F124" i="1" s="1"/>
  <c r="I140" i="1"/>
  <c r="F140" i="1" s="1"/>
  <c r="I83" i="1"/>
  <c r="F83" i="1" s="1"/>
  <c r="I50" i="1"/>
  <c r="F50" i="1" s="1"/>
  <c r="I85" i="1"/>
  <c r="F85" i="1" s="1"/>
  <c r="I62" i="1"/>
  <c r="F62" i="1" s="1"/>
  <c r="I98" i="1"/>
  <c r="F98" i="1" s="1"/>
  <c r="I66" i="1"/>
  <c r="F66" i="1" s="1"/>
  <c r="I142" i="1"/>
  <c r="F142" i="1" s="1"/>
  <c r="I114" i="1"/>
  <c r="F114" i="1" s="1"/>
  <c r="N10" i="3" l="1"/>
  <c r="N11" i="3"/>
  <c r="O11" i="3"/>
  <c r="O10" i="3"/>
  <c r="N9" i="3"/>
  <c r="O9" i="3"/>
  <c r="N8" i="3"/>
  <c r="O8" i="3"/>
  <c r="O3" i="1"/>
  <c r="O2" i="1"/>
  <c r="L6" i="1" s="1"/>
  <c r="L7" i="1" l="1"/>
  <c r="M7" i="1"/>
  <c r="M6" i="1"/>
</calcChain>
</file>

<file path=xl/sharedStrings.xml><?xml version="1.0" encoding="utf-8"?>
<sst xmlns="http://schemas.openxmlformats.org/spreadsheetml/2006/main" count="345" uniqueCount="24">
  <si>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</si>
  <si>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</si>
  <si>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</si>
  <si>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</si>
  <si>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</si>
  <si>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</si>
  <si>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</si>
  <si>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</si>
  <si>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Grupa</t>
  </si>
  <si>
    <t>Odl1</t>
  </si>
  <si>
    <t>Odl2</t>
  </si>
  <si>
    <t>Odl3</t>
  </si>
  <si>
    <t>Min odl</t>
  </si>
  <si>
    <t>Nr</t>
  </si>
  <si>
    <t>Element</t>
  </si>
  <si>
    <t>PL</t>
  </si>
  <si>
    <t>PW</t>
  </si>
  <si>
    <t>Liczba</t>
  </si>
  <si>
    <t>Odl4</t>
  </si>
  <si>
    <t>4. "Przekopiowujemy" pogrupowanie</t>
  </si>
  <si>
    <t>5. Powtarzamy, aż do zadowalającego wyniku</t>
  </si>
  <si>
    <t>1. Losujemy punkty skupień</t>
  </si>
  <si>
    <t>2. Zliczamy elementy najbliższe każdemu z nich</t>
  </si>
  <si>
    <r>
      <t xml:space="preserve">3. Liczymy </t>
    </r>
    <r>
      <rPr>
        <b/>
        <i/>
        <sz val="11"/>
        <color rgb="FF7F7F7F"/>
        <rFont val="Calibri"/>
        <family val="2"/>
        <charset val="238"/>
        <scheme val="minor"/>
      </rPr>
      <t>średnie</t>
    </r>
    <r>
      <rPr>
        <i/>
        <sz val="11"/>
        <color rgb="FF7F7F7F"/>
        <rFont val="Calibri"/>
        <family val="2"/>
        <charset val="238"/>
        <scheme val="minor"/>
      </rPr>
      <t xml:space="preserve"> (współrzędne) z otrzymanych grup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</si>
</sst>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i/>
      <sz val="11"/>
      <color rgb="FF7F7F7F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10" fillId="6" borderId="5" xfId="10" applyAlignment="1">
      <alignment horizontal="center"/>
    </xf>
    <xf numFmtId="0" fontId="11" fillId="6" borderId="4" xfId="11" applyAlignment="1">
      <alignment horizontal="center"/>
    </xf>
    <xf numFmtId="0" fontId="15" fillId="6" borderId="5" xfId="16" applyFill="1" applyBorder="1" applyAlignment="1">
      <alignment horizontal="center"/>
    </xf>
    <xf numFmtId="0" fontId="10" fillId="6" borderId="11" xfId="10" applyBorder="1" applyAlignment="1">
      <alignment horizontal="center"/>
    </xf>
    <xf numFmtId="0" fontId="10" fillId="6" borderId="12" xfId="10" applyBorder="1" applyAlignment="1">
      <alignment horizontal="center"/>
    </xf>
    <xf numFmtId="0" fontId="10" fillId="6" borderId="13" xfId="10" applyBorder="1" applyAlignment="1">
      <alignment horizontal="center"/>
    </xf>
    <xf numFmtId="0" fontId="10" fillId="6" borderId="14" xfId="10" applyBorder="1" applyAlignment="1">
      <alignment horizontal="center"/>
    </xf>
    <xf numFmtId="0" fontId="10" fillId="6" borderId="15" xfId="10" applyBorder="1" applyAlignment="1">
      <alignment horizontal="center"/>
    </xf>
    <xf numFmtId="0" fontId="10" fillId="6" borderId="16" xfId="10" applyBorder="1" applyAlignment="1">
      <alignment horizontal="center"/>
    </xf>
    <xf numFmtId="0" fontId="10" fillId="6" borderId="17" xfId="10" applyBorder="1" applyAlignment="1">
      <alignment horizontal="center"/>
    </xf>
    <xf numFmtId="0" fontId="10" fillId="6" borderId="18" xfId="10" applyBorder="1" applyAlignment="1">
      <alignment horizontal="center"/>
    </xf>
    <xf numFmtId="0" fontId="10" fillId="6" borderId="19" xfId="10" applyBorder="1" applyAlignment="1">
      <alignment horizontal="center"/>
    </xf>
    <xf numFmtId="0" fontId="10" fillId="6" borderId="20" xfId="10" applyBorder="1" applyAlignment="1">
      <alignment horizontal="center"/>
    </xf>
    <xf numFmtId="0" fontId="10" fillId="6" borderId="5" xfId="10" applyBorder="1" applyAlignment="1">
      <alignment horizontal="center"/>
    </xf>
    <xf numFmtId="0" fontId="10" fillId="6" borderId="21" xfId="10" applyBorder="1" applyAlignment="1">
      <alignment horizontal="center"/>
    </xf>
    <xf numFmtId="0" fontId="10" fillId="6" borderId="22" xfId="10" applyBorder="1" applyAlignment="1">
      <alignment horizontal="center"/>
    </xf>
    <xf numFmtId="0" fontId="10" fillId="6" borderId="23" xfId="10" applyBorder="1" applyAlignment="1">
      <alignment horizontal="center"/>
    </xf>
    <xf numFmtId="0" fontId="10" fillId="6" borderId="24" xfId="10" applyBorder="1" applyAlignment="1">
      <alignment horizontal="center"/>
    </xf>
    <xf numFmtId="0" fontId="10" fillId="6" borderId="36" xfId="10" applyBorder="1" applyAlignment="1">
      <alignment horizontal="center"/>
    </xf>
    <xf numFmtId="0" fontId="10" fillId="6" borderId="37" xfId="10" applyBorder="1" applyAlignment="1">
      <alignment horizontal="center"/>
    </xf>
    <xf numFmtId="0" fontId="10" fillId="6" borderId="38" xfId="10" applyBorder="1" applyAlignment="1">
      <alignment horizontal="center"/>
    </xf>
    <xf numFmtId="0" fontId="10" fillId="6" borderId="39" xfId="10" applyBorder="1" applyAlignment="1">
      <alignment horizontal="center"/>
    </xf>
    <xf numFmtId="0" fontId="10" fillId="6" borderId="40" xfId="10" applyBorder="1" applyAlignment="1">
      <alignment horizontal="center"/>
    </xf>
    <xf numFmtId="0" fontId="10" fillId="6" borderId="41" xfId="10" applyBorder="1" applyAlignment="1">
      <alignment horizontal="center"/>
    </xf>
    <xf numFmtId="0" fontId="10" fillId="6" borderId="42" xfId="10" applyBorder="1" applyAlignment="1">
      <alignment horizontal="center"/>
    </xf>
    <xf numFmtId="0" fontId="10" fillId="6" borderId="43" xfId="10" applyBorder="1" applyAlignment="1">
      <alignment horizontal="center"/>
    </xf>
    <xf numFmtId="0" fontId="10" fillId="6" borderId="44" xfId="10" applyBorder="1" applyAlignment="1">
      <alignment horizontal="center"/>
    </xf>
    <xf numFmtId="0" fontId="10" fillId="6" borderId="45" xfId="10" applyBorder="1" applyAlignment="1">
      <alignment horizontal="center"/>
    </xf>
    <xf numFmtId="0" fontId="10" fillId="6" borderId="10" xfId="10" applyBorder="1" applyAlignment="1">
      <alignment horizontal="center"/>
    </xf>
    <xf numFmtId="0" fontId="10" fillId="6" borderId="46" xfId="10" applyBorder="1" applyAlignment="1">
      <alignment horizontal="center"/>
    </xf>
    <xf numFmtId="0" fontId="9" fillId="5" borderId="28" xfId="9" applyBorder="1" applyAlignment="1">
      <alignment horizontal="center"/>
    </xf>
    <xf numFmtId="0" fontId="9" fillId="5" borderId="29" xfId="9" applyBorder="1" applyAlignment="1">
      <alignment horizontal="center"/>
    </xf>
    <xf numFmtId="0" fontId="9" fillId="5" borderId="10" xfId="9" applyBorder="1" applyAlignment="1">
      <alignment horizontal="center"/>
    </xf>
    <xf numFmtId="0" fontId="9" fillId="5" borderId="27" xfId="9" applyBorder="1" applyAlignment="1">
      <alignment horizontal="center"/>
    </xf>
    <xf numFmtId="0" fontId="9" fillId="5" borderId="30" xfId="9" applyBorder="1" applyAlignment="1">
      <alignment horizontal="center"/>
    </xf>
    <xf numFmtId="0" fontId="9" fillId="5" borderId="33" xfId="9" applyBorder="1" applyAlignment="1">
      <alignment horizontal="center"/>
    </xf>
    <xf numFmtId="0" fontId="9" fillId="5" borderId="25" xfId="9" applyBorder="1" applyAlignment="1">
      <alignment horizontal="center"/>
    </xf>
    <xf numFmtId="0" fontId="9" fillId="5" borderId="31" xfId="9" applyBorder="1" applyAlignment="1">
      <alignment horizontal="center"/>
    </xf>
    <xf numFmtId="0" fontId="9" fillId="5" borderId="34" xfId="9" applyBorder="1" applyAlignment="1">
      <alignment horizontal="center"/>
    </xf>
    <xf numFmtId="0" fontId="9" fillId="5" borderId="26" xfId="9" applyBorder="1" applyAlignment="1">
      <alignment horizontal="center"/>
    </xf>
    <xf numFmtId="0" fontId="9" fillId="5" borderId="32" xfId="9" applyBorder="1" applyAlignment="1">
      <alignment horizontal="center"/>
    </xf>
    <xf numFmtId="0" fontId="9" fillId="5" borderId="35" xfId="9" applyBorder="1" applyAlignment="1">
      <alignment horizontal="center"/>
    </xf>
    <xf numFmtId="0" fontId="0" fillId="0" borderId="0" xfId="0" applyAlignment="1">
      <alignment horizontal="left"/>
    </xf>
    <xf numFmtId="0" fontId="15" fillId="0" borderId="0" xfId="16" applyAlignment="1">
      <alignment horizontal="left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Grupowanie</a:t>
            </a:r>
            <a:r>
              <a:rPr lang="pl-PL" baseline="0"/>
              <a:t> metodą k-średnich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'2-grupy'!$D$1</c:f>
              <c:strCache>
                <c:ptCount val="1"/>
                <c:pt idx="0">
                  <c:v>Petal.Width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'2-grupy'!_pl1_2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'2-grupy'!_pw1_2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FF-4AD6-A3B1-4CABB2F879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'2-grupy'!_pl2_2</c:f>
              <c:numCache>
                <c:formatCode>General</c:formatCode>
                <c:ptCount val="100"/>
                <c:pt idx="0">
                  <c:v>3</c:v>
                </c:pt>
                <c:pt idx="1">
                  <c:v>4.7</c:v>
                </c:pt>
                <c:pt idx="2">
                  <c:v>4.5</c:v>
                </c:pt>
                <c:pt idx="3">
                  <c:v>4.9000000000000004</c:v>
                </c:pt>
                <c:pt idx="4">
                  <c:v>4</c:v>
                </c:pt>
                <c:pt idx="5">
                  <c:v>4.5999999999999996</c:v>
                </c:pt>
                <c:pt idx="6">
                  <c:v>4.5</c:v>
                </c:pt>
                <c:pt idx="7">
                  <c:v>4.7</c:v>
                </c:pt>
                <c:pt idx="8">
                  <c:v>3.3</c:v>
                </c:pt>
                <c:pt idx="9">
                  <c:v>4.5999999999999996</c:v>
                </c:pt>
                <c:pt idx="10">
                  <c:v>3.9</c:v>
                </c:pt>
                <c:pt idx="11">
                  <c:v>3.5</c:v>
                </c:pt>
                <c:pt idx="12">
                  <c:v>4.2</c:v>
                </c:pt>
                <c:pt idx="13">
                  <c:v>4</c:v>
                </c:pt>
                <c:pt idx="14">
                  <c:v>4.7</c:v>
                </c:pt>
                <c:pt idx="15">
                  <c:v>3.6</c:v>
                </c:pt>
                <c:pt idx="16">
                  <c:v>4.4000000000000004</c:v>
                </c:pt>
                <c:pt idx="17">
                  <c:v>4.5</c:v>
                </c:pt>
                <c:pt idx="18">
                  <c:v>4.0999999999999996</c:v>
                </c:pt>
                <c:pt idx="19">
                  <c:v>4.5</c:v>
                </c:pt>
                <c:pt idx="20">
                  <c:v>3.9</c:v>
                </c:pt>
                <c:pt idx="21">
                  <c:v>4.8</c:v>
                </c:pt>
                <c:pt idx="22">
                  <c:v>4</c:v>
                </c:pt>
                <c:pt idx="23">
                  <c:v>4.9000000000000004</c:v>
                </c:pt>
                <c:pt idx="24">
                  <c:v>4.7</c:v>
                </c:pt>
                <c:pt idx="25">
                  <c:v>4.3</c:v>
                </c:pt>
                <c:pt idx="26">
                  <c:v>4.4000000000000004</c:v>
                </c:pt>
                <c:pt idx="27">
                  <c:v>4.8</c:v>
                </c:pt>
                <c:pt idx="28">
                  <c:v>5</c:v>
                </c:pt>
                <c:pt idx="29">
                  <c:v>4.5</c:v>
                </c:pt>
                <c:pt idx="30">
                  <c:v>3.5</c:v>
                </c:pt>
                <c:pt idx="31">
                  <c:v>3.8</c:v>
                </c:pt>
                <c:pt idx="32">
                  <c:v>3.7</c:v>
                </c:pt>
                <c:pt idx="33">
                  <c:v>3.9</c:v>
                </c:pt>
                <c:pt idx="34">
                  <c:v>5.0999999999999996</c:v>
                </c:pt>
                <c:pt idx="35">
                  <c:v>4.5</c:v>
                </c:pt>
                <c:pt idx="36">
                  <c:v>4.5</c:v>
                </c:pt>
                <c:pt idx="37">
                  <c:v>4.7</c:v>
                </c:pt>
                <c:pt idx="38">
                  <c:v>4.4000000000000004</c:v>
                </c:pt>
                <c:pt idx="39">
                  <c:v>4.0999999999999996</c:v>
                </c:pt>
                <c:pt idx="40">
                  <c:v>4</c:v>
                </c:pt>
                <c:pt idx="41">
                  <c:v>4.4000000000000004</c:v>
                </c:pt>
                <c:pt idx="42">
                  <c:v>4.5999999999999996</c:v>
                </c:pt>
                <c:pt idx="43">
                  <c:v>4</c:v>
                </c:pt>
                <c:pt idx="44">
                  <c:v>3.3</c:v>
                </c:pt>
                <c:pt idx="45">
                  <c:v>4.2</c:v>
                </c:pt>
                <c:pt idx="46">
                  <c:v>4.2</c:v>
                </c:pt>
                <c:pt idx="47">
                  <c:v>4.2</c:v>
                </c:pt>
                <c:pt idx="48">
                  <c:v>4.3</c:v>
                </c:pt>
                <c:pt idx="49">
                  <c:v>4.0999999999999996</c:v>
                </c:pt>
                <c:pt idx="50">
                  <c:v>6</c:v>
                </c:pt>
                <c:pt idx="51">
                  <c:v>5.0999999999999996</c:v>
                </c:pt>
                <c:pt idx="52">
                  <c:v>5.9</c:v>
                </c:pt>
                <c:pt idx="53">
                  <c:v>5.6</c:v>
                </c:pt>
                <c:pt idx="54">
                  <c:v>5.8</c:v>
                </c:pt>
                <c:pt idx="55">
                  <c:v>6.6</c:v>
                </c:pt>
                <c:pt idx="56">
                  <c:v>4.5</c:v>
                </c:pt>
                <c:pt idx="57">
                  <c:v>6.3</c:v>
                </c:pt>
                <c:pt idx="58">
                  <c:v>5.8</c:v>
                </c:pt>
                <c:pt idx="59">
                  <c:v>6.1</c:v>
                </c:pt>
                <c:pt idx="60">
                  <c:v>5.0999999999999996</c:v>
                </c:pt>
                <c:pt idx="61">
                  <c:v>5.3</c:v>
                </c:pt>
                <c:pt idx="62">
                  <c:v>5.5</c:v>
                </c:pt>
                <c:pt idx="63">
                  <c:v>5</c:v>
                </c:pt>
                <c:pt idx="64">
                  <c:v>5.0999999999999996</c:v>
                </c:pt>
                <c:pt idx="65">
                  <c:v>5.3</c:v>
                </c:pt>
                <c:pt idx="66">
                  <c:v>5.5</c:v>
                </c:pt>
                <c:pt idx="67">
                  <c:v>6.7</c:v>
                </c:pt>
                <c:pt idx="68">
                  <c:v>6.9</c:v>
                </c:pt>
                <c:pt idx="69">
                  <c:v>5</c:v>
                </c:pt>
                <c:pt idx="70">
                  <c:v>5.7</c:v>
                </c:pt>
                <c:pt idx="71">
                  <c:v>4.9000000000000004</c:v>
                </c:pt>
                <c:pt idx="72">
                  <c:v>6.7</c:v>
                </c:pt>
                <c:pt idx="73">
                  <c:v>4.9000000000000004</c:v>
                </c:pt>
                <c:pt idx="74">
                  <c:v>5.7</c:v>
                </c:pt>
                <c:pt idx="75">
                  <c:v>6</c:v>
                </c:pt>
                <c:pt idx="76">
                  <c:v>4.8</c:v>
                </c:pt>
                <c:pt idx="77">
                  <c:v>4.9000000000000004</c:v>
                </c:pt>
                <c:pt idx="78">
                  <c:v>5.6</c:v>
                </c:pt>
                <c:pt idx="79">
                  <c:v>5.8</c:v>
                </c:pt>
                <c:pt idx="80">
                  <c:v>6.1</c:v>
                </c:pt>
                <c:pt idx="81">
                  <c:v>6.4</c:v>
                </c:pt>
                <c:pt idx="82">
                  <c:v>5.6</c:v>
                </c:pt>
                <c:pt idx="83">
                  <c:v>5.0999999999999996</c:v>
                </c:pt>
                <c:pt idx="84">
                  <c:v>5.6</c:v>
                </c:pt>
                <c:pt idx="85">
                  <c:v>6.1</c:v>
                </c:pt>
                <c:pt idx="86">
                  <c:v>5.6</c:v>
                </c:pt>
                <c:pt idx="87">
                  <c:v>5.5</c:v>
                </c:pt>
                <c:pt idx="88">
                  <c:v>4.8</c:v>
                </c:pt>
                <c:pt idx="89">
                  <c:v>5.4</c:v>
                </c:pt>
                <c:pt idx="90">
                  <c:v>5.6</c:v>
                </c:pt>
                <c:pt idx="91">
                  <c:v>5.0999999999999996</c:v>
                </c:pt>
                <c:pt idx="92">
                  <c:v>5.0999999999999996</c:v>
                </c:pt>
                <c:pt idx="93">
                  <c:v>5.9</c:v>
                </c:pt>
                <c:pt idx="94">
                  <c:v>5.7</c:v>
                </c:pt>
                <c:pt idx="95">
                  <c:v>5.2</c:v>
                </c:pt>
                <c:pt idx="96">
                  <c:v>5</c:v>
                </c:pt>
                <c:pt idx="97">
                  <c:v>5.2</c:v>
                </c:pt>
                <c:pt idx="98">
                  <c:v>5.4</c:v>
                </c:pt>
                <c:pt idx="99">
                  <c:v>5.0999999999999996</c:v>
                </c:pt>
              </c:numCache>
            </c:numRef>
          </c:xVal>
          <c:yVal>
            <c:numRef>
              <c:f>'2-grupy'!_pw2_2</c:f>
              <c:numCache>
                <c:formatCode>General</c:formatCode>
                <c:ptCount val="100"/>
                <c:pt idx="0">
                  <c:v>1.1000000000000001</c:v>
                </c:pt>
                <c:pt idx="1">
                  <c:v>1.4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1.5</c:v>
                </c:pt>
                <c:pt idx="6">
                  <c:v>1.3</c:v>
                </c:pt>
                <c:pt idx="7">
                  <c:v>1.6</c:v>
                </c:pt>
                <c:pt idx="8">
                  <c:v>1</c:v>
                </c:pt>
                <c:pt idx="9">
                  <c:v>1.3</c:v>
                </c:pt>
                <c:pt idx="10">
                  <c:v>1.4</c:v>
                </c:pt>
                <c:pt idx="11">
                  <c:v>1</c:v>
                </c:pt>
                <c:pt idx="12">
                  <c:v>1.5</c:v>
                </c:pt>
                <c:pt idx="13">
                  <c:v>1</c:v>
                </c:pt>
                <c:pt idx="14">
                  <c:v>1.4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</c:v>
                </c:pt>
                <c:pt idx="19">
                  <c:v>1.5</c:v>
                </c:pt>
                <c:pt idx="20">
                  <c:v>1.1000000000000001</c:v>
                </c:pt>
                <c:pt idx="21">
                  <c:v>1.8</c:v>
                </c:pt>
                <c:pt idx="22">
                  <c:v>1.3</c:v>
                </c:pt>
                <c:pt idx="23">
                  <c:v>1.5</c:v>
                </c:pt>
                <c:pt idx="24">
                  <c:v>1.2</c:v>
                </c:pt>
                <c:pt idx="25">
                  <c:v>1.3</c:v>
                </c:pt>
                <c:pt idx="26">
                  <c:v>1.4</c:v>
                </c:pt>
                <c:pt idx="27">
                  <c:v>1.4</c:v>
                </c:pt>
                <c:pt idx="28">
                  <c:v>1.7</c:v>
                </c:pt>
                <c:pt idx="29">
                  <c:v>1.5</c:v>
                </c:pt>
                <c:pt idx="30">
                  <c:v>1</c:v>
                </c:pt>
                <c:pt idx="31">
                  <c:v>1.1000000000000001</c:v>
                </c:pt>
                <c:pt idx="32">
                  <c:v>1</c:v>
                </c:pt>
                <c:pt idx="33">
                  <c:v>1.2</c:v>
                </c:pt>
                <c:pt idx="34">
                  <c:v>1.6</c:v>
                </c:pt>
                <c:pt idx="35">
                  <c:v>1.5</c:v>
                </c:pt>
                <c:pt idx="36">
                  <c:v>1.6</c:v>
                </c:pt>
                <c:pt idx="37">
                  <c:v>1.5</c:v>
                </c:pt>
                <c:pt idx="38">
                  <c:v>1.3</c:v>
                </c:pt>
                <c:pt idx="39">
                  <c:v>1.3</c:v>
                </c:pt>
                <c:pt idx="40">
                  <c:v>1.3</c:v>
                </c:pt>
                <c:pt idx="41">
                  <c:v>1.2</c:v>
                </c:pt>
                <c:pt idx="42">
                  <c:v>1.4</c:v>
                </c:pt>
                <c:pt idx="43">
                  <c:v>1.2</c:v>
                </c:pt>
                <c:pt idx="44">
                  <c:v>1</c:v>
                </c:pt>
                <c:pt idx="45">
                  <c:v>1.3</c:v>
                </c:pt>
                <c:pt idx="46">
                  <c:v>1.2</c:v>
                </c:pt>
                <c:pt idx="47">
                  <c:v>1.3</c:v>
                </c:pt>
                <c:pt idx="48">
                  <c:v>1.3</c:v>
                </c:pt>
                <c:pt idx="49">
                  <c:v>1.3</c:v>
                </c:pt>
                <c:pt idx="50">
                  <c:v>2.5</c:v>
                </c:pt>
                <c:pt idx="51">
                  <c:v>1.9</c:v>
                </c:pt>
                <c:pt idx="52">
                  <c:v>2.1</c:v>
                </c:pt>
                <c:pt idx="53">
                  <c:v>1.8</c:v>
                </c:pt>
                <c:pt idx="54">
                  <c:v>2.2000000000000002</c:v>
                </c:pt>
                <c:pt idx="55">
                  <c:v>2.1</c:v>
                </c:pt>
                <c:pt idx="56">
                  <c:v>1.7</c:v>
                </c:pt>
                <c:pt idx="57">
                  <c:v>1.8</c:v>
                </c:pt>
                <c:pt idx="58">
                  <c:v>1.8</c:v>
                </c:pt>
                <c:pt idx="59">
                  <c:v>2.5</c:v>
                </c:pt>
                <c:pt idx="60">
                  <c:v>2</c:v>
                </c:pt>
                <c:pt idx="61">
                  <c:v>1.9</c:v>
                </c:pt>
                <c:pt idx="62">
                  <c:v>2.1</c:v>
                </c:pt>
                <c:pt idx="63">
                  <c:v>2</c:v>
                </c:pt>
                <c:pt idx="64">
                  <c:v>2.4</c:v>
                </c:pt>
                <c:pt idx="65">
                  <c:v>2.2999999999999998</c:v>
                </c:pt>
                <c:pt idx="66">
                  <c:v>1.8</c:v>
                </c:pt>
                <c:pt idx="67">
                  <c:v>2.2000000000000002</c:v>
                </c:pt>
                <c:pt idx="68">
                  <c:v>2.2999999999999998</c:v>
                </c:pt>
                <c:pt idx="69">
                  <c:v>1.5</c:v>
                </c:pt>
                <c:pt idx="70">
                  <c:v>2.2999999999999998</c:v>
                </c:pt>
                <c:pt idx="71">
                  <c:v>2</c:v>
                </c:pt>
                <c:pt idx="72">
                  <c:v>2</c:v>
                </c:pt>
                <c:pt idx="73">
                  <c:v>1.8</c:v>
                </c:pt>
                <c:pt idx="74">
                  <c:v>2.1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2.1</c:v>
                </c:pt>
                <c:pt idx="79">
                  <c:v>1.6</c:v>
                </c:pt>
                <c:pt idx="80">
                  <c:v>1.9</c:v>
                </c:pt>
                <c:pt idx="81">
                  <c:v>2</c:v>
                </c:pt>
                <c:pt idx="82">
                  <c:v>2.2000000000000002</c:v>
                </c:pt>
                <c:pt idx="83">
                  <c:v>1.5</c:v>
                </c:pt>
                <c:pt idx="84">
                  <c:v>1.4</c:v>
                </c:pt>
                <c:pt idx="85">
                  <c:v>2.2999999999999998</c:v>
                </c:pt>
                <c:pt idx="86">
                  <c:v>2.4</c:v>
                </c:pt>
                <c:pt idx="87">
                  <c:v>1.8</c:v>
                </c:pt>
                <c:pt idx="88">
                  <c:v>1.8</c:v>
                </c:pt>
                <c:pt idx="89">
                  <c:v>2.1</c:v>
                </c:pt>
                <c:pt idx="90">
                  <c:v>2.4</c:v>
                </c:pt>
                <c:pt idx="91">
                  <c:v>2.2999999999999998</c:v>
                </c:pt>
                <c:pt idx="92">
                  <c:v>1.9</c:v>
                </c:pt>
                <c:pt idx="93">
                  <c:v>2.2999999999999998</c:v>
                </c:pt>
                <c:pt idx="94">
                  <c:v>2.5</c:v>
                </c:pt>
                <c:pt idx="95">
                  <c:v>2.2999999999999998</c:v>
                </c:pt>
                <c:pt idx="96">
                  <c:v>1.9</c:v>
                </c:pt>
                <c:pt idx="97">
                  <c:v>2</c:v>
                </c:pt>
                <c:pt idx="98">
                  <c:v>2.2999999999999998</c:v>
                </c:pt>
                <c:pt idx="9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FF-4AD6-A3B1-4CABB2F8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20607"/>
        <c:axId val="2011376607"/>
      </c:scatterChart>
      <c:valAx>
        <c:axId val="207362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1376607"/>
        <c:crosses val="autoZero"/>
        <c:crossBetween val="midCat"/>
      </c:valAx>
      <c:valAx>
        <c:axId val="201137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62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Grupowanie</a:t>
            </a:r>
            <a:r>
              <a:rPr lang="pl-PL" baseline="0"/>
              <a:t> metodą k-średnich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'4-grupy'!_pl1_4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'4-grupy'!_pw1_4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29-4264-9B40-07E70B0D59F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'4-grupy'!_pl2_4</c:f>
              <c:numCache>
                <c:formatCode>General</c:formatCode>
                <c:ptCount val="38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4.5999999999999996</c:v>
                </c:pt>
                <c:pt idx="4">
                  <c:v>4.5</c:v>
                </c:pt>
                <c:pt idx="5">
                  <c:v>4.7</c:v>
                </c:pt>
                <c:pt idx="6">
                  <c:v>4.5999999999999996</c:v>
                </c:pt>
                <c:pt idx="7">
                  <c:v>4.7</c:v>
                </c:pt>
                <c:pt idx="8">
                  <c:v>4.4000000000000004</c:v>
                </c:pt>
                <c:pt idx="9">
                  <c:v>4.5</c:v>
                </c:pt>
                <c:pt idx="10">
                  <c:v>4.5</c:v>
                </c:pt>
                <c:pt idx="11">
                  <c:v>4.8</c:v>
                </c:pt>
                <c:pt idx="12">
                  <c:v>4.9000000000000004</c:v>
                </c:pt>
                <c:pt idx="13">
                  <c:v>4.7</c:v>
                </c:pt>
                <c:pt idx="14">
                  <c:v>4.4000000000000004</c:v>
                </c:pt>
                <c:pt idx="15">
                  <c:v>4.8</c:v>
                </c:pt>
                <c:pt idx="16">
                  <c:v>5</c:v>
                </c:pt>
                <c:pt idx="17">
                  <c:v>4.5</c:v>
                </c:pt>
                <c:pt idx="18">
                  <c:v>5.0999999999999996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4.7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5.0999999999999996</c:v>
                </c:pt>
                <c:pt idx="25">
                  <c:v>4.5</c:v>
                </c:pt>
                <c:pt idx="26">
                  <c:v>5.0999999999999996</c:v>
                </c:pt>
                <c:pt idx="27">
                  <c:v>5</c:v>
                </c:pt>
                <c:pt idx="28">
                  <c:v>5</c:v>
                </c:pt>
                <c:pt idx="29">
                  <c:v>4.9000000000000004</c:v>
                </c:pt>
                <c:pt idx="30">
                  <c:v>4.9000000000000004</c:v>
                </c:pt>
                <c:pt idx="31">
                  <c:v>4.8</c:v>
                </c:pt>
                <c:pt idx="32">
                  <c:v>4.9000000000000004</c:v>
                </c:pt>
                <c:pt idx="33">
                  <c:v>5.0999999999999996</c:v>
                </c:pt>
                <c:pt idx="34">
                  <c:v>4.8</c:v>
                </c:pt>
                <c:pt idx="35">
                  <c:v>5.0999999999999996</c:v>
                </c:pt>
                <c:pt idx="36">
                  <c:v>5</c:v>
                </c:pt>
                <c:pt idx="37">
                  <c:v>5.0999999999999996</c:v>
                </c:pt>
              </c:numCache>
            </c:numRef>
          </c:xVal>
          <c:yVal>
            <c:numRef>
              <c:f>'4-grupy'!_pw2_4</c:f>
              <c:numCache>
                <c:formatCode>General</c:formatCode>
                <c:ptCount val="38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1.6</c:v>
                </c:pt>
                <c:pt idx="6">
                  <c:v>1.3</c:v>
                </c:pt>
                <c:pt idx="7">
                  <c:v>1.4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1.8</c:v>
                </c:pt>
                <c:pt idx="12">
                  <c:v>1.5</c:v>
                </c:pt>
                <c:pt idx="13">
                  <c:v>1.2</c:v>
                </c:pt>
                <c:pt idx="14">
                  <c:v>1.4</c:v>
                </c:pt>
                <c:pt idx="15">
                  <c:v>1.4</c:v>
                </c:pt>
                <c:pt idx="16">
                  <c:v>1.7</c:v>
                </c:pt>
                <c:pt idx="17">
                  <c:v>1.5</c:v>
                </c:pt>
                <c:pt idx="18">
                  <c:v>1.6</c:v>
                </c:pt>
                <c:pt idx="19">
                  <c:v>1.5</c:v>
                </c:pt>
                <c:pt idx="20">
                  <c:v>1.6</c:v>
                </c:pt>
                <c:pt idx="21">
                  <c:v>1.5</c:v>
                </c:pt>
                <c:pt idx="22">
                  <c:v>1.3</c:v>
                </c:pt>
                <c:pt idx="23">
                  <c:v>1.4</c:v>
                </c:pt>
                <c:pt idx="24">
                  <c:v>1.9</c:v>
                </c:pt>
                <c:pt idx="25">
                  <c:v>1.7</c:v>
                </c:pt>
                <c:pt idx="26">
                  <c:v>2</c:v>
                </c:pt>
                <c:pt idx="27">
                  <c:v>2</c:v>
                </c:pt>
                <c:pt idx="28">
                  <c:v>1.5</c:v>
                </c:pt>
                <c:pt idx="29">
                  <c:v>2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1.5</c:v>
                </c:pt>
                <c:pt idx="34">
                  <c:v>1.8</c:v>
                </c:pt>
                <c:pt idx="35">
                  <c:v>1.9</c:v>
                </c:pt>
                <c:pt idx="36">
                  <c:v>1.9</c:v>
                </c:pt>
                <c:pt idx="37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29-4264-9B40-07E70B0D59F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'4-grupy'!_pl3_4</c:f>
              <c:numCache>
                <c:formatCode>General</c:formatCode>
                <c:ptCount val="26"/>
                <c:pt idx="0">
                  <c:v>4</c:v>
                </c:pt>
                <c:pt idx="1">
                  <c:v>3.3</c:v>
                </c:pt>
                <c:pt idx="2">
                  <c:v>3.9</c:v>
                </c:pt>
                <c:pt idx="3">
                  <c:v>3.5</c:v>
                </c:pt>
                <c:pt idx="4">
                  <c:v>4.2</c:v>
                </c:pt>
                <c:pt idx="5">
                  <c:v>4</c:v>
                </c:pt>
                <c:pt idx="6">
                  <c:v>3.6</c:v>
                </c:pt>
                <c:pt idx="7">
                  <c:v>4.0999999999999996</c:v>
                </c:pt>
                <c:pt idx="8">
                  <c:v>3.9</c:v>
                </c:pt>
                <c:pt idx="9">
                  <c:v>4</c:v>
                </c:pt>
                <c:pt idx="10">
                  <c:v>4.3</c:v>
                </c:pt>
                <c:pt idx="11">
                  <c:v>3.5</c:v>
                </c:pt>
                <c:pt idx="12">
                  <c:v>3.8</c:v>
                </c:pt>
                <c:pt idx="13">
                  <c:v>3.7</c:v>
                </c:pt>
                <c:pt idx="14">
                  <c:v>3.9</c:v>
                </c:pt>
                <c:pt idx="15">
                  <c:v>4.0999999999999996</c:v>
                </c:pt>
                <c:pt idx="16">
                  <c:v>4</c:v>
                </c:pt>
                <c:pt idx="17">
                  <c:v>4.4000000000000004</c:v>
                </c:pt>
                <c:pt idx="18">
                  <c:v>4</c:v>
                </c:pt>
                <c:pt idx="19">
                  <c:v>3.3</c:v>
                </c:pt>
                <c:pt idx="20">
                  <c:v>4.2</c:v>
                </c:pt>
                <c:pt idx="21">
                  <c:v>4.2</c:v>
                </c:pt>
                <c:pt idx="22">
                  <c:v>4.2</c:v>
                </c:pt>
                <c:pt idx="23">
                  <c:v>4.3</c:v>
                </c:pt>
                <c:pt idx="24">
                  <c:v>3</c:v>
                </c:pt>
                <c:pt idx="25">
                  <c:v>4.0999999999999996</c:v>
                </c:pt>
              </c:numCache>
            </c:numRef>
          </c:xVal>
          <c:yVal>
            <c:numRef>
              <c:f>'4-grupy'!_pw3_4</c:f>
              <c:numCache>
                <c:formatCode>General</c:formatCode>
                <c:ptCount val="26"/>
                <c:pt idx="0">
                  <c:v>1.3</c:v>
                </c:pt>
                <c:pt idx="1">
                  <c:v>1</c:v>
                </c:pt>
                <c:pt idx="2">
                  <c:v>1.4</c:v>
                </c:pt>
                <c:pt idx="3">
                  <c:v>1</c:v>
                </c:pt>
                <c:pt idx="4">
                  <c:v>1.5</c:v>
                </c:pt>
                <c:pt idx="5">
                  <c:v>1</c:v>
                </c:pt>
                <c:pt idx="6">
                  <c:v>1.3</c:v>
                </c:pt>
                <c:pt idx="7">
                  <c:v>1</c:v>
                </c:pt>
                <c:pt idx="8">
                  <c:v>1.1000000000000001</c:v>
                </c:pt>
                <c:pt idx="9">
                  <c:v>1.3</c:v>
                </c:pt>
                <c:pt idx="10">
                  <c:v>1.3</c:v>
                </c:pt>
                <c:pt idx="11">
                  <c:v>1</c:v>
                </c:pt>
                <c:pt idx="12">
                  <c:v>1.1000000000000001</c:v>
                </c:pt>
                <c:pt idx="13">
                  <c:v>1</c:v>
                </c:pt>
                <c:pt idx="14">
                  <c:v>1.2</c:v>
                </c:pt>
                <c:pt idx="15">
                  <c:v>1.3</c:v>
                </c:pt>
                <c:pt idx="16">
                  <c:v>1.3</c:v>
                </c:pt>
                <c:pt idx="17">
                  <c:v>1.2</c:v>
                </c:pt>
                <c:pt idx="18">
                  <c:v>1.2</c:v>
                </c:pt>
                <c:pt idx="19">
                  <c:v>1</c:v>
                </c:pt>
                <c:pt idx="20">
                  <c:v>1.3</c:v>
                </c:pt>
                <c:pt idx="21">
                  <c:v>1.2</c:v>
                </c:pt>
                <c:pt idx="22">
                  <c:v>1.3</c:v>
                </c:pt>
                <c:pt idx="23">
                  <c:v>1.3</c:v>
                </c:pt>
                <c:pt idx="24">
                  <c:v>1.1000000000000001</c:v>
                </c:pt>
                <c:pt idx="25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29-4264-9B40-07E70B0D59F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'4-grupy'!_pl4_4</c:f>
              <c:numCache>
                <c:formatCode>General</c:formatCode>
                <c:ptCount val="36"/>
                <c:pt idx="0">
                  <c:v>6</c:v>
                </c:pt>
                <c:pt idx="1">
                  <c:v>5.9</c:v>
                </c:pt>
                <c:pt idx="2">
                  <c:v>5.6</c:v>
                </c:pt>
                <c:pt idx="3">
                  <c:v>5.8</c:v>
                </c:pt>
                <c:pt idx="4">
                  <c:v>6.6</c:v>
                </c:pt>
                <c:pt idx="5">
                  <c:v>6.3</c:v>
                </c:pt>
                <c:pt idx="6">
                  <c:v>5.8</c:v>
                </c:pt>
                <c:pt idx="7">
                  <c:v>6.1</c:v>
                </c:pt>
                <c:pt idx="8">
                  <c:v>5.3</c:v>
                </c:pt>
                <c:pt idx="9">
                  <c:v>5.5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6.7</c:v>
                </c:pt>
                <c:pt idx="14">
                  <c:v>6.9</c:v>
                </c:pt>
                <c:pt idx="15">
                  <c:v>5.7</c:v>
                </c:pt>
                <c:pt idx="16">
                  <c:v>6.7</c:v>
                </c:pt>
                <c:pt idx="17">
                  <c:v>5.7</c:v>
                </c:pt>
                <c:pt idx="18">
                  <c:v>6</c:v>
                </c:pt>
                <c:pt idx="19">
                  <c:v>5.6</c:v>
                </c:pt>
                <c:pt idx="20">
                  <c:v>5.8</c:v>
                </c:pt>
                <c:pt idx="21">
                  <c:v>6.1</c:v>
                </c:pt>
                <c:pt idx="22">
                  <c:v>6.4</c:v>
                </c:pt>
                <c:pt idx="23">
                  <c:v>5.6</c:v>
                </c:pt>
                <c:pt idx="24">
                  <c:v>5.6</c:v>
                </c:pt>
                <c:pt idx="25">
                  <c:v>6.1</c:v>
                </c:pt>
                <c:pt idx="26">
                  <c:v>5.6</c:v>
                </c:pt>
                <c:pt idx="27">
                  <c:v>5.5</c:v>
                </c:pt>
                <c:pt idx="28">
                  <c:v>5.4</c:v>
                </c:pt>
                <c:pt idx="29">
                  <c:v>5.6</c:v>
                </c:pt>
                <c:pt idx="30">
                  <c:v>5.0999999999999996</c:v>
                </c:pt>
                <c:pt idx="31">
                  <c:v>5.9</c:v>
                </c:pt>
                <c:pt idx="32">
                  <c:v>5.7</c:v>
                </c:pt>
                <c:pt idx="33">
                  <c:v>5.2</c:v>
                </c:pt>
                <c:pt idx="34">
                  <c:v>5.2</c:v>
                </c:pt>
                <c:pt idx="35">
                  <c:v>5.4</c:v>
                </c:pt>
              </c:numCache>
            </c:numRef>
          </c:xVal>
          <c:yVal>
            <c:numRef>
              <c:f>'4-grupy'!_pw4_4</c:f>
              <c:numCache>
                <c:formatCode>General</c:formatCode>
                <c:ptCount val="36"/>
                <c:pt idx="0">
                  <c:v>2.5</c:v>
                </c:pt>
                <c:pt idx="1">
                  <c:v>2.1</c:v>
                </c:pt>
                <c:pt idx="2">
                  <c:v>1.8</c:v>
                </c:pt>
                <c:pt idx="3">
                  <c:v>2.2000000000000002</c:v>
                </c:pt>
                <c:pt idx="4">
                  <c:v>2.1</c:v>
                </c:pt>
                <c:pt idx="5">
                  <c:v>1.8</c:v>
                </c:pt>
                <c:pt idx="6">
                  <c:v>1.8</c:v>
                </c:pt>
                <c:pt idx="7">
                  <c:v>2.5</c:v>
                </c:pt>
                <c:pt idx="8">
                  <c:v>1.9</c:v>
                </c:pt>
                <c:pt idx="9">
                  <c:v>2.1</c:v>
                </c:pt>
                <c:pt idx="10">
                  <c:v>2.4</c:v>
                </c:pt>
                <c:pt idx="11">
                  <c:v>2.2999999999999998</c:v>
                </c:pt>
                <c:pt idx="12">
                  <c:v>1.8</c:v>
                </c:pt>
                <c:pt idx="13">
                  <c:v>2.2000000000000002</c:v>
                </c:pt>
                <c:pt idx="14">
                  <c:v>2.2999999999999998</c:v>
                </c:pt>
                <c:pt idx="15">
                  <c:v>2.2999999999999998</c:v>
                </c:pt>
                <c:pt idx="16">
                  <c:v>2</c:v>
                </c:pt>
                <c:pt idx="17">
                  <c:v>2.1</c:v>
                </c:pt>
                <c:pt idx="18">
                  <c:v>1.8</c:v>
                </c:pt>
                <c:pt idx="19">
                  <c:v>2.1</c:v>
                </c:pt>
                <c:pt idx="20">
                  <c:v>1.6</c:v>
                </c:pt>
                <c:pt idx="21">
                  <c:v>1.9</c:v>
                </c:pt>
                <c:pt idx="22">
                  <c:v>2</c:v>
                </c:pt>
                <c:pt idx="23">
                  <c:v>2.2000000000000002</c:v>
                </c:pt>
                <c:pt idx="24">
                  <c:v>1.4</c:v>
                </c:pt>
                <c:pt idx="25">
                  <c:v>2.2999999999999998</c:v>
                </c:pt>
                <c:pt idx="26">
                  <c:v>2.4</c:v>
                </c:pt>
                <c:pt idx="27">
                  <c:v>1.8</c:v>
                </c:pt>
                <c:pt idx="28">
                  <c:v>2.1</c:v>
                </c:pt>
                <c:pt idx="29">
                  <c:v>2.4</c:v>
                </c:pt>
                <c:pt idx="30">
                  <c:v>2.2999999999999998</c:v>
                </c:pt>
                <c:pt idx="31">
                  <c:v>2.2999999999999998</c:v>
                </c:pt>
                <c:pt idx="32">
                  <c:v>2.5</c:v>
                </c:pt>
                <c:pt idx="33">
                  <c:v>2.2999999999999998</c:v>
                </c:pt>
                <c:pt idx="34">
                  <c:v>2</c:v>
                </c:pt>
                <c:pt idx="35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29-4264-9B40-07E70B0D5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620607"/>
        <c:axId val="2011376607"/>
      </c:scatterChart>
      <c:valAx>
        <c:axId val="207362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11376607"/>
        <c:crosses val="autoZero"/>
        <c:crossBetween val="midCat"/>
      </c:valAx>
      <c:valAx>
        <c:axId val="201137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362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7</xdr:row>
      <xdr:rowOff>85725</xdr:rowOff>
    </xdr:from>
    <xdr:to>
      <xdr:col>15</xdr:col>
      <xdr:colOff>581025</xdr:colOff>
      <xdr:row>22</xdr:row>
      <xdr:rowOff>161925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F79170CB-FD84-41C8-A14F-0743DB069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104775</xdr:colOff>
      <xdr:row>3</xdr:row>
      <xdr:rowOff>66675</xdr:rowOff>
    </xdr:from>
    <xdr:to>
      <xdr:col>15</xdr:col>
      <xdr:colOff>552450</xdr:colOff>
      <xdr:row>6</xdr:row>
      <xdr:rowOff>171450</xdr:rowOff>
    </xdr:to>
    <xdr:sp macro="[0]!KMeans_Start_2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A577FA23-B7B4-4609-BCCA-F2381133338A}"/>
            </a:ext>
          </a:extLst>
        </xdr:cNvPr>
        <xdr:cNvSpPr/>
      </xdr:nvSpPr>
      <xdr:spPr>
        <a:xfrm>
          <a:off x="6638925" y="647700"/>
          <a:ext cx="1685925" cy="6762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85725</xdr:colOff>
      <xdr:row>11</xdr:row>
      <xdr:rowOff>57151</xdr:rowOff>
    </xdr:from>
    <xdr:to>
      <xdr:col>17</xdr:col>
      <xdr:colOff>561975</xdr:colOff>
      <xdr:row>26</xdr:row>
      <xdr:rowOff>133351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06B3ABA-DC11-450F-AB28-6997AEAA3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228600</xdr:colOff>
      <xdr:row>6</xdr:row>
      <xdr:rowOff>104775</xdr:rowOff>
    </xdr:from>
    <xdr:to>
      <xdr:col>17</xdr:col>
      <xdr:colOff>466725</xdr:colOff>
      <xdr:row>10</xdr:row>
      <xdr:rowOff>76200</xdr:rowOff>
    </xdr:to>
    <xdr:sp macro="[0]!KMeans_Start_4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8B65A9A6-7E89-4AA7-B95D-FEC3F1A4363B}"/>
            </a:ext>
          </a:extLst>
        </xdr:cNvPr>
        <xdr:cNvSpPr/>
      </xdr:nvSpPr>
      <xdr:spPr>
        <a:xfrm>
          <a:off x="8001000" y="1247775"/>
          <a:ext cx="1476375" cy="7334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3200">
              <a:solidFill>
                <a:schemeClr val="bg1"/>
              </a:solidFill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S151"/>
  <sheetViews>
    <sheetView tabSelected="1" topLeftCell="C15" workbookViewId="0">
      <selection activeCell="M36" sqref="M36"/>
    </sheetView>
  </sheetViews>
  <sheetFormatPr defaultRowHeight="15" x14ac:dyDescent="0.25"/>
  <cols>
    <col min="1" max="1" width="12.42578125" style="1" hidden="1" customWidth="1"/>
    <col min="2" max="2" width="11.85546875" style="1" hidden="1" customWidth="1"/>
    <col min="3" max="3" width="12.140625" style="1" bestFit="1" customWidth="1"/>
    <col min="4" max="4" width="11.5703125" style="1" bestFit="1" customWidth="1"/>
    <col min="5" max="5" width="9.7109375" style="1" hidden="1" customWidth="1"/>
    <col min="6" max="16" width="9.28515625" style="1" customWidth="1"/>
    <col min="17" max="17" width="12.140625" style="1" bestFit="1" customWidth="1"/>
    <col min="18" max="18" width="11.5703125" style="1" bestFit="1" customWidth="1"/>
    <col min="19" max="19" width="6.28515625" style="1" bestFit="1" customWidth="1"/>
    <col min="20" max="20" width="9.140625" style="1" customWidth="1"/>
    <col min="21" max="16384" width="9.140625" style="1"/>
  </cols>
  <sheetData>
    <row r="1" spans="1:19" ht="15.75" thickBot="1" x14ac:dyDescent="0.3">
      <c r="A1" s="1" t="s">
        <v>0</v>
      </c>
      <c r="B1" s="1" t="s">
        <v>1</v>
      </c>
      <c r="C1" s="7" t="s">
        <v>2</v>
      </c>
      <c r="D1" s="8" t="s">
        <v>3</v>
      </c>
      <c r="E1" s="9" t="s">
        <v>4</v>
      </c>
      <c r="F1" s="7" t="s">
        <v>8</v>
      </c>
      <c r="G1" s="10" t="s">
        <v>9</v>
      </c>
      <c r="H1" s="10" t="s">
        <v>10</v>
      </c>
      <c r="I1" s="8" t="s">
        <v>12</v>
      </c>
      <c r="K1" s="2" t="s">
        <v>13</v>
      </c>
      <c r="L1" s="2" t="s">
        <v>14</v>
      </c>
      <c r="M1" s="2" t="s">
        <v>15</v>
      </c>
      <c r="N1" s="2" t="s">
        <v>16</v>
      </c>
      <c r="O1" s="2" t="s">
        <v>17</v>
      </c>
      <c r="Q1" s="32" t="s">
        <v>2</v>
      </c>
      <c r="R1" s="33" t="s">
        <v>3</v>
      </c>
      <c r="S1" s="34" t="s">
        <v>8</v>
      </c>
    </row>
    <row r="2" spans="1:19" x14ac:dyDescent="0.25">
      <c r="A2" s="1">
        <v>5.0999999999999996</v>
      </c>
      <c r="B2" s="1">
        <v>3.5</v>
      </c>
      <c r="C2" s="11">
        <v>1.4</v>
      </c>
      <c r="D2" s="13">
        <v>0.2</v>
      </c>
      <c r="E2" s="1" t="s">
        <v>5</v>
      </c>
      <c r="F2" s="22">
        <f ca="1">IF(G2=I2,1,2)</f>
        <v>1</v>
      </c>
      <c r="G2" s="20">
        <f ca="1">(($C2-$M$2)^2+($D2-$N$2)^2)^(1/2)</f>
        <v>9.9999999999999867E-2</v>
      </c>
      <c r="H2" s="12">
        <f ca="1">(($C2-$M$3)^2+($D2-$N$3)^2)^(1/2)</f>
        <v>3.417601498127012</v>
      </c>
      <c r="I2" s="13">
        <f ca="1">MIN(G2:H2)</f>
        <v>9.9999999999999867E-2</v>
      </c>
      <c r="K2" s="2">
        <v>1</v>
      </c>
      <c r="L2" s="4">
        <v>4</v>
      </c>
      <c r="M2" s="3">
        <f ca="1">OFFSET(C$1,$L2-1,0)</f>
        <v>1.3</v>
      </c>
      <c r="N2" s="3">
        <f ca="1">OFFSET(D$1,$L2-1,0)</f>
        <v>0.2</v>
      </c>
      <c r="O2" s="4">
        <f ca="1">COUNTIF(F:F,K2)</f>
        <v>50</v>
      </c>
      <c r="Q2" s="35">
        <v>1.4</v>
      </c>
      <c r="R2" s="36">
        <v>0.2</v>
      </c>
      <c r="S2" s="37">
        <v>1</v>
      </c>
    </row>
    <row r="3" spans="1:19" x14ac:dyDescent="0.25">
      <c r="A3" s="1">
        <v>4.9000000000000004</v>
      </c>
      <c r="B3" s="1">
        <v>3</v>
      </c>
      <c r="C3" s="14">
        <v>1.4</v>
      </c>
      <c r="D3" s="16">
        <v>0.2</v>
      </c>
      <c r="E3" s="1" t="s">
        <v>5</v>
      </c>
      <c r="F3" s="23">
        <f t="shared" ref="F3:F66" ca="1" si="0">IF(G3=I3,1,2)</f>
        <v>1</v>
      </c>
      <c r="G3" s="5">
        <f t="shared" ref="G3:G66" ca="1" si="1">(($C3-$M$2)^2+($D3-$N$2)^2)^(1/2)</f>
        <v>9.9999999999999867E-2</v>
      </c>
      <c r="H3" s="15">
        <f t="shared" ref="H3:H66" ca="1" si="2">(($C3-$M$3)^2+($D3-$N$3)^2)^(1/2)</f>
        <v>3.417601498127012</v>
      </c>
      <c r="I3" s="16">
        <f t="shared" ref="I3:I66" ca="1" si="3">MIN(G3:H3)</f>
        <v>9.9999999999999867E-2</v>
      </c>
      <c r="K3" s="2">
        <v>2</v>
      </c>
      <c r="L3" s="4">
        <v>93</v>
      </c>
      <c r="M3" s="3">
        <f ca="1">OFFSET(C$1,$L3-1,0)</f>
        <v>4.5999999999999996</v>
      </c>
      <c r="N3" s="3">
        <f ca="1">OFFSET(D$1,$L3-1,0)</f>
        <v>1.4</v>
      </c>
      <c r="O3" s="4">
        <f ca="1">COUNTIF(F:F,K3)</f>
        <v>100</v>
      </c>
      <c r="Q3" s="38">
        <v>1.4</v>
      </c>
      <c r="R3" s="39">
        <v>0.2</v>
      </c>
      <c r="S3" s="40">
        <v>1</v>
      </c>
    </row>
    <row r="4" spans="1:19" x14ac:dyDescent="0.25">
      <c r="A4" s="1">
        <v>4.7</v>
      </c>
      <c r="B4" s="1">
        <v>3.2</v>
      </c>
      <c r="C4" s="14">
        <v>1.3</v>
      </c>
      <c r="D4" s="16">
        <v>0.2</v>
      </c>
      <c r="E4" s="1" t="s">
        <v>5</v>
      </c>
      <c r="F4" s="23">
        <f t="shared" ca="1" si="0"/>
        <v>1</v>
      </c>
      <c r="G4" s="5">
        <f t="shared" ca="1" si="1"/>
        <v>0</v>
      </c>
      <c r="H4" s="15">
        <f t="shared" ca="1" si="2"/>
        <v>3.5114099732158874</v>
      </c>
      <c r="I4" s="16">
        <f t="shared" ca="1" si="3"/>
        <v>0</v>
      </c>
      <c r="Q4" s="38">
        <v>1.3</v>
      </c>
      <c r="R4" s="39">
        <v>0.2</v>
      </c>
      <c r="S4" s="40">
        <v>1</v>
      </c>
    </row>
    <row r="5" spans="1:19" x14ac:dyDescent="0.25">
      <c r="A5" s="1">
        <v>4.5999999999999996</v>
      </c>
      <c r="B5" s="1">
        <v>3.1</v>
      </c>
      <c r="C5" s="14">
        <v>1.5</v>
      </c>
      <c r="D5" s="16">
        <v>0.2</v>
      </c>
      <c r="E5" s="1" t="s">
        <v>5</v>
      </c>
      <c r="F5" s="23">
        <f t="shared" ca="1" si="0"/>
        <v>1</v>
      </c>
      <c r="G5" s="5">
        <f t="shared" ca="1" si="1"/>
        <v>0.19999999999999996</v>
      </c>
      <c r="H5" s="15">
        <f t="shared" ca="1" si="2"/>
        <v>3.3241540277189316</v>
      </c>
      <c r="I5" s="16">
        <f t="shared" ca="1" si="3"/>
        <v>0.19999999999999996</v>
      </c>
      <c r="L5" s="2" t="s">
        <v>15</v>
      </c>
      <c r="M5" s="2" t="s">
        <v>16</v>
      </c>
      <c r="Q5" s="38">
        <v>1.5</v>
      </c>
      <c r="R5" s="39">
        <v>0.2</v>
      </c>
      <c r="S5" s="40">
        <v>1</v>
      </c>
    </row>
    <row r="6" spans="1:19" x14ac:dyDescent="0.25">
      <c r="A6" s="1">
        <v>5</v>
      </c>
      <c r="B6" s="1">
        <v>3.6</v>
      </c>
      <c r="C6" s="14">
        <v>1.4</v>
      </c>
      <c r="D6" s="16">
        <v>0.2</v>
      </c>
      <c r="E6" s="1" t="s">
        <v>5</v>
      </c>
      <c r="F6" s="23">
        <f t="shared" ca="1" si="0"/>
        <v>1</v>
      </c>
      <c r="G6" s="5">
        <f t="shared" ca="1" si="1"/>
        <v>9.9999999999999867E-2</v>
      </c>
      <c r="H6" s="15">
        <f t="shared" ca="1" si="2"/>
        <v>3.417601498127012</v>
      </c>
      <c r="I6" s="16">
        <f t="shared" ca="1" si="3"/>
        <v>9.9999999999999867E-2</v>
      </c>
      <c r="K6" s="2">
        <v>1</v>
      </c>
      <c r="L6" s="3">
        <f ca="1">AVERAGE(_pl1_2)</f>
        <v>1.4620000000000002</v>
      </c>
      <c r="M6" s="3">
        <f ca="1">AVERAGE(_pw1_2)</f>
        <v>0.24599999999999991</v>
      </c>
      <c r="Q6" s="38">
        <v>1.4</v>
      </c>
      <c r="R6" s="39">
        <v>0.2</v>
      </c>
      <c r="S6" s="40">
        <v>1</v>
      </c>
    </row>
    <row r="7" spans="1:19" x14ac:dyDescent="0.25">
      <c r="A7" s="1">
        <v>5.4</v>
      </c>
      <c r="B7" s="1">
        <v>3.9</v>
      </c>
      <c r="C7" s="14">
        <v>1.7</v>
      </c>
      <c r="D7" s="16">
        <v>0.4</v>
      </c>
      <c r="E7" s="1" t="s">
        <v>5</v>
      </c>
      <c r="F7" s="23">
        <f t="shared" ca="1" si="0"/>
        <v>1</v>
      </c>
      <c r="G7" s="5">
        <f t="shared" ca="1" si="1"/>
        <v>0.44721359549995787</v>
      </c>
      <c r="H7" s="15">
        <f t="shared" ca="1" si="2"/>
        <v>3.0675723300355928</v>
      </c>
      <c r="I7" s="16">
        <f t="shared" ca="1" si="3"/>
        <v>0.44721359549995787</v>
      </c>
      <c r="K7" s="2">
        <v>2</v>
      </c>
      <c r="L7" s="3">
        <f ca="1">AVERAGE(_pl2_2)</f>
        <v>4.9060000000000006</v>
      </c>
      <c r="M7" s="3">
        <f ca="1">AVERAGE(_pw2_2)</f>
        <v>1.6760000000000006</v>
      </c>
      <c r="Q7" s="38">
        <v>1.7</v>
      </c>
      <c r="R7" s="39">
        <v>0.4</v>
      </c>
      <c r="S7" s="40">
        <v>1</v>
      </c>
    </row>
    <row r="8" spans="1:19" x14ac:dyDescent="0.25">
      <c r="A8" s="1">
        <v>4.5999999999999996</v>
      </c>
      <c r="B8" s="1">
        <v>3.4</v>
      </c>
      <c r="C8" s="14">
        <v>1.4</v>
      </c>
      <c r="D8" s="16">
        <v>0.3</v>
      </c>
      <c r="E8" s="1" t="s">
        <v>5</v>
      </c>
      <c r="F8" s="23">
        <f t="shared" ca="1" si="0"/>
        <v>1</v>
      </c>
      <c r="G8" s="5">
        <f t="shared" ca="1" si="1"/>
        <v>0.14142135623730939</v>
      </c>
      <c r="H8" s="15">
        <f t="shared" ca="1" si="2"/>
        <v>3.3837848631377256</v>
      </c>
      <c r="I8" s="16">
        <f t="shared" ca="1" si="3"/>
        <v>0.14142135623730939</v>
      </c>
      <c r="Q8" s="38">
        <v>1.4</v>
      </c>
      <c r="R8" s="39">
        <v>0.3</v>
      </c>
      <c r="S8" s="40">
        <v>1</v>
      </c>
    </row>
    <row r="9" spans="1:19" x14ac:dyDescent="0.25">
      <c r="A9" s="1">
        <v>5</v>
      </c>
      <c r="B9" s="1">
        <v>3.4</v>
      </c>
      <c r="C9" s="14">
        <v>1.5</v>
      </c>
      <c r="D9" s="16">
        <v>0.2</v>
      </c>
      <c r="E9" s="1" t="s">
        <v>5</v>
      </c>
      <c r="F9" s="23">
        <f t="shared" ca="1" si="0"/>
        <v>1</v>
      </c>
      <c r="G9" s="5">
        <f t="shared" ca="1" si="1"/>
        <v>0.19999999999999996</v>
      </c>
      <c r="H9" s="15">
        <f t="shared" ca="1" si="2"/>
        <v>3.3241540277189316</v>
      </c>
      <c r="I9" s="16">
        <f t="shared" ca="1" si="3"/>
        <v>0.19999999999999996</v>
      </c>
      <c r="Q9" s="38">
        <v>1.5</v>
      </c>
      <c r="R9" s="39">
        <v>0.2</v>
      </c>
      <c r="S9" s="40">
        <v>1</v>
      </c>
    </row>
    <row r="10" spans="1:19" x14ac:dyDescent="0.25">
      <c r="A10" s="1">
        <v>4.4000000000000004</v>
      </c>
      <c r="B10" s="1">
        <v>2.9</v>
      </c>
      <c r="C10" s="14">
        <v>1.4</v>
      </c>
      <c r="D10" s="16">
        <v>0.2</v>
      </c>
      <c r="E10" s="1" t="s">
        <v>5</v>
      </c>
      <c r="F10" s="23">
        <f t="shared" ca="1" si="0"/>
        <v>1</v>
      </c>
      <c r="G10" s="5">
        <f t="shared" ca="1" si="1"/>
        <v>9.9999999999999867E-2</v>
      </c>
      <c r="H10" s="15">
        <f t="shared" ca="1" si="2"/>
        <v>3.417601498127012</v>
      </c>
      <c r="I10" s="16">
        <f t="shared" ca="1" si="3"/>
        <v>9.9999999999999867E-2</v>
      </c>
      <c r="Q10" s="38">
        <v>1.4</v>
      </c>
      <c r="R10" s="39">
        <v>0.2</v>
      </c>
      <c r="S10" s="40">
        <v>1</v>
      </c>
    </row>
    <row r="11" spans="1:19" x14ac:dyDescent="0.25">
      <c r="A11" s="1">
        <v>4.9000000000000004</v>
      </c>
      <c r="B11" s="1">
        <v>3.1</v>
      </c>
      <c r="C11" s="14">
        <v>1.5</v>
      </c>
      <c r="D11" s="16">
        <v>0.1</v>
      </c>
      <c r="E11" s="1" t="s">
        <v>5</v>
      </c>
      <c r="F11" s="23">
        <f t="shared" ca="1" si="0"/>
        <v>1</v>
      </c>
      <c r="G11" s="5">
        <f t="shared" ca="1" si="1"/>
        <v>0.22360679774997894</v>
      </c>
      <c r="H11" s="15">
        <f t="shared" ca="1" si="2"/>
        <v>3.3615472627943217</v>
      </c>
      <c r="I11" s="16">
        <f t="shared" ca="1" si="3"/>
        <v>0.22360679774997894</v>
      </c>
      <c r="Q11" s="38">
        <v>1.5</v>
      </c>
      <c r="R11" s="39">
        <v>0.1</v>
      </c>
      <c r="S11" s="40">
        <v>1</v>
      </c>
    </row>
    <row r="12" spans="1:19" x14ac:dyDescent="0.25">
      <c r="A12" s="1">
        <v>5.4</v>
      </c>
      <c r="B12" s="1">
        <v>3.7</v>
      </c>
      <c r="C12" s="14">
        <v>1.5</v>
      </c>
      <c r="D12" s="16">
        <v>0.2</v>
      </c>
      <c r="E12" s="1" t="s">
        <v>5</v>
      </c>
      <c r="F12" s="23">
        <f t="shared" ca="1" si="0"/>
        <v>1</v>
      </c>
      <c r="G12" s="5">
        <f t="shared" ca="1" si="1"/>
        <v>0.19999999999999996</v>
      </c>
      <c r="H12" s="15">
        <f t="shared" ca="1" si="2"/>
        <v>3.3241540277189316</v>
      </c>
      <c r="I12" s="16">
        <f t="shared" ca="1" si="3"/>
        <v>0.19999999999999996</v>
      </c>
      <c r="Q12" s="38">
        <v>1.5</v>
      </c>
      <c r="R12" s="39">
        <v>0.2</v>
      </c>
      <c r="S12" s="40">
        <v>1</v>
      </c>
    </row>
    <row r="13" spans="1:19" x14ac:dyDescent="0.25">
      <c r="A13" s="1">
        <v>4.8</v>
      </c>
      <c r="B13" s="1">
        <v>3.4</v>
      </c>
      <c r="C13" s="14">
        <v>1.6</v>
      </c>
      <c r="D13" s="16">
        <v>0.2</v>
      </c>
      <c r="E13" s="1" t="s">
        <v>5</v>
      </c>
      <c r="F13" s="23">
        <f t="shared" ca="1" si="0"/>
        <v>1</v>
      </c>
      <c r="G13" s="5">
        <f t="shared" ca="1" si="1"/>
        <v>0.30000000000000004</v>
      </c>
      <c r="H13" s="15">
        <f t="shared" ca="1" si="2"/>
        <v>3.2310988842807018</v>
      </c>
      <c r="I13" s="16">
        <f t="shared" ca="1" si="3"/>
        <v>0.30000000000000004</v>
      </c>
      <c r="Q13" s="38">
        <v>1.6</v>
      </c>
      <c r="R13" s="39">
        <v>0.2</v>
      </c>
      <c r="S13" s="40">
        <v>1</v>
      </c>
    </row>
    <row r="14" spans="1:19" x14ac:dyDescent="0.25">
      <c r="A14" s="1">
        <v>4.8</v>
      </c>
      <c r="B14" s="1">
        <v>3</v>
      </c>
      <c r="C14" s="14">
        <v>1.4</v>
      </c>
      <c r="D14" s="16">
        <v>0.1</v>
      </c>
      <c r="E14" s="1" t="s">
        <v>5</v>
      </c>
      <c r="F14" s="23">
        <f t="shared" ca="1" si="0"/>
        <v>1</v>
      </c>
      <c r="G14" s="5">
        <f t="shared" ca="1" si="1"/>
        <v>0.14142135623730942</v>
      </c>
      <c r="H14" s="15">
        <f t="shared" ca="1" si="2"/>
        <v>3.4539832078341086</v>
      </c>
      <c r="I14" s="16">
        <f t="shared" ca="1" si="3"/>
        <v>0.14142135623730942</v>
      </c>
      <c r="Q14" s="38">
        <v>1.4</v>
      </c>
      <c r="R14" s="39">
        <v>0.1</v>
      </c>
      <c r="S14" s="40">
        <v>1</v>
      </c>
    </row>
    <row r="15" spans="1:19" x14ac:dyDescent="0.25">
      <c r="A15" s="1">
        <v>4.3</v>
      </c>
      <c r="B15" s="1">
        <v>3</v>
      </c>
      <c r="C15" s="14">
        <v>1.1000000000000001</v>
      </c>
      <c r="D15" s="16">
        <v>0.1</v>
      </c>
      <c r="E15" s="1" t="s">
        <v>5</v>
      </c>
      <c r="F15" s="23">
        <f t="shared" ca="1" si="0"/>
        <v>1</v>
      </c>
      <c r="G15" s="5">
        <f t="shared" ca="1" si="1"/>
        <v>0.22360679774997894</v>
      </c>
      <c r="H15" s="15">
        <f t="shared" ca="1" si="2"/>
        <v>3.7336309405188932</v>
      </c>
      <c r="I15" s="16">
        <f t="shared" ca="1" si="3"/>
        <v>0.22360679774997894</v>
      </c>
      <c r="Q15" s="38">
        <v>1.1000000000000001</v>
      </c>
      <c r="R15" s="39">
        <v>0.1</v>
      </c>
      <c r="S15" s="40">
        <v>1</v>
      </c>
    </row>
    <row r="16" spans="1:19" x14ac:dyDescent="0.25">
      <c r="A16" s="1">
        <v>5.8</v>
      </c>
      <c r="B16" s="1">
        <v>4</v>
      </c>
      <c r="C16" s="14">
        <v>1.2</v>
      </c>
      <c r="D16" s="16">
        <v>0.2</v>
      </c>
      <c r="E16" s="1" t="s">
        <v>5</v>
      </c>
      <c r="F16" s="23">
        <f t="shared" ca="1" si="0"/>
        <v>1</v>
      </c>
      <c r="G16" s="5">
        <f t="shared" ca="1" si="1"/>
        <v>0.10000000000000009</v>
      </c>
      <c r="H16" s="15">
        <f t="shared" ca="1" si="2"/>
        <v>3.6055512754639887</v>
      </c>
      <c r="I16" s="16">
        <f t="shared" ca="1" si="3"/>
        <v>0.10000000000000009</v>
      </c>
      <c r="Q16" s="38">
        <v>1.2</v>
      </c>
      <c r="R16" s="39">
        <v>0.2</v>
      </c>
      <c r="S16" s="40">
        <v>1</v>
      </c>
    </row>
    <row r="17" spans="1:19" x14ac:dyDescent="0.25">
      <c r="A17" s="1">
        <v>5.7</v>
      </c>
      <c r="B17" s="1">
        <v>4.4000000000000004</v>
      </c>
      <c r="C17" s="14">
        <v>1.5</v>
      </c>
      <c r="D17" s="16">
        <v>0.4</v>
      </c>
      <c r="E17" s="1" t="s">
        <v>5</v>
      </c>
      <c r="F17" s="23">
        <f t="shared" ca="1" si="0"/>
        <v>1</v>
      </c>
      <c r="G17" s="5">
        <f t="shared" ca="1" si="1"/>
        <v>0.28284271247461901</v>
      </c>
      <c r="H17" s="15">
        <f t="shared" ca="1" si="2"/>
        <v>3.2572994949804657</v>
      </c>
      <c r="I17" s="16">
        <f t="shared" ca="1" si="3"/>
        <v>0.28284271247461901</v>
      </c>
      <c r="Q17" s="38">
        <v>1.5</v>
      </c>
      <c r="R17" s="39">
        <v>0.4</v>
      </c>
      <c r="S17" s="40">
        <v>1</v>
      </c>
    </row>
    <row r="18" spans="1:19" x14ac:dyDescent="0.25">
      <c r="A18" s="1">
        <v>5.4</v>
      </c>
      <c r="B18" s="1">
        <v>3.9</v>
      </c>
      <c r="C18" s="14">
        <v>1.3</v>
      </c>
      <c r="D18" s="16">
        <v>0.4</v>
      </c>
      <c r="E18" s="1" t="s">
        <v>5</v>
      </c>
      <c r="F18" s="23">
        <f t="shared" ca="1" si="0"/>
        <v>1</v>
      </c>
      <c r="G18" s="5">
        <f t="shared" ca="1" si="1"/>
        <v>0.2</v>
      </c>
      <c r="H18" s="15">
        <f t="shared" ca="1" si="2"/>
        <v>3.4481879299133333</v>
      </c>
      <c r="I18" s="16">
        <f t="shared" ca="1" si="3"/>
        <v>0.2</v>
      </c>
      <c r="Q18" s="38">
        <v>1.3</v>
      </c>
      <c r="R18" s="39">
        <v>0.4</v>
      </c>
      <c r="S18" s="40">
        <v>1</v>
      </c>
    </row>
    <row r="19" spans="1:19" x14ac:dyDescent="0.25">
      <c r="A19" s="1">
        <v>5.0999999999999996</v>
      </c>
      <c r="B19" s="1">
        <v>3.5</v>
      </c>
      <c r="C19" s="14">
        <v>1.4</v>
      </c>
      <c r="D19" s="16">
        <v>0.3</v>
      </c>
      <c r="E19" s="1" t="s">
        <v>5</v>
      </c>
      <c r="F19" s="23">
        <f t="shared" ca="1" si="0"/>
        <v>1</v>
      </c>
      <c r="G19" s="5">
        <f t="shared" ca="1" si="1"/>
        <v>0.14142135623730939</v>
      </c>
      <c r="H19" s="15">
        <f t="shared" ca="1" si="2"/>
        <v>3.3837848631377256</v>
      </c>
      <c r="I19" s="16">
        <f t="shared" ca="1" si="3"/>
        <v>0.14142135623730939</v>
      </c>
      <c r="Q19" s="38">
        <v>1.4</v>
      </c>
      <c r="R19" s="39">
        <v>0.3</v>
      </c>
      <c r="S19" s="40">
        <v>1</v>
      </c>
    </row>
    <row r="20" spans="1:19" x14ac:dyDescent="0.25">
      <c r="A20" s="1">
        <v>5.7</v>
      </c>
      <c r="B20" s="1">
        <v>3.8</v>
      </c>
      <c r="C20" s="14">
        <v>1.7</v>
      </c>
      <c r="D20" s="16">
        <v>0.3</v>
      </c>
      <c r="E20" s="1" t="s">
        <v>5</v>
      </c>
      <c r="F20" s="23">
        <f t="shared" ca="1" si="0"/>
        <v>1</v>
      </c>
      <c r="G20" s="5">
        <f t="shared" ca="1" si="1"/>
        <v>0.41231056256176596</v>
      </c>
      <c r="H20" s="15">
        <f t="shared" ca="1" si="2"/>
        <v>3.1016124838541637</v>
      </c>
      <c r="I20" s="16">
        <f t="shared" ca="1" si="3"/>
        <v>0.41231056256176596</v>
      </c>
      <c r="Q20" s="38">
        <v>1.7</v>
      </c>
      <c r="R20" s="39">
        <v>0.3</v>
      </c>
      <c r="S20" s="40">
        <v>1</v>
      </c>
    </row>
    <row r="21" spans="1:19" x14ac:dyDescent="0.25">
      <c r="A21" s="1">
        <v>5.0999999999999996</v>
      </c>
      <c r="B21" s="1">
        <v>3.8</v>
      </c>
      <c r="C21" s="14">
        <v>1.5</v>
      </c>
      <c r="D21" s="16">
        <v>0.3</v>
      </c>
      <c r="E21" s="1" t="s">
        <v>5</v>
      </c>
      <c r="F21" s="23">
        <f t="shared" ca="1" si="0"/>
        <v>1</v>
      </c>
      <c r="G21" s="5">
        <f t="shared" ca="1" si="1"/>
        <v>0.22360679774997891</v>
      </c>
      <c r="H21" s="15">
        <f t="shared" ca="1" si="2"/>
        <v>3.2893768406797048</v>
      </c>
      <c r="I21" s="16">
        <f t="shared" ca="1" si="3"/>
        <v>0.22360679774997891</v>
      </c>
      <c r="Q21" s="38">
        <v>1.5</v>
      </c>
      <c r="R21" s="39">
        <v>0.3</v>
      </c>
      <c r="S21" s="40">
        <v>1</v>
      </c>
    </row>
    <row r="22" spans="1:19" x14ac:dyDescent="0.25">
      <c r="A22" s="1">
        <v>5.4</v>
      </c>
      <c r="B22" s="1">
        <v>3.4</v>
      </c>
      <c r="C22" s="14">
        <v>1.7</v>
      </c>
      <c r="D22" s="16">
        <v>0.2</v>
      </c>
      <c r="E22" s="1" t="s">
        <v>5</v>
      </c>
      <c r="F22" s="23">
        <f t="shared" ca="1" si="0"/>
        <v>1</v>
      </c>
      <c r="G22" s="5">
        <f t="shared" ca="1" si="1"/>
        <v>0.39999999999999991</v>
      </c>
      <c r="H22" s="15">
        <f t="shared" ca="1" si="2"/>
        <v>3.1384709652950424</v>
      </c>
      <c r="I22" s="16">
        <f t="shared" ca="1" si="3"/>
        <v>0.39999999999999991</v>
      </c>
      <c r="Q22" s="38">
        <v>1.7</v>
      </c>
      <c r="R22" s="39">
        <v>0.2</v>
      </c>
      <c r="S22" s="40">
        <v>1</v>
      </c>
    </row>
    <row r="23" spans="1:19" x14ac:dyDescent="0.25">
      <c r="A23" s="1">
        <v>5.0999999999999996</v>
      </c>
      <c r="B23" s="1">
        <v>3.7</v>
      </c>
      <c r="C23" s="14">
        <v>1.5</v>
      </c>
      <c r="D23" s="16">
        <v>0.4</v>
      </c>
      <c r="E23" s="1" t="s">
        <v>5</v>
      </c>
      <c r="F23" s="23">
        <f t="shared" ca="1" si="0"/>
        <v>1</v>
      </c>
      <c r="G23" s="5">
        <f t="shared" ca="1" si="1"/>
        <v>0.28284271247461901</v>
      </c>
      <c r="H23" s="15">
        <f t="shared" ca="1" si="2"/>
        <v>3.2572994949804657</v>
      </c>
      <c r="I23" s="16">
        <f t="shared" ca="1" si="3"/>
        <v>0.28284271247461901</v>
      </c>
      <c r="Q23" s="38">
        <v>1.5</v>
      </c>
      <c r="R23" s="39">
        <v>0.4</v>
      </c>
      <c r="S23" s="40">
        <v>1</v>
      </c>
    </row>
    <row r="24" spans="1:19" x14ac:dyDescent="0.25">
      <c r="A24" s="1">
        <v>4.5999999999999996</v>
      </c>
      <c r="B24" s="1">
        <v>3.6</v>
      </c>
      <c r="C24" s="14">
        <v>1</v>
      </c>
      <c r="D24" s="16">
        <v>0.2</v>
      </c>
      <c r="E24" s="1" t="s">
        <v>5</v>
      </c>
      <c r="F24" s="23">
        <f t="shared" ca="1" si="0"/>
        <v>1</v>
      </c>
      <c r="G24" s="5">
        <f t="shared" ca="1" si="1"/>
        <v>0.30000000000000004</v>
      </c>
      <c r="H24" s="15">
        <f t="shared" ca="1" si="2"/>
        <v>3.7947331922020546</v>
      </c>
      <c r="I24" s="16">
        <f t="shared" ca="1" si="3"/>
        <v>0.30000000000000004</v>
      </c>
      <c r="Q24" s="38">
        <v>1</v>
      </c>
      <c r="R24" s="39">
        <v>0.2</v>
      </c>
      <c r="S24" s="40">
        <v>1</v>
      </c>
    </row>
    <row r="25" spans="1:19" x14ac:dyDescent="0.25">
      <c r="A25" s="1">
        <v>5.0999999999999996</v>
      </c>
      <c r="B25" s="1">
        <v>3.3</v>
      </c>
      <c r="C25" s="14">
        <v>1.7</v>
      </c>
      <c r="D25" s="16">
        <v>0.5</v>
      </c>
      <c r="E25" s="1" t="s">
        <v>5</v>
      </c>
      <c r="F25" s="23">
        <f t="shared" ca="1" si="0"/>
        <v>1</v>
      </c>
      <c r="G25" s="5">
        <f t="shared" ca="1" si="1"/>
        <v>0.49999999999999989</v>
      </c>
      <c r="H25" s="15">
        <f t="shared" ca="1" si="2"/>
        <v>3.0364452901377947</v>
      </c>
      <c r="I25" s="16">
        <f t="shared" ca="1" si="3"/>
        <v>0.49999999999999989</v>
      </c>
      <c r="K25" s="45" t="s">
        <v>21</v>
      </c>
      <c r="Q25" s="38">
        <v>1.7</v>
      </c>
      <c r="R25" s="39">
        <v>0.5</v>
      </c>
      <c r="S25" s="40">
        <v>1</v>
      </c>
    </row>
    <row r="26" spans="1:19" x14ac:dyDescent="0.25">
      <c r="A26" s="1">
        <v>4.8</v>
      </c>
      <c r="B26" s="1">
        <v>3.4</v>
      </c>
      <c r="C26" s="14">
        <v>1.9</v>
      </c>
      <c r="D26" s="16">
        <v>0.2</v>
      </c>
      <c r="E26" s="1" t="s">
        <v>5</v>
      </c>
      <c r="F26" s="23">
        <f t="shared" ca="1" si="0"/>
        <v>1</v>
      </c>
      <c r="G26" s="5">
        <f t="shared" ca="1" si="1"/>
        <v>0.59999999999999987</v>
      </c>
      <c r="H26" s="15">
        <f t="shared" ca="1" si="2"/>
        <v>2.954657340538831</v>
      </c>
      <c r="I26" s="16">
        <f t="shared" ca="1" si="3"/>
        <v>0.59999999999999987</v>
      </c>
      <c r="K26" s="45" t="s">
        <v>22</v>
      </c>
      <c r="Q26" s="38">
        <v>1.9</v>
      </c>
      <c r="R26" s="39">
        <v>0.2</v>
      </c>
      <c r="S26" s="40">
        <v>1</v>
      </c>
    </row>
    <row r="27" spans="1:19" x14ac:dyDescent="0.25">
      <c r="A27" s="1">
        <v>5</v>
      </c>
      <c r="B27" s="1">
        <v>3</v>
      </c>
      <c r="C27" s="14">
        <v>1.6</v>
      </c>
      <c r="D27" s="16">
        <v>0.2</v>
      </c>
      <c r="E27" s="1" t="s">
        <v>5</v>
      </c>
      <c r="F27" s="23">
        <f t="shared" ca="1" si="0"/>
        <v>1</v>
      </c>
      <c r="G27" s="5">
        <f t="shared" ca="1" si="1"/>
        <v>0.30000000000000004</v>
      </c>
      <c r="H27" s="15">
        <f t="shared" ca="1" si="2"/>
        <v>3.2310988842807018</v>
      </c>
      <c r="I27" s="16">
        <f t="shared" ca="1" si="3"/>
        <v>0.30000000000000004</v>
      </c>
      <c r="K27" s="45" t="s">
        <v>23</v>
      </c>
      <c r="Q27" s="38">
        <v>1.6</v>
      </c>
      <c r="R27" s="39">
        <v>0.2</v>
      </c>
      <c r="S27" s="40">
        <v>1</v>
      </c>
    </row>
    <row r="28" spans="1:19" x14ac:dyDescent="0.25">
      <c r="A28" s="1">
        <v>5</v>
      </c>
      <c r="B28" s="1">
        <v>3.4</v>
      </c>
      <c r="C28" s="14">
        <v>1.6</v>
      </c>
      <c r="D28" s="16">
        <v>0.4</v>
      </c>
      <c r="E28" s="1" t="s">
        <v>5</v>
      </c>
      <c r="F28" s="23">
        <f t="shared" ca="1" si="0"/>
        <v>1</v>
      </c>
      <c r="G28" s="5">
        <f t="shared" ca="1" si="1"/>
        <v>0.36055512754639896</v>
      </c>
      <c r="H28" s="15">
        <f t="shared" ca="1" si="2"/>
        <v>3.1622776601683786</v>
      </c>
      <c r="I28" s="16">
        <f t="shared" ca="1" si="3"/>
        <v>0.36055512754639896</v>
      </c>
      <c r="K28" s="45" t="s">
        <v>19</v>
      </c>
      <c r="Q28" s="38">
        <v>1.6</v>
      </c>
      <c r="R28" s="39">
        <v>0.4</v>
      </c>
      <c r="S28" s="40">
        <v>1</v>
      </c>
    </row>
    <row r="29" spans="1:19" x14ac:dyDescent="0.25">
      <c r="A29" s="1">
        <v>5.2</v>
      </c>
      <c r="B29" s="1">
        <v>3.5</v>
      </c>
      <c r="C29" s="14">
        <v>1.5</v>
      </c>
      <c r="D29" s="16">
        <v>0.2</v>
      </c>
      <c r="E29" s="1" t="s">
        <v>5</v>
      </c>
      <c r="F29" s="23">
        <f t="shared" ca="1" si="0"/>
        <v>1</v>
      </c>
      <c r="G29" s="5">
        <f t="shared" ca="1" si="1"/>
        <v>0.19999999999999996</v>
      </c>
      <c r="H29" s="15">
        <f t="shared" ca="1" si="2"/>
        <v>3.3241540277189316</v>
      </c>
      <c r="I29" s="16">
        <f t="shared" ca="1" si="3"/>
        <v>0.19999999999999996</v>
      </c>
      <c r="K29" s="45" t="s">
        <v>20</v>
      </c>
      <c r="Q29" s="38">
        <v>1.5</v>
      </c>
      <c r="R29" s="39">
        <v>0.2</v>
      </c>
      <c r="S29" s="40">
        <v>1</v>
      </c>
    </row>
    <row r="30" spans="1:19" x14ac:dyDescent="0.25">
      <c r="A30" s="1">
        <v>5.2</v>
      </c>
      <c r="B30" s="1">
        <v>3.4</v>
      </c>
      <c r="C30" s="14">
        <v>1.4</v>
      </c>
      <c r="D30" s="16">
        <v>0.2</v>
      </c>
      <c r="E30" s="1" t="s">
        <v>5</v>
      </c>
      <c r="F30" s="23">
        <f t="shared" ca="1" si="0"/>
        <v>1</v>
      </c>
      <c r="G30" s="5">
        <f t="shared" ca="1" si="1"/>
        <v>9.9999999999999867E-2</v>
      </c>
      <c r="H30" s="15">
        <f t="shared" ca="1" si="2"/>
        <v>3.417601498127012</v>
      </c>
      <c r="I30" s="16">
        <f t="shared" ca="1" si="3"/>
        <v>9.9999999999999867E-2</v>
      </c>
      <c r="K30" s="44"/>
      <c r="Q30" s="38">
        <v>1.4</v>
      </c>
      <c r="R30" s="39">
        <v>0.2</v>
      </c>
      <c r="S30" s="40">
        <v>1</v>
      </c>
    </row>
    <row r="31" spans="1:19" x14ac:dyDescent="0.25">
      <c r="A31" s="1">
        <v>4.7</v>
      </c>
      <c r="B31" s="1">
        <v>3.2</v>
      </c>
      <c r="C31" s="14">
        <v>1.6</v>
      </c>
      <c r="D31" s="16">
        <v>0.2</v>
      </c>
      <c r="E31" s="1" t="s">
        <v>5</v>
      </c>
      <c r="F31" s="23">
        <f t="shared" ca="1" si="0"/>
        <v>1</v>
      </c>
      <c r="G31" s="5">
        <f t="shared" ca="1" si="1"/>
        <v>0.30000000000000004</v>
      </c>
      <c r="H31" s="15">
        <f t="shared" ca="1" si="2"/>
        <v>3.2310988842807018</v>
      </c>
      <c r="I31" s="16">
        <f t="shared" ca="1" si="3"/>
        <v>0.30000000000000004</v>
      </c>
      <c r="Q31" s="38">
        <v>1.6</v>
      </c>
      <c r="R31" s="39">
        <v>0.2</v>
      </c>
      <c r="S31" s="40">
        <v>1</v>
      </c>
    </row>
    <row r="32" spans="1:19" x14ac:dyDescent="0.25">
      <c r="A32" s="1">
        <v>4.8</v>
      </c>
      <c r="B32" s="1">
        <v>3.1</v>
      </c>
      <c r="C32" s="14">
        <v>1.6</v>
      </c>
      <c r="D32" s="16">
        <v>0.2</v>
      </c>
      <c r="E32" s="1" t="s">
        <v>5</v>
      </c>
      <c r="F32" s="23">
        <f t="shared" ca="1" si="0"/>
        <v>1</v>
      </c>
      <c r="G32" s="5">
        <f t="shared" ca="1" si="1"/>
        <v>0.30000000000000004</v>
      </c>
      <c r="H32" s="15">
        <f t="shared" ca="1" si="2"/>
        <v>3.2310988842807018</v>
      </c>
      <c r="I32" s="16">
        <f t="shared" ca="1" si="3"/>
        <v>0.30000000000000004</v>
      </c>
      <c r="Q32" s="38">
        <v>1.6</v>
      </c>
      <c r="R32" s="39">
        <v>0.2</v>
      </c>
      <c r="S32" s="40">
        <v>1</v>
      </c>
    </row>
    <row r="33" spans="1:19" x14ac:dyDescent="0.25">
      <c r="A33" s="1">
        <v>5.4</v>
      </c>
      <c r="B33" s="1">
        <v>3.4</v>
      </c>
      <c r="C33" s="14">
        <v>1.5</v>
      </c>
      <c r="D33" s="16">
        <v>0.4</v>
      </c>
      <c r="E33" s="1" t="s">
        <v>5</v>
      </c>
      <c r="F33" s="23">
        <f t="shared" ca="1" si="0"/>
        <v>1</v>
      </c>
      <c r="G33" s="5">
        <f t="shared" ca="1" si="1"/>
        <v>0.28284271247461901</v>
      </c>
      <c r="H33" s="15">
        <f t="shared" ca="1" si="2"/>
        <v>3.2572994949804657</v>
      </c>
      <c r="I33" s="16">
        <f t="shared" ca="1" si="3"/>
        <v>0.28284271247461901</v>
      </c>
      <c r="Q33" s="38">
        <v>1.5</v>
      </c>
      <c r="R33" s="39">
        <v>0.4</v>
      </c>
      <c r="S33" s="40">
        <v>1</v>
      </c>
    </row>
    <row r="34" spans="1:19" x14ac:dyDescent="0.25">
      <c r="A34" s="1">
        <v>5.2</v>
      </c>
      <c r="B34" s="1">
        <v>4.0999999999999996</v>
      </c>
      <c r="C34" s="14">
        <v>1.5</v>
      </c>
      <c r="D34" s="16">
        <v>0.1</v>
      </c>
      <c r="E34" s="1" t="s">
        <v>5</v>
      </c>
      <c r="F34" s="23">
        <f t="shared" ca="1" si="0"/>
        <v>1</v>
      </c>
      <c r="G34" s="5">
        <f t="shared" ca="1" si="1"/>
        <v>0.22360679774997894</v>
      </c>
      <c r="H34" s="15">
        <f t="shared" ca="1" si="2"/>
        <v>3.3615472627943217</v>
      </c>
      <c r="I34" s="16">
        <f t="shared" ca="1" si="3"/>
        <v>0.22360679774997894</v>
      </c>
      <c r="Q34" s="38">
        <v>1.5</v>
      </c>
      <c r="R34" s="39">
        <v>0.1</v>
      </c>
      <c r="S34" s="40">
        <v>1</v>
      </c>
    </row>
    <row r="35" spans="1:19" x14ac:dyDescent="0.25">
      <c r="A35" s="1">
        <v>5.5</v>
      </c>
      <c r="B35" s="1">
        <v>4.2</v>
      </c>
      <c r="C35" s="14">
        <v>1.4</v>
      </c>
      <c r="D35" s="16">
        <v>0.2</v>
      </c>
      <c r="E35" s="1" t="s">
        <v>5</v>
      </c>
      <c r="F35" s="23">
        <f t="shared" ca="1" si="0"/>
        <v>1</v>
      </c>
      <c r="G35" s="5">
        <f t="shared" ca="1" si="1"/>
        <v>9.9999999999999867E-2</v>
      </c>
      <c r="H35" s="15">
        <f t="shared" ca="1" si="2"/>
        <v>3.417601498127012</v>
      </c>
      <c r="I35" s="16">
        <f t="shared" ca="1" si="3"/>
        <v>9.9999999999999867E-2</v>
      </c>
      <c r="Q35" s="38">
        <v>1.4</v>
      </c>
      <c r="R35" s="39">
        <v>0.2</v>
      </c>
      <c r="S35" s="40">
        <v>1</v>
      </c>
    </row>
    <row r="36" spans="1:19" x14ac:dyDescent="0.25">
      <c r="A36" s="1">
        <v>4.9000000000000004</v>
      </c>
      <c r="B36" s="1">
        <v>3.1</v>
      </c>
      <c r="C36" s="14">
        <v>1.5</v>
      </c>
      <c r="D36" s="16">
        <v>0.2</v>
      </c>
      <c r="E36" s="1" t="s">
        <v>5</v>
      </c>
      <c r="F36" s="23">
        <f t="shared" ca="1" si="0"/>
        <v>1</v>
      </c>
      <c r="G36" s="5">
        <f t="shared" ca="1" si="1"/>
        <v>0.19999999999999996</v>
      </c>
      <c r="H36" s="15">
        <f t="shared" ca="1" si="2"/>
        <v>3.3241540277189316</v>
      </c>
      <c r="I36" s="16">
        <f t="shared" ca="1" si="3"/>
        <v>0.19999999999999996</v>
      </c>
      <c r="Q36" s="38">
        <v>1.5</v>
      </c>
      <c r="R36" s="39">
        <v>0.2</v>
      </c>
      <c r="S36" s="40">
        <v>1</v>
      </c>
    </row>
    <row r="37" spans="1:19" x14ac:dyDescent="0.25">
      <c r="A37" s="1">
        <v>5</v>
      </c>
      <c r="B37" s="1">
        <v>3.2</v>
      </c>
      <c r="C37" s="14">
        <v>1.2</v>
      </c>
      <c r="D37" s="16">
        <v>0.2</v>
      </c>
      <c r="E37" s="1" t="s">
        <v>5</v>
      </c>
      <c r="F37" s="23">
        <f t="shared" ca="1" si="0"/>
        <v>1</v>
      </c>
      <c r="G37" s="5">
        <f t="shared" ca="1" si="1"/>
        <v>0.10000000000000009</v>
      </c>
      <c r="H37" s="15">
        <f t="shared" ca="1" si="2"/>
        <v>3.6055512754639887</v>
      </c>
      <c r="I37" s="16">
        <f t="shared" ca="1" si="3"/>
        <v>0.10000000000000009</v>
      </c>
      <c r="Q37" s="38">
        <v>1.2</v>
      </c>
      <c r="R37" s="39">
        <v>0.2</v>
      </c>
      <c r="S37" s="40">
        <v>1</v>
      </c>
    </row>
    <row r="38" spans="1:19" x14ac:dyDescent="0.25">
      <c r="A38" s="1">
        <v>5.5</v>
      </c>
      <c r="B38" s="1">
        <v>3.5</v>
      </c>
      <c r="C38" s="14">
        <v>1.3</v>
      </c>
      <c r="D38" s="16">
        <v>0.2</v>
      </c>
      <c r="E38" s="1" t="s">
        <v>5</v>
      </c>
      <c r="F38" s="23">
        <f t="shared" ca="1" si="0"/>
        <v>1</v>
      </c>
      <c r="G38" s="5">
        <f t="shared" ca="1" si="1"/>
        <v>0</v>
      </c>
      <c r="H38" s="15">
        <f t="shared" ca="1" si="2"/>
        <v>3.5114099732158874</v>
      </c>
      <c r="I38" s="16">
        <f t="shared" ca="1" si="3"/>
        <v>0</v>
      </c>
      <c r="Q38" s="38">
        <v>1.3</v>
      </c>
      <c r="R38" s="39">
        <v>0.2</v>
      </c>
      <c r="S38" s="40">
        <v>1</v>
      </c>
    </row>
    <row r="39" spans="1:19" x14ac:dyDescent="0.25">
      <c r="A39" s="1">
        <v>4.9000000000000004</v>
      </c>
      <c r="B39" s="1">
        <v>3.6</v>
      </c>
      <c r="C39" s="14">
        <v>1.4</v>
      </c>
      <c r="D39" s="16">
        <v>0.1</v>
      </c>
      <c r="E39" s="1" t="s">
        <v>5</v>
      </c>
      <c r="F39" s="23">
        <f t="shared" ca="1" si="0"/>
        <v>1</v>
      </c>
      <c r="G39" s="5">
        <f t="shared" ca="1" si="1"/>
        <v>0.14142135623730942</v>
      </c>
      <c r="H39" s="15">
        <f t="shared" ca="1" si="2"/>
        <v>3.4539832078341086</v>
      </c>
      <c r="I39" s="16">
        <f t="shared" ca="1" si="3"/>
        <v>0.14142135623730942</v>
      </c>
      <c r="Q39" s="38">
        <v>1.4</v>
      </c>
      <c r="R39" s="39">
        <v>0.1</v>
      </c>
      <c r="S39" s="40">
        <v>1</v>
      </c>
    </row>
    <row r="40" spans="1:19" x14ac:dyDescent="0.25">
      <c r="A40" s="1">
        <v>4.4000000000000004</v>
      </c>
      <c r="B40" s="1">
        <v>3</v>
      </c>
      <c r="C40" s="14">
        <v>1.3</v>
      </c>
      <c r="D40" s="16">
        <v>0.2</v>
      </c>
      <c r="E40" s="1" t="s">
        <v>5</v>
      </c>
      <c r="F40" s="23">
        <f t="shared" ca="1" si="0"/>
        <v>1</v>
      </c>
      <c r="G40" s="5">
        <f t="shared" ca="1" si="1"/>
        <v>0</v>
      </c>
      <c r="H40" s="15">
        <f t="shared" ca="1" si="2"/>
        <v>3.5114099732158874</v>
      </c>
      <c r="I40" s="16">
        <f t="shared" ca="1" si="3"/>
        <v>0</v>
      </c>
      <c r="Q40" s="38">
        <v>1.3</v>
      </c>
      <c r="R40" s="39">
        <v>0.2</v>
      </c>
      <c r="S40" s="40">
        <v>1</v>
      </c>
    </row>
    <row r="41" spans="1:19" x14ac:dyDescent="0.25">
      <c r="A41" s="1">
        <v>5.0999999999999996</v>
      </c>
      <c r="B41" s="1">
        <v>3.4</v>
      </c>
      <c r="C41" s="14">
        <v>1.5</v>
      </c>
      <c r="D41" s="16">
        <v>0.2</v>
      </c>
      <c r="E41" s="1" t="s">
        <v>5</v>
      </c>
      <c r="F41" s="23">
        <f t="shared" ca="1" si="0"/>
        <v>1</v>
      </c>
      <c r="G41" s="5">
        <f t="shared" ca="1" si="1"/>
        <v>0.19999999999999996</v>
      </c>
      <c r="H41" s="15">
        <f t="shared" ca="1" si="2"/>
        <v>3.3241540277189316</v>
      </c>
      <c r="I41" s="16">
        <f t="shared" ca="1" si="3"/>
        <v>0.19999999999999996</v>
      </c>
      <c r="Q41" s="38">
        <v>1.5</v>
      </c>
      <c r="R41" s="39">
        <v>0.2</v>
      </c>
      <c r="S41" s="40">
        <v>1</v>
      </c>
    </row>
    <row r="42" spans="1:19" x14ac:dyDescent="0.25">
      <c r="A42" s="1">
        <v>5</v>
      </c>
      <c r="B42" s="1">
        <v>3.5</v>
      </c>
      <c r="C42" s="14">
        <v>1.3</v>
      </c>
      <c r="D42" s="16">
        <v>0.3</v>
      </c>
      <c r="E42" s="1" t="s">
        <v>5</v>
      </c>
      <c r="F42" s="23">
        <f t="shared" ca="1" si="0"/>
        <v>1</v>
      </c>
      <c r="G42" s="5">
        <f t="shared" ca="1" si="1"/>
        <v>9.9999999999999978E-2</v>
      </c>
      <c r="H42" s="15">
        <f t="shared" ca="1" si="2"/>
        <v>3.4785054261852171</v>
      </c>
      <c r="I42" s="16">
        <f t="shared" ca="1" si="3"/>
        <v>9.9999999999999978E-2</v>
      </c>
      <c r="Q42" s="38">
        <v>1.3</v>
      </c>
      <c r="R42" s="39">
        <v>0.3</v>
      </c>
      <c r="S42" s="40">
        <v>1</v>
      </c>
    </row>
    <row r="43" spans="1:19" x14ac:dyDescent="0.25">
      <c r="A43" s="1">
        <v>4.5</v>
      </c>
      <c r="B43" s="1">
        <v>2.2999999999999998</v>
      </c>
      <c r="C43" s="14">
        <v>1.3</v>
      </c>
      <c r="D43" s="16">
        <v>0.3</v>
      </c>
      <c r="E43" s="1" t="s">
        <v>5</v>
      </c>
      <c r="F43" s="23">
        <f t="shared" ca="1" si="0"/>
        <v>1</v>
      </c>
      <c r="G43" s="5">
        <f t="shared" ca="1" si="1"/>
        <v>9.9999999999999978E-2</v>
      </c>
      <c r="H43" s="15">
        <f t="shared" ca="1" si="2"/>
        <v>3.4785054261852171</v>
      </c>
      <c r="I43" s="16">
        <f t="shared" ca="1" si="3"/>
        <v>9.9999999999999978E-2</v>
      </c>
      <c r="Q43" s="38">
        <v>1.3</v>
      </c>
      <c r="R43" s="39">
        <v>0.3</v>
      </c>
      <c r="S43" s="40">
        <v>1</v>
      </c>
    </row>
    <row r="44" spans="1:19" x14ac:dyDescent="0.25">
      <c r="A44" s="1">
        <v>4.4000000000000004</v>
      </c>
      <c r="B44" s="1">
        <v>3.2</v>
      </c>
      <c r="C44" s="14">
        <v>1.3</v>
      </c>
      <c r="D44" s="16">
        <v>0.2</v>
      </c>
      <c r="E44" s="1" t="s">
        <v>5</v>
      </c>
      <c r="F44" s="23">
        <f t="shared" ca="1" si="0"/>
        <v>1</v>
      </c>
      <c r="G44" s="5">
        <f t="shared" ca="1" si="1"/>
        <v>0</v>
      </c>
      <c r="H44" s="15">
        <f t="shared" ca="1" si="2"/>
        <v>3.5114099732158874</v>
      </c>
      <c r="I44" s="16">
        <f t="shared" ca="1" si="3"/>
        <v>0</v>
      </c>
      <c r="Q44" s="38">
        <v>1.3</v>
      </c>
      <c r="R44" s="39">
        <v>0.2</v>
      </c>
      <c r="S44" s="40">
        <v>1</v>
      </c>
    </row>
    <row r="45" spans="1:19" x14ac:dyDescent="0.25">
      <c r="A45" s="1">
        <v>5</v>
      </c>
      <c r="B45" s="1">
        <v>3.5</v>
      </c>
      <c r="C45" s="14">
        <v>1.6</v>
      </c>
      <c r="D45" s="16">
        <v>0.6</v>
      </c>
      <c r="E45" s="1" t="s">
        <v>5</v>
      </c>
      <c r="F45" s="23">
        <f t="shared" ca="1" si="0"/>
        <v>1</v>
      </c>
      <c r="G45" s="5">
        <f t="shared" ca="1" si="1"/>
        <v>0.5</v>
      </c>
      <c r="H45" s="15">
        <f t="shared" ca="1" si="2"/>
        <v>3.104834939252004</v>
      </c>
      <c r="I45" s="16">
        <f t="shared" ca="1" si="3"/>
        <v>0.5</v>
      </c>
      <c r="Q45" s="38">
        <v>1.6</v>
      </c>
      <c r="R45" s="39">
        <v>0.6</v>
      </c>
      <c r="S45" s="40">
        <v>1</v>
      </c>
    </row>
    <row r="46" spans="1:19" x14ac:dyDescent="0.25">
      <c r="A46" s="1">
        <v>5.0999999999999996</v>
      </c>
      <c r="B46" s="1">
        <v>3.8</v>
      </c>
      <c r="C46" s="14">
        <v>1.9</v>
      </c>
      <c r="D46" s="16">
        <v>0.4</v>
      </c>
      <c r="E46" s="1" t="s">
        <v>5</v>
      </c>
      <c r="F46" s="23">
        <f t="shared" ca="1" si="0"/>
        <v>1</v>
      </c>
      <c r="G46" s="5">
        <f t="shared" ca="1" si="1"/>
        <v>0.63245553203367566</v>
      </c>
      <c r="H46" s="15">
        <f t="shared" ca="1" si="2"/>
        <v>2.8792360097775931</v>
      </c>
      <c r="I46" s="16">
        <f t="shared" ca="1" si="3"/>
        <v>0.63245553203367566</v>
      </c>
      <c r="Q46" s="38">
        <v>1.9</v>
      </c>
      <c r="R46" s="39">
        <v>0.4</v>
      </c>
      <c r="S46" s="40">
        <v>1</v>
      </c>
    </row>
    <row r="47" spans="1:19" x14ac:dyDescent="0.25">
      <c r="A47" s="1">
        <v>4.8</v>
      </c>
      <c r="B47" s="1">
        <v>3</v>
      </c>
      <c r="C47" s="14">
        <v>1.4</v>
      </c>
      <c r="D47" s="16">
        <v>0.3</v>
      </c>
      <c r="E47" s="1" t="s">
        <v>5</v>
      </c>
      <c r="F47" s="23">
        <f t="shared" ca="1" si="0"/>
        <v>1</v>
      </c>
      <c r="G47" s="5">
        <f t="shared" ca="1" si="1"/>
        <v>0.14142135623730939</v>
      </c>
      <c r="H47" s="15">
        <f t="shared" ca="1" si="2"/>
        <v>3.3837848631377256</v>
      </c>
      <c r="I47" s="16">
        <f t="shared" ca="1" si="3"/>
        <v>0.14142135623730939</v>
      </c>
      <c r="Q47" s="38">
        <v>1.4</v>
      </c>
      <c r="R47" s="39">
        <v>0.3</v>
      </c>
      <c r="S47" s="40">
        <v>1</v>
      </c>
    </row>
    <row r="48" spans="1:19" x14ac:dyDescent="0.25">
      <c r="A48" s="1">
        <v>5.0999999999999996</v>
      </c>
      <c r="B48" s="1">
        <v>3.8</v>
      </c>
      <c r="C48" s="14">
        <v>1.6</v>
      </c>
      <c r="D48" s="16">
        <v>0.2</v>
      </c>
      <c r="E48" s="1" t="s">
        <v>5</v>
      </c>
      <c r="F48" s="23">
        <f t="shared" ca="1" si="0"/>
        <v>1</v>
      </c>
      <c r="G48" s="5">
        <f t="shared" ca="1" si="1"/>
        <v>0.30000000000000004</v>
      </c>
      <c r="H48" s="15">
        <f t="shared" ca="1" si="2"/>
        <v>3.2310988842807018</v>
      </c>
      <c r="I48" s="16">
        <f t="shared" ca="1" si="3"/>
        <v>0.30000000000000004</v>
      </c>
      <c r="Q48" s="38">
        <v>1.6</v>
      </c>
      <c r="R48" s="39">
        <v>0.2</v>
      </c>
      <c r="S48" s="40">
        <v>1</v>
      </c>
    </row>
    <row r="49" spans="1:19" x14ac:dyDescent="0.25">
      <c r="A49" s="1">
        <v>4.5999999999999996</v>
      </c>
      <c r="B49" s="1">
        <v>3.2</v>
      </c>
      <c r="C49" s="14">
        <v>1.4</v>
      </c>
      <c r="D49" s="16">
        <v>0.2</v>
      </c>
      <c r="E49" s="1" t="s">
        <v>5</v>
      </c>
      <c r="F49" s="23">
        <f t="shared" ca="1" si="0"/>
        <v>1</v>
      </c>
      <c r="G49" s="5">
        <f t="shared" ca="1" si="1"/>
        <v>9.9999999999999867E-2</v>
      </c>
      <c r="H49" s="15">
        <f t="shared" ca="1" si="2"/>
        <v>3.417601498127012</v>
      </c>
      <c r="I49" s="16">
        <f t="shared" ca="1" si="3"/>
        <v>9.9999999999999867E-2</v>
      </c>
      <c r="Q49" s="38">
        <v>1.4</v>
      </c>
      <c r="R49" s="39">
        <v>0.2</v>
      </c>
      <c r="S49" s="40">
        <v>1</v>
      </c>
    </row>
    <row r="50" spans="1:19" x14ac:dyDescent="0.25">
      <c r="A50" s="1">
        <v>5.3</v>
      </c>
      <c r="B50" s="1">
        <v>3.7</v>
      </c>
      <c r="C50" s="14">
        <v>1.5</v>
      </c>
      <c r="D50" s="16">
        <v>0.2</v>
      </c>
      <c r="E50" s="1" t="s">
        <v>5</v>
      </c>
      <c r="F50" s="23">
        <f t="shared" ca="1" si="0"/>
        <v>1</v>
      </c>
      <c r="G50" s="5">
        <f t="shared" ca="1" si="1"/>
        <v>0.19999999999999996</v>
      </c>
      <c r="H50" s="15">
        <f t="shared" ca="1" si="2"/>
        <v>3.3241540277189316</v>
      </c>
      <c r="I50" s="16">
        <f t="shared" ca="1" si="3"/>
        <v>0.19999999999999996</v>
      </c>
      <c r="Q50" s="38">
        <v>1.5</v>
      </c>
      <c r="R50" s="39">
        <v>0.2</v>
      </c>
      <c r="S50" s="40">
        <v>1</v>
      </c>
    </row>
    <row r="51" spans="1:19" x14ac:dyDescent="0.25">
      <c r="A51" s="1">
        <v>5</v>
      </c>
      <c r="B51" s="1">
        <v>3.3</v>
      </c>
      <c r="C51" s="14">
        <v>1.4</v>
      </c>
      <c r="D51" s="16">
        <v>0.2</v>
      </c>
      <c r="E51" s="1" t="s">
        <v>5</v>
      </c>
      <c r="F51" s="23">
        <f t="shared" ca="1" si="0"/>
        <v>1</v>
      </c>
      <c r="G51" s="5">
        <f t="shared" ca="1" si="1"/>
        <v>9.9999999999999867E-2</v>
      </c>
      <c r="H51" s="15">
        <f t="shared" ca="1" si="2"/>
        <v>3.417601498127012</v>
      </c>
      <c r="I51" s="16">
        <f t="shared" ca="1" si="3"/>
        <v>9.9999999999999867E-2</v>
      </c>
      <c r="Q51" s="38">
        <v>1.4</v>
      </c>
      <c r="R51" s="39">
        <v>0.2</v>
      </c>
      <c r="S51" s="40">
        <v>1</v>
      </c>
    </row>
    <row r="52" spans="1:19" x14ac:dyDescent="0.25">
      <c r="A52" s="1">
        <v>7</v>
      </c>
      <c r="B52" s="1">
        <v>3.2</v>
      </c>
      <c r="C52" s="14">
        <v>4.7</v>
      </c>
      <c r="D52" s="16">
        <v>1.4</v>
      </c>
      <c r="E52" s="1" t="s">
        <v>6</v>
      </c>
      <c r="F52" s="23">
        <f t="shared" ca="1" si="0"/>
        <v>2</v>
      </c>
      <c r="G52" s="5">
        <f t="shared" ca="1" si="1"/>
        <v>3.6055512754639896</v>
      </c>
      <c r="H52" s="15">
        <f t="shared" ca="1" si="2"/>
        <v>0.10000000000000053</v>
      </c>
      <c r="I52" s="16">
        <f t="shared" ca="1" si="3"/>
        <v>0.10000000000000053</v>
      </c>
      <c r="Q52" s="38">
        <v>3</v>
      </c>
      <c r="R52" s="39">
        <v>1.1000000000000001</v>
      </c>
      <c r="S52" s="40">
        <v>1</v>
      </c>
    </row>
    <row r="53" spans="1:19" x14ac:dyDescent="0.25">
      <c r="A53" s="1">
        <v>6.4</v>
      </c>
      <c r="B53" s="1">
        <v>3.2</v>
      </c>
      <c r="C53" s="14">
        <v>4.5</v>
      </c>
      <c r="D53" s="16">
        <v>1.5</v>
      </c>
      <c r="E53" s="1" t="s">
        <v>6</v>
      </c>
      <c r="F53" s="23">
        <f t="shared" ca="1" si="0"/>
        <v>2</v>
      </c>
      <c r="G53" s="5">
        <f t="shared" ca="1" si="1"/>
        <v>3.4539832078341091</v>
      </c>
      <c r="H53" s="15">
        <f t="shared" ca="1" si="2"/>
        <v>0.14142135623730931</v>
      </c>
      <c r="I53" s="16">
        <f t="shared" ca="1" si="3"/>
        <v>0.14142135623730931</v>
      </c>
      <c r="Q53" s="38">
        <v>4.7</v>
      </c>
      <c r="R53" s="39">
        <v>1.4</v>
      </c>
      <c r="S53" s="40">
        <v>2</v>
      </c>
    </row>
    <row r="54" spans="1:19" x14ac:dyDescent="0.25">
      <c r="A54" s="1">
        <v>6.9</v>
      </c>
      <c r="B54" s="1">
        <v>3.1</v>
      </c>
      <c r="C54" s="14">
        <v>4.9000000000000004</v>
      </c>
      <c r="D54" s="16">
        <v>1.5</v>
      </c>
      <c r="E54" s="1" t="s">
        <v>6</v>
      </c>
      <c r="F54" s="23">
        <f t="shared" ca="1" si="0"/>
        <v>2</v>
      </c>
      <c r="G54" s="5">
        <f t="shared" ca="1" si="1"/>
        <v>3.8275318418009281</v>
      </c>
      <c r="H54" s="15">
        <f t="shared" ca="1" si="2"/>
        <v>0.31622776601683866</v>
      </c>
      <c r="I54" s="16">
        <f t="shared" ca="1" si="3"/>
        <v>0.31622776601683866</v>
      </c>
      <c r="Q54" s="38">
        <v>4.5</v>
      </c>
      <c r="R54" s="39">
        <v>1.5</v>
      </c>
      <c r="S54" s="40">
        <v>2</v>
      </c>
    </row>
    <row r="55" spans="1:19" x14ac:dyDescent="0.25">
      <c r="A55" s="1">
        <v>5.5</v>
      </c>
      <c r="B55" s="1">
        <v>2.2999999999999998</v>
      </c>
      <c r="C55" s="14">
        <v>4</v>
      </c>
      <c r="D55" s="16">
        <v>1.3</v>
      </c>
      <c r="E55" s="1" t="s">
        <v>6</v>
      </c>
      <c r="F55" s="23">
        <f t="shared" ca="1" si="0"/>
        <v>2</v>
      </c>
      <c r="G55" s="5">
        <f t="shared" ca="1" si="1"/>
        <v>2.9154759474226504</v>
      </c>
      <c r="H55" s="15">
        <f t="shared" ca="1" si="2"/>
        <v>0.60827625302982158</v>
      </c>
      <c r="I55" s="16">
        <f t="shared" ca="1" si="3"/>
        <v>0.60827625302982158</v>
      </c>
      <c r="Q55" s="38">
        <v>4.9000000000000004</v>
      </c>
      <c r="R55" s="39">
        <v>1.5</v>
      </c>
      <c r="S55" s="40">
        <v>2</v>
      </c>
    </row>
    <row r="56" spans="1:19" x14ac:dyDescent="0.25">
      <c r="A56" s="1">
        <v>6.5</v>
      </c>
      <c r="B56" s="1">
        <v>2.8</v>
      </c>
      <c r="C56" s="14">
        <v>4.5999999999999996</v>
      </c>
      <c r="D56" s="16">
        <v>1.5</v>
      </c>
      <c r="E56" s="1" t="s">
        <v>6</v>
      </c>
      <c r="F56" s="23">
        <f t="shared" ca="1" si="0"/>
        <v>2</v>
      </c>
      <c r="G56" s="5">
        <f t="shared" ca="1" si="1"/>
        <v>3.5468295701936396</v>
      </c>
      <c r="H56" s="15">
        <f t="shared" ca="1" si="2"/>
        <v>0.10000000000000009</v>
      </c>
      <c r="I56" s="16">
        <f t="shared" ca="1" si="3"/>
        <v>0.10000000000000009</v>
      </c>
      <c r="Q56" s="38">
        <v>4</v>
      </c>
      <c r="R56" s="39">
        <v>1.3</v>
      </c>
      <c r="S56" s="40">
        <v>2</v>
      </c>
    </row>
    <row r="57" spans="1:19" x14ac:dyDescent="0.25">
      <c r="A57" s="1">
        <v>5.7</v>
      </c>
      <c r="B57" s="1">
        <v>2.8</v>
      </c>
      <c r="C57" s="14">
        <v>4.5</v>
      </c>
      <c r="D57" s="16">
        <v>1.3</v>
      </c>
      <c r="E57" s="1" t="s">
        <v>6</v>
      </c>
      <c r="F57" s="23">
        <f t="shared" ca="1" si="0"/>
        <v>2</v>
      </c>
      <c r="G57" s="5">
        <f t="shared" ca="1" si="1"/>
        <v>3.3837848631377265</v>
      </c>
      <c r="H57" s="15">
        <f t="shared" ca="1" si="2"/>
        <v>0.14142135623730917</v>
      </c>
      <c r="I57" s="16">
        <f t="shared" ca="1" si="3"/>
        <v>0.14142135623730917</v>
      </c>
      <c r="Q57" s="38">
        <v>4.5999999999999996</v>
      </c>
      <c r="R57" s="39">
        <v>1.5</v>
      </c>
      <c r="S57" s="40">
        <v>2</v>
      </c>
    </row>
    <row r="58" spans="1:19" x14ac:dyDescent="0.25">
      <c r="A58" s="1">
        <v>6.3</v>
      </c>
      <c r="B58" s="1">
        <v>3.3</v>
      </c>
      <c r="C58" s="14">
        <v>4.7</v>
      </c>
      <c r="D58" s="16">
        <v>1.6</v>
      </c>
      <c r="E58" s="1" t="s">
        <v>6</v>
      </c>
      <c r="F58" s="23">
        <f t="shared" ca="1" si="0"/>
        <v>2</v>
      </c>
      <c r="G58" s="5">
        <f t="shared" ca="1" si="1"/>
        <v>3.6769552621700474</v>
      </c>
      <c r="H58" s="15">
        <f t="shared" ca="1" si="2"/>
        <v>0.22360679774997935</v>
      </c>
      <c r="I58" s="16">
        <f t="shared" ca="1" si="3"/>
        <v>0.22360679774997935</v>
      </c>
      <c r="Q58" s="38">
        <v>4.5</v>
      </c>
      <c r="R58" s="39">
        <v>1.3</v>
      </c>
      <c r="S58" s="40">
        <v>2</v>
      </c>
    </row>
    <row r="59" spans="1:19" x14ac:dyDescent="0.25">
      <c r="A59" s="1">
        <v>4.9000000000000004</v>
      </c>
      <c r="B59" s="1">
        <v>2.4</v>
      </c>
      <c r="C59" s="14">
        <v>3.3</v>
      </c>
      <c r="D59" s="16">
        <v>1</v>
      </c>
      <c r="E59" s="1" t="s">
        <v>6</v>
      </c>
      <c r="F59" s="23">
        <f t="shared" ca="1" si="0"/>
        <v>2</v>
      </c>
      <c r="G59" s="5">
        <f t="shared" ca="1" si="1"/>
        <v>2.1540659228538015</v>
      </c>
      <c r="H59" s="15">
        <f t="shared" ca="1" si="2"/>
        <v>1.360147050873544</v>
      </c>
      <c r="I59" s="16">
        <f t="shared" ca="1" si="3"/>
        <v>1.360147050873544</v>
      </c>
      <c r="Q59" s="38">
        <v>4.7</v>
      </c>
      <c r="R59" s="39">
        <v>1.6</v>
      </c>
      <c r="S59" s="40">
        <v>2</v>
      </c>
    </row>
    <row r="60" spans="1:19" x14ac:dyDescent="0.25">
      <c r="A60" s="1">
        <v>6.6</v>
      </c>
      <c r="B60" s="1">
        <v>2.9</v>
      </c>
      <c r="C60" s="14">
        <v>4.5999999999999996</v>
      </c>
      <c r="D60" s="16">
        <v>1.3</v>
      </c>
      <c r="E60" s="1" t="s">
        <v>6</v>
      </c>
      <c r="F60" s="23">
        <f t="shared" ca="1" si="0"/>
        <v>2</v>
      </c>
      <c r="G60" s="5">
        <f t="shared" ca="1" si="1"/>
        <v>3.4785054261852171</v>
      </c>
      <c r="H60" s="15">
        <f t="shared" ca="1" si="2"/>
        <v>9.9999999999999867E-2</v>
      </c>
      <c r="I60" s="16">
        <f t="shared" ca="1" si="3"/>
        <v>9.9999999999999867E-2</v>
      </c>
      <c r="Q60" s="38">
        <v>3.3</v>
      </c>
      <c r="R60" s="39">
        <v>1</v>
      </c>
      <c r="S60" s="40">
        <v>2</v>
      </c>
    </row>
    <row r="61" spans="1:19" x14ac:dyDescent="0.25">
      <c r="A61" s="1">
        <v>5.2</v>
      </c>
      <c r="B61" s="1">
        <v>2.7</v>
      </c>
      <c r="C61" s="14">
        <v>3.9</v>
      </c>
      <c r="D61" s="16">
        <v>1.4</v>
      </c>
      <c r="E61" s="1" t="s">
        <v>6</v>
      </c>
      <c r="F61" s="23">
        <f t="shared" ca="1" si="0"/>
        <v>2</v>
      </c>
      <c r="G61" s="5">
        <f t="shared" ca="1" si="1"/>
        <v>2.8635642126552701</v>
      </c>
      <c r="H61" s="15">
        <f t="shared" ca="1" si="2"/>
        <v>0.69999999999999973</v>
      </c>
      <c r="I61" s="16">
        <f t="shared" ca="1" si="3"/>
        <v>0.69999999999999973</v>
      </c>
      <c r="Q61" s="38">
        <v>4.5999999999999996</v>
      </c>
      <c r="R61" s="39">
        <v>1.3</v>
      </c>
      <c r="S61" s="40">
        <v>2</v>
      </c>
    </row>
    <row r="62" spans="1:19" x14ac:dyDescent="0.25">
      <c r="A62" s="1">
        <v>5</v>
      </c>
      <c r="B62" s="1">
        <v>2</v>
      </c>
      <c r="C62" s="14">
        <v>3.5</v>
      </c>
      <c r="D62" s="16">
        <v>1</v>
      </c>
      <c r="E62" s="1" t="s">
        <v>6</v>
      </c>
      <c r="F62" s="23">
        <f t="shared" ca="1" si="0"/>
        <v>2</v>
      </c>
      <c r="G62" s="5">
        <f t="shared" ca="1" si="1"/>
        <v>2.340939982143925</v>
      </c>
      <c r="H62" s="15">
        <f t="shared" ca="1" si="2"/>
        <v>1.1704699910719623</v>
      </c>
      <c r="I62" s="16">
        <f t="shared" ca="1" si="3"/>
        <v>1.1704699910719623</v>
      </c>
      <c r="Q62" s="38">
        <v>3.9</v>
      </c>
      <c r="R62" s="39">
        <v>1.4</v>
      </c>
      <c r="S62" s="40">
        <v>2</v>
      </c>
    </row>
    <row r="63" spans="1:19" x14ac:dyDescent="0.25">
      <c r="A63" s="1">
        <v>5.9</v>
      </c>
      <c r="B63" s="1">
        <v>3</v>
      </c>
      <c r="C63" s="14">
        <v>4.2</v>
      </c>
      <c r="D63" s="16">
        <v>1.5</v>
      </c>
      <c r="E63" s="1" t="s">
        <v>6</v>
      </c>
      <c r="F63" s="23">
        <f t="shared" ca="1" si="0"/>
        <v>2</v>
      </c>
      <c r="G63" s="5">
        <f t="shared" ca="1" si="1"/>
        <v>3.178049716414141</v>
      </c>
      <c r="H63" s="15">
        <f t="shared" ca="1" si="2"/>
        <v>0.41231056256176557</v>
      </c>
      <c r="I63" s="16">
        <f t="shared" ca="1" si="3"/>
        <v>0.41231056256176557</v>
      </c>
      <c r="Q63" s="38">
        <v>3.5</v>
      </c>
      <c r="R63" s="39">
        <v>1</v>
      </c>
      <c r="S63" s="40">
        <v>2</v>
      </c>
    </row>
    <row r="64" spans="1:19" x14ac:dyDescent="0.25">
      <c r="A64" s="1">
        <v>6</v>
      </c>
      <c r="B64" s="1">
        <v>2.2000000000000002</v>
      </c>
      <c r="C64" s="14">
        <v>4</v>
      </c>
      <c r="D64" s="16">
        <v>1</v>
      </c>
      <c r="E64" s="1" t="s">
        <v>6</v>
      </c>
      <c r="F64" s="23">
        <f t="shared" ca="1" si="0"/>
        <v>2</v>
      </c>
      <c r="G64" s="5">
        <f t="shared" ca="1" si="1"/>
        <v>2.8160255680657449</v>
      </c>
      <c r="H64" s="15">
        <f t="shared" ca="1" si="2"/>
        <v>0.72111025509279758</v>
      </c>
      <c r="I64" s="16">
        <f t="shared" ca="1" si="3"/>
        <v>0.72111025509279758</v>
      </c>
      <c r="Q64" s="38">
        <v>4.2</v>
      </c>
      <c r="R64" s="39">
        <v>1.5</v>
      </c>
      <c r="S64" s="40">
        <v>2</v>
      </c>
    </row>
    <row r="65" spans="1:19" x14ac:dyDescent="0.25">
      <c r="A65" s="1">
        <v>6.1</v>
      </c>
      <c r="B65" s="1">
        <v>2.9</v>
      </c>
      <c r="C65" s="14">
        <v>4.7</v>
      </c>
      <c r="D65" s="16">
        <v>1.4</v>
      </c>
      <c r="E65" s="1" t="s">
        <v>6</v>
      </c>
      <c r="F65" s="23">
        <f t="shared" ca="1" si="0"/>
        <v>2</v>
      </c>
      <c r="G65" s="5">
        <f t="shared" ca="1" si="1"/>
        <v>3.6055512754639896</v>
      </c>
      <c r="H65" s="15">
        <f t="shared" ca="1" si="2"/>
        <v>0.10000000000000053</v>
      </c>
      <c r="I65" s="16">
        <f t="shared" ca="1" si="3"/>
        <v>0.10000000000000053</v>
      </c>
      <c r="Q65" s="38">
        <v>4</v>
      </c>
      <c r="R65" s="39">
        <v>1</v>
      </c>
      <c r="S65" s="40">
        <v>2</v>
      </c>
    </row>
    <row r="66" spans="1:19" x14ac:dyDescent="0.25">
      <c r="A66" s="1">
        <v>5.6</v>
      </c>
      <c r="B66" s="1">
        <v>2.9</v>
      </c>
      <c r="C66" s="14">
        <v>3.6</v>
      </c>
      <c r="D66" s="16">
        <v>1.3</v>
      </c>
      <c r="E66" s="1" t="s">
        <v>6</v>
      </c>
      <c r="F66" s="23">
        <f t="shared" ca="1" si="0"/>
        <v>2</v>
      </c>
      <c r="G66" s="5">
        <f t="shared" ca="1" si="1"/>
        <v>2.5495097567963922</v>
      </c>
      <c r="H66" s="15">
        <f t="shared" ca="1" si="2"/>
        <v>1.0049875621120885</v>
      </c>
      <c r="I66" s="16">
        <f t="shared" ca="1" si="3"/>
        <v>1.0049875621120885</v>
      </c>
      <c r="Q66" s="38">
        <v>4.7</v>
      </c>
      <c r="R66" s="39">
        <v>1.4</v>
      </c>
      <c r="S66" s="40">
        <v>2</v>
      </c>
    </row>
    <row r="67" spans="1:19" x14ac:dyDescent="0.25">
      <c r="A67" s="1">
        <v>6.7</v>
      </c>
      <c r="B67" s="1">
        <v>3.1</v>
      </c>
      <c r="C67" s="14">
        <v>4.4000000000000004</v>
      </c>
      <c r="D67" s="16">
        <v>1.4</v>
      </c>
      <c r="E67" s="1" t="s">
        <v>6</v>
      </c>
      <c r="F67" s="23">
        <f t="shared" ref="F67:F130" ca="1" si="4">IF(G67=I67,1,2)</f>
        <v>2</v>
      </c>
      <c r="G67" s="5">
        <f t="shared" ref="G67:G130" ca="1" si="5">(($C67-$M$2)^2+($D67-$N$2)^2)^(1/2)</f>
        <v>3.3241540277189325</v>
      </c>
      <c r="H67" s="15">
        <f t="shared" ref="H67:H130" ca="1" si="6">(($C67-$M$3)^2+($D67-$N$3)^2)^(1/2)</f>
        <v>0.19999999999999929</v>
      </c>
      <c r="I67" s="16">
        <f t="shared" ref="I67:I130" ca="1" si="7">MIN(G67:H67)</f>
        <v>0.19999999999999929</v>
      </c>
      <c r="Q67" s="38">
        <v>3.6</v>
      </c>
      <c r="R67" s="39">
        <v>1.3</v>
      </c>
      <c r="S67" s="40">
        <v>2</v>
      </c>
    </row>
    <row r="68" spans="1:19" x14ac:dyDescent="0.25">
      <c r="A68" s="1">
        <v>5.6</v>
      </c>
      <c r="B68" s="1">
        <v>3</v>
      </c>
      <c r="C68" s="14">
        <v>4.5</v>
      </c>
      <c r="D68" s="16">
        <v>1.5</v>
      </c>
      <c r="E68" s="1" t="s">
        <v>6</v>
      </c>
      <c r="F68" s="23">
        <f t="shared" ca="1" si="4"/>
        <v>2</v>
      </c>
      <c r="G68" s="5">
        <f t="shared" ca="1" si="5"/>
        <v>3.4539832078341091</v>
      </c>
      <c r="H68" s="15">
        <f t="shared" ca="1" si="6"/>
        <v>0.14142135623730931</v>
      </c>
      <c r="I68" s="16">
        <f t="shared" ca="1" si="7"/>
        <v>0.14142135623730931</v>
      </c>
      <c r="Q68" s="38">
        <v>4.4000000000000004</v>
      </c>
      <c r="R68" s="39">
        <v>1.4</v>
      </c>
      <c r="S68" s="40">
        <v>2</v>
      </c>
    </row>
    <row r="69" spans="1:19" x14ac:dyDescent="0.25">
      <c r="A69" s="1">
        <v>5.8</v>
      </c>
      <c r="B69" s="1">
        <v>2.7</v>
      </c>
      <c r="C69" s="14">
        <v>4.0999999999999996</v>
      </c>
      <c r="D69" s="16">
        <v>1</v>
      </c>
      <c r="E69" s="1" t="s">
        <v>6</v>
      </c>
      <c r="F69" s="23">
        <f t="shared" ca="1" si="4"/>
        <v>2</v>
      </c>
      <c r="G69" s="5">
        <f t="shared" ca="1" si="5"/>
        <v>2.9120439557122069</v>
      </c>
      <c r="H69" s="15">
        <f t="shared" ca="1" si="6"/>
        <v>0.64031242374328479</v>
      </c>
      <c r="I69" s="16">
        <f t="shared" ca="1" si="7"/>
        <v>0.64031242374328479</v>
      </c>
      <c r="Q69" s="38">
        <v>4.5</v>
      </c>
      <c r="R69" s="39">
        <v>1.5</v>
      </c>
      <c r="S69" s="40">
        <v>2</v>
      </c>
    </row>
    <row r="70" spans="1:19" x14ac:dyDescent="0.25">
      <c r="A70" s="1">
        <v>6.2</v>
      </c>
      <c r="B70" s="1">
        <v>2.2000000000000002</v>
      </c>
      <c r="C70" s="14">
        <v>4.5</v>
      </c>
      <c r="D70" s="16">
        <v>1.5</v>
      </c>
      <c r="E70" s="1" t="s">
        <v>6</v>
      </c>
      <c r="F70" s="23">
        <f t="shared" ca="1" si="4"/>
        <v>2</v>
      </c>
      <c r="G70" s="5">
        <f t="shared" ca="1" si="5"/>
        <v>3.4539832078341091</v>
      </c>
      <c r="H70" s="15">
        <f t="shared" ca="1" si="6"/>
        <v>0.14142135623730931</v>
      </c>
      <c r="I70" s="16">
        <f t="shared" ca="1" si="7"/>
        <v>0.14142135623730931</v>
      </c>
      <c r="Q70" s="38">
        <v>4.0999999999999996</v>
      </c>
      <c r="R70" s="39">
        <v>1</v>
      </c>
      <c r="S70" s="40">
        <v>2</v>
      </c>
    </row>
    <row r="71" spans="1:19" x14ac:dyDescent="0.25">
      <c r="A71" s="1">
        <v>5.6</v>
      </c>
      <c r="B71" s="1">
        <v>2.5</v>
      </c>
      <c r="C71" s="14">
        <v>3.9</v>
      </c>
      <c r="D71" s="16">
        <v>1.1000000000000001</v>
      </c>
      <c r="E71" s="1" t="s">
        <v>6</v>
      </c>
      <c r="F71" s="23">
        <f t="shared" ca="1" si="4"/>
        <v>2</v>
      </c>
      <c r="G71" s="5">
        <f t="shared" ca="1" si="5"/>
        <v>2.7513632984395207</v>
      </c>
      <c r="H71" s="15">
        <f t="shared" ca="1" si="6"/>
        <v>0.76157731058639055</v>
      </c>
      <c r="I71" s="16">
        <f t="shared" ca="1" si="7"/>
        <v>0.76157731058639055</v>
      </c>
      <c r="Q71" s="38">
        <v>4.5</v>
      </c>
      <c r="R71" s="39">
        <v>1.5</v>
      </c>
      <c r="S71" s="40">
        <v>2</v>
      </c>
    </row>
    <row r="72" spans="1:19" x14ac:dyDescent="0.25">
      <c r="A72" s="1">
        <v>5.9</v>
      </c>
      <c r="B72" s="1">
        <v>3.2</v>
      </c>
      <c r="C72" s="14">
        <v>4.8</v>
      </c>
      <c r="D72" s="16">
        <v>1.8</v>
      </c>
      <c r="E72" s="1" t="s">
        <v>6</v>
      </c>
      <c r="F72" s="23">
        <f t="shared" ca="1" si="4"/>
        <v>2</v>
      </c>
      <c r="G72" s="5">
        <f t="shared" ca="1" si="5"/>
        <v>3.8483762809787714</v>
      </c>
      <c r="H72" s="15">
        <f t="shared" ca="1" si="6"/>
        <v>0.44721359549995815</v>
      </c>
      <c r="I72" s="16">
        <f t="shared" ca="1" si="7"/>
        <v>0.44721359549995815</v>
      </c>
      <c r="Q72" s="38">
        <v>3.9</v>
      </c>
      <c r="R72" s="39">
        <v>1.1000000000000001</v>
      </c>
      <c r="S72" s="40">
        <v>2</v>
      </c>
    </row>
    <row r="73" spans="1:19" x14ac:dyDescent="0.25">
      <c r="A73" s="1">
        <v>6.1</v>
      </c>
      <c r="B73" s="1">
        <v>2.8</v>
      </c>
      <c r="C73" s="14">
        <v>4</v>
      </c>
      <c r="D73" s="16">
        <v>1.3</v>
      </c>
      <c r="E73" s="1" t="s">
        <v>6</v>
      </c>
      <c r="F73" s="23">
        <f t="shared" ca="1" si="4"/>
        <v>2</v>
      </c>
      <c r="G73" s="5">
        <f t="shared" ca="1" si="5"/>
        <v>2.9154759474226504</v>
      </c>
      <c r="H73" s="15">
        <f t="shared" ca="1" si="6"/>
        <v>0.60827625302982158</v>
      </c>
      <c r="I73" s="16">
        <f t="shared" ca="1" si="7"/>
        <v>0.60827625302982158</v>
      </c>
      <c r="Q73" s="38">
        <v>4.8</v>
      </c>
      <c r="R73" s="39">
        <v>1.8</v>
      </c>
      <c r="S73" s="40">
        <v>2</v>
      </c>
    </row>
    <row r="74" spans="1:19" x14ac:dyDescent="0.25">
      <c r="A74" s="1">
        <v>6.3</v>
      </c>
      <c r="B74" s="1">
        <v>2.5</v>
      </c>
      <c r="C74" s="14">
        <v>4.9000000000000004</v>
      </c>
      <c r="D74" s="16">
        <v>1.5</v>
      </c>
      <c r="E74" s="1" t="s">
        <v>6</v>
      </c>
      <c r="F74" s="23">
        <f t="shared" ca="1" si="4"/>
        <v>2</v>
      </c>
      <c r="G74" s="5">
        <f t="shared" ca="1" si="5"/>
        <v>3.8275318418009281</v>
      </c>
      <c r="H74" s="15">
        <f t="shared" ca="1" si="6"/>
        <v>0.31622776601683866</v>
      </c>
      <c r="I74" s="16">
        <f t="shared" ca="1" si="7"/>
        <v>0.31622776601683866</v>
      </c>
      <c r="Q74" s="38">
        <v>4</v>
      </c>
      <c r="R74" s="39">
        <v>1.3</v>
      </c>
      <c r="S74" s="40">
        <v>2</v>
      </c>
    </row>
    <row r="75" spans="1:19" x14ac:dyDescent="0.25">
      <c r="A75" s="1">
        <v>6.1</v>
      </c>
      <c r="B75" s="1">
        <v>2.8</v>
      </c>
      <c r="C75" s="14">
        <v>4.7</v>
      </c>
      <c r="D75" s="16">
        <v>1.2</v>
      </c>
      <c r="E75" s="1" t="s">
        <v>6</v>
      </c>
      <c r="F75" s="23">
        <f t="shared" ca="1" si="4"/>
        <v>2</v>
      </c>
      <c r="G75" s="5">
        <f t="shared" ca="1" si="5"/>
        <v>3.5440090293338704</v>
      </c>
      <c r="H75" s="15">
        <f t="shared" ca="1" si="6"/>
        <v>0.22360679774997916</v>
      </c>
      <c r="I75" s="16">
        <f t="shared" ca="1" si="7"/>
        <v>0.22360679774997916</v>
      </c>
      <c r="Q75" s="38">
        <v>4.9000000000000004</v>
      </c>
      <c r="R75" s="39">
        <v>1.5</v>
      </c>
      <c r="S75" s="40">
        <v>2</v>
      </c>
    </row>
    <row r="76" spans="1:19" x14ac:dyDescent="0.25">
      <c r="A76" s="1">
        <v>6.4</v>
      </c>
      <c r="B76" s="1">
        <v>2.9</v>
      </c>
      <c r="C76" s="14">
        <v>4.3</v>
      </c>
      <c r="D76" s="16">
        <v>1.3</v>
      </c>
      <c r="E76" s="1" t="s">
        <v>6</v>
      </c>
      <c r="F76" s="23">
        <f t="shared" ca="1" si="4"/>
        <v>2</v>
      </c>
      <c r="G76" s="5">
        <f t="shared" ca="1" si="5"/>
        <v>3.1953090617340916</v>
      </c>
      <c r="H76" s="15">
        <f t="shared" ca="1" si="6"/>
        <v>0.31622776601683772</v>
      </c>
      <c r="I76" s="16">
        <f t="shared" ca="1" si="7"/>
        <v>0.31622776601683772</v>
      </c>
      <c r="Q76" s="38">
        <v>4.7</v>
      </c>
      <c r="R76" s="39">
        <v>1.2</v>
      </c>
      <c r="S76" s="40">
        <v>2</v>
      </c>
    </row>
    <row r="77" spans="1:19" x14ac:dyDescent="0.25">
      <c r="A77" s="1">
        <v>6.6</v>
      </c>
      <c r="B77" s="1">
        <v>3</v>
      </c>
      <c r="C77" s="14">
        <v>4.4000000000000004</v>
      </c>
      <c r="D77" s="16">
        <v>1.4</v>
      </c>
      <c r="E77" s="1" t="s">
        <v>6</v>
      </c>
      <c r="F77" s="23">
        <f t="shared" ca="1" si="4"/>
        <v>2</v>
      </c>
      <c r="G77" s="5">
        <f t="shared" ca="1" si="5"/>
        <v>3.3241540277189325</v>
      </c>
      <c r="H77" s="15">
        <f t="shared" ca="1" si="6"/>
        <v>0.19999999999999929</v>
      </c>
      <c r="I77" s="16">
        <f t="shared" ca="1" si="7"/>
        <v>0.19999999999999929</v>
      </c>
      <c r="Q77" s="38">
        <v>4.3</v>
      </c>
      <c r="R77" s="39">
        <v>1.3</v>
      </c>
      <c r="S77" s="40">
        <v>2</v>
      </c>
    </row>
    <row r="78" spans="1:19" x14ac:dyDescent="0.25">
      <c r="A78" s="1">
        <v>6.8</v>
      </c>
      <c r="B78" s="1">
        <v>2.8</v>
      </c>
      <c r="C78" s="14">
        <v>4.8</v>
      </c>
      <c r="D78" s="16">
        <v>1.4</v>
      </c>
      <c r="E78" s="1" t="s">
        <v>6</v>
      </c>
      <c r="F78" s="23">
        <f t="shared" ca="1" si="4"/>
        <v>2</v>
      </c>
      <c r="G78" s="5">
        <f t="shared" ca="1" si="5"/>
        <v>3.6999999999999997</v>
      </c>
      <c r="H78" s="15">
        <f t="shared" ca="1" si="6"/>
        <v>0.20000000000000018</v>
      </c>
      <c r="I78" s="16">
        <f t="shared" ca="1" si="7"/>
        <v>0.20000000000000018</v>
      </c>
      <c r="Q78" s="38">
        <v>4.4000000000000004</v>
      </c>
      <c r="R78" s="39">
        <v>1.4</v>
      </c>
      <c r="S78" s="40">
        <v>2</v>
      </c>
    </row>
    <row r="79" spans="1:19" x14ac:dyDescent="0.25">
      <c r="A79" s="1">
        <v>6.7</v>
      </c>
      <c r="B79" s="1">
        <v>3</v>
      </c>
      <c r="C79" s="14">
        <v>5</v>
      </c>
      <c r="D79" s="16">
        <v>1.7</v>
      </c>
      <c r="E79" s="1" t="s">
        <v>6</v>
      </c>
      <c r="F79" s="23">
        <f t="shared" ca="1" si="4"/>
        <v>2</v>
      </c>
      <c r="G79" s="5">
        <f t="shared" ca="1" si="5"/>
        <v>3.9924929555354258</v>
      </c>
      <c r="H79" s="15">
        <f t="shared" ca="1" si="6"/>
        <v>0.50000000000000033</v>
      </c>
      <c r="I79" s="16">
        <f t="shared" ca="1" si="7"/>
        <v>0.50000000000000033</v>
      </c>
      <c r="Q79" s="38">
        <v>4.8</v>
      </c>
      <c r="R79" s="39">
        <v>1.4</v>
      </c>
      <c r="S79" s="40">
        <v>2</v>
      </c>
    </row>
    <row r="80" spans="1:19" x14ac:dyDescent="0.25">
      <c r="A80" s="1">
        <v>6</v>
      </c>
      <c r="B80" s="1">
        <v>2.9</v>
      </c>
      <c r="C80" s="14">
        <v>4.5</v>
      </c>
      <c r="D80" s="16">
        <v>1.5</v>
      </c>
      <c r="E80" s="1" t="s">
        <v>6</v>
      </c>
      <c r="F80" s="23">
        <f t="shared" ca="1" si="4"/>
        <v>2</v>
      </c>
      <c r="G80" s="5">
        <f t="shared" ca="1" si="5"/>
        <v>3.4539832078341091</v>
      </c>
      <c r="H80" s="15">
        <f t="shared" ca="1" si="6"/>
        <v>0.14142135623730931</v>
      </c>
      <c r="I80" s="16">
        <f t="shared" ca="1" si="7"/>
        <v>0.14142135623730931</v>
      </c>
      <c r="Q80" s="38">
        <v>5</v>
      </c>
      <c r="R80" s="39">
        <v>1.7</v>
      </c>
      <c r="S80" s="40">
        <v>2</v>
      </c>
    </row>
    <row r="81" spans="1:19" x14ac:dyDescent="0.25">
      <c r="A81" s="1">
        <v>5.7</v>
      </c>
      <c r="B81" s="1">
        <v>2.6</v>
      </c>
      <c r="C81" s="14">
        <v>3.5</v>
      </c>
      <c r="D81" s="16">
        <v>1</v>
      </c>
      <c r="E81" s="1" t="s">
        <v>6</v>
      </c>
      <c r="F81" s="23">
        <f t="shared" ca="1" si="4"/>
        <v>2</v>
      </c>
      <c r="G81" s="5">
        <f t="shared" ca="1" si="5"/>
        <v>2.340939982143925</v>
      </c>
      <c r="H81" s="15">
        <f t="shared" ca="1" si="6"/>
        <v>1.1704699910719623</v>
      </c>
      <c r="I81" s="16">
        <f t="shared" ca="1" si="7"/>
        <v>1.1704699910719623</v>
      </c>
      <c r="Q81" s="38">
        <v>4.5</v>
      </c>
      <c r="R81" s="39">
        <v>1.5</v>
      </c>
      <c r="S81" s="40">
        <v>2</v>
      </c>
    </row>
    <row r="82" spans="1:19" x14ac:dyDescent="0.25">
      <c r="A82" s="1">
        <v>5.5</v>
      </c>
      <c r="B82" s="1">
        <v>2.4</v>
      </c>
      <c r="C82" s="14">
        <v>3.8</v>
      </c>
      <c r="D82" s="16">
        <v>1.1000000000000001</v>
      </c>
      <c r="E82" s="1" t="s">
        <v>6</v>
      </c>
      <c r="F82" s="23">
        <f t="shared" ca="1" si="4"/>
        <v>2</v>
      </c>
      <c r="G82" s="5">
        <f t="shared" ca="1" si="5"/>
        <v>2.6570660511172846</v>
      </c>
      <c r="H82" s="15">
        <f t="shared" ca="1" si="6"/>
        <v>0.85440037453175288</v>
      </c>
      <c r="I82" s="16">
        <f t="shared" ca="1" si="7"/>
        <v>0.85440037453175288</v>
      </c>
      <c r="Q82" s="38">
        <v>3.5</v>
      </c>
      <c r="R82" s="39">
        <v>1</v>
      </c>
      <c r="S82" s="40">
        <v>2</v>
      </c>
    </row>
    <row r="83" spans="1:19" x14ac:dyDescent="0.25">
      <c r="A83" s="1">
        <v>5.5</v>
      </c>
      <c r="B83" s="1">
        <v>2.4</v>
      </c>
      <c r="C83" s="14">
        <v>3.7</v>
      </c>
      <c r="D83" s="16">
        <v>1</v>
      </c>
      <c r="E83" s="1" t="s">
        <v>6</v>
      </c>
      <c r="F83" s="23">
        <f t="shared" ca="1" si="4"/>
        <v>2</v>
      </c>
      <c r="G83" s="5">
        <f t="shared" ca="1" si="5"/>
        <v>2.529822128134704</v>
      </c>
      <c r="H83" s="15">
        <f t="shared" ca="1" si="6"/>
        <v>0.98488578017960993</v>
      </c>
      <c r="I83" s="16">
        <f t="shared" ca="1" si="7"/>
        <v>0.98488578017960993</v>
      </c>
      <c r="Q83" s="38">
        <v>3.8</v>
      </c>
      <c r="R83" s="39">
        <v>1.1000000000000001</v>
      </c>
      <c r="S83" s="40">
        <v>2</v>
      </c>
    </row>
    <row r="84" spans="1:19" x14ac:dyDescent="0.25">
      <c r="A84" s="1">
        <v>5.8</v>
      </c>
      <c r="B84" s="1">
        <v>2.7</v>
      </c>
      <c r="C84" s="14">
        <v>3.9</v>
      </c>
      <c r="D84" s="16">
        <v>1.2</v>
      </c>
      <c r="E84" s="1" t="s">
        <v>6</v>
      </c>
      <c r="F84" s="23">
        <f t="shared" ca="1" si="4"/>
        <v>2</v>
      </c>
      <c r="G84" s="5">
        <f t="shared" ca="1" si="5"/>
        <v>2.7856776554368237</v>
      </c>
      <c r="H84" s="15">
        <f t="shared" ca="1" si="6"/>
        <v>0.72801098892805149</v>
      </c>
      <c r="I84" s="16">
        <f t="shared" ca="1" si="7"/>
        <v>0.72801098892805149</v>
      </c>
      <c r="Q84" s="38">
        <v>3.7</v>
      </c>
      <c r="R84" s="39">
        <v>1</v>
      </c>
      <c r="S84" s="40">
        <v>2</v>
      </c>
    </row>
    <row r="85" spans="1:19" x14ac:dyDescent="0.25">
      <c r="A85" s="1">
        <v>6</v>
      </c>
      <c r="B85" s="1">
        <v>2.7</v>
      </c>
      <c r="C85" s="14">
        <v>5.0999999999999996</v>
      </c>
      <c r="D85" s="16">
        <v>1.6</v>
      </c>
      <c r="E85" s="1" t="s">
        <v>6</v>
      </c>
      <c r="F85" s="23">
        <f t="shared" ca="1" si="4"/>
        <v>2</v>
      </c>
      <c r="G85" s="5">
        <f t="shared" ca="1" si="5"/>
        <v>4.0496913462633168</v>
      </c>
      <c r="H85" s="15">
        <f t="shared" ca="1" si="6"/>
        <v>0.53851648071345048</v>
      </c>
      <c r="I85" s="16">
        <f t="shared" ca="1" si="7"/>
        <v>0.53851648071345048</v>
      </c>
      <c r="Q85" s="38">
        <v>3.9</v>
      </c>
      <c r="R85" s="39">
        <v>1.2</v>
      </c>
      <c r="S85" s="40">
        <v>2</v>
      </c>
    </row>
    <row r="86" spans="1:19" x14ac:dyDescent="0.25">
      <c r="A86" s="1">
        <v>5.4</v>
      </c>
      <c r="B86" s="1">
        <v>3</v>
      </c>
      <c r="C86" s="14">
        <v>4.5</v>
      </c>
      <c r="D86" s="16">
        <v>1.5</v>
      </c>
      <c r="E86" s="1" t="s">
        <v>6</v>
      </c>
      <c r="F86" s="23">
        <f t="shared" ca="1" si="4"/>
        <v>2</v>
      </c>
      <c r="G86" s="5">
        <f t="shared" ca="1" si="5"/>
        <v>3.4539832078341091</v>
      </c>
      <c r="H86" s="15">
        <f t="shared" ca="1" si="6"/>
        <v>0.14142135623730931</v>
      </c>
      <c r="I86" s="16">
        <f t="shared" ca="1" si="7"/>
        <v>0.14142135623730931</v>
      </c>
      <c r="Q86" s="38">
        <v>5.0999999999999996</v>
      </c>
      <c r="R86" s="39">
        <v>1.6</v>
      </c>
      <c r="S86" s="40">
        <v>2</v>
      </c>
    </row>
    <row r="87" spans="1:19" x14ac:dyDescent="0.25">
      <c r="A87" s="1">
        <v>6</v>
      </c>
      <c r="B87" s="1">
        <v>3.4</v>
      </c>
      <c r="C87" s="14">
        <v>4.5</v>
      </c>
      <c r="D87" s="16">
        <v>1.6</v>
      </c>
      <c r="E87" s="1" t="s">
        <v>6</v>
      </c>
      <c r="F87" s="23">
        <f t="shared" ca="1" si="4"/>
        <v>2</v>
      </c>
      <c r="G87" s="5">
        <f t="shared" ca="1" si="5"/>
        <v>3.4928498393145966</v>
      </c>
      <c r="H87" s="15">
        <f t="shared" ca="1" si="6"/>
        <v>0.22360679774997896</v>
      </c>
      <c r="I87" s="16">
        <f t="shared" ca="1" si="7"/>
        <v>0.22360679774997896</v>
      </c>
      <c r="Q87" s="38">
        <v>4.5</v>
      </c>
      <c r="R87" s="39">
        <v>1.5</v>
      </c>
      <c r="S87" s="40">
        <v>2</v>
      </c>
    </row>
    <row r="88" spans="1:19" x14ac:dyDescent="0.25">
      <c r="A88" s="1">
        <v>6.7</v>
      </c>
      <c r="B88" s="1">
        <v>3.1</v>
      </c>
      <c r="C88" s="14">
        <v>4.7</v>
      </c>
      <c r="D88" s="16">
        <v>1.5</v>
      </c>
      <c r="E88" s="1" t="s">
        <v>6</v>
      </c>
      <c r="F88" s="23">
        <f t="shared" ca="1" si="4"/>
        <v>2</v>
      </c>
      <c r="G88" s="5">
        <f t="shared" ca="1" si="5"/>
        <v>3.6400549446402595</v>
      </c>
      <c r="H88" s="15">
        <f t="shared" ca="1" si="6"/>
        <v>0.14142135623730995</v>
      </c>
      <c r="I88" s="16">
        <f t="shared" ca="1" si="7"/>
        <v>0.14142135623730995</v>
      </c>
      <c r="Q88" s="38">
        <v>4.5</v>
      </c>
      <c r="R88" s="39">
        <v>1.6</v>
      </c>
      <c r="S88" s="40">
        <v>2</v>
      </c>
    </row>
    <row r="89" spans="1:19" x14ac:dyDescent="0.25">
      <c r="A89" s="1">
        <v>6.3</v>
      </c>
      <c r="B89" s="1">
        <v>2.2999999999999998</v>
      </c>
      <c r="C89" s="14">
        <v>4.4000000000000004</v>
      </c>
      <c r="D89" s="16">
        <v>1.3</v>
      </c>
      <c r="E89" s="1" t="s">
        <v>6</v>
      </c>
      <c r="F89" s="23">
        <f t="shared" ca="1" si="4"/>
        <v>2</v>
      </c>
      <c r="G89" s="5">
        <f t="shared" ca="1" si="5"/>
        <v>3.2893768406797061</v>
      </c>
      <c r="H89" s="15">
        <f t="shared" ca="1" si="6"/>
        <v>0.22360679774997827</v>
      </c>
      <c r="I89" s="16">
        <f t="shared" ca="1" si="7"/>
        <v>0.22360679774997827</v>
      </c>
      <c r="Q89" s="38">
        <v>4.7</v>
      </c>
      <c r="R89" s="39">
        <v>1.5</v>
      </c>
      <c r="S89" s="40">
        <v>2</v>
      </c>
    </row>
    <row r="90" spans="1:19" x14ac:dyDescent="0.25">
      <c r="A90" s="1">
        <v>5.6</v>
      </c>
      <c r="B90" s="1">
        <v>3</v>
      </c>
      <c r="C90" s="14">
        <v>4.0999999999999996</v>
      </c>
      <c r="D90" s="16">
        <v>1.3</v>
      </c>
      <c r="E90" s="1" t="s">
        <v>6</v>
      </c>
      <c r="F90" s="23">
        <f t="shared" ca="1" si="4"/>
        <v>2</v>
      </c>
      <c r="G90" s="5">
        <f t="shared" ca="1" si="5"/>
        <v>3.0083217912982647</v>
      </c>
      <c r="H90" s="15">
        <f t="shared" ca="1" si="6"/>
        <v>0.5099019513592784</v>
      </c>
      <c r="I90" s="16">
        <f t="shared" ca="1" si="7"/>
        <v>0.5099019513592784</v>
      </c>
      <c r="Q90" s="38">
        <v>4.4000000000000004</v>
      </c>
      <c r="R90" s="39">
        <v>1.3</v>
      </c>
      <c r="S90" s="40">
        <v>2</v>
      </c>
    </row>
    <row r="91" spans="1:19" x14ac:dyDescent="0.25">
      <c r="A91" s="1">
        <v>5.5</v>
      </c>
      <c r="B91" s="1">
        <v>2.5</v>
      </c>
      <c r="C91" s="14">
        <v>4</v>
      </c>
      <c r="D91" s="16">
        <v>1.3</v>
      </c>
      <c r="E91" s="1" t="s">
        <v>6</v>
      </c>
      <c r="F91" s="23">
        <f t="shared" ca="1" si="4"/>
        <v>2</v>
      </c>
      <c r="G91" s="5">
        <f t="shared" ca="1" si="5"/>
        <v>2.9154759474226504</v>
      </c>
      <c r="H91" s="15">
        <f t="shared" ca="1" si="6"/>
        <v>0.60827625302982158</v>
      </c>
      <c r="I91" s="16">
        <f t="shared" ca="1" si="7"/>
        <v>0.60827625302982158</v>
      </c>
      <c r="Q91" s="38">
        <v>4.0999999999999996</v>
      </c>
      <c r="R91" s="39">
        <v>1.3</v>
      </c>
      <c r="S91" s="40">
        <v>2</v>
      </c>
    </row>
    <row r="92" spans="1:19" x14ac:dyDescent="0.25">
      <c r="A92" s="1">
        <v>5.5</v>
      </c>
      <c r="B92" s="1">
        <v>2.6</v>
      </c>
      <c r="C92" s="14">
        <v>4.4000000000000004</v>
      </c>
      <c r="D92" s="16">
        <v>1.2</v>
      </c>
      <c r="E92" s="1" t="s">
        <v>6</v>
      </c>
      <c r="F92" s="23">
        <f t="shared" ca="1" si="4"/>
        <v>2</v>
      </c>
      <c r="G92" s="5">
        <f t="shared" ca="1" si="5"/>
        <v>3.2572994949804666</v>
      </c>
      <c r="H92" s="15">
        <f t="shared" ca="1" si="6"/>
        <v>0.28284271247461845</v>
      </c>
      <c r="I92" s="16">
        <f t="shared" ca="1" si="7"/>
        <v>0.28284271247461845</v>
      </c>
      <c r="Q92" s="38">
        <v>4</v>
      </c>
      <c r="R92" s="39">
        <v>1.3</v>
      </c>
      <c r="S92" s="40">
        <v>2</v>
      </c>
    </row>
    <row r="93" spans="1:19" x14ac:dyDescent="0.25">
      <c r="A93" s="1">
        <v>6.1</v>
      </c>
      <c r="B93" s="1">
        <v>3</v>
      </c>
      <c r="C93" s="14">
        <v>4.5999999999999996</v>
      </c>
      <c r="D93" s="16">
        <v>1.4</v>
      </c>
      <c r="E93" s="1" t="s">
        <v>6</v>
      </c>
      <c r="F93" s="23">
        <f t="shared" ca="1" si="4"/>
        <v>2</v>
      </c>
      <c r="G93" s="5">
        <f t="shared" ca="1" si="5"/>
        <v>3.5114099732158874</v>
      </c>
      <c r="H93" s="15">
        <f t="shared" ca="1" si="6"/>
        <v>0</v>
      </c>
      <c r="I93" s="16">
        <f t="shared" ca="1" si="7"/>
        <v>0</v>
      </c>
      <c r="Q93" s="38">
        <v>4.4000000000000004</v>
      </c>
      <c r="R93" s="39">
        <v>1.2</v>
      </c>
      <c r="S93" s="40">
        <v>2</v>
      </c>
    </row>
    <row r="94" spans="1:19" x14ac:dyDescent="0.25">
      <c r="A94" s="1">
        <v>5.8</v>
      </c>
      <c r="B94" s="1">
        <v>2.6</v>
      </c>
      <c r="C94" s="14">
        <v>4</v>
      </c>
      <c r="D94" s="16">
        <v>1.2</v>
      </c>
      <c r="E94" s="1" t="s">
        <v>6</v>
      </c>
      <c r="F94" s="23">
        <f t="shared" ca="1" si="4"/>
        <v>2</v>
      </c>
      <c r="G94" s="5">
        <f t="shared" ca="1" si="5"/>
        <v>2.879236009777594</v>
      </c>
      <c r="H94" s="15">
        <f t="shared" ca="1" si="6"/>
        <v>0.63245553203367555</v>
      </c>
      <c r="I94" s="16">
        <f t="shared" ca="1" si="7"/>
        <v>0.63245553203367555</v>
      </c>
      <c r="Q94" s="38">
        <v>4.5999999999999996</v>
      </c>
      <c r="R94" s="39">
        <v>1.4</v>
      </c>
      <c r="S94" s="40">
        <v>2</v>
      </c>
    </row>
    <row r="95" spans="1:19" x14ac:dyDescent="0.25">
      <c r="A95" s="1">
        <v>5</v>
      </c>
      <c r="B95" s="1">
        <v>2.2999999999999998</v>
      </c>
      <c r="C95" s="14">
        <v>3.3</v>
      </c>
      <c r="D95" s="16">
        <v>1</v>
      </c>
      <c r="E95" s="1" t="s">
        <v>6</v>
      </c>
      <c r="F95" s="23">
        <f t="shared" ca="1" si="4"/>
        <v>2</v>
      </c>
      <c r="G95" s="5">
        <f t="shared" ca="1" si="5"/>
        <v>2.1540659228538015</v>
      </c>
      <c r="H95" s="15">
        <f t="shared" ca="1" si="6"/>
        <v>1.360147050873544</v>
      </c>
      <c r="I95" s="16">
        <f t="shared" ca="1" si="7"/>
        <v>1.360147050873544</v>
      </c>
      <c r="Q95" s="38">
        <v>4</v>
      </c>
      <c r="R95" s="39">
        <v>1.2</v>
      </c>
      <c r="S95" s="40">
        <v>2</v>
      </c>
    </row>
    <row r="96" spans="1:19" x14ac:dyDescent="0.25">
      <c r="A96" s="1">
        <v>5.6</v>
      </c>
      <c r="B96" s="1">
        <v>2.7</v>
      </c>
      <c r="C96" s="14">
        <v>4.2</v>
      </c>
      <c r="D96" s="16">
        <v>1.3</v>
      </c>
      <c r="E96" s="1" t="s">
        <v>6</v>
      </c>
      <c r="F96" s="23">
        <f t="shared" ca="1" si="4"/>
        <v>2</v>
      </c>
      <c r="G96" s="5">
        <f t="shared" ca="1" si="5"/>
        <v>3.101612483854165</v>
      </c>
      <c r="H96" s="15">
        <f t="shared" ca="1" si="6"/>
        <v>0.41231056256176551</v>
      </c>
      <c r="I96" s="16">
        <f t="shared" ca="1" si="7"/>
        <v>0.41231056256176551</v>
      </c>
      <c r="Q96" s="38">
        <v>3.3</v>
      </c>
      <c r="R96" s="39">
        <v>1</v>
      </c>
      <c r="S96" s="40">
        <v>2</v>
      </c>
    </row>
    <row r="97" spans="1:19" x14ac:dyDescent="0.25">
      <c r="A97" s="1">
        <v>5.7</v>
      </c>
      <c r="B97" s="1">
        <v>3</v>
      </c>
      <c r="C97" s="14">
        <v>4.2</v>
      </c>
      <c r="D97" s="16">
        <v>1.2</v>
      </c>
      <c r="E97" s="1" t="s">
        <v>6</v>
      </c>
      <c r="F97" s="23">
        <f t="shared" ca="1" si="4"/>
        <v>2</v>
      </c>
      <c r="G97" s="5">
        <f t="shared" ca="1" si="5"/>
        <v>3.0675723300355937</v>
      </c>
      <c r="H97" s="15">
        <f t="shared" ca="1" si="6"/>
        <v>0.44721359549995743</v>
      </c>
      <c r="I97" s="16">
        <f t="shared" ca="1" si="7"/>
        <v>0.44721359549995743</v>
      </c>
      <c r="Q97" s="38">
        <v>4.2</v>
      </c>
      <c r="R97" s="39">
        <v>1.3</v>
      </c>
      <c r="S97" s="40">
        <v>2</v>
      </c>
    </row>
    <row r="98" spans="1:19" x14ac:dyDescent="0.25">
      <c r="A98" s="1">
        <v>5.7</v>
      </c>
      <c r="B98" s="1">
        <v>2.9</v>
      </c>
      <c r="C98" s="14">
        <v>4.2</v>
      </c>
      <c r="D98" s="16">
        <v>1.3</v>
      </c>
      <c r="E98" s="1" t="s">
        <v>6</v>
      </c>
      <c r="F98" s="23">
        <f t="shared" ca="1" si="4"/>
        <v>2</v>
      </c>
      <c r="G98" s="5">
        <f t="shared" ca="1" si="5"/>
        <v>3.101612483854165</v>
      </c>
      <c r="H98" s="15">
        <f t="shared" ca="1" si="6"/>
        <v>0.41231056256176551</v>
      </c>
      <c r="I98" s="16">
        <f t="shared" ca="1" si="7"/>
        <v>0.41231056256176551</v>
      </c>
      <c r="Q98" s="38">
        <v>4.2</v>
      </c>
      <c r="R98" s="39">
        <v>1.2</v>
      </c>
      <c r="S98" s="40">
        <v>2</v>
      </c>
    </row>
    <row r="99" spans="1:19" x14ac:dyDescent="0.25">
      <c r="A99" s="1">
        <v>6.2</v>
      </c>
      <c r="B99" s="1">
        <v>2.9</v>
      </c>
      <c r="C99" s="14">
        <v>4.3</v>
      </c>
      <c r="D99" s="16">
        <v>1.3</v>
      </c>
      <c r="E99" s="1" t="s">
        <v>6</v>
      </c>
      <c r="F99" s="23">
        <f t="shared" ca="1" si="4"/>
        <v>2</v>
      </c>
      <c r="G99" s="5">
        <f t="shared" ca="1" si="5"/>
        <v>3.1953090617340916</v>
      </c>
      <c r="H99" s="15">
        <f t="shared" ca="1" si="6"/>
        <v>0.31622776601683772</v>
      </c>
      <c r="I99" s="16">
        <f t="shared" ca="1" si="7"/>
        <v>0.31622776601683772</v>
      </c>
      <c r="Q99" s="38">
        <v>4.2</v>
      </c>
      <c r="R99" s="39">
        <v>1.3</v>
      </c>
      <c r="S99" s="40">
        <v>2</v>
      </c>
    </row>
    <row r="100" spans="1:19" x14ac:dyDescent="0.25">
      <c r="A100" s="1">
        <v>5.0999999999999996</v>
      </c>
      <c r="B100" s="1">
        <v>2.5</v>
      </c>
      <c r="C100" s="14">
        <v>3</v>
      </c>
      <c r="D100" s="16">
        <v>1.1000000000000001</v>
      </c>
      <c r="E100" s="1" t="s">
        <v>6</v>
      </c>
      <c r="F100" s="23">
        <f t="shared" ca="1" si="4"/>
        <v>2</v>
      </c>
      <c r="G100" s="5">
        <f t="shared" ca="1" si="5"/>
        <v>1.9235384061671346</v>
      </c>
      <c r="H100" s="15">
        <f t="shared" ca="1" si="6"/>
        <v>1.6278820596099701</v>
      </c>
      <c r="I100" s="16">
        <f t="shared" ca="1" si="7"/>
        <v>1.6278820596099701</v>
      </c>
      <c r="Q100" s="38">
        <v>4.3</v>
      </c>
      <c r="R100" s="39">
        <v>1.3</v>
      </c>
      <c r="S100" s="40">
        <v>2</v>
      </c>
    </row>
    <row r="101" spans="1:19" x14ac:dyDescent="0.25">
      <c r="A101" s="1">
        <v>5.7</v>
      </c>
      <c r="B101" s="1">
        <v>2.8</v>
      </c>
      <c r="C101" s="14">
        <v>4.0999999999999996</v>
      </c>
      <c r="D101" s="16">
        <v>1.3</v>
      </c>
      <c r="E101" s="1" t="s">
        <v>6</v>
      </c>
      <c r="F101" s="23">
        <f t="shared" ca="1" si="4"/>
        <v>2</v>
      </c>
      <c r="G101" s="5">
        <f t="shared" ca="1" si="5"/>
        <v>3.0083217912982647</v>
      </c>
      <c r="H101" s="15">
        <f t="shared" ca="1" si="6"/>
        <v>0.5099019513592784</v>
      </c>
      <c r="I101" s="16">
        <f t="shared" ca="1" si="7"/>
        <v>0.5099019513592784</v>
      </c>
      <c r="Q101" s="38">
        <v>4.0999999999999996</v>
      </c>
      <c r="R101" s="39">
        <v>1.3</v>
      </c>
      <c r="S101" s="40">
        <v>2</v>
      </c>
    </row>
    <row r="102" spans="1:19" x14ac:dyDescent="0.25">
      <c r="A102" s="1">
        <v>6.3</v>
      </c>
      <c r="B102" s="1">
        <v>3.3</v>
      </c>
      <c r="C102" s="14">
        <v>6</v>
      </c>
      <c r="D102" s="16">
        <v>2.5</v>
      </c>
      <c r="E102" s="1" t="s">
        <v>7</v>
      </c>
      <c r="F102" s="23">
        <f t="shared" ca="1" si="4"/>
        <v>2</v>
      </c>
      <c r="G102" s="5">
        <f t="shared" ca="1" si="5"/>
        <v>5.232590180780452</v>
      </c>
      <c r="H102" s="15">
        <f t="shared" ca="1" si="6"/>
        <v>1.7804493814764859</v>
      </c>
      <c r="I102" s="16">
        <f t="shared" ca="1" si="7"/>
        <v>1.7804493814764859</v>
      </c>
      <c r="Q102" s="38">
        <v>6</v>
      </c>
      <c r="R102" s="39">
        <v>2.5</v>
      </c>
      <c r="S102" s="40">
        <v>2</v>
      </c>
    </row>
    <row r="103" spans="1:19" x14ac:dyDescent="0.25">
      <c r="A103" s="1">
        <v>5.8</v>
      </c>
      <c r="B103" s="1">
        <v>2.7</v>
      </c>
      <c r="C103" s="14">
        <v>5.0999999999999996</v>
      </c>
      <c r="D103" s="16">
        <v>1.9</v>
      </c>
      <c r="E103" s="1" t="s">
        <v>7</v>
      </c>
      <c r="F103" s="23">
        <f t="shared" ca="1" si="4"/>
        <v>2</v>
      </c>
      <c r="G103" s="5">
        <f t="shared" ca="1" si="5"/>
        <v>4.162931659299729</v>
      </c>
      <c r="H103" s="15">
        <f t="shared" ca="1" si="6"/>
        <v>0.70710678118654757</v>
      </c>
      <c r="I103" s="16">
        <f t="shared" ca="1" si="7"/>
        <v>0.70710678118654757</v>
      </c>
      <c r="Q103" s="38">
        <v>5.0999999999999996</v>
      </c>
      <c r="R103" s="39">
        <v>1.9</v>
      </c>
      <c r="S103" s="40">
        <v>2</v>
      </c>
    </row>
    <row r="104" spans="1:19" x14ac:dyDescent="0.25">
      <c r="A104" s="1">
        <v>7.1</v>
      </c>
      <c r="B104" s="1">
        <v>3</v>
      </c>
      <c r="C104" s="14">
        <v>5.9</v>
      </c>
      <c r="D104" s="16">
        <v>2.1</v>
      </c>
      <c r="E104" s="1" t="s">
        <v>7</v>
      </c>
      <c r="F104" s="23">
        <f t="shared" ca="1" si="4"/>
        <v>2</v>
      </c>
      <c r="G104" s="5">
        <f t="shared" ca="1" si="5"/>
        <v>4.9769468552517218</v>
      </c>
      <c r="H104" s="15">
        <f t="shared" ca="1" si="6"/>
        <v>1.476482306023341</v>
      </c>
      <c r="I104" s="16">
        <f t="shared" ca="1" si="7"/>
        <v>1.476482306023341</v>
      </c>
      <c r="Q104" s="38">
        <v>5.9</v>
      </c>
      <c r="R104" s="39">
        <v>2.1</v>
      </c>
      <c r="S104" s="40">
        <v>2</v>
      </c>
    </row>
    <row r="105" spans="1:19" x14ac:dyDescent="0.25">
      <c r="A105" s="1">
        <v>6.3</v>
      </c>
      <c r="B105" s="1">
        <v>2.9</v>
      </c>
      <c r="C105" s="14">
        <v>5.6</v>
      </c>
      <c r="D105" s="16">
        <v>1.8</v>
      </c>
      <c r="E105" s="1" t="s">
        <v>7</v>
      </c>
      <c r="F105" s="23">
        <f t="shared" ca="1" si="4"/>
        <v>2</v>
      </c>
      <c r="G105" s="5">
        <f t="shared" ca="1" si="5"/>
        <v>4.5880278987817844</v>
      </c>
      <c r="H105" s="15">
        <f t="shared" ca="1" si="6"/>
        <v>1.077032961426901</v>
      </c>
      <c r="I105" s="16">
        <f t="shared" ca="1" si="7"/>
        <v>1.077032961426901</v>
      </c>
      <c r="Q105" s="38">
        <v>5.6</v>
      </c>
      <c r="R105" s="39">
        <v>1.8</v>
      </c>
      <c r="S105" s="40">
        <v>2</v>
      </c>
    </row>
    <row r="106" spans="1:19" x14ac:dyDescent="0.25">
      <c r="A106" s="1">
        <v>6.5</v>
      </c>
      <c r="B106" s="1">
        <v>3</v>
      </c>
      <c r="C106" s="14">
        <v>5.8</v>
      </c>
      <c r="D106" s="16">
        <v>2.2000000000000002</v>
      </c>
      <c r="E106" s="1" t="s">
        <v>7</v>
      </c>
      <c r="F106" s="23">
        <f t="shared" ca="1" si="4"/>
        <v>2</v>
      </c>
      <c r="G106" s="5">
        <f t="shared" ca="1" si="5"/>
        <v>4.924428900898052</v>
      </c>
      <c r="H106" s="15">
        <f t="shared" ca="1" si="6"/>
        <v>1.442220510185596</v>
      </c>
      <c r="I106" s="16">
        <f t="shared" ca="1" si="7"/>
        <v>1.442220510185596</v>
      </c>
      <c r="Q106" s="38">
        <v>5.8</v>
      </c>
      <c r="R106" s="39">
        <v>2.2000000000000002</v>
      </c>
      <c r="S106" s="40">
        <v>2</v>
      </c>
    </row>
    <row r="107" spans="1:19" x14ac:dyDescent="0.25">
      <c r="A107" s="1">
        <v>7.6</v>
      </c>
      <c r="B107" s="1">
        <v>3</v>
      </c>
      <c r="C107" s="14">
        <v>6.6</v>
      </c>
      <c r="D107" s="16">
        <v>2.1</v>
      </c>
      <c r="E107" s="1" t="s">
        <v>7</v>
      </c>
      <c r="F107" s="23">
        <f t="shared" ca="1" si="4"/>
        <v>2</v>
      </c>
      <c r="G107" s="5">
        <f t="shared" ca="1" si="5"/>
        <v>5.6302753041036988</v>
      </c>
      <c r="H107" s="15">
        <f t="shared" ca="1" si="6"/>
        <v>2.118962010041709</v>
      </c>
      <c r="I107" s="16">
        <f t="shared" ca="1" si="7"/>
        <v>2.118962010041709</v>
      </c>
      <c r="Q107" s="38">
        <v>6.6</v>
      </c>
      <c r="R107" s="39">
        <v>2.1</v>
      </c>
      <c r="S107" s="40">
        <v>2</v>
      </c>
    </row>
    <row r="108" spans="1:19" x14ac:dyDescent="0.25">
      <c r="A108" s="1">
        <v>4.9000000000000004</v>
      </c>
      <c r="B108" s="1">
        <v>2.5</v>
      </c>
      <c r="C108" s="14">
        <v>4.5</v>
      </c>
      <c r="D108" s="16">
        <v>1.7</v>
      </c>
      <c r="E108" s="1" t="s">
        <v>7</v>
      </c>
      <c r="F108" s="23">
        <f t="shared" ca="1" si="4"/>
        <v>2</v>
      </c>
      <c r="G108" s="5">
        <f t="shared" ca="1" si="5"/>
        <v>3.5341194094144588</v>
      </c>
      <c r="H108" s="15">
        <f t="shared" ca="1" si="6"/>
        <v>0.31622776601683783</v>
      </c>
      <c r="I108" s="16">
        <f t="shared" ca="1" si="7"/>
        <v>0.31622776601683783</v>
      </c>
      <c r="Q108" s="38">
        <v>4.5</v>
      </c>
      <c r="R108" s="39">
        <v>1.7</v>
      </c>
      <c r="S108" s="40">
        <v>2</v>
      </c>
    </row>
    <row r="109" spans="1:19" x14ac:dyDescent="0.25">
      <c r="A109" s="1">
        <v>7.3</v>
      </c>
      <c r="B109" s="1">
        <v>2.9</v>
      </c>
      <c r="C109" s="14">
        <v>6.3</v>
      </c>
      <c r="D109" s="16">
        <v>1.8</v>
      </c>
      <c r="E109" s="1" t="s">
        <v>7</v>
      </c>
      <c r="F109" s="23">
        <f t="shared" ca="1" si="4"/>
        <v>2</v>
      </c>
      <c r="G109" s="5">
        <f t="shared" ca="1" si="5"/>
        <v>5.2497618993626753</v>
      </c>
      <c r="H109" s="15">
        <f t="shared" ca="1" si="6"/>
        <v>1.7464249196572983</v>
      </c>
      <c r="I109" s="16">
        <f t="shared" ca="1" si="7"/>
        <v>1.7464249196572983</v>
      </c>
      <c r="Q109" s="38">
        <v>6.3</v>
      </c>
      <c r="R109" s="39">
        <v>1.8</v>
      </c>
      <c r="S109" s="40">
        <v>2</v>
      </c>
    </row>
    <row r="110" spans="1:19" x14ac:dyDescent="0.25">
      <c r="A110" s="1">
        <v>6.7</v>
      </c>
      <c r="B110" s="1">
        <v>2.5</v>
      </c>
      <c r="C110" s="14">
        <v>5.8</v>
      </c>
      <c r="D110" s="16">
        <v>1.8</v>
      </c>
      <c r="E110" s="1" t="s">
        <v>7</v>
      </c>
      <c r="F110" s="23">
        <f t="shared" ca="1" si="4"/>
        <v>2</v>
      </c>
      <c r="G110" s="5">
        <f t="shared" ca="1" si="5"/>
        <v>4.7759815745038212</v>
      </c>
      <c r="H110" s="15">
        <f t="shared" ca="1" si="6"/>
        <v>1.264911064067352</v>
      </c>
      <c r="I110" s="16">
        <f t="shared" ca="1" si="7"/>
        <v>1.264911064067352</v>
      </c>
      <c r="Q110" s="38">
        <v>5.8</v>
      </c>
      <c r="R110" s="39">
        <v>1.8</v>
      </c>
      <c r="S110" s="40">
        <v>2</v>
      </c>
    </row>
    <row r="111" spans="1:19" x14ac:dyDescent="0.25">
      <c r="A111" s="1">
        <v>7.2</v>
      </c>
      <c r="B111" s="1">
        <v>3.6</v>
      </c>
      <c r="C111" s="14">
        <v>6.1</v>
      </c>
      <c r="D111" s="16">
        <v>2.5</v>
      </c>
      <c r="E111" s="1" t="s">
        <v>7</v>
      </c>
      <c r="F111" s="23">
        <f t="shared" ca="1" si="4"/>
        <v>2</v>
      </c>
      <c r="G111" s="5">
        <f t="shared" ca="1" si="5"/>
        <v>5.3225933528685054</v>
      </c>
      <c r="H111" s="15">
        <f t="shared" ca="1" si="6"/>
        <v>1.8601075237738274</v>
      </c>
      <c r="I111" s="16">
        <f t="shared" ca="1" si="7"/>
        <v>1.8601075237738274</v>
      </c>
      <c r="Q111" s="38">
        <v>6.1</v>
      </c>
      <c r="R111" s="39">
        <v>2.5</v>
      </c>
      <c r="S111" s="40">
        <v>2</v>
      </c>
    </row>
    <row r="112" spans="1:19" x14ac:dyDescent="0.25">
      <c r="A112" s="1">
        <v>6.5</v>
      </c>
      <c r="B112" s="1">
        <v>3.2</v>
      </c>
      <c r="C112" s="14">
        <v>5.0999999999999996</v>
      </c>
      <c r="D112" s="16">
        <v>2</v>
      </c>
      <c r="E112" s="1" t="s">
        <v>7</v>
      </c>
      <c r="F112" s="23">
        <f t="shared" ca="1" si="4"/>
        <v>2</v>
      </c>
      <c r="G112" s="5">
        <f t="shared" ca="1" si="5"/>
        <v>4.2047592083257275</v>
      </c>
      <c r="H112" s="15">
        <f t="shared" ca="1" si="6"/>
        <v>0.78102496759066553</v>
      </c>
      <c r="I112" s="16">
        <f t="shared" ca="1" si="7"/>
        <v>0.78102496759066553</v>
      </c>
      <c r="Q112" s="38">
        <v>5.0999999999999996</v>
      </c>
      <c r="R112" s="39">
        <v>2</v>
      </c>
      <c r="S112" s="40">
        <v>2</v>
      </c>
    </row>
    <row r="113" spans="1:19" x14ac:dyDescent="0.25">
      <c r="A113" s="1">
        <v>6.4</v>
      </c>
      <c r="B113" s="1">
        <v>2.7</v>
      </c>
      <c r="C113" s="14">
        <v>5.3</v>
      </c>
      <c r="D113" s="16">
        <v>1.9</v>
      </c>
      <c r="E113" s="1" t="s">
        <v>7</v>
      </c>
      <c r="F113" s="23">
        <f t="shared" ca="1" si="4"/>
        <v>2</v>
      </c>
      <c r="G113" s="5">
        <f t="shared" ca="1" si="5"/>
        <v>4.346262762420146</v>
      </c>
      <c r="H113" s="15">
        <f t="shared" ca="1" si="6"/>
        <v>0.86023252670426276</v>
      </c>
      <c r="I113" s="16">
        <f t="shared" ca="1" si="7"/>
        <v>0.86023252670426276</v>
      </c>
      <c r="Q113" s="38">
        <v>5.3</v>
      </c>
      <c r="R113" s="39">
        <v>1.9</v>
      </c>
      <c r="S113" s="40">
        <v>2</v>
      </c>
    </row>
    <row r="114" spans="1:19" x14ac:dyDescent="0.25">
      <c r="A114" s="1">
        <v>6.8</v>
      </c>
      <c r="B114" s="1">
        <v>3</v>
      </c>
      <c r="C114" s="14">
        <v>5.5</v>
      </c>
      <c r="D114" s="16">
        <v>2.1</v>
      </c>
      <c r="E114" s="1" t="s">
        <v>7</v>
      </c>
      <c r="F114" s="23">
        <f t="shared" ca="1" si="4"/>
        <v>2</v>
      </c>
      <c r="G114" s="5">
        <f t="shared" ca="1" si="5"/>
        <v>4.6097722286464435</v>
      </c>
      <c r="H114" s="15">
        <f t="shared" ca="1" si="6"/>
        <v>1.1401754250991385</v>
      </c>
      <c r="I114" s="16">
        <f t="shared" ca="1" si="7"/>
        <v>1.1401754250991385</v>
      </c>
      <c r="Q114" s="38">
        <v>5.5</v>
      </c>
      <c r="R114" s="39">
        <v>2.1</v>
      </c>
      <c r="S114" s="40">
        <v>2</v>
      </c>
    </row>
    <row r="115" spans="1:19" x14ac:dyDescent="0.25">
      <c r="A115" s="1">
        <v>5.7</v>
      </c>
      <c r="B115" s="1">
        <v>2.5</v>
      </c>
      <c r="C115" s="14">
        <v>5</v>
      </c>
      <c r="D115" s="16">
        <v>2</v>
      </c>
      <c r="E115" s="1" t="s">
        <v>7</v>
      </c>
      <c r="F115" s="23">
        <f t="shared" ca="1" si="4"/>
        <v>2</v>
      </c>
      <c r="G115" s="5">
        <f t="shared" ca="1" si="5"/>
        <v>4.1146081222881969</v>
      </c>
      <c r="H115" s="15">
        <f t="shared" ca="1" si="6"/>
        <v>0.72111025509279814</v>
      </c>
      <c r="I115" s="16">
        <f t="shared" ca="1" si="7"/>
        <v>0.72111025509279814</v>
      </c>
      <c r="Q115" s="38">
        <v>5</v>
      </c>
      <c r="R115" s="39">
        <v>2</v>
      </c>
      <c r="S115" s="40">
        <v>2</v>
      </c>
    </row>
    <row r="116" spans="1:19" x14ac:dyDescent="0.25">
      <c r="A116" s="1">
        <v>5.8</v>
      </c>
      <c r="B116" s="1">
        <v>2.8</v>
      </c>
      <c r="C116" s="14">
        <v>5.0999999999999996</v>
      </c>
      <c r="D116" s="16">
        <v>2.4</v>
      </c>
      <c r="E116" s="1" t="s">
        <v>7</v>
      </c>
      <c r="F116" s="23">
        <f t="shared" ca="1" si="4"/>
        <v>2</v>
      </c>
      <c r="G116" s="5">
        <f t="shared" ca="1" si="5"/>
        <v>4.3908996800200297</v>
      </c>
      <c r="H116" s="15">
        <f t="shared" ca="1" si="6"/>
        <v>1.1180339887498949</v>
      </c>
      <c r="I116" s="16">
        <f t="shared" ca="1" si="7"/>
        <v>1.1180339887498949</v>
      </c>
      <c r="Q116" s="38">
        <v>5.0999999999999996</v>
      </c>
      <c r="R116" s="39">
        <v>2.4</v>
      </c>
      <c r="S116" s="40">
        <v>2</v>
      </c>
    </row>
    <row r="117" spans="1:19" x14ac:dyDescent="0.25">
      <c r="A117" s="1">
        <v>6.4</v>
      </c>
      <c r="B117" s="1">
        <v>3.2</v>
      </c>
      <c r="C117" s="14">
        <v>5.3</v>
      </c>
      <c r="D117" s="16">
        <v>2.2999999999999998</v>
      </c>
      <c r="E117" s="1" t="s">
        <v>7</v>
      </c>
      <c r="F117" s="23">
        <f t="shared" ca="1" si="4"/>
        <v>2</v>
      </c>
      <c r="G117" s="5">
        <f t="shared" ca="1" si="5"/>
        <v>4.5177427992306063</v>
      </c>
      <c r="H117" s="15">
        <f t="shared" ca="1" si="6"/>
        <v>1.1401754250991381</v>
      </c>
      <c r="I117" s="16">
        <f t="shared" ca="1" si="7"/>
        <v>1.1401754250991381</v>
      </c>
      <c r="Q117" s="38">
        <v>5.3</v>
      </c>
      <c r="R117" s="39">
        <v>2.2999999999999998</v>
      </c>
      <c r="S117" s="40">
        <v>2</v>
      </c>
    </row>
    <row r="118" spans="1:19" x14ac:dyDescent="0.25">
      <c r="A118" s="1">
        <v>6.5</v>
      </c>
      <c r="B118" s="1">
        <v>3</v>
      </c>
      <c r="C118" s="14">
        <v>5.5</v>
      </c>
      <c r="D118" s="16">
        <v>1.8</v>
      </c>
      <c r="E118" s="1" t="s">
        <v>7</v>
      </c>
      <c r="F118" s="23">
        <f t="shared" ca="1" si="4"/>
        <v>2</v>
      </c>
      <c r="G118" s="5">
        <f t="shared" ca="1" si="5"/>
        <v>4.4944410108488464</v>
      </c>
      <c r="H118" s="15">
        <f t="shared" ca="1" si="6"/>
        <v>0.98488578017961081</v>
      </c>
      <c r="I118" s="16">
        <f t="shared" ca="1" si="7"/>
        <v>0.98488578017961081</v>
      </c>
      <c r="Q118" s="38">
        <v>5.5</v>
      </c>
      <c r="R118" s="39">
        <v>1.8</v>
      </c>
      <c r="S118" s="40">
        <v>2</v>
      </c>
    </row>
    <row r="119" spans="1:19" x14ac:dyDescent="0.25">
      <c r="A119" s="1">
        <v>7.7</v>
      </c>
      <c r="B119" s="1">
        <v>3.8</v>
      </c>
      <c r="C119" s="14">
        <v>6.7</v>
      </c>
      <c r="D119" s="16">
        <v>2.2000000000000002</v>
      </c>
      <c r="E119" s="1" t="s">
        <v>7</v>
      </c>
      <c r="F119" s="23">
        <f t="shared" ca="1" si="4"/>
        <v>2</v>
      </c>
      <c r="G119" s="5">
        <f t="shared" ca="1" si="5"/>
        <v>5.7584720195551879</v>
      </c>
      <c r="H119" s="15">
        <f t="shared" ca="1" si="6"/>
        <v>2.2472205054244236</v>
      </c>
      <c r="I119" s="16">
        <f t="shared" ca="1" si="7"/>
        <v>2.2472205054244236</v>
      </c>
      <c r="Q119" s="38">
        <v>6.7</v>
      </c>
      <c r="R119" s="39">
        <v>2.2000000000000002</v>
      </c>
      <c r="S119" s="40">
        <v>2</v>
      </c>
    </row>
    <row r="120" spans="1:19" x14ac:dyDescent="0.25">
      <c r="A120" s="1">
        <v>7.7</v>
      </c>
      <c r="B120" s="1">
        <v>2.6</v>
      </c>
      <c r="C120" s="14">
        <v>6.9</v>
      </c>
      <c r="D120" s="16">
        <v>2.2999999999999998</v>
      </c>
      <c r="E120" s="1" t="s">
        <v>7</v>
      </c>
      <c r="F120" s="23">
        <f t="shared" ca="1" si="4"/>
        <v>2</v>
      </c>
      <c r="G120" s="5">
        <f t="shared" ca="1" si="5"/>
        <v>5.9808026217222725</v>
      </c>
      <c r="H120" s="15">
        <f t="shared" ca="1" si="6"/>
        <v>2.4698178070456946</v>
      </c>
      <c r="I120" s="16">
        <f t="shared" ca="1" si="7"/>
        <v>2.4698178070456946</v>
      </c>
      <c r="Q120" s="38">
        <v>6.9</v>
      </c>
      <c r="R120" s="39">
        <v>2.2999999999999998</v>
      </c>
      <c r="S120" s="40">
        <v>2</v>
      </c>
    </row>
    <row r="121" spans="1:19" x14ac:dyDescent="0.25">
      <c r="A121" s="1">
        <v>6</v>
      </c>
      <c r="B121" s="1">
        <v>2.2000000000000002</v>
      </c>
      <c r="C121" s="14">
        <v>5</v>
      </c>
      <c r="D121" s="16">
        <v>1.5</v>
      </c>
      <c r="E121" s="1" t="s">
        <v>7</v>
      </c>
      <c r="F121" s="23">
        <f t="shared" ca="1" si="4"/>
        <v>2</v>
      </c>
      <c r="G121" s="5">
        <f t="shared" ca="1" si="5"/>
        <v>3.9217343102255158</v>
      </c>
      <c r="H121" s="15">
        <f t="shared" ca="1" si="6"/>
        <v>0.4123105625617664</v>
      </c>
      <c r="I121" s="16">
        <f t="shared" ca="1" si="7"/>
        <v>0.4123105625617664</v>
      </c>
      <c r="Q121" s="38">
        <v>5</v>
      </c>
      <c r="R121" s="39">
        <v>1.5</v>
      </c>
      <c r="S121" s="40">
        <v>2</v>
      </c>
    </row>
    <row r="122" spans="1:19" x14ac:dyDescent="0.25">
      <c r="A122" s="1">
        <v>6.9</v>
      </c>
      <c r="B122" s="1">
        <v>3.2</v>
      </c>
      <c r="C122" s="14">
        <v>5.7</v>
      </c>
      <c r="D122" s="16">
        <v>2.2999999999999998</v>
      </c>
      <c r="E122" s="1" t="s">
        <v>7</v>
      </c>
      <c r="F122" s="23">
        <f t="shared" ca="1" si="4"/>
        <v>2</v>
      </c>
      <c r="G122" s="5">
        <f t="shared" ca="1" si="5"/>
        <v>4.8754486972995625</v>
      </c>
      <c r="H122" s="15">
        <f t="shared" ca="1" si="6"/>
        <v>1.4212670403551899</v>
      </c>
      <c r="I122" s="16">
        <f t="shared" ca="1" si="7"/>
        <v>1.4212670403551899</v>
      </c>
      <c r="Q122" s="38">
        <v>5.7</v>
      </c>
      <c r="R122" s="39">
        <v>2.2999999999999998</v>
      </c>
      <c r="S122" s="40">
        <v>2</v>
      </c>
    </row>
    <row r="123" spans="1:19" x14ac:dyDescent="0.25">
      <c r="A123" s="1">
        <v>5.6</v>
      </c>
      <c r="B123" s="1">
        <v>2.8</v>
      </c>
      <c r="C123" s="14">
        <v>4.9000000000000004</v>
      </c>
      <c r="D123" s="16">
        <v>2</v>
      </c>
      <c r="E123" s="1" t="s">
        <v>7</v>
      </c>
      <c r="F123" s="23">
        <f t="shared" ca="1" si="4"/>
        <v>2</v>
      </c>
      <c r="G123" s="5">
        <f t="shared" ca="1" si="5"/>
        <v>4.0249223594996222</v>
      </c>
      <c r="H123" s="15">
        <f t="shared" ca="1" si="6"/>
        <v>0.67082039324993725</v>
      </c>
      <c r="I123" s="16">
        <f t="shared" ca="1" si="7"/>
        <v>0.67082039324993725</v>
      </c>
      <c r="Q123" s="38">
        <v>4.9000000000000004</v>
      </c>
      <c r="R123" s="39">
        <v>2</v>
      </c>
      <c r="S123" s="40">
        <v>2</v>
      </c>
    </row>
    <row r="124" spans="1:19" x14ac:dyDescent="0.25">
      <c r="A124" s="1">
        <v>7.7</v>
      </c>
      <c r="B124" s="1">
        <v>2.8</v>
      </c>
      <c r="C124" s="14">
        <v>6.7</v>
      </c>
      <c r="D124" s="16">
        <v>2</v>
      </c>
      <c r="E124" s="1" t="s">
        <v>7</v>
      </c>
      <c r="F124" s="23">
        <f t="shared" ca="1" si="4"/>
        <v>2</v>
      </c>
      <c r="G124" s="5">
        <f t="shared" ca="1" si="5"/>
        <v>5.6920997883030831</v>
      </c>
      <c r="H124" s="15">
        <f t="shared" ca="1" si="6"/>
        <v>2.184032966784156</v>
      </c>
      <c r="I124" s="16">
        <f t="shared" ca="1" si="7"/>
        <v>2.184032966784156</v>
      </c>
      <c r="Q124" s="38">
        <v>6.7</v>
      </c>
      <c r="R124" s="39">
        <v>2</v>
      </c>
      <c r="S124" s="40">
        <v>2</v>
      </c>
    </row>
    <row r="125" spans="1:19" x14ac:dyDescent="0.25">
      <c r="A125" s="1">
        <v>6.3</v>
      </c>
      <c r="B125" s="1">
        <v>2.7</v>
      </c>
      <c r="C125" s="14">
        <v>4.9000000000000004</v>
      </c>
      <c r="D125" s="16">
        <v>1.8</v>
      </c>
      <c r="E125" s="1" t="s">
        <v>7</v>
      </c>
      <c r="F125" s="23">
        <f t="shared" ca="1" si="4"/>
        <v>2</v>
      </c>
      <c r="G125" s="5">
        <f t="shared" ca="1" si="5"/>
        <v>3.9395431207184424</v>
      </c>
      <c r="H125" s="15">
        <f t="shared" ca="1" si="6"/>
        <v>0.50000000000000056</v>
      </c>
      <c r="I125" s="16">
        <f t="shared" ca="1" si="7"/>
        <v>0.50000000000000056</v>
      </c>
      <c r="Q125" s="38">
        <v>4.9000000000000004</v>
      </c>
      <c r="R125" s="39">
        <v>1.8</v>
      </c>
      <c r="S125" s="40">
        <v>2</v>
      </c>
    </row>
    <row r="126" spans="1:19" x14ac:dyDescent="0.25">
      <c r="A126" s="1">
        <v>6.7</v>
      </c>
      <c r="B126" s="1">
        <v>3.3</v>
      </c>
      <c r="C126" s="14">
        <v>5.7</v>
      </c>
      <c r="D126" s="16">
        <v>2.1</v>
      </c>
      <c r="E126" s="1" t="s">
        <v>7</v>
      </c>
      <c r="F126" s="23">
        <f t="shared" ca="1" si="4"/>
        <v>2</v>
      </c>
      <c r="G126" s="5">
        <f t="shared" ca="1" si="5"/>
        <v>4.7927027865287037</v>
      </c>
      <c r="H126" s="15">
        <f t="shared" ca="1" si="6"/>
        <v>1.3038404810405302</v>
      </c>
      <c r="I126" s="16">
        <f t="shared" ca="1" si="7"/>
        <v>1.3038404810405302</v>
      </c>
      <c r="Q126" s="38">
        <v>5.7</v>
      </c>
      <c r="R126" s="39">
        <v>2.1</v>
      </c>
      <c r="S126" s="40">
        <v>2</v>
      </c>
    </row>
    <row r="127" spans="1:19" x14ac:dyDescent="0.25">
      <c r="A127" s="1">
        <v>7.2</v>
      </c>
      <c r="B127" s="1">
        <v>3.2</v>
      </c>
      <c r="C127" s="14">
        <v>6</v>
      </c>
      <c r="D127" s="16">
        <v>1.8</v>
      </c>
      <c r="E127" s="1" t="s">
        <v>7</v>
      </c>
      <c r="F127" s="23">
        <f t="shared" ca="1" si="4"/>
        <v>2</v>
      </c>
      <c r="G127" s="5">
        <f t="shared" ca="1" si="5"/>
        <v>4.9648766349225646</v>
      </c>
      <c r="H127" s="15">
        <f t="shared" ca="1" si="6"/>
        <v>1.4560219778561041</v>
      </c>
      <c r="I127" s="16">
        <f t="shared" ca="1" si="7"/>
        <v>1.4560219778561041</v>
      </c>
      <c r="Q127" s="38">
        <v>6</v>
      </c>
      <c r="R127" s="39">
        <v>1.8</v>
      </c>
      <c r="S127" s="40">
        <v>2</v>
      </c>
    </row>
    <row r="128" spans="1:19" x14ac:dyDescent="0.25">
      <c r="A128" s="1">
        <v>6.2</v>
      </c>
      <c r="B128" s="1">
        <v>2.8</v>
      </c>
      <c r="C128" s="14">
        <v>4.8</v>
      </c>
      <c r="D128" s="16">
        <v>1.8</v>
      </c>
      <c r="E128" s="1" t="s">
        <v>7</v>
      </c>
      <c r="F128" s="23">
        <f t="shared" ca="1" si="4"/>
        <v>2</v>
      </c>
      <c r="G128" s="5">
        <f t="shared" ca="1" si="5"/>
        <v>3.8483762809787714</v>
      </c>
      <c r="H128" s="15">
        <f t="shared" ca="1" si="6"/>
        <v>0.44721359549995815</v>
      </c>
      <c r="I128" s="16">
        <f t="shared" ca="1" si="7"/>
        <v>0.44721359549995815</v>
      </c>
      <c r="Q128" s="38">
        <v>4.8</v>
      </c>
      <c r="R128" s="39">
        <v>1.8</v>
      </c>
      <c r="S128" s="40">
        <v>2</v>
      </c>
    </row>
    <row r="129" spans="1:19" x14ac:dyDescent="0.25">
      <c r="A129" s="1">
        <v>6.1</v>
      </c>
      <c r="B129" s="1">
        <v>3</v>
      </c>
      <c r="C129" s="14">
        <v>4.9000000000000004</v>
      </c>
      <c r="D129" s="16">
        <v>1.8</v>
      </c>
      <c r="E129" s="1" t="s">
        <v>7</v>
      </c>
      <c r="F129" s="23">
        <f t="shared" ca="1" si="4"/>
        <v>2</v>
      </c>
      <c r="G129" s="5">
        <f t="shared" ca="1" si="5"/>
        <v>3.9395431207184424</v>
      </c>
      <c r="H129" s="15">
        <f t="shared" ca="1" si="6"/>
        <v>0.50000000000000056</v>
      </c>
      <c r="I129" s="16">
        <f t="shared" ca="1" si="7"/>
        <v>0.50000000000000056</v>
      </c>
      <c r="Q129" s="38">
        <v>4.9000000000000004</v>
      </c>
      <c r="R129" s="39">
        <v>1.8</v>
      </c>
      <c r="S129" s="40">
        <v>2</v>
      </c>
    </row>
    <row r="130" spans="1:19" x14ac:dyDescent="0.25">
      <c r="A130" s="1">
        <v>6.4</v>
      </c>
      <c r="B130" s="1">
        <v>2.8</v>
      </c>
      <c r="C130" s="14">
        <v>5.6</v>
      </c>
      <c r="D130" s="16">
        <v>2.1</v>
      </c>
      <c r="E130" s="1" t="s">
        <v>7</v>
      </c>
      <c r="F130" s="23">
        <f t="shared" ca="1" si="4"/>
        <v>2</v>
      </c>
      <c r="G130" s="5">
        <f t="shared" ca="1" si="5"/>
        <v>4.7010637094172631</v>
      </c>
      <c r="H130" s="15">
        <f t="shared" ca="1" si="6"/>
        <v>1.2206555615733703</v>
      </c>
      <c r="I130" s="16">
        <f t="shared" ca="1" si="7"/>
        <v>1.2206555615733703</v>
      </c>
      <c r="Q130" s="38">
        <v>5.6</v>
      </c>
      <c r="R130" s="39">
        <v>2.1</v>
      </c>
      <c r="S130" s="40">
        <v>2</v>
      </c>
    </row>
    <row r="131" spans="1:19" x14ac:dyDescent="0.25">
      <c r="A131" s="1">
        <v>7.2</v>
      </c>
      <c r="B131" s="1">
        <v>3</v>
      </c>
      <c r="C131" s="14">
        <v>5.8</v>
      </c>
      <c r="D131" s="16">
        <v>1.6</v>
      </c>
      <c r="E131" s="1" t="s">
        <v>7</v>
      </c>
      <c r="F131" s="23">
        <f t="shared" ref="F131:F151" ca="1" si="8">IF(G131=I131,1,2)</f>
        <v>2</v>
      </c>
      <c r="G131" s="5">
        <f t="shared" ref="G131:G151" ca="1" si="9">(($C131-$M$2)^2+($D131-$N$2)^2)^(1/2)</f>
        <v>4.7127486671792713</v>
      </c>
      <c r="H131" s="15">
        <f t="shared" ref="H131:H151" ca="1" si="10">(($C131-$M$3)^2+($D131-$N$3)^2)^(1/2)</f>
        <v>1.216552506059644</v>
      </c>
      <c r="I131" s="16">
        <f t="shared" ref="I131:I151" ca="1" si="11">MIN(G131:H131)</f>
        <v>1.216552506059644</v>
      </c>
      <c r="Q131" s="38">
        <v>5.8</v>
      </c>
      <c r="R131" s="39">
        <v>1.6</v>
      </c>
      <c r="S131" s="40">
        <v>2</v>
      </c>
    </row>
    <row r="132" spans="1:19" x14ac:dyDescent="0.25">
      <c r="A132" s="1">
        <v>7.4</v>
      </c>
      <c r="B132" s="1">
        <v>2.8</v>
      </c>
      <c r="C132" s="14">
        <v>6.1</v>
      </c>
      <c r="D132" s="16">
        <v>1.9</v>
      </c>
      <c r="E132" s="1" t="s">
        <v>7</v>
      </c>
      <c r="F132" s="23">
        <f t="shared" ca="1" si="8"/>
        <v>2</v>
      </c>
      <c r="G132" s="5">
        <f t="shared" ca="1" si="9"/>
        <v>5.0921508225896055</v>
      </c>
      <c r="H132" s="15">
        <f t="shared" ca="1" si="10"/>
        <v>1.5811388300841898</v>
      </c>
      <c r="I132" s="16">
        <f t="shared" ca="1" si="11"/>
        <v>1.5811388300841898</v>
      </c>
      <c r="Q132" s="38">
        <v>6.1</v>
      </c>
      <c r="R132" s="39">
        <v>1.9</v>
      </c>
      <c r="S132" s="40">
        <v>2</v>
      </c>
    </row>
    <row r="133" spans="1:19" x14ac:dyDescent="0.25">
      <c r="A133" s="1">
        <v>7.9</v>
      </c>
      <c r="B133" s="1">
        <v>3.8</v>
      </c>
      <c r="C133" s="14">
        <v>6.4</v>
      </c>
      <c r="D133" s="16">
        <v>2</v>
      </c>
      <c r="E133" s="1" t="s">
        <v>7</v>
      </c>
      <c r="F133" s="23">
        <f t="shared" ca="1" si="8"/>
        <v>2</v>
      </c>
      <c r="G133" s="5">
        <f t="shared" ca="1" si="9"/>
        <v>5.4083269131959844</v>
      </c>
      <c r="H133" s="15">
        <f t="shared" ca="1" si="10"/>
        <v>1.8973665961010282</v>
      </c>
      <c r="I133" s="16">
        <f t="shared" ca="1" si="11"/>
        <v>1.8973665961010282</v>
      </c>
      <c r="Q133" s="38">
        <v>6.4</v>
      </c>
      <c r="R133" s="39">
        <v>2</v>
      </c>
      <c r="S133" s="40">
        <v>2</v>
      </c>
    </row>
    <row r="134" spans="1:19" x14ac:dyDescent="0.25">
      <c r="A134" s="1">
        <v>6.4</v>
      </c>
      <c r="B134" s="1">
        <v>2.8</v>
      </c>
      <c r="C134" s="14">
        <v>5.6</v>
      </c>
      <c r="D134" s="16">
        <v>2.2000000000000002</v>
      </c>
      <c r="E134" s="1" t="s">
        <v>7</v>
      </c>
      <c r="F134" s="23">
        <f t="shared" ca="1" si="8"/>
        <v>2</v>
      </c>
      <c r="G134" s="5">
        <f t="shared" ca="1" si="9"/>
        <v>4.7423622805517507</v>
      </c>
      <c r="H134" s="15">
        <f t="shared" ca="1" si="10"/>
        <v>1.28062484748657</v>
      </c>
      <c r="I134" s="16">
        <f t="shared" ca="1" si="11"/>
        <v>1.28062484748657</v>
      </c>
      <c r="Q134" s="38">
        <v>5.6</v>
      </c>
      <c r="R134" s="39">
        <v>2.2000000000000002</v>
      </c>
      <c r="S134" s="40">
        <v>2</v>
      </c>
    </row>
    <row r="135" spans="1:19" x14ac:dyDescent="0.25">
      <c r="A135" s="1">
        <v>6.3</v>
      </c>
      <c r="B135" s="1">
        <v>2.8</v>
      </c>
      <c r="C135" s="14">
        <v>5.0999999999999996</v>
      </c>
      <c r="D135" s="16">
        <v>1.5</v>
      </c>
      <c r="E135" s="1" t="s">
        <v>7</v>
      </c>
      <c r="F135" s="23">
        <f t="shared" ca="1" si="8"/>
        <v>2</v>
      </c>
      <c r="G135" s="5">
        <f t="shared" ca="1" si="9"/>
        <v>4.0162171256046406</v>
      </c>
      <c r="H135" s="15">
        <f t="shared" ca="1" si="10"/>
        <v>0.50990195135927852</v>
      </c>
      <c r="I135" s="16">
        <f t="shared" ca="1" si="11"/>
        <v>0.50990195135927852</v>
      </c>
      <c r="Q135" s="38">
        <v>5.0999999999999996</v>
      </c>
      <c r="R135" s="39">
        <v>1.5</v>
      </c>
      <c r="S135" s="40">
        <v>2</v>
      </c>
    </row>
    <row r="136" spans="1:19" x14ac:dyDescent="0.25">
      <c r="A136" s="1">
        <v>6.1</v>
      </c>
      <c r="B136" s="1">
        <v>2.6</v>
      </c>
      <c r="C136" s="14">
        <v>5.6</v>
      </c>
      <c r="D136" s="16">
        <v>1.4</v>
      </c>
      <c r="E136" s="1" t="s">
        <v>7</v>
      </c>
      <c r="F136" s="23">
        <f t="shared" ca="1" si="8"/>
        <v>2</v>
      </c>
      <c r="G136" s="5">
        <f t="shared" ca="1" si="9"/>
        <v>4.464302857109943</v>
      </c>
      <c r="H136" s="15">
        <f t="shared" ca="1" si="10"/>
        <v>1</v>
      </c>
      <c r="I136" s="16">
        <f t="shared" ca="1" si="11"/>
        <v>1</v>
      </c>
      <c r="Q136" s="38">
        <v>5.6</v>
      </c>
      <c r="R136" s="39">
        <v>1.4</v>
      </c>
      <c r="S136" s="40">
        <v>2</v>
      </c>
    </row>
    <row r="137" spans="1:19" x14ac:dyDescent="0.25">
      <c r="A137" s="1">
        <v>7.7</v>
      </c>
      <c r="B137" s="1">
        <v>3</v>
      </c>
      <c r="C137" s="14">
        <v>6.1</v>
      </c>
      <c r="D137" s="16">
        <v>2.2999999999999998</v>
      </c>
      <c r="E137" s="1" t="s">
        <v>7</v>
      </c>
      <c r="F137" s="23">
        <f t="shared" ca="1" si="8"/>
        <v>2</v>
      </c>
      <c r="G137" s="5">
        <f t="shared" ca="1" si="9"/>
        <v>5.2392747589718942</v>
      </c>
      <c r="H137" s="15">
        <f t="shared" ca="1" si="10"/>
        <v>1.74928556845359</v>
      </c>
      <c r="I137" s="16">
        <f t="shared" ca="1" si="11"/>
        <v>1.74928556845359</v>
      </c>
      <c r="Q137" s="38">
        <v>6.1</v>
      </c>
      <c r="R137" s="39">
        <v>2.2999999999999998</v>
      </c>
      <c r="S137" s="40">
        <v>2</v>
      </c>
    </row>
    <row r="138" spans="1:19" x14ac:dyDescent="0.25">
      <c r="A138" s="1">
        <v>6.3</v>
      </c>
      <c r="B138" s="1">
        <v>3.4</v>
      </c>
      <c r="C138" s="14">
        <v>5.6</v>
      </c>
      <c r="D138" s="16">
        <v>2.4</v>
      </c>
      <c r="E138" s="1" t="s">
        <v>7</v>
      </c>
      <c r="F138" s="23">
        <f t="shared" ca="1" si="8"/>
        <v>2</v>
      </c>
      <c r="G138" s="5">
        <f t="shared" ca="1" si="9"/>
        <v>4.8301138702933288</v>
      </c>
      <c r="H138" s="15">
        <f t="shared" ca="1" si="10"/>
        <v>1.4142135623730951</v>
      </c>
      <c r="I138" s="16">
        <f t="shared" ca="1" si="11"/>
        <v>1.4142135623730951</v>
      </c>
      <c r="Q138" s="38">
        <v>5.6</v>
      </c>
      <c r="R138" s="39">
        <v>2.4</v>
      </c>
      <c r="S138" s="40">
        <v>2</v>
      </c>
    </row>
    <row r="139" spans="1:19" x14ac:dyDescent="0.25">
      <c r="A139" s="1">
        <v>6.4</v>
      </c>
      <c r="B139" s="1">
        <v>3.1</v>
      </c>
      <c r="C139" s="14">
        <v>5.5</v>
      </c>
      <c r="D139" s="16">
        <v>1.8</v>
      </c>
      <c r="E139" s="1" t="s">
        <v>7</v>
      </c>
      <c r="F139" s="23">
        <f t="shared" ca="1" si="8"/>
        <v>2</v>
      </c>
      <c r="G139" s="5">
        <f t="shared" ca="1" si="9"/>
        <v>4.4944410108488464</v>
      </c>
      <c r="H139" s="15">
        <f t="shared" ca="1" si="10"/>
        <v>0.98488578017961081</v>
      </c>
      <c r="I139" s="16">
        <f t="shared" ca="1" si="11"/>
        <v>0.98488578017961081</v>
      </c>
      <c r="Q139" s="38">
        <v>5.5</v>
      </c>
      <c r="R139" s="39">
        <v>1.8</v>
      </c>
      <c r="S139" s="40">
        <v>2</v>
      </c>
    </row>
    <row r="140" spans="1:19" x14ac:dyDescent="0.25">
      <c r="A140" s="1">
        <v>6</v>
      </c>
      <c r="B140" s="1">
        <v>3</v>
      </c>
      <c r="C140" s="14">
        <v>4.8</v>
      </c>
      <c r="D140" s="16">
        <v>1.8</v>
      </c>
      <c r="E140" s="1" t="s">
        <v>7</v>
      </c>
      <c r="F140" s="23">
        <f t="shared" ca="1" si="8"/>
        <v>2</v>
      </c>
      <c r="G140" s="5">
        <f t="shared" ca="1" si="9"/>
        <v>3.8483762809787714</v>
      </c>
      <c r="H140" s="15">
        <f t="shared" ca="1" si="10"/>
        <v>0.44721359549995815</v>
      </c>
      <c r="I140" s="16">
        <f t="shared" ca="1" si="11"/>
        <v>0.44721359549995815</v>
      </c>
      <c r="Q140" s="38">
        <v>4.8</v>
      </c>
      <c r="R140" s="39">
        <v>1.8</v>
      </c>
      <c r="S140" s="40">
        <v>2</v>
      </c>
    </row>
    <row r="141" spans="1:19" x14ac:dyDescent="0.25">
      <c r="A141" s="1">
        <v>6.9</v>
      </c>
      <c r="B141" s="1">
        <v>3.1</v>
      </c>
      <c r="C141" s="14">
        <v>5.4</v>
      </c>
      <c r="D141" s="16">
        <v>2.1</v>
      </c>
      <c r="E141" s="1" t="s">
        <v>7</v>
      </c>
      <c r="F141" s="23">
        <f t="shared" ca="1" si="8"/>
        <v>2</v>
      </c>
      <c r="G141" s="5">
        <f t="shared" ca="1" si="9"/>
        <v>4.5188494110780022</v>
      </c>
      <c r="H141" s="15">
        <f t="shared" ca="1" si="10"/>
        <v>1.0630145812734657</v>
      </c>
      <c r="I141" s="16">
        <f t="shared" ca="1" si="11"/>
        <v>1.0630145812734657</v>
      </c>
      <c r="Q141" s="38">
        <v>5.4</v>
      </c>
      <c r="R141" s="39">
        <v>2.1</v>
      </c>
      <c r="S141" s="40">
        <v>2</v>
      </c>
    </row>
    <row r="142" spans="1:19" x14ac:dyDescent="0.25">
      <c r="A142" s="1">
        <v>6.7</v>
      </c>
      <c r="B142" s="1">
        <v>3.1</v>
      </c>
      <c r="C142" s="14">
        <v>5.6</v>
      </c>
      <c r="D142" s="16">
        <v>2.4</v>
      </c>
      <c r="E142" s="1" t="s">
        <v>7</v>
      </c>
      <c r="F142" s="23">
        <f t="shared" ca="1" si="8"/>
        <v>2</v>
      </c>
      <c r="G142" s="5">
        <f t="shared" ca="1" si="9"/>
        <v>4.8301138702933288</v>
      </c>
      <c r="H142" s="15">
        <f t="shared" ca="1" si="10"/>
        <v>1.4142135623730951</v>
      </c>
      <c r="I142" s="16">
        <f t="shared" ca="1" si="11"/>
        <v>1.4142135623730951</v>
      </c>
      <c r="Q142" s="38">
        <v>5.6</v>
      </c>
      <c r="R142" s="39">
        <v>2.4</v>
      </c>
      <c r="S142" s="40">
        <v>2</v>
      </c>
    </row>
    <row r="143" spans="1:19" x14ac:dyDescent="0.25">
      <c r="A143" s="1">
        <v>6.9</v>
      </c>
      <c r="B143" s="1">
        <v>3.1</v>
      </c>
      <c r="C143" s="14">
        <v>5.0999999999999996</v>
      </c>
      <c r="D143" s="16">
        <v>2.2999999999999998</v>
      </c>
      <c r="E143" s="1" t="s">
        <v>7</v>
      </c>
      <c r="F143" s="23">
        <f t="shared" ca="1" si="8"/>
        <v>2</v>
      </c>
      <c r="G143" s="5">
        <f t="shared" ca="1" si="9"/>
        <v>4.3416586692184813</v>
      </c>
      <c r="H143" s="15">
        <f t="shared" ca="1" si="10"/>
        <v>1.0295630140987</v>
      </c>
      <c r="I143" s="16">
        <f t="shared" ca="1" si="11"/>
        <v>1.0295630140987</v>
      </c>
      <c r="Q143" s="38">
        <v>5.0999999999999996</v>
      </c>
      <c r="R143" s="39">
        <v>2.2999999999999998</v>
      </c>
      <c r="S143" s="40">
        <v>2</v>
      </c>
    </row>
    <row r="144" spans="1:19" x14ac:dyDescent="0.25">
      <c r="A144" s="1">
        <v>5.8</v>
      </c>
      <c r="B144" s="1">
        <v>2.7</v>
      </c>
      <c r="C144" s="14">
        <v>5.0999999999999996</v>
      </c>
      <c r="D144" s="16">
        <v>1.9</v>
      </c>
      <c r="E144" s="1" t="s">
        <v>7</v>
      </c>
      <c r="F144" s="23">
        <f t="shared" ca="1" si="8"/>
        <v>2</v>
      </c>
      <c r="G144" s="5">
        <f t="shared" ca="1" si="9"/>
        <v>4.162931659299729</v>
      </c>
      <c r="H144" s="15">
        <f t="shared" ca="1" si="10"/>
        <v>0.70710678118654757</v>
      </c>
      <c r="I144" s="16">
        <f t="shared" ca="1" si="11"/>
        <v>0.70710678118654757</v>
      </c>
      <c r="Q144" s="38">
        <v>5.0999999999999996</v>
      </c>
      <c r="R144" s="39">
        <v>1.9</v>
      </c>
      <c r="S144" s="40">
        <v>2</v>
      </c>
    </row>
    <row r="145" spans="1:19" x14ac:dyDescent="0.25">
      <c r="A145" s="1">
        <v>6.8</v>
      </c>
      <c r="B145" s="1">
        <v>3.2</v>
      </c>
      <c r="C145" s="14">
        <v>5.9</v>
      </c>
      <c r="D145" s="16">
        <v>2.2999999999999998</v>
      </c>
      <c r="E145" s="1" t="s">
        <v>7</v>
      </c>
      <c r="F145" s="23">
        <f t="shared" ca="1" si="8"/>
        <v>2</v>
      </c>
      <c r="G145" s="5">
        <f t="shared" ca="1" si="9"/>
        <v>5.0566787519082128</v>
      </c>
      <c r="H145" s="15">
        <f t="shared" ca="1" si="10"/>
        <v>1.5811388300841902</v>
      </c>
      <c r="I145" s="16">
        <f t="shared" ca="1" si="11"/>
        <v>1.5811388300841902</v>
      </c>
      <c r="Q145" s="38">
        <v>5.9</v>
      </c>
      <c r="R145" s="39">
        <v>2.2999999999999998</v>
      </c>
      <c r="S145" s="40">
        <v>2</v>
      </c>
    </row>
    <row r="146" spans="1:19" x14ac:dyDescent="0.25">
      <c r="A146" s="1">
        <v>6.7</v>
      </c>
      <c r="B146" s="1">
        <v>3.3</v>
      </c>
      <c r="C146" s="14">
        <v>5.7</v>
      </c>
      <c r="D146" s="16">
        <v>2.5</v>
      </c>
      <c r="E146" s="1" t="s">
        <v>7</v>
      </c>
      <c r="F146" s="23">
        <f t="shared" ca="1" si="8"/>
        <v>2</v>
      </c>
      <c r="G146" s="5">
        <f t="shared" ca="1" si="9"/>
        <v>4.9648766349225637</v>
      </c>
      <c r="H146" s="15">
        <f t="shared" ca="1" si="10"/>
        <v>1.555634918610405</v>
      </c>
      <c r="I146" s="16">
        <f t="shared" ca="1" si="11"/>
        <v>1.555634918610405</v>
      </c>
      <c r="Q146" s="38">
        <v>5.7</v>
      </c>
      <c r="R146" s="39">
        <v>2.5</v>
      </c>
      <c r="S146" s="40">
        <v>2</v>
      </c>
    </row>
    <row r="147" spans="1:19" x14ac:dyDescent="0.25">
      <c r="A147" s="1">
        <v>6.7</v>
      </c>
      <c r="B147" s="1">
        <v>3</v>
      </c>
      <c r="C147" s="14">
        <v>5.2</v>
      </c>
      <c r="D147" s="16">
        <v>2.2999999999999998</v>
      </c>
      <c r="E147" s="1" t="s">
        <v>7</v>
      </c>
      <c r="F147" s="23">
        <f t="shared" ca="1" si="8"/>
        <v>2</v>
      </c>
      <c r="G147" s="5">
        <f t="shared" ca="1" si="9"/>
        <v>4.4294469180700204</v>
      </c>
      <c r="H147" s="15">
        <f t="shared" ca="1" si="10"/>
        <v>1.0816653826391969</v>
      </c>
      <c r="I147" s="16">
        <f t="shared" ca="1" si="11"/>
        <v>1.0816653826391969</v>
      </c>
      <c r="Q147" s="38">
        <v>5.2</v>
      </c>
      <c r="R147" s="39">
        <v>2.2999999999999998</v>
      </c>
      <c r="S147" s="40">
        <v>2</v>
      </c>
    </row>
    <row r="148" spans="1:19" x14ac:dyDescent="0.25">
      <c r="A148" s="1">
        <v>6.3</v>
      </c>
      <c r="B148" s="1">
        <v>2.5</v>
      </c>
      <c r="C148" s="14">
        <v>5</v>
      </c>
      <c r="D148" s="16">
        <v>1.9</v>
      </c>
      <c r="E148" s="1" t="s">
        <v>7</v>
      </c>
      <c r="F148" s="23">
        <f t="shared" ca="1" si="8"/>
        <v>2</v>
      </c>
      <c r="G148" s="5">
        <f t="shared" ca="1" si="9"/>
        <v>4.0718546143004666</v>
      </c>
      <c r="H148" s="15">
        <f t="shared" ca="1" si="10"/>
        <v>0.64031242374328512</v>
      </c>
      <c r="I148" s="16">
        <f t="shared" ca="1" si="11"/>
        <v>0.64031242374328512</v>
      </c>
      <c r="Q148" s="38">
        <v>5</v>
      </c>
      <c r="R148" s="39">
        <v>1.9</v>
      </c>
      <c r="S148" s="40">
        <v>2</v>
      </c>
    </row>
    <row r="149" spans="1:19" x14ac:dyDescent="0.25">
      <c r="A149" s="1">
        <v>6.5</v>
      </c>
      <c r="B149" s="1">
        <v>3</v>
      </c>
      <c r="C149" s="14">
        <v>5.2</v>
      </c>
      <c r="D149" s="16">
        <v>2</v>
      </c>
      <c r="E149" s="1" t="s">
        <v>7</v>
      </c>
      <c r="F149" s="23">
        <f t="shared" ca="1" si="8"/>
        <v>2</v>
      </c>
      <c r="G149" s="5">
        <f t="shared" ca="1" si="9"/>
        <v>4.2953463189829062</v>
      </c>
      <c r="H149" s="15">
        <f t="shared" ca="1" si="10"/>
        <v>0.84852813742385746</v>
      </c>
      <c r="I149" s="16">
        <f t="shared" ca="1" si="11"/>
        <v>0.84852813742385746</v>
      </c>
      <c r="Q149" s="38">
        <v>5.2</v>
      </c>
      <c r="R149" s="39">
        <v>2</v>
      </c>
      <c r="S149" s="40">
        <v>2</v>
      </c>
    </row>
    <row r="150" spans="1:19" x14ac:dyDescent="0.25">
      <c r="A150" s="1">
        <v>6.2</v>
      </c>
      <c r="B150" s="1">
        <v>3.4</v>
      </c>
      <c r="C150" s="14">
        <v>5.4</v>
      </c>
      <c r="D150" s="16">
        <v>2.2999999999999998</v>
      </c>
      <c r="E150" s="1" t="s">
        <v>7</v>
      </c>
      <c r="F150" s="23">
        <f t="shared" ca="1" si="8"/>
        <v>2</v>
      </c>
      <c r="G150" s="5">
        <f t="shared" ca="1" si="9"/>
        <v>4.6065171225124093</v>
      </c>
      <c r="H150" s="15">
        <f t="shared" ca="1" si="10"/>
        <v>1.2041594578792301</v>
      </c>
      <c r="I150" s="16">
        <f t="shared" ca="1" si="11"/>
        <v>1.2041594578792301</v>
      </c>
      <c r="Q150" s="38">
        <v>5.4</v>
      </c>
      <c r="R150" s="39">
        <v>2.2999999999999998</v>
      </c>
      <c r="S150" s="40">
        <v>2</v>
      </c>
    </row>
    <row r="151" spans="1:19" ht="15.75" thickBot="1" x14ac:dyDescent="0.3">
      <c r="A151" s="1">
        <v>5.9</v>
      </c>
      <c r="B151" s="1">
        <v>3</v>
      </c>
      <c r="C151" s="17">
        <v>5.0999999999999996</v>
      </c>
      <c r="D151" s="19">
        <v>1.8</v>
      </c>
      <c r="E151" s="1" t="s">
        <v>7</v>
      </c>
      <c r="F151" s="24">
        <f t="shared" ca="1" si="8"/>
        <v>2</v>
      </c>
      <c r="G151" s="21">
        <f t="shared" ca="1" si="9"/>
        <v>4.1231056256176606</v>
      </c>
      <c r="H151" s="18">
        <f t="shared" ca="1" si="10"/>
        <v>0.64031242374328501</v>
      </c>
      <c r="I151" s="19">
        <f t="shared" ca="1" si="11"/>
        <v>0.64031242374328501</v>
      </c>
      <c r="Q151" s="41">
        <v>5.0999999999999996</v>
      </c>
      <c r="R151" s="42">
        <v>1.8</v>
      </c>
      <c r="S151" s="43">
        <v>2</v>
      </c>
    </row>
  </sheetData>
  <sortState xmlns:xlrd2="http://schemas.microsoft.com/office/spreadsheetml/2017/richdata2" ref="Q2:S152">
    <sortCondition ref="S2:S1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:U151"/>
  <sheetViews>
    <sheetView topLeftCell="C1" workbookViewId="0">
      <selection activeCell="S1" sqref="S1:U1048576"/>
    </sheetView>
  </sheetViews>
  <sheetFormatPr defaultRowHeight="15" x14ac:dyDescent="0.25"/>
  <cols>
    <col min="1" max="1" width="12.42578125" style="1" hidden="1" customWidth="1"/>
    <col min="2" max="2" width="11.85546875" style="1" hidden="1" customWidth="1"/>
    <col min="3" max="3" width="12.140625" style="1" bestFit="1" customWidth="1"/>
    <col min="4" max="4" width="11.5703125" style="1" bestFit="1" customWidth="1"/>
    <col min="5" max="5" width="9.7109375" style="1" hidden="1" customWidth="1"/>
    <col min="6" max="18" width="9.28515625" style="1" customWidth="1"/>
    <col min="19" max="19" width="12.140625" style="1" bestFit="1" customWidth="1"/>
    <col min="20" max="20" width="11.5703125" style="1" bestFit="1" customWidth="1"/>
    <col min="21" max="21" width="6.28515625" style="1" bestFit="1" customWidth="1"/>
    <col min="22" max="22" width="9.140625" style="1" customWidth="1"/>
    <col min="23" max="16384" width="9.140625" style="1"/>
  </cols>
  <sheetData>
    <row r="1" spans="1:21" ht="15.75" thickBot="1" x14ac:dyDescent="0.3">
      <c r="A1" s="1" t="s">
        <v>0</v>
      </c>
      <c r="B1" s="1" t="s">
        <v>1</v>
      </c>
      <c r="C1" s="7" t="s">
        <v>2</v>
      </c>
      <c r="D1" s="8" t="s">
        <v>3</v>
      </c>
      <c r="E1" s="25" t="s">
        <v>4</v>
      </c>
      <c r="F1" s="30" t="s">
        <v>8</v>
      </c>
      <c r="G1" s="28" t="s">
        <v>9</v>
      </c>
      <c r="H1" s="10" t="s">
        <v>10</v>
      </c>
      <c r="I1" s="10" t="s">
        <v>11</v>
      </c>
      <c r="J1" s="10" t="s">
        <v>18</v>
      </c>
      <c r="K1" s="8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S1" s="32" t="s">
        <v>2</v>
      </c>
      <c r="T1" s="33" t="s">
        <v>3</v>
      </c>
      <c r="U1" s="34" t="s">
        <v>8</v>
      </c>
    </row>
    <row r="2" spans="1:21" x14ac:dyDescent="0.25">
      <c r="A2" s="1">
        <v>5.0999999999999996</v>
      </c>
      <c r="B2" s="1">
        <v>3.5</v>
      </c>
      <c r="C2" s="11">
        <v>1.4</v>
      </c>
      <c r="D2" s="13">
        <v>0.2</v>
      </c>
      <c r="E2" s="9" t="s">
        <v>5</v>
      </c>
      <c r="F2" s="31">
        <f>IF(G2=K2,1,IF(H2=K2,2,IF(I2=K2,3,4)))</f>
        <v>1</v>
      </c>
      <c r="G2" s="29">
        <f>(($C2-$O$2)^2+($D2-$P$2)^2)^(1/2)</f>
        <v>7.7201036262475292E-2</v>
      </c>
      <c r="H2" s="6">
        <f>(($C2-$O$3)^2+($D2-$P$3)^2)^(1/2)</f>
        <v>3.6370448949479628</v>
      </c>
      <c r="I2" s="6">
        <f>(($C2-$O$4)^2+($D2-$P$4)^2)^(1/2)</f>
        <v>2.6933102528938613</v>
      </c>
      <c r="J2" s="6">
        <f>(($C2-$O$5)^2+($D2-$P$5)^2)^(1/2)</f>
        <v>4.7832736478402991</v>
      </c>
      <c r="K2" s="26">
        <f>MIN(G2:J2)</f>
        <v>7.7201036262475292E-2</v>
      </c>
      <c r="M2" s="2">
        <v>1</v>
      </c>
      <c r="N2" s="4">
        <v>147</v>
      </c>
      <c r="O2" s="3">
        <v>1.4620000000000002</v>
      </c>
      <c r="P2" s="3">
        <v>0.24599999999999991</v>
      </c>
      <c r="Q2" s="4">
        <f>COUNTIF(F:F,M2)</f>
        <v>50</v>
      </c>
      <c r="S2" s="35">
        <v>1.4</v>
      </c>
      <c r="T2" s="36">
        <v>0.2</v>
      </c>
      <c r="U2" s="37">
        <v>1</v>
      </c>
    </row>
    <row r="3" spans="1:21" x14ac:dyDescent="0.25">
      <c r="A3" s="1">
        <v>4.9000000000000004</v>
      </c>
      <c r="B3" s="1">
        <v>3</v>
      </c>
      <c r="C3" s="14">
        <v>1.4</v>
      </c>
      <c r="D3" s="16">
        <v>0.2</v>
      </c>
      <c r="E3" s="9" t="s">
        <v>5</v>
      </c>
      <c r="F3" s="23">
        <f t="shared" ref="F3:F66" si="0">IF(G3=K3,1,IF(H3=K3,2,IF(I3=K3,3,4)))</f>
        <v>1</v>
      </c>
      <c r="G3" s="5">
        <f t="shared" ref="G3:G66" si="1">(($C3-$O$2)^2+($D3-$P$2)^2)^(1/2)</f>
        <v>7.7201036262475292E-2</v>
      </c>
      <c r="H3" s="15">
        <f t="shared" ref="H3:H66" si="2">(($C3-$O$3)^2+($D3-$P$3)^2)^(1/2)</f>
        <v>3.6370448949479628</v>
      </c>
      <c r="I3" s="15">
        <f t="shared" ref="I3:I66" si="3">(($C3-$O$4)^2+($D3-$P$4)^2)^(1/2)</f>
        <v>2.6933102528938613</v>
      </c>
      <c r="J3" s="15">
        <f t="shared" ref="J3:J66" si="4">(($C3-$O$5)^2+($D3-$P$5)^2)^(1/2)</f>
        <v>4.7832736478402991</v>
      </c>
      <c r="K3" s="16">
        <f t="shared" ref="K3:K66" si="5">MIN(G3:J3)</f>
        <v>7.7201036262475292E-2</v>
      </c>
      <c r="M3" s="2">
        <v>2</v>
      </c>
      <c r="N3" s="4">
        <v>47</v>
      </c>
      <c r="O3" s="3">
        <v>4.7578947368421058</v>
      </c>
      <c r="P3" s="3">
        <v>1.5973684210526311</v>
      </c>
      <c r="Q3" s="4">
        <f t="shared" ref="Q3:Q5" si="6">COUNTIF(F:F,M3)</f>
        <v>38</v>
      </c>
      <c r="S3" s="38">
        <v>1.4</v>
      </c>
      <c r="T3" s="39">
        <v>0.2</v>
      </c>
      <c r="U3" s="40">
        <v>1</v>
      </c>
    </row>
    <row r="4" spans="1:21" x14ac:dyDescent="0.25">
      <c r="A4" s="1">
        <v>4.7</v>
      </c>
      <c r="B4" s="1">
        <v>3.2</v>
      </c>
      <c r="C4" s="14">
        <v>1.3</v>
      </c>
      <c r="D4" s="16">
        <v>0.2</v>
      </c>
      <c r="E4" s="9" t="s">
        <v>5</v>
      </c>
      <c r="F4" s="23">
        <f t="shared" si="0"/>
        <v>1</v>
      </c>
      <c r="G4" s="5">
        <f t="shared" si="1"/>
        <v>0.16840427548016718</v>
      </c>
      <c r="H4" s="15">
        <f t="shared" si="2"/>
        <v>3.7295676043256623</v>
      </c>
      <c r="I4" s="15">
        <f t="shared" si="3"/>
        <v>2.7865192174310272</v>
      </c>
      <c r="J4" s="15">
        <f t="shared" si="4"/>
        <v>4.8751337430213812</v>
      </c>
      <c r="K4" s="16">
        <f t="shared" si="5"/>
        <v>0.16840427548016718</v>
      </c>
      <c r="M4" s="2">
        <v>3</v>
      </c>
      <c r="N4" s="4">
        <v>17</v>
      </c>
      <c r="O4" s="3">
        <v>3.9038461538461537</v>
      </c>
      <c r="P4" s="3">
        <v>1.1923076923076925</v>
      </c>
      <c r="Q4" s="4">
        <f t="shared" si="6"/>
        <v>26</v>
      </c>
      <c r="S4" s="38">
        <v>1.3</v>
      </c>
      <c r="T4" s="39">
        <v>0.2</v>
      </c>
      <c r="U4" s="40">
        <v>1</v>
      </c>
    </row>
    <row r="5" spans="1:21" x14ac:dyDescent="0.25">
      <c r="A5" s="1">
        <v>4.5999999999999996</v>
      </c>
      <c r="B5" s="1">
        <v>3.1</v>
      </c>
      <c r="C5" s="14">
        <v>1.5</v>
      </c>
      <c r="D5" s="16">
        <v>0.2</v>
      </c>
      <c r="E5" s="9" t="s">
        <v>5</v>
      </c>
      <c r="F5" s="23">
        <f t="shared" si="0"/>
        <v>1</v>
      </c>
      <c r="G5" s="5">
        <f t="shared" si="1"/>
        <v>5.9665735560704994E-2</v>
      </c>
      <c r="H5" s="15">
        <f t="shared" si="2"/>
        <v>3.5449282955369656</v>
      </c>
      <c r="I5" s="15">
        <f t="shared" si="3"/>
        <v>2.6006058693262162</v>
      </c>
      <c r="J5" s="15">
        <f t="shared" si="4"/>
        <v>4.6917464304778047</v>
      </c>
      <c r="K5" s="16">
        <f t="shared" si="5"/>
        <v>5.9665735560704994E-2</v>
      </c>
      <c r="M5" s="2">
        <v>4</v>
      </c>
      <c r="N5" s="4">
        <v>84</v>
      </c>
      <c r="O5" s="3">
        <v>5.7861111111111097</v>
      </c>
      <c r="P5" s="3">
        <v>2.1083333333333329</v>
      </c>
      <c r="Q5" s="4">
        <f t="shared" si="6"/>
        <v>36</v>
      </c>
      <c r="S5" s="38">
        <v>1.5</v>
      </c>
      <c r="T5" s="39">
        <v>0.2</v>
      </c>
      <c r="U5" s="40">
        <v>1</v>
      </c>
    </row>
    <row r="6" spans="1:21" x14ac:dyDescent="0.25">
      <c r="A6" s="1">
        <v>5</v>
      </c>
      <c r="B6" s="1">
        <v>3.6</v>
      </c>
      <c r="C6" s="14">
        <v>1.4</v>
      </c>
      <c r="D6" s="16">
        <v>0.2</v>
      </c>
      <c r="E6" s="9" t="s">
        <v>5</v>
      </c>
      <c r="F6" s="23">
        <f t="shared" si="0"/>
        <v>1</v>
      </c>
      <c r="G6" s="5">
        <f t="shared" si="1"/>
        <v>7.7201036262475292E-2</v>
      </c>
      <c r="H6" s="15">
        <f t="shared" si="2"/>
        <v>3.6370448949479628</v>
      </c>
      <c r="I6" s="15">
        <f t="shared" si="3"/>
        <v>2.6933102528938613</v>
      </c>
      <c r="J6" s="15">
        <f t="shared" si="4"/>
        <v>4.7832736478402991</v>
      </c>
      <c r="K6" s="16">
        <f t="shared" si="5"/>
        <v>7.7201036262475292E-2</v>
      </c>
      <c r="S6" s="38">
        <v>1.4</v>
      </c>
      <c r="T6" s="39">
        <v>0.2</v>
      </c>
      <c r="U6" s="40">
        <v>1</v>
      </c>
    </row>
    <row r="7" spans="1:21" x14ac:dyDescent="0.25">
      <c r="A7" s="1">
        <v>5.4</v>
      </c>
      <c r="B7" s="1">
        <v>3.9</v>
      </c>
      <c r="C7" s="14">
        <v>1.7</v>
      </c>
      <c r="D7" s="16">
        <v>0.4</v>
      </c>
      <c r="E7" s="9" t="s">
        <v>5</v>
      </c>
      <c r="F7" s="23">
        <f t="shared" si="0"/>
        <v>1</v>
      </c>
      <c r="G7" s="5">
        <f t="shared" si="1"/>
        <v>0.28347839423843207</v>
      </c>
      <c r="H7" s="15">
        <f t="shared" si="2"/>
        <v>3.283962752124439</v>
      </c>
      <c r="I7" s="15">
        <f t="shared" si="3"/>
        <v>2.3419413632950818</v>
      </c>
      <c r="J7" s="15">
        <f t="shared" si="4"/>
        <v>4.4288493754160845</v>
      </c>
      <c r="K7" s="16">
        <f t="shared" si="5"/>
        <v>0.28347839423843207</v>
      </c>
      <c r="N7" s="2" t="s">
        <v>15</v>
      </c>
      <c r="O7" s="2" t="s">
        <v>16</v>
      </c>
      <c r="S7" s="38">
        <v>1.7</v>
      </c>
      <c r="T7" s="39">
        <v>0.4</v>
      </c>
      <c r="U7" s="40">
        <v>1</v>
      </c>
    </row>
    <row r="8" spans="1:21" x14ac:dyDescent="0.25">
      <c r="A8" s="1">
        <v>4.5999999999999996</v>
      </c>
      <c r="B8" s="1">
        <v>3.4</v>
      </c>
      <c r="C8" s="14">
        <v>1.4</v>
      </c>
      <c r="D8" s="16">
        <v>0.3</v>
      </c>
      <c r="E8" s="9" t="s">
        <v>5</v>
      </c>
      <c r="F8" s="23">
        <f t="shared" si="0"/>
        <v>1</v>
      </c>
      <c r="G8" s="5">
        <f t="shared" si="1"/>
        <v>8.2219219164378118E-2</v>
      </c>
      <c r="H8" s="15">
        <f t="shared" si="2"/>
        <v>3.5998085898637044</v>
      </c>
      <c r="I8" s="15">
        <f t="shared" si="3"/>
        <v>2.6580930344669387</v>
      </c>
      <c r="J8" s="15">
        <f t="shared" si="4"/>
        <v>4.7442639179810362</v>
      </c>
      <c r="K8" s="16">
        <f t="shared" si="5"/>
        <v>8.2219219164378118E-2</v>
      </c>
      <c r="M8" s="2">
        <v>1</v>
      </c>
      <c r="N8" s="3">
        <f ca="1">AVERAGE(_pl1_4)</f>
        <v>1.4620000000000002</v>
      </c>
      <c r="O8" s="3">
        <f ca="1">AVERAGE(_pw1_4)</f>
        <v>0.24599999999999991</v>
      </c>
      <c r="S8" s="38">
        <v>1.4</v>
      </c>
      <c r="T8" s="39">
        <v>0.3</v>
      </c>
      <c r="U8" s="40">
        <v>1</v>
      </c>
    </row>
    <row r="9" spans="1:21" x14ac:dyDescent="0.25">
      <c r="A9" s="1">
        <v>5</v>
      </c>
      <c r="B9" s="1">
        <v>3.4</v>
      </c>
      <c r="C9" s="14">
        <v>1.5</v>
      </c>
      <c r="D9" s="16">
        <v>0.2</v>
      </c>
      <c r="E9" s="9" t="s">
        <v>5</v>
      </c>
      <c r="F9" s="23">
        <f t="shared" si="0"/>
        <v>1</v>
      </c>
      <c r="G9" s="5">
        <f t="shared" si="1"/>
        <v>5.9665735560704994E-2</v>
      </c>
      <c r="H9" s="15">
        <f t="shared" si="2"/>
        <v>3.5449282955369656</v>
      </c>
      <c r="I9" s="15">
        <f t="shared" si="3"/>
        <v>2.6006058693262162</v>
      </c>
      <c r="J9" s="15">
        <f t="shared" si="4"/>
        <v>4.6917464304778047</v>
      </c>
      <c r="K9" s="16">
        <f t="shared" si="5"/>
        <v>5.9665735560704994E-2</v>
      </c>
      <c r="M9" s="2">
        <v>2</v>
      </c>
      <c r="N9" s="3">
        <f ca="1">AVERAGE(_pl2_4)</f>
        <v>4.7578947368421058</v>
      </c>
      <c r="O9" s="3">
        <f ca="1">AVERAGE(_pw2_4)</f>
        <v>1.5973684210526311</v>
      </c>
      <c r="S9" s="38">
        <v>1.5</v>
      </c>
      <c r="T9" s="39">
        <v>0.2</v>
      </c>
      <c r="U9" s="40">
        <v>1</v>
      </c>
    </row>
    <row r="10" spans="1:21" x14ac:dyDescent="0.25">
      <c r="A10" s="1">
        <v>4.4000000000000004</v>
      </c>
      <c r="B10" s="1">
        <v>2.9</v>
      </c>
      <c r="C10" s="14">
        <v>1.4</v>
      </c>
      <c r="D10" s="16">
        <v>0.2</v>
      </c>
      <c r="E10" s="9" t="s">
        <v>5</v>
      </c>
      <c r="F10" s="23">
        <f t="shared" si="0"/>
        <v>1</v>
      </c>
      <c r="G10" s="5">
        <f t="shared" si="1"/>
        <v>7.7201036262475292E-2</v>
      </c>
      <c r="H10" s="15">
        <f t="shared" si="2"/>
        <v>3.6370448949479628</v>
      </c>
      <c r="I10" s="15">
        <f t="shared" si="3"/>
        <v>2.6933102528938613</v>
      </c>
      <c r="J10" s="15">
        <f t="shared" si="4"/>
        <v>4.7832736478402991</v>
      </c>
      <c r="K10" s="16">
        <f t="shared" si="5"/>
        <v>7.7201036262475292E-2</v>
      </c>
      <c r="M10" s="2">
        <v>3</v>
      </c>
      <c r="N10" s="3">
        <f ca="1">AVERAGE(_pl3_4)</f>
        <v>3.9038461538461537</v>
      </c>
      <c r="O10" s="3">
        <f ca="1">AVERAGE(_pw3_4)</f>
        <v>1.1923076923076925</v>
      </c>
      <c r="S10" s="38">
        <v>1.4</v>
      </c>
      <c r="T10" s="39">
        <v>0.2</v>
      </c>
      <c r="U10" s="40">
        <v>1</v>
      </c>
    </row>
    <row r="11" spans="1:21" x14ac:dyDescent="0.25">
      <c r="A11" s="1">
        <v>4.9000000000000004</v>
      </c>
      <c r="B11" s="1">
        <v>3.1</v>
      </c>
      <c r="C11" s="14">
        <v>1.5</v>
      </c>
      <c r="D11" s="16">
        <v>0.1</v>
      </c>
      <c r="E11" s="9" t="s">
        <v>5</v>
      </c>
      <c r="F11" s="23">
        <f t="shared" si="0"/>
        <v>1</v>
      </c>
      <c r="G11" s="5">
        <f t="shared" si="1"/>
        <v>0.15086417732516874</v>
      </c>
      <c r="H11" s="15">
        <f t="shared" si="2"/>
        <v>3.5855251086429645</v>
      </c>
      <c r="I11" s="15">
        <f t="shared" si="3"/>
        <v>2.6403811137855655</v>
      </c>
      <c r="J11" s="15">
        <f t="shared" si="4"/>
        <v>4.7333023603577118</v>
      </c>
      <c r="K11" s="16">
        <f t="shared" si="5"/>
        <v>0.15086417732516874</v>
      </c>
      <c r="M11" s="2">
        <v>4</v>
      </c>
      <c r="N11" s="3">
        <f ca="1">AVERAGE(_pl4_4)</f>
        <v>5.7861111111111097</v>
      </c>
      <c r="O11" s="3">
        <f ca="1">AVERAGE(_pw4_4)</f>
        <v>2.1083333333333329</v>
      </c>
      <c r="S11" s="38">
        <v>1.5</v>
      </c>
      <c r="T11" s="39">
        <v>0.1</v>
      </c>
      <c r="U11" s="40">
        <v>1</v>
      </c>
    </row>
    <row r="12" spans="1:21" x14ac:dyDescent="0.25">
      <c r="A12" s="1">
        <v>5.4</v>
      </c>
      <c r="B12" s="1">
        <v>3.7</v>
      </c>
      <c r="C12" s="14">
        <v>1.5</v>
      </c>
      <c r="D12" s="16">
        <v>0.2</v>
      </c>
      <c r="E12" s="9" t="s">
        <v>5</v>
      </c>
      <c r="F12" s="23">
        <f t="shared" si="0"/>
        <v>1</v>
      </c>
      <c r="G12" s="5">
        <f t="shared" si="1"/>
        <v>5.9665735560704994E-2</v>
      </c>
      <c r="H12" s="15">
        <f t="shared" si="2"/>
        <v>3.5449282955369656</v>
      </c>
      <c r="I12" s="15">
        <f t="shared" si="3"/>
        <v>2.6006058693262162</v>
      </c>
      <c r="J12" s="15">
        <f t="shared" si="4"/>
        <v>4.6917464304778047</v>
      </c>
      <c r="K12" s="16">
        <f t="shared" si="5"/>
        <v>5.9665735560704994E-2</v>
      </c>
      <c r="S12" s="38">
        <v>1.5</v>
      </c>
      <c r="T12" s="39">
        <v>0.2</v>
      </c>
      <c r="U12" s="40">
        <v>1</v>
      </c>
    </row>
    <row r="13" spans="1:21" x14ac:dyDescent="0.25">
      <c r="A13" s="1">
        <v>4.8</v>
      </c>
      <c r="B13" s="1">
        <v>3.4</v>
      </c>
      <c r="C13" s="14">
        <v>1.6</v>
      </c>
      <c r="D13" s="16">
        <v>0.2</v>
      </c>
      <c r="E13" s="9" t="s">
        <v>5</v>
      </c>
      <c r="F13" s="23">
        <f t="shared" si="0"/>
        <v>1</v>
      </c>
      <c r="G13" s="5">
        <f t="shared" si="1"/>
        <v>0.14546477236774533</v>
      </c>
      <c r="H13" s="15">
        <f t="shared" si="2"/>
        <v>3.4532503056005361</v>
      </c>
      <c r="I13" s="15">
        <f t="shared" si="3"/>
        <v>2.5084620102374946</v>
      </c>
      <c r="J13" s="15">
        <f t="shared" si="4"/>
        <v>4.6005719585372216</v>
      </c>
      <c r="K13" s="16">
        <f t="shared" si="5"/>
        <v>0.14546477236774533</v>
      </c>
      <c r="S13" s="38">
        <v>1.6</v>
      </c>
      <c r="T13" s="39">
        <v>0.2</v>
      </c>
      <c r="U13" s="40">
        <v>1</v>
      </c>
    </row>
    <row r="14" spans="1:21" x14ac:dyDescent="0.25">
      <c r="A14" s="1">
        <v>4.8</v>
      </c>
      <c r="B14" s="1">
        <v>3</v>
      </c>
      <c r="C14" s="14">
        <v>1.4</v>
      </c>
      <c r="D14" s="16">
        <v>0.1</v>
      </c>
      <c r="E14" s="9" t="s">
        <v>5</v>
      </c>
      <c r="F14" s="23">
        <f t="shared" si="0"/>
        <v>1</v>
      </c>
      <c r="G14" s="5">
        <f t="shared" si="1"/>
        <v>0.15861904047118683</v>
      </c>
      <c r="H14" s="15">
        <f t="shared" si="2"/>
        <v>3.6766247091697521</v>
      </c>
      <c r="I14" s="15">
        <f t="shared" si="3"/>
        <v>2.7317360152117067</v>
      </c>
      <c r="J14" s="15">
        <f t="shared" si="4"/>
        <v>4.8240411955942193</v>
      </c>
      <c r="K14" s="16">
        <f t="shared" si="5"/>
        <v>0.15861904047118683</v>
      </c>
      <c r="S14" s="38">
        <v>1.4</v>
      </c>
      <c r="T14" s="39">
        <v>0.1</v>
      </c>
      <c r="U14" s="40">
        <v>1</v>
      </c>
    </row>
    <row r="15" spans="1:21" x14ac:dyDescent="0.25">
      <c r="A15" s="1">
        <v>4.3</v>
      </c>
      <c r="B15" s="1">
        <v>3</v>
      </c>
      <c r="C15" s="14">
        <v>1.1000000000000001</v>
      </c>
      <c r="D15" s="16">
        <v>0.1</v>
      </c>
      <c r="E15" s="9" t="s">
        <v>5</v>
      </c>
      <c r="F15" s="23">
        <f t="shared" si="0"/>
        <v>1</v>
      </c>
      <c r="G15" s="5">
        <f t="shared" si="1"/>
        <v>0.39033319100481328</v>
      </c>
      <c r="H15" s="15">
        <f t="shared" si="2"/>
        <v>3.9525063053944427</v>
      </c>
      <c r="I15" s="15">
        <f t="shared" si="3"/>
        <v>3.0091010865559875</v>
      </c>
      <c r="J15" s="15">
        <f t="shared" si="4"/>
        <v>5.098336995870004</v>
      </c>
      <c r="K15" s="16">
        <f t="shared" si="5"/>
        <v>0.39033319100481328</v>
      </c>
      <c r="S15" s="38">
        <v>1.1000000000000001</v>
      </c>
      <c r="T15" s="39">
        <v>0.1</v>
      </c>
      <c r="U15" s="40">
        <v>1</v>
      </c>
    </row>
    <row r="16" spans="1:21" x14ac:dyDescent="0.25">
      <c r="A16" s="1">
        <v>5.8</v>
      </c>
      <c r="B16" s="1">
        <v>4</v>
      </c>
      <c r="C16" s="14">
        <v>1.2</v>
      </c>
      <c r="D16" s="16">
        <v>0.2</v>
      </c>
      <c r="E16" s="9" t="s">
        <v>5</v>
      </c>
      <c r="F16" s="23">
        <f t="shared" si="0"/>
        <v>1</v>
      </c>
      <c r="G16" s="5">
        <f t="shared" si="1"/>
        <v>0.26600751869073197</v>
      </c>
      <c r="H16" s="15">
        <f t="shared" si="2"/>
        <v>3.822466934141338</v>
      </c>
      <c r="I16" s="15">
        <f t="shared" si="3"/>
        <v>2.88018377536602</v>
      </c>
      <c r="J16" s="15">
        <f t="shared" si="4"/>
        <v>4.9673082483944846</v>
      </c>
      <c r="K16" s="16">
        <f t="shared" si="5"/>
        <v>0.26600751869073197</v>
      </c>
      <c r="S16" s="38">
        <v>1.2</v>
      </c>
      <c r="T16" s="39">
        <v>0.2</v>
      </c>
      <c r="U16" s="40">
        <v>1</v>
      </c>
    </row>
    <row r="17" spans="1:21" x14ac:dyDescent="0.25">
      <c r="A17" s="1">
        <v>5.7</v>
      </c>
      <c r="B17" s="1">
        <v>4.4000000000000004</v>
      </c>
      <c r="C17" s="14">
        <v>1.5</v>
      </c>
      <c r="D17" s="16">
        <v>0.4</v>
      </c>
      <c r="E17" s="9" t="s">
        <v>5</v>
      </c>
      <c r="F17" s="23">
        <f t="shared" si="0"/>
        <v>1</v>
      </c>
      <c r="G17" s="5">
        <f t="shared" si="1"/>
        <v>0.15861904047118688</v>
      </c>
      <c r="H17" s="15">
        <f t="shared" si="2"/>
        <v>3.4709608542992192</v>
      </c>
      <c r="I17" s="15">
        <f t="shared" si="3"/>
        <v>2.5310527079954079</v>
      </c>
      <c r="J17" s="15">
        <f t="shared" si="4"/>
        <v>4.6140168220941593</v>
      </c>
      <c r="K17" s="16">
        <f t="shared" si="5"/>
        <v>0.15861904047118688</v>
      </c>
      <c r="S17" s="38">
        <v>1.5</v>
      </c>
      <c r="T17" s="39">
        <v>0.4</v>
      </c>
      <c r="U17" s="40">
        <v>1</v>
      </c>
    </row>
    <row r="18" spans="1:21" x14ac:dyDescent="0.25">
      <c r="A18" s="1">
        <v>5.4</v>
      </c>
      <c r="B18" s="1">
        <v>3.9</v>
      </c>
      <c r="C18" s="14">
        <v>1.3</v>
      </c>
      <c r="D18" s="16">
        <v>0.4</v>
      </c>
      <c r="E18" s="9" t="s">
        <v>5</v>
      </c>
      <c r="F18" s="23">
        <f t="shared" si="0"/>
        <v>1</v>
      </c>
      <c r="G18" s="5">
        <f t="shared" si="1"/>
        <v>0.22351733713517632</v>
      </c>
      <c r="H18" s="15">
        <f t="shared" si="2"/>
        <v>3.6593342491243415</v>
      </c>
      <c r="I18" s="15">
        <f t="shared" si="3"/>
        <v>2.7217211966307913</v>
      </c>
      <c r="J18" s="15">
        <f t="shared" si="4"/>
        <v>4.8003745352849636</v>
      </c>
      <c r="K18" s="16">
        <f t="shared" si="5"/>
        <v>0.22351733713517632</v>
      </c>
      <c r="S18" s="38">
        <v>1.3</v>
      </c>
      <c r="T18" s="39">
        <v>0.4</v>
      </c>
      <c r="U18" s="40">
        <v>1</v>
      </c>
    </row>
    <row r="19" spans="1:21" x14ac:dyDescent="0.25">
      <c r="A19" s="1">
        <v>5.0999999999999996</v>
      </c>
      <c r="B19" s="1">
        <v>3.5</v>
      </c>
      <c r="C19" s="14">
        <v>1.4</v>
      </c>
      <c r="D19" s="16">
        <v>0.3</v>
      </c>
      <c r="E19" s="9" t="s">
        <v>5</v>
      </c>
      <c r="F19" s="23">
        <f t="shared" si="0"/>
        <v>1</v>
      </c>
      <c r="G19" s="5">
        <f t="shared" si="1"/>
        <v>8.2219219164378118E-2</v>
      </c>
      <c r="H19" s="15">
        <f t="shared" si="2"/>
        <v>3.5998085898637044</v>
      </c>
      <c r="I19" s="15">
        <f t="shared" si="3"/>
        <v>2.6580930344669387</v>
      </c>
      <c r="J19" s="15">
        <f t="shared" si="4"/>
        <v>4.7442639179810362</v>
      </c>
      <c r="K19" s="16">
        <f t="shared" si="5"/>
        <v>8.2219219164378118E-2</v>
      </c>
      <c r="S19" s="38">
        <v>1.4</v>
      </c>
      <c r="T19" s="39">
        <v>0.3</v>
      </c>
      <c r="U19" s="40">
        <v>1</v>
      </c>
    </row>
    <row r="20" spans="1:21" x14ac:dyDescent="0.25">
      <c r="A20" s="1">
        <v>5.7</v>
      </c>
      <c r="B20" s="1">
        <v>3.8</v>
      </c>
      <c r="C20" s="14">
        <v>1.7</v>
      </c>
      <c r="D20" s="16">
        <v>0.3</v>
      </c>
      <c r="E20" s="9" t="s">
        <v>5</v>
      </c>
      <c r="F20" s="23">
        <f t="shared" si="0"/>
        <v>1</v>
      </c>
      <c r="G20" s="5">
        <f t="shared" si="1"/>
        <v>0.24404917537250539</v>
      </c>
      <c r="H20" s="15">
        <f t="shared" si="2"/>
        <v>3.3217292245984242</v>
      </c>
      <c r="I20" s="15">
        <f t="shared" si="3"/>
        <v>2.3776355666026627</v>
      </c>
      <c r="J20" s="15">
        <f t="shared" si="4"/>
        <v>4.4683748115830779</v>
      </c>
      <c r="K20" s="16">
        <f t="shared" si="5"/>
        <v>0.24404917537250539</v>
      </c>
      <c r="S20" s="38">
        <v>1.7</v>
      </c>
      <c r="T20" s="39">
        <v>0.3</v>
      </c>
      <c r="U20" s="40">
        <v>1</v>
      </c>
    </row>
    <row r="21" spans="1:21" x14ac:dyDescent="0.25">
      <c r="A21" s="1">
        <v>5.0999999999999996</v>
      </c>
      <c r="B21" s="1">
        <v>3.8</v>
      </c>
      <c r="C21" s="14">
        <v>1.5</v>
      </c>
      <c r="D21" s="16">
        <v>0.3</v>
      </c>
      <c r="E21" s="9" t="s">
        <v>5</v>
      </c>
      <c r="F21" s="23">
        <f t="shared" si="0"/>
        <v>1</v>
      </c>
      <c r="G21" s="5">
        <f t="shared" si="1"/>
        <v>6.603029607687666E-2</v>
      </c>
      <c r="H21" s="15">
        <f t="shared" si="2"/>
        <v>3.5067139798232891</v>
      </c>
      <c r="I21" s="15">
        <f t="shared" si="3"/>
        <v>2.5641157050945314</v>
      </c>
      <c r="J21" s="15">
        <f t="shared" si="4"/>
        <v>4.6519692498160978</v>
      </c>
      <c r="K21" s="16">
        <f t="shared" si="5"/>
        <v>6.603029607687666E-2</v>
      </c>
      <c r="S21" s="38">
        <v>1.5</v>
      </c>
      <c r="T21" s="39">
        <v>0.3</v>
      </c>
      <c r="U21" s="40">
        <v>1</v>
      </c>
    </row>
    <row r="22" spans="1:21" x14ac:dyDescent="0.25">
      <c r="A22" s="1">
        <v>5.4</v>
      </c>
      <c r="B22" s="1">
        <v>3.4</v>
      </c>
      <c r="C22" s="14">
        <v>1.7</v>
      </c>
      <c r="D22" s="16">
        <v>0.2</v>
      </c>
      <c r="E22" s="9" t="s">
        <v>5</v>
      </c>
      <c r="F22" s="23">
        <f t="shared" si="0"/>
        <v>1</v>
      </c>
      <c r="G22" s="5">
        <f t="shared" si="1"/>
        <v>0.24240462041801075</v>
      </c>
      <c r="H22" s="15">
        <f t="shared" si="2"/>
        <v>3.3620468060040114</v>
      </c>
      <c r="I22" s="15">
        <f t="shared" si="3"/>
        <v>2.4169427850148839</v>
      </c>
      <c r="J22" s="15">
        <f t="shared" si="4"/>
        <v>4.5097716265301928</v>
      </c>
      <c r="K22" s="16">
        <f t="shared" si="5"/>
        <v>0.24240462041801075</v>
      </c>
      <c r="S22" s="38">
        <v>1.7</v>
      </c>
      <c r="T22" s="39">
        <v>0.2</v>
      </c>
      <c r="U22" s="40">
        <v>1</v>
      </c>
    </row>
    <row r="23" spans="1:21" x14ac:dyDescent="0.25">
      <c r="A23" s="1">
        <v>5.0999999999999996</v>
      </c>
      <c r="B23" s="1">
        <v>3.7</v>
      </c>
      <c r="C23" s="14">
        <v>1.5</v>
      </c>
      <c r="D23" s="16">
        <v>0.4</v>
      </c>
      <c r="E23" s="9" t="s">
        <v>5</v>
      </c>
      <c r="F23" s="23">
        <f t="shared" si="0"/>
        <v>1</v>
      </c>
      <c r="G23" s="5">
        <f t="shared" si="1"/>
        <v>0.15861904047118688</v>
      </c>
      <c r="H23" s="15">
        <f t="shared" si="2"/>
        <v>3.4709608542992192</v>
      </c>
      <c r="I23" s="15">
        <f t="shared" si="3"/>
        <v>2.5310527079954079</v>
      </c>
      <c r="J23" s="15">
        <f t="shared" si="4"/>
        <v>4.6140168220941593</v>
      </c>
      <c r="K23" s="16">
        <f t="shared" si="5"/>
        <v>0.15861904047118688</v>
      </c>
      <c r="S23" s="38">
        <v>1.5</v>
      </c>
      <c r="T23" s="39">
        <v>0.4</v>
      </c>
      <c r="U23" s="40">
        <v>1</v>
      </c>
    </row>
    <row r="24" spans="1:21" x14ac:dyDescent="0.25">
      <c r="A24" s="1">
        <v>4.5999999999999996</v>
      </c>
      <c r="B24" s="1">
        <v>3.6</v>
      </c>
      <c r="C24" s="14">
        <v>1</v>
      </c>
      <c r="D24" s="16">
        <v>0.2</v>
      </c>
      <c r="E24" s="9" t="s">
        <v>5</v>
      </c>
      <c r="F24" s="23">
        <f t="shared" si="0"/>
        <v>1</v>
      </c>
      <c r="G24" s="5">
        <f t="shared" si="1"/>
        <v>0.46428439560252305</v>
      </c>
      <c r="H24" s="15">
        <f t="shared" si="2"/>
        <v>4.0092906301914217</v>
      </c>
      <c r="I24" s="15">
        <f t="shared" si="3"/>
        <v>3.0687126032621759</v>
      </c>
      <c r="J24" s="15">
        <f t="shared" si="4"/>
        <v>5.1525329381783029</v>
      </c>
      <c r="K24" s="16">
        <f t="shared" si="5"/>
        <v>0.46428439560252305</v>
      </c>
      <c r="S24" s="38">
        <v>1</v>
      </c>
      <c r="T24" s="39">
        <v>0.2</v>
      </c>
      <c r="U24" s="40">
        <v>1</v>
      </c>
    </row>
    <row r="25" spans="1:21" x14ac:dyDescent="0.25">
      <c r="A25" s="1">
        <v>5.0999999999999996</v>
      </c>
      <c r="B25" s="1">
        <v>3.3</v>
      </c>
      <c r="C25" s="14">
        <v>1.7</v>
      </c>
      <c r="D25" s="16">
        <v>0.5</v>
      </c>
      <c r="E25" s="9" t="s">
        <v>5</v>
      </c>
      <c r="F25" s="23">
        <f t="shared" si="0"/>
        <v>1</v>
      </c>
      <c r="G25" s="5">
        <f t="shared" si="1"/>
        <v>0.3480804504708645</v>
      </c>
      <c r="H25" s="15">
        <f t="shared" si="2"/>
        <v>3.2488363567791767</v>
      </c>
      <c r="I25" s="15">
        <f t="shared" si="3"/>
        <v>2.3100276644773952</v>
      </c>
      <c r="J25" s="15">
        <f t="shared" si="4"/>
        <v>4.3912458509467198</v>
      </c>
      <c r="K25" s="16">
        <f t="shared" si="5"/>
        <v>0.3480804504708645</v>
      </c>
      <c r="S25" s="38">
        <v>1.7</v>
      </c>
      <c r="T25" s="39">
        <v>0.5</v>
      </c>
      <c r="U25" s="40">
        <v>1</v>
      </c>
    </row>
    <row r="26" spans="1:21" x14ac:dyDescent="0.25">
      <c r="A26" s="1">
        <v>4.8</v>
      </c>
      <c r="B26" s="1">
        <v>3.4</v>
      </c>
      <c r="C26" s="14">
        <v>1.9</v>
      </c>
      <c r="D26" s="16">
        <v>0.2</v>
      </c>
      <c r="E26" s="9" t="s">
        <v>5</v>
      </c>
      <c r="F26" s="23">
        <f t="shared" si="0"/>
        <v>1</v>
      </c>
      <c r="G26" s="5">
        <f t="shared" si="1"/>
        <v>0.44040890090914347</v>
      </c>
      <c r="H26" s="15">
        <f t="shared" si="2"/>
        <v>3.1812263093066693</v>
      </c>
      <c r="I26" s="15">
        <f t="shared" si="3"/>
        <v>2.2360845164029559</v>
      </c>
      <c r="J26" s="15">
        <f t="shared" si="4"/>
        <v>4.3293874484749377</v>
      </c>
      <c r="K26" s="16">
        <f t="shared" si="5"/>
        <v>0.44040890090914347</v>
      </c>
      <c r="S26" s="38">
        <v>1.9</v>
      </c>
      <c r="T26" s="39">
        <v>0.2</v>
      </c>
      <c r="U26" s="40">
        <v>1</v>
      </c>
    </row>
    <row r="27" spans="1:21" x14ac:dyDescent="0.25">
      <c r="A27" s="1">
        <v>5</v>
      </c>
      <c r="B27" s="1">
        <v>3</v>
      </c>
      <c r="C27" s="14">
        <v>1.6</v>
      </c>
      <c r="D27" s="16">
        <v>0.2</v>
      </c>
      <c r="E27" s="9" t="s">
        <v>5</v>
      </c>
      <c r="F27" s="23">
        <f t="shared" si="0"/>
        <v>1</v>
      </c>
      <c r="G27" s="5">
        <f t="shared" si="1"/>
        <v>0.14546477236774533</v>
      </c>
      <c r="H27" s="15">
        <f t="shared" si="2"/>
        <v>3.4532503056005361</v>
      </c>
      <c r="I27" s="15">
        <f t="shared" si="3"/>
        <v>2.5084620102374946</v>
      </c>
      <c r="J27" s="15">
        <f t="shared" si="4"/>
        <v>4.6005719585372216</v>
      </c>
      <c r="K27" s="16">
        <f t="shared" si="5"/>
        <v>0.14546477236774533</v>
      </c>
      <c r="S27" s="38">
        <v>1.6</v>
      </c>
      <c r="T27" s="39">
        <v>0.2</v>
      </c>
      <c r="U27" s="40">
        <v>1</v>
      </c>
    </row>
    <row r="28" spans="1:21" x14ac:dyDescent="0.25">
      <c r="A28" s="1">
        <v>5</v>
      </c>
      <c r="B28" s="1">
        <v>3.4</v>
      </c>
      <c r="C28" s="14">
        <v>1.6</v>
      </c>
      <c r="D28" s="16">
        <v>0.4</v>
      </c>
      <c r="E28" s="9" t="s">
        <v>5</v>
      </c>
      <c r="F28" s="23">
        <f t="shared" si="0"/>
        <v>1</v>
      </c>
      <c r="G28" s="5">
        <f t="shared" si="1"/>
        <v>0.20678491240900532</v>
      </c>
      <c r="H28" s="15">
        <f t="shared" si="2"/>
        <v>3.3772755742919682</v>
      </c>
      <c r="I28" s="15">
        <f t="shared" si="3"/>
        <v>2.436279659620721</v>
      </c>
      <c r="J28" s="15">
        <f t="shared" si="4"/>
        <v>4.5212751533550426</v>
      </c>
      <c r="K28" s="16">
        <f t="shared" si="5"/>
        <v>0.20678491240900532</v>
      </c>
      <c r="S28" s="38">
        <v>1.6</v>
      </c>
      <c r="T28" s="39">
        <v>0.4</v>
      </c>
      <c r="U28" s="40">
        <v>1</v>
      </c>
    </row>
    <row r="29" spans="1:21" x14ac:dyDescent="0.25">
      <c r="A29" s="1">
        <v>5.2</v>
      </c>
      <c r="B29" s="1">
        <v>3.5</v>
      </c>
      <c r="C29" s="14">
        <v>1.5</v>
      </c>
      <c r="D29" s="16">
        <v>0.2</v>
      </c>
      <c r="E29" s="9" t="s">
        <v>5</v>
      </c>
      <c r="F29" s="23">
        <f t="shared" si="0"/>
        <v>1</v>
      </c>
      <c r="G29" s="5">
        <f t="shared" si="1"/>
        <v>5.9665735560704994E-2</v>
      </c>
      <c r="H29" s="15">
        <f t="shared" si="2"/>
        <v>3.5449282955369656</v>
      </c>
      <c r="I29" s="15">
        <f t="shared" si="3"/>
        <v>2.6006058693262162</v>
      </c>
      <c r="J29" s="15">
        <f t="shared" si="4"/>
        <v>4.6917464304778047</v>
      </c>
      <c r="K29" s="16">
        <f t="shared" si="5"/>
        <v>5.9665735560704994E-2</v>
      </c>
      <c r="S29" s="38">
        <v>1.5</v>
      </c>
      <c r="T29" s="39">
        <v>0.2</v>
      </c>
      <c r="U29" s="40">
        <v>1</v>
      </c>
    </row>
    <row r="30" spans="1:21" x14ac:dyDescent="0.25">
      <c r="A30" s="1">
        <v>5.2</v>
      </c>
      <c r="B30" s="1">
        <v>3.4</v>
      </c>
      <c r="C30" s="14">
        <v>1.4</v>
      </c>
      <c r="D30" s="16">
        <v>0.2</v>
      </c>
      <c r="E30" s="9" t="s">
        <v>5</v>
      </c>
      <c r="F30" s="23">
        <f t="shared" si="0"/>
        <v>1</v>
      </c>
      <c r="G30" s="5">
        <f t="shared" si="1"/>
        <v>7.7201036262475292E-2</v>
      </c>
      <c r="H30" s="15">
        <f t="shared" si="2"/>
        <v>3.6370448949479628</v>
      </c>
      <c r="I30" s="15">
        <f t="shared" si="3"/>
        <v>2.6933102528938613</v>
      </c>
      <c r="J30" s="15">
        <f t="shared" si="4"/>
        <v>4.7832736478402991</v>
      </c>
      <c r="K30" s="16">
        <f t="shared" si="5"/>
        <v>7.7201036262475292E-2</v>
      </c>
      <c r="S30" s="38">
        <v>1.4</v>
      </c>
      <c r="T30" s="39">
        <v>0.2</v>
      </c>
      <c r="U30" s="40">
        <v>1</v>
      </c>
    </row>
    <row r="31" spans="1:21" x14ac:dyDescent="0.25">
      <c r="A31" s="1">
        <v>4.7</v>
      </c>
      <c r="B31" s="1">
        <v>3.2</v>
      </c>
      <c r="C31" s="14">
        <v>1.6</v>
      </c>
      <c r="D31" s="16">
        <v>0.2</v>
      </c>
      <c r="E31" s="9" t="s">
        <v>5</v>
      </c>
      <c r="F31" s="23">
        <f t="shared" si="0"/>
        <v>1</v>
      </c>
      <c r="G31" s="5">
        <f t="shared" si="1"/>
        <v>0.14546477236774533</v>
      </c>
      <c r="H31" s="15">
        <f t="shared" si="2"/>
        <v>3.4532503056005361</v>
      </c>
      <c r="I31" s="15">
        <f t="shared" si="3"/>
        <v>2.5084620102374946</v>
      </c>
      <c r="J31" s="15">
        <f t="shared" si="4"/>
        <v>4.6005719585372216</v>
      </c>
      <c r="K31" s="16">
        <f t="shared" si="5"/>
        <v>0.14546477236774533</v>
      </c>
      <c r="S31" s="38">
        <v>1.6</v>
      </c>
      <c r="T31" s="39">
        <v>0.2</v>
      </c>
      <c r="U31" s="40">
        <v>1</v>
      </c>
    </row>
    <row r="32" spans="1:21" x14ac:dyDescent="0.25">
      <c r="A32" s="1">
        <v>4.8</v>
      </c>
      <c r="B32" s="1">
        <v>3.1</v>
      </c>
      <c r="C32" s="14">
        <v>1.6</v>
      </c>
      <c r="D32" s="16">
        <v>0.2</v>
      </c>
      <c r="E32" s="9" t="s">
        <v>5</v>
      </c>
      <c r="F32" s="23">
        <f t="shared" si="0"/>
        <v>1</v>
      </c>
      <c r="G32" s="5">
        <f t="shared" si="1"/>
        <v>0.14546477236774533</v>
      </c>
      <c r="H32" s="15">
        <f t="shared" si="2"/>
        <v>3.4532503056005361</v>
      </c>
      <c r="I32" s="15">
        <f t="shared" si="3"/>
        <v>2.5084620102374946</v>
      </c>
      <c r="J32" s="15">
        <f t="shared" si="4"/>
        <v>4.6005719585372216</v>
      </c>
      <c r="K32" s="16">
        <f t="shared" si="5"/>
        <v>0.14546477236774533</v>
      </c>
      <c r="S32" s="38">
        <v>1.6</v>
      </c>
      <c r="T32" s="39">
        <v>0.2</v>
      </c>
      <c r="U32" s="40">
        <v>1</v>
      </c>
    </row>
    <row r="33" spans="1:21" x14ac:dyDescent="0.25">
      <c r="A33" s="1">
        <v>5.4</v>
      </c>
      <c r="B33" s="1">
        <v>3.4</v>
      </c>
      <c r="C33" s="14">
        <v>1.5</v>
      </c>
      <c r="D33" s="16">
        <v>0.4</v>
      </c>
      <c r="E33" s="9" t="s">
        <v>5</v>
      </c>
      <c r="F33" s="23">
        <f t="shared" si="0"/>
        <v>1</v>
      </c>
      <c r="G33" s="5">
        <f t="shared" si="1"/>
        <v>0.15861904047118688</v>
      </c>
      <c r="H33" s="15">
        <f t="shared" si="2"/>
        <v>3.4709608542992192</v>
      </c>
      <c r="I33" s="15">
        <f t="shared" si="3"/>
        <v>2.5310527079954079</v>
      </c>
      <c r="J33" s="15">
        <f t="shared" si="4"/>
        <v>4.6140168220941593</v>
      </c>
      <c r="K33" s="16">
        <f t="shared" si="5"/>
        <v>0.15861904047118688</v>
      </c>
      <c r="S33" s="38">
        <v>1.5</v>
      </c>
      <c r="T33" s="39">
        <v>0.4</v>
      </c>
      <c r="U33" s="40">
        <v>1</v>
      </c>
    </row>
    <row r="34" spans="1:21" x14ac:dyDescent="0.25">
      <c r="A34" s="1">
        <v>5.2</v>
      </c>
      <c r="B34" s="1">
        <v>4.0999999999999996</v>
      </c>
      <c r="C34" s="14">
        <v>1.5</v>
      </c>
      <c r="D34" s="16">
        <v>0.1</v>
      </c>
      <c r="E34" s="9" t="s">
        <v>5</v>
      </c>
      <c r="F34" s="23">
        <f t="shared" si="0"/>
        <v>1</v>
      </c>
      <c r="G34" s="5">
        <f t="shared" si="1"/>
        <v>0.15086417732516874</v>
      </c>
      <c r="H34" s="15">
        <f t="shared" si="2"/>
        <v>3.5855251086429645</v>
      </c>
      <c r="I34" s="15">
        <f t="shared" si="3"/>
        <v>2.6403811137855655</v>
      </c>
      <c r="J34" s="15">
        <f t="shared" si="4"/>
        <v>4.7333023603577118</v>
      </c>
      <c r="K34" s="16">
        <f t="shared" si="5"/>
        <v>0.15086417732516874</v>
      </c>
      <c r="S34" s="38">
        <v>1.5</v>
      </c>
      <c r="T34" s="39">
        <v>0.1</v>
      </c>
      <c r="U34" s="40">
        <v>1</v>
      </c>
    </row>
    <row r="35" spans="1:21" x14ac:dyDescent="0.25">
      <c r="A35" s="1">
        <v>5.5</v>
      </c>
      <c r="B35" s="1">
        <v>4.2</v>
      </c>
      <c r="C35" s="14">
        <v>1.4</v>
      </c>
      <c r="D35" s="16">
        <v>0.2</v>
      </c>
      <c r="E35" s="9" t="s">
        <v>5</v>
      </c>
      <c r="F35" s="23">
        <f t="shared" si="0"/>
        <v>1</v>
      </c>
      <c r="G35" s="5">
        <f t="shared" si="1"/>
        <v>7.7201036262475292E-2</v>
      </c>
      <c r="H35" s="15">
        <f t="shared" si="2"/>
        <v>3.6370448949479628</v>
      </c>
      <c r="I35" s="15">
        <f t="shared" si="3"/>
        <v>2.6933102528938613</v>
      </c>
      <c r="J35" s="15">
        <f t="shared" si="4"/>
        <v>4.7832736478402991</v>
      </c>
      <c r="K35" s="16">
        <f t="shared" si="5"/>
        <v>7.7201036262475292E-2</v>
      </c>
      <c r="S35" s="38">
        <v>1.4</v>
      </c>
      <c r="T35" s="39">
        <v>0.2</v>
      </c>
      <c r="U35" s="40">
        <v>1</v>
      </c>
    </row>
    <row r="36" spans="1:21" x14ac:dyDescent="0.25">
      <c r="A36" s="1">
        <v>4.9000000000000004</v>
      </c>
      <c r="B36" s="1">
        <v>3.1</v>
      </c>
      <c r="C36" s="14">
        <v>1.5</v>
      </c>
      <c r="D36" s="16">
        <v>0.2</v>
      </c>
      <c r="E36" s="9" t="s">
        <v>5</v>
      </c>
      <c r="F36" s="23">
        <f t="shared" si="0"/>
        <v>1</v>
      </c>
      <c r="G36" s="5">
        <f t="shared" si="1"/>
        <v>5.9665735560704994E-2</v>
      </c>
      <c r="H36" s="15">
        <f t="shared" si="2"/>
        <v>3.5449282955369656</v>
      </c>
      <c r="I36" s="15">
        <f t="shared" si="3"/>
        <v>2.6006058693262162</v>
      </c>
      <c r="J36" s="15">
        <f t="shared" si="4"/>
        <v>4.6917464304778047</v>
      </c>
      <c r="K36" s="16">
        <f t="shared" si="5"/>
        <v>5.9665735560704994E-2</v>
      </c>
      <c r="S36" s="38">
        <v>1.5</v>
      </c>
      <c r="T36" s="39">
        <v>0.2</v>
      </c>
      <c r="U36" s="40">
        <v>1</v>
      </c>
    </row>
    <row r="37" spans="1:21" x14ac:dyDescent="0.25">
      <c r="A37" s="1">
        <v>5</v>
      </c>
      <c r="B37" s="1">
        <v>3.2</v>
      </c>
      <c r="C37" s="14">
        <v>1.2</v>
      </c>
      <c r="D37" s="16">
        <v>0.2</v>
      </c>
      <c r="E37" s="9" t="s">
        <v>5</v>
      </c>
      <c r="F37" s="23">
        <f t="shared" si="0"/>
        <v>1</v>
      </c>
      <c r="G37" s="5">
        <f t="shared" si="1"/>
        <v>0.26600751869073197</v>
      </c>
      <c r="H37" s="15">
        <f t="shared" si="2"/>
        <v>3.822466934141338</v>
      </c>
      <c r="I37" s="15">
        <f t="shared" si="3"/>
        <v>2.88018377536602</v>
      </c>
      <c r="J37" s="15">
        <f t="shared" si="4"/>
        <v>4.9673082483944846</v>
      </c>
      <c r="K37" s="16">
        <f t="shared" si="5"/>
        <v>0.26600751869073197</v>
      </c>
      <c r="S37" s="38">
        <v>1.2</v>
      </c>
      <c r="T37" s="39">
        <v>0.2</v>
      </c>
      <c r="U37" s="40">
        <v>1</v>
      </c>
    </row>
    <row r="38" spans="1:21" x14ac:dyDescent="0.25">
      <c r="A38" s="1">
        <v>5.5</v>
      </c>
      <c r="B38" s="1">
        <v>3.5</v>
      </c>
      <c r="C38" s="14">
        <v>1.3</v>
      </c>
      <c r="D38" s="16">
        <v>0.2</v>
      </c>
      <c r="E38" s="9" t="s">
        <v>5</v>
      </c>
      <c r="F38" s="23">
        <f t="shared" si="0"/>
        <v>1</v>
      </c>
      <c r="G38" s="5">
        <f t="shared" si="1"/>
        <v>0.16840427548016718</v>
      </c>
      <c r="H38" s="15">
        <f t="shared" si="2"/>
        <v>3.7295676043256623</v>
      </c>
      <c r="I38" s="15">
        <f t="shared" si="3"/>
        <v>2.7865192174310272</v>
      </c>
      <c r="J38" s="15">
        <f t="shared" si="4"/>
        <v>4.8751337430213812</v>
      </c>
      <c r="K38" s="16">
        <f t="shared" si="5"/>
        <v>0.16840427548016718</v>
      </c>
      <c r="S38" s="38">
        <v>1.3</v>
      </c>
      <c r="T38" s="39">
        <v>0.2</v>
      </c>
      <c r="U38" s="40">
        <v>1</v>
      </c>
    </row>
    <row r="39" spans="1:21" x14ac:dyDescent="0.25">
      <c r="A39" s="1">
        <v>4.9000000000000004</v>
      </c>
      <c r="B39" s="1">
        <v>3.6</v>
      </c>
      <c r="C39" s="14">
        <v>1.4</v>
      </c>
      <c r="D39" s="16">
        <v>0.1</v>
      </c>
      <c r="E39" s="9" t="s">
        <v>5</v>
      </c>
      <c r="F39" s="23">
        <f t="shared" si="0"/>
        <v>1</v>
      </c>
      <c r="G39" s="5">
        <f t="shared" si="1"/>
        <v>0.15861904047118683</v>
      </c>
      <c r="H39" s="15">
        <f t="shared" si="2"/>
        <v>3.6766247091697521</v>
      </c>
      <c r="I39" s="15">
        <f t="shared" si="3"/>
        <v>2.7317360152117067</v>
      </c>
      <c r="J39" s="15">
        <f t="shared" si="4"/>
        <v>4.8240411955942193</v>
      </c>
      <c r="K39" s="16">
        <f t="shared" si="5"/>
        <v>0.15861904047118683</v>
      </c>
      <c r="S39" s="38">
        <v>1.4</v>
      </c>
      <c r="T39" s="39">
        <v>0.1</v>
      </c>
      <c r="U39" s="40">
        <v>1</v>
      </c>
    </row>
    <row r="40" spans="1:21" x14ac:dyDescent="0.25">
      <c r="A40" s="1">
        <v>4.4000000000000004</v>
      </c>
      <c r="B40" s="1">
        <v>3</v>
      </c>
      <c r="C40" s="14">
        <v>1.3</v>
      </c>
      <c r="D40" s="16">
        <v>0.2</v>
      </c>
      <c r="E40" s="9" t="s">
        <v>5</v>
      </c>
      <c r="F40" s="23">
        <f t="shared" si="0"/>
        <v>1</v>
      </c>
      <c r="G40" s="5">
        <f t="shared" si="1"/>
        <v>0.16840427548016718</v>
      </c>
      <c r="H40" s="15">
        <f t="shared" si="2"/>
        <v>3.7295676043256623</v>
      </c>
      <c r="I40" s="15">
        <f t="shared" si="3"/>
        <v>2.7865192174310272</v>
      </c>
      <c r="J40" s="15">
        <f t="shared" si="4"/>
        <v>4.8751337430213812</v>
      </c>
      <c r="K40" s="16">
        <f t="shared" si="5"/>
        <v>0.16840427548016718</v>
      </c>
      <c r="S40" s="38">
        <v>1.3</v>
      </c>
      <c r="T40" s="39">
        <v>0.2</v>
      </c>
      <c r="U40" s="40">
        <v>1</v>
      </c>
    </row>
    <row r="41" spans="1:21" x14ac:dyDescent="0.25">
      <c r="A41" s="1">
        <v>5.0999999999999996</v>
      </c>
      <c r="B41" s="1">
        <v>3.4</v>
      </c>
      <c r="C41" s="14">
        <v>1.5</v>
      </c>
      <c r="D41" s="16">
        <v>0.2</v>
      </c>
      <c r="E41" s="9" t="s">
        <v>5</v>
      </c>
      <c r="F41" s="23">
        <f t="shared" si="0"/>
        <v>1</v>
      </c>
      <c r="G41" s="5">
        <f t="shared" si="1"/>
        <v>5.9665735560704994E-2</v>
      </c>
      <c r="H41" s="15">
        <f t="shared" si="2"/>
        <v>3.5449282955369656</v>
      </c>
      <c r="I41" s="15">
        <f t="shared" si="3"/>
        <v>2.6006058693262162</v>
      </c>
      <c r="J41" s="15">
        <f t="shared" si="4"/>
        <v>4.6917464304778047</v>
      </c>
      <c r="K41" s="16">
        <f t="shared" si="5"/>
        <v>5.9665735560704994E-2</v>
      </c>
      <c r="S41" s="38">
        <v>1.5</v>
      </c>
      <c r="T41" s="39">
        <v>0.2</v>
      </c>
      <c r="U41" s="40">
        <v>1</v>
      </c>
    </row>
    <row r="42" spans="1:21" x14ac:dyDescent="0.25">
      <c r="A42" s="1">
        <v>5</v>
      </c>
      <c r="B42" s="1">
        <v>3.5</v>
      </c>
      <c r="C42" s="14">
        <v>1.3</v>
      </c>
      <c r="D42" s="16">
        <v>0.3</v>
      </c>
      <c r="E42" s="9" t="s">
        <v>5</v>
      </c>
      <c r="F42" s="23">
        <f t="shared" si="0"/>
        <v>1</v>
      </c>
      <c r="G42" s="5">
        <f t="shared" si="1"/>
        <v>0.17076299364909264</v>
      </c>
      <c r="H42" s="15">
        <f t="shared" si="2"/>
        <v>3.6932642514481597</v>
      </c>
      <c r="I42" s="15">
        <f t="shared" si="3"/>
        <v>2.7524948339008533</v>
      </c>
      <c r="J42" s="15">
        <f t="shared" si="4"/>
        <v>4.8368649294433474</v>
      </c>
      <c r="K42" s="16">
        <f t="shared" si="5"/>
        <v>0.17076299364909264</v>
      </c>
      <c r="S42" s="38">
        <v>1.3</v>
      </c>
      <c r="T42" s="39">
        <v>0.3</v>
      </c>
      <c r="U42" s="40">
        <v>1</v>
      </c>
    </row>
    <row r="43" spans="1:21" x14ac:dyDescent="0.25">
      <c r="A43" s="1">
        <v>4.5</v>
      </c>
      <c r="B43" s="1">
        <v>2.2999999999999998</v>
      </c>
      <c r="C43" s="14">
        <v>1.3</v>
      </c>
      <c r="D43" s="16">
        <v>0.3</v>
      </c>
      <c r="E43" s="9" t="s">
        <v>5</v>
      </c>
      <c r="F43" s="23">
        <f t="shared" si="0"/>
        <v>1</v>
      </c>
      <c r="G43" s="5">
        <f t="shared" si="1"/>
        <v>0.17076299364909264</v>
      </c>
      <c r="H43" s="15">
        <f t="shared" si="2"/>
        <v>3.6932642514481597</v>
      </c>
      <c r="I43" s="15">
        <f t="shared" si="3"/>
        <v>2.7524948339008533</v>
      </c>
      <c r="J43" s="15">
        <f t="shared" si="4"/>
        <v>4.8368649294433474</v>
      </c>
      <c r="K43" s="16">
        <f t="shared" si="5"/>
        <v>0.17076299364909264</v>
      </c>
      <c r="S43" s="38">
        <v>1.3</v>
      </c>
      <c r="T43" s="39">
        <v>0.3</v>
      </c>
      <c r="U43" s="40">
        <v>1</v>
      </c>
    </row>
    <row r="44" spans="1:21" x14ac:dyDescent="0.25">
      <c r="A44" s="1">
        <v>4.4000000000000004</v>
      </c>
      <c r="B44" s="1">
        <v>3.2</v>
      </c>
      <c r="C44" s="14">
        <v>1.3</v>
      </c>
      <c r="D44" s="16">
        <v>0.2</v>
      </c>
      <c r="E44" s="9" t="s">
        <v>5</v>
      </c>
      <c r="F44" s="23">
        <f t="shared" si="0"/>
        <v>1</v>
      </c>
      <c r="G44" s="5">
        <f t="shared" si="1"/>
        <v>0.16840427548016718</v>
      </c>
      <c r="H44" s="15">
        <f t="shared" si="2"/>
        <v>3.7295676043256623</v>
      </c>
      <c r="I44" s="15">
        <f t="shared" si="3"/>
        <v>2.7865192174310272</v>
      </c>
      <c r="J44" s="15">
        <f t="shared" si="4"/>
        <v>4.8751337430213812</v>
      </c>
      <c r="K44" s="16">
        <f t="shared" si="5"/>
        <v>0.16840427548016718</v>
      </c>
      <c r="S44" s="38">
        <v>1.3</v>
      </c>
      <c r="T44" s="39">
        <v>0.2</v>
      </c>
      <c r="U44" s="40">
        <v>1</v>
      </c>
    </row>
    <row r="45" spans="1:21" x14ac:dyDescent="0.25">
      <c r="A45" s="1">
        <v>5</v>
      </c>
      <c r="B45" s="1">
        <v>3.5</v>
      </c>
      <c r="C45" s="14">
        <v>1.6</v>
      </c>
      <c r="D45" s="16">
        <v>0.6</v>
      </c>
      <c r="E45" s="9" t="s">
        <v>5</v>
      </c>
      <c r="F45" s="23">
        <f t="shared" si="0"/>
        <v>1</v>
      </c>
      <c r="G45" s="5">
        <f t="shared" si="1"/>
        <v>0.37994736477570157</v>
      </c>
      <c r="H45" s="15">
        <f t="shared" si="2"/>
        <v>3.3116525989735233</v>
      </c>
      <c r="I45" s="15">
        <f t="shared" si="3"/>
        <v>2.3787676437513983</v>
      </c>
      <c r="J45" s="15">
        <f t="shared" si="4"/>
        <v>4.4495612906231932</v>
      </c>
      <c r="K45" s="16">
        <f t="shared" si="5"/>
        <v>0.37994736477570157</v>
      </c>
      <c r="S45" s="38">
        <v>1.6</v>
      </c>
      <c r="T45" s="39">
        <v>0.6</v>
      </c>
      <c r="U45" s="40">
        <v>1</v>
      </c>
    </row>
    <row r="46" spans="1:21" x14ac:dyDescent="0.25">
      <c r="A46" s="1">
        <v>5.0999999999999996</v>
      </c>
      <c r="B46" s="1">
        <v>3.8</v>
      </c>
      <c r="C46" s="14">
        <v>1.9</v>
      </c>
      <c r="D46" s="16">
        <v>0.4</v>
      </c>
      <c r="E46" s="9" t="s">
        <v>5</v>
      </c>
      <c r="F46" s="23">
        <f t="shared" si="0"/>
        <v>1</v>
      </c>
      <c r="G46" s="5">
        <f t="shared" si="1"/>
        <v>0.46428439560252271</v>
      </c>
      <c r="H46" s="15">
        <f t="shared" si="2"/>
        <v>3.0985889470215118</v>
      </c>
      <c r="I46" s="15">
        <f t="shared" si="3"/>
        <v>2.1547971801480448</v>
      </c>
      <c r="J46" s="15">
        <f t="shared" si="4"/>
        <v>4.2450279558183128</v>
      </c>
      <c r="K46" s="16">
        <f t="shared" si="5"/>
        <v>0.46428439560252271</v>
      </c>
      <c r="S46" s="38">
        <v>1.9</v>
      </c>
      <c r="T46" s="39">
        <v>0.4</v>
      </c>
      <c r="U46" s="40">
        <v>1</v>
      </c>
    </row>
    <row r="47" spans="1:21" x14ac:dyDescent="0.25">
      <c r="A47" s="1">
        <v>4.8</v>
      </c>
      <c r="B47" s="1">
        <v>3</v>
      </c>
      <c r="C47" s="14">
        <v>1.4</v>
      </c>
      <c r="D47" s="16">
        <v>0.3</v>
      </c>
      <c r="E47" s="9" t="s">
        <v>5</v>
      </c>
      <c r="F47" s="23">
        <f t="shared" si="0"/>
        <v>1</v>
      </c>
      <c r="G47" s="5">
        <f t="shared" si="1"/>
        <v>8.2219219164378118E-2</v>
      </c>
      <c r="H47" s="15">
        <f t="shared" si="2"/>
        <v>3.5998085898637044</v>
      </c>
      <c r="I47" s="15">
        <f t="shared" si="3"/>
        <v>2.6580930344669387</v>
      </c>
      <c r="J47" s="15">
        <f t="shared" si="4"/>
        <v>4.7442639179810362</v>
      </c>
      <c r="K47" s="16">
        <f t="shared" si="5"/>
        <v>8.2219219164378118E-2</v>
      </c>
      <c r="S47" s="38">
        <v>1.4</v>
      </c>
      <c r="T47" s="39">
        <v>0.3</v>
      </c>
      <c r="U47" s="40">
        <v>1</v>
      </c>
    </row>
    <row r="48" spans="1:21" x14ac:dyDescent="0.25">
      <c r="A48" s="1">
        <v>5.0999999999999996</v>
      </c>
      <c r="B48" s="1">
        <v>3.8</v>
      </c>
      <c r="C48" s="14">
        <v>1.6</v>
      </c>
      <c r="D48" s="16">
        <v>0.2</v>
      </c>
      <c r="E48" s="9" t="s">
        <v>5</v>
      </c>
      <c r="F48" s="23">
        <f t="shared" si="0"/>
        <v>1</v>
      </c>
      <c r="G48" s="5">
        <f t="shared" si="1"/>
        <v>0.14546477236774533</v>
      </c>
      <c r="H48" s="15">
        <f t="shared" si="2"/>
        <v>3.4532503056005361</v>
      </c>
      <c r="I48" s="15">
        <f t="shared" si="3"/>
        <v>2.5084620102374946</v>
      </c>
      <c r="J48" s="15">
        <f t="shared" si="4"/>
        <v>4.6005719585372216</v>
      </c>
      <c r="K48" s="16">
        <f t="shared" si="5"/>
        <v>0.14546477236774533</v>
      </c>
      <c r="S48" s="38">
        <v>1.6</v>
      </c>
      <c r="T48" s="39">
        <v>0.2</v>
      </c>
      <c r="U48" s="40">
        <v>1</v>
      </c>
    </row>
    <row r="49" spans="1:21" x14ac:dyDescent="0.25">
      <c r="A49" s="1">
        <v>4.5999999999999996</v>
      </c>
      <c r="B49" s="1">
        <v>3.2</v>
      </c>
      <c r="C49" s="14">
        <v>1.4</v>
      </c>
      <c r="D49" s="16">
        <v>0.2</v>
      </c>
      <c r="E49" s="9" t="s">
        <v>5</v>
      </c>
      <c r="F49" s="23">
        <f t="shared" si="0"/>
        <v>1</v>
      </c>
      <c r="G49" s="5">
        <f t="shared" si="1"/>
        <v>7.7201036262475292E-2</v>
      </c>
      <c r="H49" s="15">
        <f t="shared" si="2"/>
        <v>3.6370448949479628</v>
      </c>
      <c r="I49" s="15">
        <f t="shared" si="3"/>
        <v>2.6933102528938613</v>
      </c>
      <c r="J49" s="15">
        <f t="shared" si="4"/>
        <v>4.7832736478402991</v>
      </c>
      <c r="K49" s="16">
        <f t="shared" si="5"/>
        <v>7.7201036262475292E-2</v>
      </c>
      <c r="S49" s="38">
        <v>1.4</v>
      </c>
      <c r="T49" s="39">
        <v>0.2</v>
      </c>
      <c r="U49" s="40">
        <v>1</v>
      </c>
    </row>
    <row r="50" spans="1:21" x14ac:dyDescent="0.25">
      <c r="A50" s="1">
        <v>5.3</v>
      </c>
      <c r="B50" s="1">
        <v>3.7</v>
      </c>
      <c r="C50" s="14">
        <v>1.5</v>
      </c>
      <c r="D50" s="16">
        <v>0.2</v>
      </c>
      <c r="E50" s="9" t="s">
        <v>5</v>
      </c>
      <c r="F50" s="23">
        <f t="shared" si="0"/>
        <v>1</v>
      </c>
      <c r="G50" s="5">
        <f t="shared" si="1"/>
        <v>5.9665735560704994E-2</v>
      </c>
      <c r="H50" s="15">
        <f t="shared" si="2"/>
        <v>3.5449282955369656</v>
      </c>
      <c r="I50" s="15">
        <f t="shared" si="3"/>
        <v>2.6006058693262162</v>
      </c>
      <c r="J50" s="15">
        <f t="shared" si="4"/>
        <v>4.6917464304778047</v>
      </c>
      <c r="K50" s="16">
        <f t="shared" si="5"/>
        <v>5.9665735560704994E-2</v>
      </c>
      <c r="S50" s="38">
        <v>1.5</v>
      </c>
      <c r="T50" s="39">
        <v>0.2</v>
      </c>
      <c r="U50" s="40">
        <v>1</v>
      </c>
    </row>
    <row r="51" spans="1:21" x14ac:dyDescent="0.25">
      <c r="A51" s="1">
        <v>5</v>
      </c>
      <c r="B51" s="1">
        <v>3.3</v>
      </c>
      <c r="C51" s="14">
        <v>1.4</v>
      </c>
      <c r="D51" s="16">
        <v>0.2</v>
      </c>
      <c r="E51" s="9" t="s">
        <v>5</v>
      </c>
      <c r="F51" s="23">
        <f t="shared" si="0"/>
        <v>1</v>
      </c>
      <c r="G51" s="5">
        <f t="shared" si="1"/>
        <v>7.7201036262475292E-2</v>
      </c>
      <c r="H51" s="15">
        <f t="shared" si="2"/>
        <v>3.6370448949479628</v>
      </c>
      <c r="I51" s="15">
        <f t="shared" si="3"/>
        <v>2.6933102528938613</v>
      </c>
      <c r="J51" s="15">
        <f t="shared" si="4"/>
        <v>4.7832736478402991</v>
      </c>
      <c r="K51" s="16">
        <f t="shared" si="5"/>
        <v>7.7201036262475292E-2</v>
      </c>
      <c r="S51" s="38">
        <v>1.4</v>
      </c>
      <c r="T51" s="39">
        <v>0.2</v>
      </c>
      <c r="U51" s="40">
        <v>1</v>
      </c>
    </row>
    <row r="52" spans="1:21" x14ac:dyDescent="0.25">
      <c r="A52" s="1">
        <v>7</v>
      </c>
      <c r="B52" s="1">
        <v>3.2</v>
      </c>
      <c r="C52" s="14">
        <v>4.7</v>
      </c>
      <c r="D52" s="16">
        <v>1.4</v>
      </c>
      <c r="E52" s="9" t="s">
        <v>6</v>
      </c>
      <c r="F52" s="23">
        <f t="shared" si="0"/>
        <v>2</v>
      </c>
      <c r="G52" s="5">
        <f t="shared" si="1"/>
        <v>3.4374932727206899</v>
      </c>
      <c r="H52" s="15">
        <f t="shared" si="2"/>
        <v>0.20568445294388535</v>
      </c>
      <c r="I52" s="15">
        <f t="shared" si="3"/>
        <v>0.8227982993541727</v>
      </c>
      <c r="J52" s="15">
        <f t="shared" si="4"/>
        <v>1.29667785389823</v>
      </c>
      <c r="K52" s="16">
        <f t="shared" si="5"/>
        <v>0.20568445294388535</v>
      </c>
      <c r="S52" s="38">
        <v>4.7</v>
      </c>
      <c r="T52" s="39">
        <v>1.4</v>
      </c>
      <c r="U52" s="40">
        <v>2</v>
      </c>
    </row>
    <row r="53" spans="1:21" x14ac:dyDescent="0.25">
      <c r="A53" s="1">
        <v>6.4</v>
      </c>
      <c r="B53" s="1">
        <v>3.2</v>
      </c>
      <c r="C53" s="14">
        <v>4.5</v>
      </c>
      <c r="D53" s="16">
        <v>1.5</v>
      </c>
      <c r="E53" s="9" t="s">
        <v>6</v>
      </c>
      <c r="F53" s="23">
        <f t="shared" si="0"/>
        <v>2</v>
      </c>
      <c r="G53" s="5">
        <f t="shared" si="1"/>
        <v>3.2866335360061059</v>
      </c>
      <c r="H53" s="15">
        <f t="shared" si="2"/>
        <v>0.27566339022282499</v>
      </c>
      <c r="I53" s="15">
        <f t="shared" si="3"/>
        <v>0.67087552086586177</v>
      </c>
      <c r="J53" s="15">
        <f t="shared" si="4"/>
        <v>1.4227266900455255</v>
      </c>
      <c r="K53" s="16">
        <f t="shared" si="5"/>
        <v>0.27566339022282499</v>
      </c>
      <c r="S53" s="38">
        <v>4.5</v>
      </c>
      <c r="T53" s="39">
        <v>1.5</v>
      </c>
      <c r="U53" s="40">
        <v>2</v>
      </c>
    </row>
    <row r="54" spans="1:21" x14ac:dyDescent="0.25">
      <c r="A54" s="1">
        <v>6.9</v>
      </c>
      <c r="B54" s="1">
        <v>3.1</v>
      </c>
      <c r="C54" s="14">
        <v>4.9000000000000004</v>
      </c>
      <c r="D54" s="16">
        <v>1.5</v>
      </c>
      <c r="E54" s="9" t="s">
        <v>6</v>
      </c>
      <c r="F54" s="23">
        <f t="shared" si="0"/>
        <v>2</v>
      </c>
      <c r="G54" s="5">
        <f t="shared" si="1"/>
        <v>3.6595573502815886</v>
      </c>
      <c r="H54" s="15">
        <f t="shared" si="2"/>
        <v>0.17226292472687474</v>
      </c>
      <c r="I54" s="15">
        <f t="shared" si="3"/>
        <v>1.042591502660615</v>
      </c>
      <c r="J54" s="15">
        <f t="shared" si="4"/>
        <v>1.0748313103361888</v>
      </c>
      <c r="K54" s="16">
        <f t="shared" si="5"/>
        <v>0.17226292472687474</v>
      </c>
      <c r="S54" s="38">
        <v>4.9000000000000004</v>
      </c>
      <c r="T54" s="39">
        <v>1.5</v>
      </c>
      <c r="U54" s="40">
        <v>2</v>
      </c>
    </row>
    <row r="55" spans="1:21" x14ac:dyDescent="0.25">
      <c r="A55" s="1">
        <v>5.5</v>
      </c>
      <c r="B55" s="1">
        <v>2.2999999999999998</v>
      </c>
      <c r="C55" s="14">
        <v>4</v>
      </c>
      <c r="D55" s="16">
        <v>1.3</v>
      </c>
      <c r="E55" s="9" t="s">
        <v>6</v>
      </c>
      <c r="F55" s="23">
        <f t="shared" si="0"/>
        <v>3</v>
      </c>
      <c r="G55" s="5">
        <f t="shared" si="1"/>
        <v>2.7481557452226024</v>
      </c>
      <c r="H55" s="15">
        <f t="shared" si="2"/>
        <v>0.81414520202006946</v>
      </c>
      <c r="I55" s="15">
        <f t="shared" si="3"/>
        <v>0.14437172599325732</v>
      </c>
      <c r="J55" s="15">
        <f t="shared" si="4"/>
        <v>1.9605090356875021</v>
      </c>
      <c r="K55" s="16">
        <f t="shared" si="5"/>
        <v>0.14437172599325732</v>
      </c>
      <c r="S55" s="38">
        <v>4.5999999999999996</v>
      </c>
      <c r="T55" s="39">
        <v>1.5</v>
      </c>
      <c r="U55" s="40">
        <v>2</v>
      </c>
    </row>
    <row r="56" spans="1:21" x14ac:dyDescent="0.25">
      <c r="A56" s="1">
        <v>6.5</v>
      </c>
      <c r="B56" s="1">
        <v>2.8</v>
      </c>
      <c r="C56" s="14">
        <v>4.5999999999999996</v>
      </c>
      <c r="D56" s="16">
        <v>1.5</v>
      </c>
      <c r="E56" s="9" t="s">
        <v>6</v>
      </c>
      <c r="F56" s="23">
        <f t="shared" si="0"/>
        <v>2</v>
      </c>
      <c r="G56" s="5">
        <f t="shared" si="1"/>
        <v>3.3792839478208987</v>
      </c>
      <c r="H56" s="15">
        <f t="shared" si="2"/>
        <v>0.18550298472186486</v>
      </c>
      <c r="I56" s="15">
        <f t="shared" si="3"/>
        <v>0.76112070903885554</v>
      </c>
      <c r="J56" s="15">
        <f t="shared" si="4"/>
        <v>1.3330150082972343</v>
      </c>
      <c r="K56" s="16">
        <f t="shared" si="5"/>
        <v>0.18550298472186486</v>
      </c>
      <c r="S56" s="38">
        <v>4.5</v>
      </c>
      <c r="T56" s="39">
        <v>1.3</v>
      </c>
      <c r="U56" s="40">
        <v>2</v>
      </c>
    </row>
    <row r="57" spans="1:21" x14ac:dyDescent="0.25">
      <c r="A57" s="1">
        <v>5.7</v>
      </c>
      <c r="B57" s="1">
        <v>2.8</v>
      </c>
      <c r="C57" s="14">
        <v>4.5</v>
      </c>
      <c r="D57" s="16">
        <v>1.3</v>
      </c>
      <c r="E57" s="9" t="s">
        <v>6</v>
      </c>
      <c r="F57" s="23">
        <f t="shared" si="0"/>
        <v>2</v>
      </c>
      <c r="G57" s="5">
        <f t="shared" si="1"/>
        <v>3.2156430150127049</v>
      </c>
      <c r="H57" s="15">
        <f t="shared" si="2"/>
        <v>0.39362123053792958</v>
      </c>
      <c r="I57" s="15">
        <f t="shared" si="3"/>
        <v>0.60580280737226566</v>
      </c>
      <c r="J57" s="15">
        <f t="shared" si="4"/>
        <v>1.5190406735506559</v>
      </c>
      <c r="K57" s="16">
        <f t="shared" si="5"/>
        <v>0.39362123053792958</v>
      </c>
      <c r="S57" s="38">
        <v>4.7</v>
      </c>
      <c r="T57" s="39">
        <v>1.6</v>
      </c>
      <c r="U57" s="40">
        <v>2</v>
      </c>
    </row>
    <row r="58" spans="1:21" x14ac:dyDescent="0.25">
      <c r="A58" s="1">
        <v>6.3</v>
      </c>
      <c r="B58" s="1">
        <v>3.3</v>
      </c>
      <c r="C58" s="14">
        <v>4.7</v>
      </c>
      <c r="D58" s="16">
        <v>1.6</v>
      </c>
      <c r="E58" s="9" t="s">
        <v>6</v>
      </c>
      <c r="F58" s="23">
        <f t="shared" si="0"/>
        <v>2</v>
      </c>
      <c r="G58" s="5">
        <f t="shared" si="1"/>
        <v>3.5096951434561947</v>
      </c>
      <c r="H58" s="15">
        <f t="shared" si="2"/>
        <v>5.7954514593540535E-2</v>
      </c>
      <c r="I58" s="15">
        <f t="shared" si="3"/>
        <v>0.8944685374550867</v>
      </c>
      <c r="J58" s="15">
        <f t="shared" si="4"/>
        <v>1.199183106725902</v>
      </c>
      <c r="K58" s="16">
        <f t="shared" si="5"/>
        <v>5.7954514593540535E-2</v>
      </c>
      <c r="S58" s="38">
        <v>4.5999999999999996</v>
      </c>
      <c r="T58" s="39">
        <v>1.3</v>
      </c>
      <c r="U58" s="40">
        <v>2</v>
      </c>
    </row>
    <row r="59" spans="1:21" x14ac:dyDescent="0.25">
      <c r="A59" s="1">
        <v>4.9000000000000004</v>
      </c>
      <c r="B59" s="1">
        <v>2.4</v>
      </c>
      <c r="C59" s="14">
        <v>3.3</v>
      </c>
      <c r="D59" s="16">
        <v>1</v>
      </c>
      <c r="E59" s="9" t="s">
        <v>6</v>
      </c>
      <c r="F59" s="23">
        <f t="shared" si="0"/>
        <v>3</v>
      </c>
      <c r="G59" s="5">
        <f t="shared" si="1"/>
        <v>1.9866454137565663</v>
      </c>
      <c r="H59" s="15">
        <f t="shared" si="2"/>
        <v>1.5755335903060992</v>
      </c>
      <c r="I59" s="15">
        <f t="shared" si="3"/>
        <v>0.63372898468943573</v>
      </c>
      <c r="J59" s="15">
        <f t="shared" si="4"/>
        <v>2.7219756124124062</v>
      </c>
      <c r="K59" s="16">
        <f t="shared" si="5"/>
        <v>0.63372898468943573</v>
      </c>
      <c r="S59" s="38">
        <v>4.7</v>
      </c>
      <c r="T59" s="39">
        <v>1.4</v>
      </c>
      <c r="U59" s="40">
        <v>2</v>
      </c>
    </row>
    <row r="60" spans="1:21" x14ac:dyDescent="0.25">
      <c r="A60" s="1">
        <v>6.6</v>
      </c>
      <c r="B60" s="1">
        <v>2.9</v>
      </c>
      <c r="C60" s="14">
        <v>4.5999999999999996</v>
      </c>
      <c r="D60" s="16">
        <v>1.3</v>
      </c>
      <c r="E60" s="9" t="s">
        <v>6</v>
      </c>
      <c r="F60" s="23">
        <f t="shared" si="0"/>
        <v>2</v>
      </c>
      <c r="G60" s="5">
        <f t="shared" si="1"/>
        <v>3.3102809548435608</v>
      </c>
      <c r="H60" s="15">
        <f t="shared" si="2"/>
        <v>0.33668787587582188</v>
      </c>
      <c r="I60" s="15">
        <f t="shared" si="3"/>
        <v>0.70443439059353652</v>
      </c>
      <c r="J60" s="15">
        <f t="shared" si="4"/>
        <v>1.4353613989790197</v>
      </c>
      <c r="K60" s="16">
        <f t="shared" si="5"/>
        <v>0.33668787587582188</v>
      </c>
      <c r="S60" s="38">
        <v>4.4000000000000004</v>
      </c>
      <c r="T60" s="39">
        <v>1.4</v>
      </c>
      <c r="U60" s="40">
        <v>2</v>
      </c>
    </row>
    <row r="61" spans="1:21" x14ac:dyDescent="0.25">
      <c r="A61" s="1">
        <v>5.2</v>
      </c>
      <c r="B61" s="1">
        <v>2.7</v>
      </c>
      <c r="C61" s="14">
        <v>3.9</v>
      </c>
      <c r="D61" s="16">
        <v>1.4</v>
      </c>
      <c r="E61" s="9" t="s">
        <v>6</v>
      </c>
      <c r="F61" s="23">
        <f t="shared" si="0"/>
        <v>3</v>
      </c>
      <c r="G61" s="5">
        <f t="shared" si="1"/>
        <v>2.6973246004142695</v>
      </c>
      <c r="H61" s="15">
        <f t="shared" si="2"/>
        <v>0.88030544308790626</v>
      </c>
      <c r="I61" s="15">
        <f t="shared" si="3"/>
        <v>0.20772791717524242</v>
      </c>
      <c r="J61" s="15">
        <f t="shared" si="4"/>
        <v>2.0147335393465546</v>
      </c>
      <c r="K61" s="16">
        <f t="shared" si="5"/>
        <v>0.20772791717524242</v>
      </c>
      <c r="S61" s="38">
        <v>4.5</v>
      </c>
      <c r="T61" s="39">
        <v>1.5</v>
      </c>
      <c r="U61" s="40">
        <v>2</v>
      </c>
    </row>
    <row r="62" spans="1:21" x14ac:dyDescent="0.25">
      <c r="A62" s="1">
        <v>5</v>
      </c>
      <c r="B62" s="1">
        <v>2</v>
      </c>
      <c r="C62" s="14">
        <v>3.5</v>
      </c>
      <c r="D62" s="16">
        <v>1</v>
      </c>
      <c r="E62" s="9" t="s">
        <v>6</v>
      </c>
      <c r="F62" s="23">
        <f t="shared" si="0"/>
        <v>3</v>
      </c>
      <c r="G62" s="5">
        <f t="shared" si="1"/>
        <v>2.1730071329841509</v>
      </c>
      <c r="H62" s="15">
        <f t="shared" si="2"/>
        <v>1.3925330155676685</v>
      </c>
      <c r="I62" s="15">
        <f t="shared" si="3"/>
        <v>0.44729628267742338</v>
      </c>
      <c r="J62" s="15">
        <f t="shared" si="4"/>
        <v>2.5406114992504167</v>
      </c>
      <c r="K62" s="16">
        <f t="shared" si="5"/>
        <v>0.44729628267742338</v>
      </c>
      <c r="S62" s="38">
        <v>4.5</v>
      </c>
      <c r="T62" s="39">
        <v>1.5</v>
      </c>
      <c r="U62" s="40">
        <v>2</v>
      </c>
    </row>
    <row r="63" spans="1:21" x14ac:dyDescent="0.25">
      <c r="A63" s="1">
        <v>5.9</v>
      </c>
      <c r="B63" s="1">
        <v>3</v>
      </c>
      <c r="C63" s="14">
        <v>4.2</v>
      </c>
      <c r="D63" s="16">
        <v>1.5</v>
      </c>
      <c r="E63" s="9" t="s">
        <v>6</v>
      </c>
      <c r="F63" s="23">
        <f t="shared" si="0"/>
        <v>3</v>
      </c>
      <c r="G63" s="5">
        <f t="shared" si="1"/>
        <v>3.0115046073350111</v>
      </c>
      <c r="H63" s="15">
        <f t="shared" si="2"/>
        <v>0.56632777330306239</v>
      </c>
      <c r="I63" s="15">
        <f t="shared" si="3"/>
        <v>0.42706165457078182</v>
      </c>
      <c r="J63" s="15">
        <f t="shared" si="4"/>
        <v>1.6987695256374722</v>
      </c>
      <c r="K63" s="16">
        <f t="shared" si="5"/>
        <v>0.42706165457078182</v>
      </c>
      <c r="S63" s="38">
        <v>4.8</v>
      </c>
      <c r="T63" s="39">
        <v>1.8</v>
      </c>
      <c r="U63" s="40">
        <v>2</v>
      </c>
    </row>
    <row r="64" spans="1:21" x14ac:dyDescent="0.25">
      <c r="A64" s="1">
        <v>6</v>
      </c>
      <c r="B64" s="1">
        <v>2.2000000000000002</v>
      </c>
      <c r="C64" s="14">
        <v>4</v>
      </c>
      <c r="D64" s="16">
        <v>1</v>
      </c>
      <c r="E64" s="9" t="s">
        <v>6</v>
      </c>
      <c r="F64" s="23">
        <f t="shared" si="0"/>
        <v>3</v>
      </c>
      <c r="G64" s="5">
        <f t="shared" si="1"/>
        <v>2.6476329050682232</v>
      </c>
      <c r="H64" s="15">
        <f t="shared" si="2"/>
        <v>0.96501474735046322</v>
      </c>
      <c r="I64" s="15">
        <f t="shared" si="3"/>
        <v>0.21500653629805694</v>
      </c>
      <c r="J64" s="15">
        <f t="shared" si="4"/>
        <v>2.1020455939423246</v>
      </c>
      <c r="K64" s="16">
        <f t="shared" si="5"/>
        <v>0.21500653629805694</v>
      </c>
      <c r="S64" s="38">
        <v>4.9000000000000004</v>
      </c>
      <c r="T64" s="39">
        <v>1.5</v>
      </c>
      <c r="U64" s="40">
        <v>2</v>
      </c>
    </row>
    <row r="65" spans="1:21" x14ac:dyDescent="0.25">
      <c r="A65" s="1">
        <v>6.1</v>
      </c>
      <c r="B65" s="1">
        <v>2.9</v>
      </c>
      <c r="C65" s="14">
        <v>4.7</v>
      </c>
      <c r="D65" s="16">
        <v>1.4</v>
      </c>
      <c r="E65" s="9" t="s">
        <v>6</v>
      </c>
      <c r="F65" s="23">
        <f t="shared" si="0"/>
        <v>2</v>
      </c>
      <c r="G65" s="5">
        <f t="shared" si="1"/>
        <v>3.4374932727206899</v>
      </c>
      <c r="H65" s="15">
        <f t="shared" si="2"/>
        <v>0.20568445294388535</v>
      </c>
      <c r="I65" s="15">
        <f t="shared" si="3"/>
        <v>0.8227982993541727</v>
      </c>
      <c r="J65" s="15">
        <f t="shared" si="4"/>
        <v>1.29667785389823</v>
      </c>
      <c r="K65" s="16">
        <f t="shared" si="5"/>
        <v>0.20568445294388535</v>
      </c>
      <c r="S65" s="38">
        <v>4.7</v>
      </c>
      <c r="T65" s="39">
        <v>1.2</v>
      </c>
      <c r="U65" s="40">
        <v>2</v>
      </c>
    </row>
    <row r="66" spans="1:21" x14ac:dyDescent="0.25">
      <c r="A66" s="1">
        <v>5.6</v>
      </c>
      <c r="B66" s="1">
        <v>2.9</v>
      </c>
      <c r="C66" s="14">
        <v>3.6</v>
      </c>
      <c r="D66" s="16">
        <v>1.3</v>
      </c>
      <c r="E66" s="9" t="s">
        <v>6</v>
      </c>
      <c r="F66" s="23">
        <f t="shared" si="0"/>
        <v>3</v>
      </c>
      <c r="G66" s="5">
        <f t="shared" si="1"/>
        <v>2.38368622096114</v>
      </c>
      <c r="H66" s="15">
        <f t="shared" si="2"/>
        <v>1.1954698655532829</v>
      </c>
      <c r="I66" s="15">
        <f t="shared" si="3"/>
        <v>0.32236643488923455</v>
      </c>
      <c r="J66" s="15">
        <f t="shared" si="4"/>
        <v>2.3307690936472509</v>
      </c>
      <c r="K66" s="16">
        <f t="shared" si="5"/>
        <v>0.32236643488923455</v>
      </c>
      <c r="S66" s="38">
        <v>4.4000000000000004</v>
      </c>
      <c r="T66" s="39">
        <v>1.4</v>
      </c>
      <c r="U66" s="40">
        <v>2</v>
      </c>
    </row>
    <row r="67" spans="1:21" x14ac:dyDescent="0.25">
      <c r="A67" s="1">
        <v>6.7</v>
      </c>
      <c r="B67" s="1">
        <v>3.1</v>
      </c>
      <c r="C67" s="14">
        <v>4.4000000000000004</v>
      </c>
      <c r="D67" s="16">
        <v>1.4</v>
      </c>
      <c r="E67" s="9" t="s">
        <v>6</v>
      </c>
      <c r="F67" s="23">
        <f t="shared" ref="F67:F130" si="7">IF(G67=K67,1,IF(H67=K67,2,IF(I67=K67,3,4)))</f>
        <v>2</v>
      </c>
      <c r="G67" s="5">
        <f t="shared" ref="G67:G130" si="8">(($C67-$O$2)^2+($D67-$P$2)^2)^(1/2)</f>
        <v>3.1565107318049783</v>
      </c>
      <c r="H67" s="15">
        <f t="shared" ref="H67:H130" si="9">(($C67-$O$3)^2+($D67-$P$3)^2)^(1/2)</f>
        <v>0.40870886494923087</v>
      </c>
      <c r="I67" s="15">
        <f t="shared" ref="I67:I130" si="10">(($C67-$O$4)^2+($D67-$P$4)^2)^(1/2)</f>
        <v>0.53787055480646173</v>
      </c>
      <c r="J67" s="15">
        <f t="shared" ref="J67:J130" si="11">(($C67-$O$5)^2+($D67-$P$5)^2)^(1/2)</f>
        <v>1.5566117446096777</v>
      </c>
      <c r="K67" s="16">
        <f t="shared" ref="K67:K130" si="12">MIN(G67:J67)</f>
        <v>0.40870886494923087</v>
      </c>
      <c r="S67" s="38">
        <v>4.8</v>
      </c>
      <c r="T67" s="39">
        <v>1.4</v>
      </c>
      <c r="U67" s="40">
        <v>2</v>
      </c>
    </row>
    <row r="68" spans="1:21" x14ac:dyDescent="0.25">
      <c r="A68" s="1">
        <v>5.6</v>
      </c>
      <c r="B68" s="1">
        <v>3</v>
      </c>
      <c r="C68" s="14">
        <v>4.5</v>
      </c>
      <c r="D68" s="16">
        <v>1.5</v>
      </c>
      <c r="E68" s="9" t="s">
        <v>6</v>
      </c>
      <c r="F68" s="23">
        <f t="shared" si="7"/>
        <v>2</v>
      </c>
      <c r="G68" s="5">
        <f t="shared" si="8"/>
        <v>3.2866335360061059</v>
      </c>
      <c r="H68" s="15">
        <f t="shared" si="9"/>
        <v>0.27566339022282499</v>
      </c>
      <c r="I68" s="15">
        <f t="shared" si="10"/>
        <v>0.67087552086586177</v>
      </c>
      <c r="J68" s="15">
        <f t="shared" si="11"/>
        <v>1.4227266900455255</v>
      </c>
      <c r="K68" s="16">
        <f t="shared" si="12"/>
        <v>0.27566339022282499</v>
      </c>
      <c r="S68" s="38">
        <v>5</v>
      </c>
      <c r="T68" s="39">
        <v>1.7</v>
      </c>
      <c r="U68" s="40">
        <v>2</v>
      </c>
    </row>
    <row r="69" spans="1:21" x14ac:dyDescent="0.25">
      <c r="A69" s="1">
        <v>5.8</v>
      </c>
      <c r="B69" s="1">
        <v>2.7</v>
      </c>
      <c r="C69" s="14">
        <v>4.0999999999999996</v>
      </c>
      <c r="D69" s="16">
        <v>1</v>
      </c>
      <c r="E69" s="9" t="s">
        <v>6</v>
      </c>
      <c r="F69" s="23">
        <f t="shared" si="7"/>
        <v>3</v>
      </c>
      <c r="G69" s="5">
        <f t="shared" si="8"/>
        <v>2.7436399180650506</v>
      </c>
      <c r="H69" s="15">
        <f t="shared" si="9"/>
        <v>0.88863632338288856</v>
      </c>
      <c r="I69" s="15">
        <f t="shared" si="10"/>
        <v>0.274697251317986</v>
      </c>
      <c r="J69" s="15">
        <f t="shared" si="11"/>
        <v>2.0177644700980637</v>
      </c>
      <c r="K69" s="16">
        <f t="shared" si="12"/>
        <v>0.274697251317986</v>
      </c>
      <c r="S69" s="38">
        <v>4.5</v>
      </c>
      <c r="T69" s="39">
        <v>1.5</v>
      </c>
      <c r="U69" s="40">
        <v>2</v>
      </c>
    </row>
    <row r="70" spans="1:21" x14ac:dyDescent="0.25">
      <c r="A70" s="1">
        <v>6.2</v>
      </c>
      <c r="B70" s="1">
        <v>2.2000000000000002</v>
      </c>
      <c r="C70" s="14">
        <v>4.5</v>
      </c>
      <c r="D70" s="16">
        <v>1.5</v>
      </c>
      <c r="E70" s="9" t="s">
        <v>6</v>
      </c>
      <c r="F70" s="23">
        <f t="shared" si="7"/>
        <v>2</v>
      </c>
      <c r="G70" s="5">
        <f t="shared" si="8"/>
        <v>3.2866335360061059</v>
      </c>
      <c r="H70" s="15">
        <f t="shared" si="9"/>
        <v>0.27566339022282499</v>
      </c>
      <c r="I70" s="15">
        <f t="shared" si="10"/>
        <v>0.67087552086586177</v>
      </c>
      <c r="J70" s="15">
        <f t="shared" si="11"/>
        <v>1.4227266900455255</v>
      </c>
      <c r="K70" s="16">
        <f t="shared" si="12"/>
        <v>0.27566339022282499</v>
      </c>
      <c r="S70" s="38">
        <v>5.0999999999999996</v>
      </c>
      <c r="T70" s="39">
        <v>1.6</v>
      </c>
      <c r="U70" s="40">
        <v>2</v>
      </c>
    </row>
    <row r="71" spans="1:21" x14ac:dyDescent="0.25">
      <c r="A71" s="1">
        <v>5.6</v>
      </c>
      <c r="B71" s="1">
        <v>2.5</v>
      </c>
      <c r="C71" s="14">
        <v>3.9</v>
      </c>
      <c r="D71" s="16">
        <v>1.1000000000000001</v>
      </c>
      <c r="E71" s="9" t="s">
        <v>6</v>
      </c>
      <c r="F71" s="23">
        <f t="shared" si="7"/>
        <v>3</v>
      </c>
      <c r="G71" s="5">
        <f t="shared" si="8"/>
        <v>2.5832460200298382</v>
      </c>
      <c r="H71" s="15">
        <f t="shared" si="9"/>
        <v>0.99164445531741541</v>
      </c>
      <c r="I71" s="15">
        <f t="shared" si="10"/>
        <v>9.2387785765110225E-2</v>
      </c>
      <c r="J71" s="15">
        <f t="shared" si="11"/>
        <v>2.13872654506552</v>
      </c>
      <c r="K71" s="16">
        <f t="shared" si="12"/>
        <v>9.2387785765110225E-2</v>
      </c>
      <c r="S71" s="38">
        <v>4.5</v>
      </c>
      <c r="T71" s="39">
        <v>1.5</v>
      </c>
      <c r="U71" s="40">
        <v>2</v>
      </c>
    </row>
    <row r="72" spans="1:21" x14ac:dyDescent="0.25">
      <c r="A72" s="1">
        <v>5.9</v>
      </c>
      <c r="B72" s="1">
        <v>3.2</v>
      </c>
      <c r="C72" s="14">
        <v>4.8</v>
      </c>
      <c r="D72" s="16">
        <v>1.8</v>
      </c>
      <c r="E72" s="9" t="s">
        <v>6</v>
      </c>
      <c r="F72" s="23">
        <f t="shared" si="7"/>
        <v>2</v>
      </c>
      <c r="G72" s="5">
        <f t="shared" si="8"/>
        <v>3.6820048886442285</v>
      </c>
      <c r="H72" s="15">
        <f t="shared" si="9"/>
        <v>0.20695992358980836</v>
      </c>
      <c r="I72" s="15">
        <f t="shared" si="10"/>
        <v>1.082765744196192</v>
      </c>
      <c r="J72" s="15">
        <f t="shared" si="11"/>
        <v>1.033191447845573</v>
      </c>
      <c r="K72" s="16">
        <f t="shared" si="12"/>
        <v>0.20695992358980836</v>
      </c>
      <c r="S72" s="38">
        <v>4.5</v>
      </c>
      <c r="T72" s="39">
        <v>1.6</v>
      </c>
      <c r="U72" s="40">
        <v>2</v>
      </c>
    </row>
    <row r="73" spans="1:21" x14ac:dyDescent="0.25">
      <c r="A73" s="1">
        <v>6.1</v>
      </c>
      <c r="B73" s="1">
        <v>2.8</v>
      </c>
      <c r="C73" s="14">
        <v>4</v>
      </c>
      <c r="D73" s="16">
        <v>1.3</v>
      </c>
      <c r="E73" s="9" t="s">
        <v>6</v>
      </c>
      <c r="F73" s="23">
        <f t="shared" si="7"/>
        <v>3</v>
      </c>
      <c r="G73" s="5">
        <f t="shared" si="8"/>
        <v>2.7481557452226024</v>
      </c>
      <c r="H73" s="15">
        <f t="shared" si="9"/>
        <v>0.81414520202006946</v>
      </c>
      <c r="I73" s="15">
        <f t="shared" si="10"/>
        <v>0.14437172599325732</v>
      </c>
      <c r="J73" s="15">
        <f t="shared" si="11"/>
        <v>1.9605090356875021</v>
      </c>
      <c r="K73" s="16">
        <f t="shared" si="12"/>
        <v>0.14437172599325732</v>
      </c>
      <c r="S73" s="38">
        <v>4.7</v>
      </c>
      <c r="T73" s="39">
        <v>1.5</v>
      </c>
      <c r="U73" s="40">
        <v>2</v>
      </c>
    </row>
    <row r="74" spans="1:21" x14ac:dyDescent="0.25">
      <c r="A74" s="1">
        <v>6.3</v>
      </c>
      <c r="B74" s="1">
        <v>2.5</v>
      </c>
      <c r="C74" s="14">
        <v>4.9000000000000004</v>
      </c>
      <c r="D74" s="16">
        <v>1.5</v>
      </c>
      <c r="E74" s="9" t="s">
        <v>6</v>
      </c>
      <c r="F74" s="23">
        <f t="shared" si="7"/>
        <v>2</v>
      </c>
      <c r="G74" s="5">
        <f t="shared" si="8"/>
        <v>3.6595573502815886</v>
      </c>
      <c r="H74" s="15">
        <f t="shared" si="9"/>
        <v>0.17226292472687474</v>
      </c>
      <c r="I74" s="15">
        <f t="shared" si="10"/>
        <v>1.042591502660615</v>
      </c>
      <c r="J74" s="15">
        <f t="shared" si="11"/>
        <v>1.0748313103361888</v>
      </c>
      <c r="K74" s="16">
        <f t="shared" si="12"/>
        <v>0.17226292472687474</v>
      </c>
      <c r="S74" s="38">
        <v>4.4000000000000004</v>
      </c>
      <c r="T74" s="39">
        <v>1.3</v>
      </c>
      <c r="U74" s="40">
        <v>2</v>
      </c>
    </row>
    <row r="75" spans="1:21" x14ac:dyDescent="0.25">
      <c r="A75" s="1">
        <v>6.1</v>
      </c>
      <c r="B75" s="1">
        <v>2.8</v>
      </c>
      <c r="C75" s="14">
        <v>4.7</v>
      </c>
      <c r="D75" s="16">
        <v>1.2</v>
      </c>
      <c r="E75" s="9" t="s">
        <v>6</v>
      </c>
      <c r="F75" s="23">
        <f t="shared" si="7"/>
        <v>2</v>
      </c>
      <c r="G75" s="5">
        <f t="shared" si="8"/>
        <v>3.3756125370071723</v>
      </c>
      <c r="H75" s="15">
        <f t="shared" si="9"/>
        <v>0.40156377152810707</v>
      </c>
      <c r="I75" s="15">
        <f t="shared" si="10"/>
        <v>0.79619100619336047</v>
      </c>
      <c r="J75" s="15">
        <f t="shared" si="11"/>
        <v>1.4158766860583065</v>
      </c>
      <c r="K75" s="16">
        <f t="shared" si="12"/>
        <v>0.40156377152810707</v>
      </c>
      <c r="S75" s="38">
        <v>4.5999999999999996</v>
      </c>
      <c r="T75" s="39">
        <v>1.4</v>
      </c>
      <c r="U75" s="40">
        <v>2</v>
      </c>
    </row>
    <row r="76" spans="1:21" x14ac:dyDescent="0.25">
      <c r="A76" s="1">
        <v>6.4</v>
      </c>
      <c r="B76" s="1">
        <v>2.9</v>
      </c>
      <c r="C76" s="14">
        <v>4.3</v>
      </c>
      <c r="D76" s="16">
        <v>1.3</v>
      </c>
      <c r="E76" s="9" t="s">
        <v>6</v>
      </c>
      <c r="F76" s="23">
        <f t="shared" si="7"/>
        <v>3</v>
      </c>
      <c r="G76" s="5">
        <f t="shared" si="8"/>
        <v>3.0274015260615821</v>
      </c>
      <c r="H76" s="15">
        <f t="shared" si="9"/>
        <v>0.54598128893491982</v>
      </c>
      <c r="I76" s="15">
        <f t="shared" si="10"/>
        <v>0.41053075762795138</v>
      </c>
      <c r="J76" s="15">
        <f t="shared" si="11"/>
        <v>1.6917236808491138</v>
      </c>
      <c r="K76" s="16">
        <f t="shared" si="12"/>
        <v>0.41053075762795138</v>
      </c>
      <c r="S76" s="38">
        <v>5.0999999999999996</v>
      </c>
      <c r="T76" s="39">
        <v>1.9</v>
      </c>
      <c r="U76" s="40">
        <v>2</v>
      </c>
    </row>
    <row r="77" spans="1:21" x14ac:dyDescent="0.25">
      <c r="A77" s="1">
        <v>6.6</v>
      </c>
      <c r="B77" s="1">
        <v>3</v>
      </c>
      <c r="C77" s="14">
        <v>4.4000000000000004</v>
      </c>
      <c r="D77" s="16">
        <v>1.4</v>
      </c>
      <c r="E77" s="9" t="s">
        <v>6</v>
      </c>
      <c r="F77" s="23">
        <f t="shared" si="7"/>
        <v>2</v>
      </c>
      <c r="G77" s="5">
        <f t="shared" si="8"/>
        <v>3.1565107318049783</v>
      </c>
      <c r="H77" s="15">
        <f t="shared" si="9"/>
        <v>0.40870886494923087</v>
      </c>
      <c r="I77" s="15">
        <f t="shared" si="10"/>
        <v>0.53787055480646173</v>
      </c>
      <c r="J77" s="15">
        <f t="shared" si="11"/>
        <v>1.5566117446096777</v>
      </c>
      <c r="K77" s="16">
        <f t="shared" si="12"/>
        <v>0.40870886494923087</v>
      </c>
      <c r="S77" s="38">
        <v>4.5</v>
      </c>
      <c r="T77" s="39">
        <v>1.7</v>
      </c>
      <c r="U77" s="40">
        <v>2</v>
      </c>
    </row>
    <row r="78" spans="1:21" x14ac:dyDescent="0.25">
      <c r="A78" s="1">
        <v>6.8</v>
      </c>
      <c r="B78" s="1">
        <v>2.8</v>
      </c>
      <c r="C78" s="14">
        <v>4.8</v>
      </c>
      <c r="D78" s="16">
        <v>1.4</v>
      </c>
      <c r="E78" s="9" t="s">
        <v>6</v>
      </c>
      <c r="F78" s="23">
        <f t="shared" si="7"/>
        <v>2</v>
      </c>
      <c r="G78" s="5">
        <f t="shared" si="8"/>
        <v>3.5318493739116334</v>
      </c>
      <c r="H78" s="15">
        <f t="shared" si="9"/>
        <v>0.20180967968460833</v>
      </c>
      <c r="I78" s="15">
        <f t="shared" si="10"/>
        <v>0.91990641407204432</v>
      </c>
      <c r="J78" s="15">
        <f t="shared" si="11"/>
        <v>1.2141462986674623</v>
      </c>
      <c r="K78" s="16">
        <f t="shared" si="12"/>
        <v>0.20180967968460833</v>
      </c>
      <c r="S78" s="38">
        <v>5.0999999999999996</v>
      </c>
      <c r="T78" s="39">
        <v>2</v>
      </c>
      <c r="U78" s="40">
        <v>2</v>
      </c>
    </row>
    <row r="79" spans="1:21" x14ac:dyDescent="0.25">
      <c r="A79" s="1">
        <v>6.7</v>
      </c>
      <c r="B79" s="1">
        <v>3</v>
      </c>
      <c r="C79" s="14">
        <v>5</v>
      </c>
      <c r="D79" s="16">
        <v>1.7</v>
      </c>
      <c r="E79" s="9" t="s">
        <v>6</v>
      </c>
      <c r="F79" s="23">
        <f t="shared" si="7"/>
        <v>2</v>
      </c>
      <c r="G79" s="5">
        <f t="shared" si="8"/>
        <v>3.8251222202695692</v>
      </c>
      <c r="H79" s="15">
        <f t="shared" si="9"/>
        <v>0.26296045224706927</v>
      </c>
      <c r="I79" s="15">
        <f t="shared" si="10"/>
        <v>1.2080168598690213</v>
      </c>
      <c r="J79" s="15">
        <f t="shared" si="11"/>
        <v>0.88583677397331739</v>
      </c>
      <c r="K79" s="16">
        <f t="shared" si="12"/>
        <v>0.26296045224706927</v>
      </c>
      <c r="S79" s="38">
        <v>5</v>
      </c>
      <c r="T79" s="39">
        <v>2</v>
      </c>
      <c r="U79" s="40">
        <v>2</v>
      </c>
    </row>
    <row r="80" spans="1:21" x14ac:dyDescent="0.25">
      <c r="A80" s="1">
        <v>6</v>
      </c>
      <c r="B80" s="1">
        <v>2.9</v>
      </c>
      <c r="C80" s="14">
        <v>4.5</v>
      </c>
      <c r="D80" s="16">
        <v>1.5</v>
      </c>
      <c r="E80" s="9" t="s">
        <v>6</v>
      </c>
      <c r="F80" s="23">
        <f t="shared" si="7"/>
        <v>2</v>
      </c>
      <c r="G80" s="5">
        <f t="shared" si="8"/>
        <v>3.2866335360061059</v>
      </c>
      <c r="H80" s="15">
        <f t="shared" si="9"/>
        <v>0.27566339022282499</v>
      </c>
      <c r="I80" s="15">
        <f t="shared" si="10"/>
        <v>0.67087552086586177</v>
      </c>
      <c r="J80" s="15">
        <f t="shared" si="11"/>
        <v>1.4227266900455255</v>
      </c>
      <c r="K80" s="16">
        <f t="shared" si="12"/>
        <v>0.27566339022282499</v>
      </c>
      <c r="S80" s="38">
        <v>5</v>
      </c>
      <c r="T80" s="39">
        <v>1.5</v>
      </c>
      <c r="U80" s="40">
        <v>2</v>
      </c>
    </row>
    <row r="81" spans="1:21" x14ac:dyDescent="0.25">
      <c r="A81" s="1">
        <v>5.7</v>
      </c>
      <c r="B81" s="1">
        <v>2.6</v>
      </c>
      <c r="C81" s="14">
        <v>3.5</v>
      </c>
      <c r="D81" s="16">
        <v>1</v>
      </c>
      <c r="E81" s="9" t="s">
        <v>6</v>
      </c>
      <c r="F81" s="23">
        <f t="shared" si="7"/>
        <v>3</v>
      </c>
      <c r="G81" s="5">
        <f t="shared" si="8"/>
        <v>2.1730071329841509</v>
      </c>
      <c r="H81" s="15">
        <f t="shared" si="9"/>
        <v>1.3925330155676685</v>
      </c>
      <c r="I81" s="15">
        <f t="shared" si="10"/>
        <v>0.44729628267742338</v>
      </c>
      <c r="J81" s="15">
        <f t="shared" si="11"/>
        <v>2.5406114992504167</v>
      </c>
      <c r="K81" s="16">
        <f t="shared" si="12"/>
        <v>0.44729628267742338</v>
      </c>
      <c r="S81" s="38">
        <v>4.9000000000000004</v>
      </c>
      <c r="T81" s="39">
        <v>2</v>
      </c>
      <c r="U81" s="40">
        <v>2</v>
      </c>
    </row>
    <row r="82" spans="1:21" x14ac:dyDescent="0.25">
      <c r="A82" s="1">
        <v>5.5</v>
      </c>
      <c r="B82" s="1">
        <v>2.4</v>
      </c>
      <c r="C82" s="14">
        <v>3.8</v>
      </c>
      <c r="D82" s="16">
        <v>1.1000000000000001</v>
      </c>
      <c r="E82" s="9" t="s">
        <v>6</v>
      </c>
      <c r="F82" s="23">
        <f t="shared" si="7"/>
        <v>3</v>
      </c>
      <c r="G82" s="5">
        <f t="shared" si="8"/>
        <v>2.4890881864650756</v>
      </c>
      <c r="H82" s="15">
        <f t="shared" si="9"/>
        <v>1.0793227844950717</v>
      </c>
      <c r="I82" s="15">
        <f t="shared" si="10"/>
        <v>0.13894147590914202</v>
      </c>
      <c r="J82" s="15">
        <f t="shared" si="11"/>
        <v>2.2274140739409272</v>
      </c>
      <c r="K82" s="16">
        <f t="shared" si="12"/>
        <v>0.13894147590914202</v>
      </c>
      <c r="S82" s="38">
        <v>4.9000000000000004</v>
      </c>
      <c r="T82" s="39">
        <v>1.8</v>
      </c>
      <c r="U82" s="40">
        <v>2</v>
      </c>
    </row>
    <row r="83" spans="1:21" x14ac:dyDescent="0.25">
      <c r="A83" s="1">
        <v>5.5</v>
      </c>
      <c r="B83" s="1">
        <v>2.4</v>
      </c>
      <c r="C83" s="14">
        <v>3.7</v>
      </c>
      <c r="D83" s="16">
        <v>1</v>
      </c>
      <c r="E83" s="9" t="s">
        <v>6</v>
      </c>
      <c r="F83" s="23">
        <f t="shared" si="7"/>
        <v>3</v>
      </c>
      <c r="G83" s="5">
        <f t="shared" si="8"/>
        <v>2.3616011517612367</v>
      </c>
      <c r="H83" s="15">
        <f t="shared" si="9"/>
        <v>1.2149034137367223</v>
      </c>
      <c r="I83" s="15">
        <f t="shared" si="10"/>
        <v>0.28024186510687488</v>
      </c>
      <c r="J83" s="15">
        <f t="shared" si="11"/>
        <v>2.3622578914417884</v>
      </c>
      <c r="K83" s="16">
        <f t="shared" si="12"/>
        <v>0.28024186510687488</v>
      </c>
      <c r="S83" s="38">
        <v>4.8</v>
      </c>
      <c r="T83" s="39">
        <v>1.8</v>
      </c>
      <c r="U83" s="40">
        <v>2</v>
      </c>
    </row>
    <row r="84" spans="1:21" x14ac:dyDescent="0.25">
      <c r="A84" s="1">
        <v>5.8</v>
      </c>
      <c r="B84" s="1">
        <v>2.7</v>
      </c>
      <c r="C84" s="14">
        <v>3.9</v>
      </c>
      <c r="D84" s="16">
        <v>1.2</v>
      </c>
      <c r="E84" s="9" t="s">
        <v>6</v>
      </c>
      <c r="F84" s="23">
        <f t="shared" si="7"/>
        <v>3</v>
      </c>
      <c r="G84" s="5">
        <f t="shared" si="8"/>
        <v>2.6180068754684354</v>
      </c>
      <c r="H84" s="15">
        <f t="shared" si="9"/>
        <v>0.94545493893217736</v>
      </c>
      <c r="I84" s="15">
        <f t="shared" si="10"/>
        <v>8.6002614519220394E-3</v>
      </c>
      <c r="J84" s="15">
        <f t="shared" si="11"/>
        <v>2.0934384557233177</v>
      </c>
      <c r="K84" s="16">
        <f t="shared" si="12"/>
        <v>8.6002614519220394E-3</v>
      </c>
      <c r="S84" s="38">
        <v>4.9000000000000004</v>
      </c>
      <c r="T84" s="39">
        <v>1.8</v>
      </c>
      <c r="U84" s="40">
        <v>2</v>
      </c>
    </row>
    <row r="85" spans="1:21" x14ac:dyDescent="0.25">
      <c r="A85" s="1">
        <v>6</v>
      </c>
      <c r="B85" s="1">
        <v>2.7</v>
      </c>
      <c r="C85" s="14">
        <v>5.0999999999999996</v>
      </c>
      <c r="D85" s="16">
        <v>1.6</v>
      </c>
      <c r="E85" s="9" t="s">
        <v>6</v>
      </c>
      <c r="F85" s="23">
        <f t="shared" si="7"/>
        <v>2</v>
      </c>
      <c r="G85" s="5">
        <f t="shared" si="8"/>
        <v>3.8817985522177727</v>
      </c>
      <c r="H85" s="15">
        <f t="shared" si="9"/>
        <v>0.34211538446566242</v>
      </c>
      <c r="I85" s="15">
        <f t="shared" si="10"/>
        <v>1.2637234829740711</v>
      </c>
      <c r="J85" s="15">
        <f t="shared" si="11"/>
        <v>0.85390352767036815</v>
      </c>
      <c r="K85" s="16">
        <f t="shared" si="12"/>
        <v>0.34211538446566242</v>
      </c>
      <c r="S85" s="38">
        <v>5.0999999999999996</v>
      </c>
      <c r="T85" s="39">
        <v>1.5</v>
      </c>
      <c r="U85" s="40">
        <v>2</v>
      </c>
    </row>
    <row r="86" spans="1:21" x14ac:dyDescent="0.25">
      <c r="A86" s="1">
        <v>5.4</v>
      </c>
      <c r="B86" s="1">
        <v>3</v>
      </c>
      <c r="C86" s="14">
        <v>4.5</v>
      </c>
      <c r="D86" s="16">
        <v>1.5</v>
      </c>
      <c r="E86" s="9" t="s">
        <v>6</v>
      </c>
      <c r="F86" s="23">
        <f t="shared" si="7"/>
        <v>2</v>
      </c>
      <c r="G86" s="5">
        <f t="shared" si="8"/>
        <v>3.2866335360061059</v>
      </c>
      <c r="H86" s="15">
        <f t="shared" si="9"/>
        <v>0.27566339022282499</v>
      </c>
      <c r="I86" s="15">
        <f t="shared" si="10"/>
        <v>0.67087552086586177</v>
      </c>
      <c r="J86" s="15">
        <f t="shared" si="11"/>
        <v>1.4227266900455255</v>
      </c>
      <c r="K86" s="16">
        <f t="shared" si="12"/>
        <v>0.27566339022282499</v>
      </c>
      <c r="S86" s="38">
        <v>4.8</v>
      </c>
      <c r="T86" s="39">
        <v>1.8</v>
      </c>
      <c r="U86" s="40">
        <v>2</v>
      </c>
    </row>
    <row r="87" spans="1:21" x14ac:dyDescent="0.25">
      <c r="A87" s="1">
        <v>6</v>
      </c>
      <c r="B87" s="1">
        <v>3.4</v>
      </c>
      <c r="C87" s="14">
        <v>4.5</v>
      </c>
      <c r="D87" s="16">
        <v>1.6</v>
      </c>
      <c r="E87" s="9" t="s">
        <v>6</v>
      </c>
      <c r="F87" s="23">
        <f t="shared" si="7"/>
        <v>2</v>
      </c>
      <c r="G87" s="5">
        <f t="shared" si="8"/>
        <v>3.3260727592763208</v>
      </c>
      <c r="H87" s="15">
        <f t="shared" si="9"/>
        <v>0.25790816291582408</v>
      </c>
      <c r="I87" s="15">
        <f t="shared" si="10"/>
        <v>0.72222740604016333</v>
      </c>
      <c r="J87" s="15">
        <f t="shared" si="11"/>
        <v>1.3829260890955923</v>
      </c>
      <c r="K87" s="16">
        <f t="shared" si="12"/>
        <v>0.25790816291582408</v>
      </c>
      <c r="S87" s="38">
        <v>5.0999999999999996</v>
      </c>
      <c r="T87" s="39">
        <v>1.9</v>
      </c>
      <c r="U87" s="40">
        <v>2</v>
      </c>
    </row>
    <row r="88" spans="1:21" x14ac:dyDescent="0.25">
      <c r="A88" s="1">
        <v>6.7</v>
      </c>
      <c r="B88" s="1">
        <v>3.1</v>
      </c>
      <c r="C88" s="14">
        <v>4.7</v>
      </c>
      <c r="D88" s="16">
        <v>1.5</v>
      </c>
      <c r="E88" s="9" t="s">
        <v>6</v>
      </c>
      <c r="F88" s="23">
        <f t="shared" si="7"/>
        <v>2</v>
      </c>
      <c r="G88" s="5">
        <f t="shared" si="8"/>
        <v>3.4723421490400397</v>
      </c>
      <c r="H88" s="15">
        <f t="shared" si="9"/>
        <v>0.1132802276317413</v>
      </c>
      <c r="I88" s="15">
        <f t="shared" si="10"/>
        <v>0.85354291219515155</v>
      </c>
      <c r="J88" s="15">
        <f t="shared" si="11"/>
        <v>1.2448721983093094</v>
      </c>
      <c r="K88" s="16">
        <f t="shared" si="12"/>
        <v>0.1132802276317413</v>
      </c>
      <c r="S88" s="38">
        <v>5</v>
      </c>
      <c r="T88" s="39">
        <v>1.9</v>
      </c>
      <c r="U88" s="40">
        <v>2</v>
      </c>
    </row>
    <row r="89" spans="1:21" x14ac:dyDescent="0.25">
      <c r="A89" s="1">
        <v>6.3</v>
      </c>
      <c r="B89" s="1">
        <v>2.2999999999999998</v>
      </c>
      <c r="C89" s="14">
        <v>4.4000000000000004</v>
      </c>
      <c r="D89" s="16">
        <v>1.3</v>
      </c>
      <c r="E89" s="9" t="s">
        <v>6</v>
      </c>
      <c r="F89" s="23">
        <f t="shared" si="7"/>
        <v>2</v>
      </c>
      <c r="G89" s="5">
        <f t="shared" si="8"/>
        <v>3.1213394560668983</v>
      </c>
      <c r="H89" s="15">
        <f t="shared" si="9"/>
        <v>0.46531346477252816</v>
      </c>
      <c r="I89" s="15">
        <f t="shared" si="10"/>
        <v>0.50770687624784994</v>
      </c>
      <c r="J89" s="15">
        <f t="shared" si="11"/>
        <v>1.6045892901685002</v>
      </c>
      <c r="K89" s="16">
        <f t="shared" si="12"/>
        <v>0.46531346477252816</v>
      </c>
      <c r="S89" s="38">
        <v>5.0999999999999996</v>
      </c>
      <c r="T89" s="39">
        <v>1.8</v>
      </c>
      <c r="U89" s="40">
        <v>2</v>
      </c>
    </row>
    <row r="90" spans="1:21" x14ac:dyDescent="0.25">
      <c r="A90" s="1">
        <v>5.6</v>
      </c>
      <c r="B90" s="1">
        <v>3</v>
      </c>
      <c r="C90" s="14">
        <v>4.0999999999999996</v>
      </c>
      <c r="D90" s="16">
        <v>1.3</v>
      </c>
      <c r="E90" s="9" t="s">
        <v>6</v>
      </c>
      <c r="F90" s="23">
        <f t="shared" si="7"/>
        <v>3</v>
      </c>
      <c r="G90" s="5">
        <f t="shared" si="8"/>
        <v>2.8407675019261953</v>
      </c>
      <c r="H90" s="15">
        <f t="shared" si="9"/>
        <v>0.72197885190902855</v>
      </c>
      <c r="I90" s="15">
        <f t="shared" si="10"/>
        <v>0.2237721262736744</v>
      </c>
      <c r="J90" s="15">
        <f t="shared" si="11"/>
        <v>1.8698592077453637</v>
      </c>
      <c r="K90" s="16">
        <f t="shared" si="12"/>
        <v>0.2237721262736744</v>
      </c>
      <c r="S90" s="38">
        <v>4</v>
      </c>
      <c r="T90" s="39">
        <v>1.3</v>
      </c>
      <c r="U90" s="40">
        <v>3</v>
      </c>
    </row>
    <row r="91" spans="1:21" x14ac:dyDescent="0.25">
      <c r="A91" s="1">
        <v>5.5</v>
      </c>
      <c r="B91" s="1">
        <v>2.5</v>
      </c>
      <c r="C91" s="14">
        <v>4</v>
      </c>
      <c r="D91" s="16">
        <v>1.3</v>
      </c>
      <c r="E91" s="9" t="s">
        <v>6</v>
      </c>
      <c r="F91" s="23">
        <f t="shared" si="7"/>
        <v>3</v>
      </c>
      <c r="G91" s="5">
        <f t="shared" si="8"/>
        <v>2.7481557452226024</v>
      </c>
      <c r="H91" s="15">
        <f t="shared" si="9"/>
        <v>0.81414520202006946</v>
      </c>
      <c r="I91" s="15">
        <f t="shared" si="10"/>
        <v>0.14437172599325732</v>
      </c>
      <c r="J91" s="15">
        <f t="shared" si="11"/>
        <v>1.9605090356875021</v>
      </c>
      <c r="K91" s="16">
        <f t="shared" si="12"/>
        <v>0.14437172599325732</v>
      </c>
      <c r="S91" s="38">
        <v>3.3</v>
      </c>
      <c r="T91" s="39">
        <v>1</v>
      </c>
      <c r="U91" s="40">
        <v>3</v>
      </c>
    </row>
    <row r="92" spans="1:21" x14ac:dyDescent="0.25">
      <c r="A92" s="1">
        <v>5.5</v>
      </c>
      <c r="B92" s="1">
        <v>2.6</v>
      </c>
      <c r="C92" s="14">
        <v>4.4000000000000004</v>
      </c>
      <c r="D92" s="16">
        <v>1.2</v>
      </c>
      <c r="E92" s="9" t="s">
        <v>6</v>
      </c>
      <c r="F92" s="23">
        <f t="shared" si="7"/>
        <v>3</v>
      </c>
      <c r="G92" s="5">
        <f t="shared" si="8"/>
        <v>3.0890063127161138</v>
      </c>
      <c r="H92" s="15">
        <f t="shared" si="9"/>
        <v>0.53478061362500895</v>
      </c>
      <c r="I92" s="15">
        <f t="shared" si="10"/>
        <v>0.49621347286312978</v>
      </c>
      <c r="J92" s="15">
        <f t="shared" si="11"/>
        <v>1.6572185905275496</v>
      </c>
      <c r="K92" s="16">
        <f t="shared" si="12"/>
        <v>0.49621347286312978</v>
      </c>
      <c r="S92" s="38">
        <v>3.9</v>
      </c>
      <c r="T92" s="39">
        <v>1.4</v>
      </c>
      <c r="U92" s="40">
        <v>3</v>
      </c>
    </row>
    <row r="93" spans="1:21" x14ac:dyDescent="0.25">
      <c r="A93" s="1">
        <v>6.1</v>
      </c>
      <c r="B93" s="1">
        <v>3</v>
      </c>
      <c r="C93" s="14">
        <v>4.5999999999999996</v>
      </c>
      <c r="D93" s="16">
        <v>1.4</v>
      </c>
      <c r="E93" s="9" t="s">
        <v>6</v>
      </c>
      <c r="F93" s="23">
        <f t="shared" si="7"/>
        <v>2</v>
      </c>
      <c r="G93" s="5">
        <f t="shared" si="8"/>
        <v>3.3434652682508901</v>
      </c>
      <c r="H93" s="15">
        <f t="shared" si="9"/>
        <v>0.25275490410919171</v>
      </c>
      <c r="I93" s="15">
        <f t="shared" si="10"/>
        <v>0.72647523852458218</v>
      </c>
      <c r="J93" s="15">
        <f t="shared" si="11"/>
        <v>1.3815193371836467</v>
      </c>
      <c r="K93" s="16">
        <f t="shared" si="12"/>
        <v>0.25275490410919171</v>
      </c>
      <c r="S93" s="38">
        <v>3.5</v>
      </c>
      <c r="T93" s="39">
        <v>1</v>
      </c>
      <c r="U93" s="40">
        <v>3</v>
      </c>
    </row>
    <row r="94" spans="1:21" x14ac:dyDescent="0.25">
      <c r="A94" s="1">
        <v>5.8</v>
      </c>
      <c r="B94" s="1">
        <v>2.6</v>
      </c>
      <c r="C94" s="14">
        <v>4</v>
      </c>
      <c r="D94" s="16">
        <v>1.2</v>
      </c>
      <c r="E94" s="9" t="s">
        <v>6</v>
      </c>
      <c r="F94" s="23">
        <f t="shared" si="7"/>
        <v>3</v>
      </c>
      <c r="G94" s="5">
        <f t="shared" si="8"/>
        <v>2.711376034414998</v>
      </c>
      <c r="H94" s="15">
        <f t="shared" si="9"/>
        <v>0.85574884994537148</v>
      </c>
      <c r="I94" s="15">
        <f t="shared" si="10"/>
        <v>9.646104772295741E-2</v>
      </c>
      <c r="J94" s="15">
        <f t="shared" si="11"/>
        <v>2.0038119536720522</v>
      </c>
      <c r="K94" s="16">
        <f t="shared" si="12"/>
        <v>9.646104772295741E-2</v>
      </c>
      <c r="S94" s="38">
        <v>4.2</v>
      </c>
      <c r="T94" s="39">
        <v>1.5</v>
      </c>
      <c r="U94" s="40">
        <v>3</v>
      </c>
    </row>
    <row r="95" spans="1:21" x14ac:dyDescent="0.25">
      <c r="A95" s="1">
        <v>5</v>
      </c>
      <c r="B95" s="1">
        <v>2.2999999999999998</v>
      </c>
      <c r="C95" s="14">
        <v>3.3</v>
      </c>
      <c r="D95" s="16">
        <v>1</v>
      </c>
      <c r="E95" s="9" t="s">
        <v>6</v>
      </c>
      <c r="F95" s="23">
        <f t="shared" si="7"/>
        <v>3</v>
      </c>
      <c r="G95" s="5">
        <f t="shared" si="8"/>
        <v>1.9866454137565663</v>
      </c>
      <c r="H95" s="15">
        <f t="shared" si="9"/>
        <v>1.5755335903060992</v>
      </c>
      <c r="I95" s="15">
        <f t="shared" si="10"/>
        <v>0.63372898468943573</v>
      </c>
      <c r="J95" s="15">
        <f t="shared" si="11"/>
        <v>2.7219756124124062</v>
      </c>
      <c r="K95" s="16">
        <f t="shared" si="12"/>
        <v>0.63372898468943573</v>
      </c>
      <c r="S95" s="38">
        <v>4</v>
      </c>
      <c r="T95" s="39">
        <v>1</v>
      </c>
      <c r="U95" s="40">
        <v>3</v>
      </c>
    </row>
    <row r="96" spans="1:21" x14ac:dyDescent="0.25">
      <c r="A96" s="1">
        <v>5.6</v>
      </c>
      <c r="B96" s="1">
        <v>2.7</v>
      </c>
      <c r="C96" s="14">
        <v>4.2</v>
      </c>
      <c r="D96" s="16">
        <v>1.3</v>
      </c>
      <c r="E96" s="9" t="s">
        <v>6</v>
      </c>
      <c r="F96" s="23">
        <f t="shared" si="7"/>
        <v>3</v>
      </c>
      <c r="G96" s="5">
        <f t="shared" si="8"/>
        <v>2.9338643458755893</v>
      </c>
      <c r="H96" s="15">
        <f t="shared" si="9"/>
        <v>0.63219816136671669</v>
      </c>
      <c r="I96" s="15">
        <f t="shared" si="10"/>
        <v>0.3151265360578363</v>
      </c>
      <c r="J96" s="15">
        <f t="shared" si="11"/>
        <v>1.7802110084391387</v>
      </c>
      <c r="K96" s="16">
        <f t="shared" si="12"/>
        <v>0.3151265360578363</v>
      </c>
      <c r="S96" s="38">
        <v>3.6</v>
      </c>
      <c r="T96" s="39">
        <v>1.3</v>
      </c>
      <c r="U96" s="40">
        <v>3</v>
      </c>
    </row>
    <row r="97" spans="1:21" x14ac:dyDescent="0.25">
      <c r="A97" s="1">
        <v>5.7</v>
      </c>
      <c r="B97" s="1">
        <v>3</v>
      </c>
      <c r="C97" s="14">
        <v>4.2</v>
      </c>
      <c r="D97" s="16">
        <v>1.2</v>
      </c>
      <c r="E97" s="9" t="s">
        <v>6</v>
      </c>
      <c r="F97" s="23">
        <f t="shared" si="7"/>
        <v>3</v>
      </c>
      <c r="G97" s="5">
        <f t="shared" si="8"/>
        <v>2.8994413254970346</v>
      </c>
      <c r="H97" s="15">
        <f t="shared" si="9"/>
        <v>0.68494393890739957</v>
      </c>
      <c r="I97" s="15">
        <f t="shared" si="10"/>
        <v>0.29625372941002664</v>
      </c>
      <c r="J97" s="15">
        <f t="shared" si="11"/>
        <v>1.8277904423742242</v>
      </c>
      <c r="K97" s="16">
        <f t="shared" si="12"/>
        <v>0.29625372941002664</v>
      </c>
      <c r="S97" s="38">
        <v>4.0999999999999996</v>
      </c>
      <c r="T97" s="39">
        <v>1</v>
      </c>
      <c r="U97" s="40">
        <v>3</v>
      </c>
    </row>
    <row r="98" spans="1:21" x14ac:dyDescent="0.25">
      <c r="A98" s="1">
        <v>5.7</v>
      </c>
      <c r="B98" s="1">
        <v>2.9</v>
      </c>
      <c r="C98" s="14">
        <v>4.2</v>
      </c>
      <c r="D98" s="16">
        <v>1.3</v>
      </c>
      <c r="E98" s="9" t="s">
        <v>6</v>
      </c>
      <c r="F98" s="23">
        <f t="shared" si="7"/>
        <v>3</v>
      </c>
      <c r="G98" s="5">
        <f t="shared" si="8"/>
        <v>2.9338643458755893</v>
      </c>
      <c r="H98" s="15">
        <f t="shared" si="9"/>
        <v>0.63219816136671669</v>
      </c>
      <c r="I98" s="15">
        <f t="shared" si="10"/>
        <v>0.3151265360578363</v>
      </c>
      <c r="J98" s="15">
        <f t="shared" si="11"/>
        <v>1.7802110084391387</v>
      </c>
      <c r="K98" s="16">
        <f t="shared" si="12"/>
        <v>0.3151265360578363</v>
      </c>
      <c r="S98" s="38">
        <v>3.9</v>
      </c>
      <c r="T98" s="39">
        <v>1.1000000000000001</v>
      </c>
      <c r="U98" s="40">
        <v>3</v>
      </c>
    </row>
    <row r="99" spans="1:21" x14ac:dyDescent="0.25">
      <c r="A99" s="1">
        <v>6.2</v>
      </c>
      <c r="B99" s="1">
        <v>2.9</v>
      </c>
      <c r="C99" s="14">
        <v>4.3</v>
      </c>
      <c r="D99" s="16">
        <v>1.3</v>
      </c>
      <c r="E99" s="9" t="s">
        <v>6</v>
      </c>
      <c r="F99" s="23">
        <f t="shared" si="7"/>
        <v>3</v>
      </c>
      <c r="G99" s="5">
        <f t="shared" si="8"/>
        <v>3.0274015260615821</v>
      </c>
      <c r="H99" s="15">
        <f t="shared" si="9"/>
        <v>0.54598128893491982</v>
      </c>
      <c r="I99" s="15">
        <f t="shared" si="10"/>
        <v>0.41053075762795138</v>
      </c>
      <c r="J99" s="15">
        <f t="shared" si="11"/>
        <v>1.6917236808491138</v>
      </c>
      <c r="K99" s="16">
        <f t="shared" si="12"/>
        <v>0.41053075762795138</v>
      </c>
      <c r="S99" s="38">
        <v>4</v>
      </c>
      <c r="T99" s="39">
        <v>1.3</v>
      </c>
      <c r="U99" s="40">
        <v>3</v>
      </c>
    </row>
    <row r="100" spans="1:21" x14ac:dyDescent="0.25">
      <c r="A100" s="1">
        <v>5.0999999999999996</v>
      </c>
      <c r="B100" s="1">
        <v>2.5</v>
      </c>
      <c r="C100" s="14">
        <v>3</v>
      </c>
      <c r="D100" s="16">
        <v>1.1000000000000001</v>
      </c>
      <c r="E100" s="9" t="s">
        <v>6</v>
      </c>
      <c r="F100" s="23">
        <f t="shared" si="7"/>
        <v>3</v>
      </c>
      <c r="G100" s="5">
        <f t="shared" si="8"/>
        <v>1.7591929968027953</v>
      </c>
      <c r="H100" s="15">
        <f t="shared" si="9"/>
        <v>1.8269015441663965</v>
      </c>
      <c r="I100" s="15">
        <f t="shared" si="10"/>
        <v>0.90854751107559406</v>
      </c>
      <c r="J100" s="15">
        <f t="shared" si="11"/>
        <v>2.9629632523147991</v>
      </c>
      <c r="K100" s="16">
        <f t="shared" si="12"/>
        <v>0.90854751107559406</v>
      </c>
      <c r="S100" s="38">
        <v>4.3</v>
      </c>
      <c r="T100" s="39">
        <v>1.3</v>
      </c>
      <c r="U100" s="40">
        <v>3</v>
      </c>
    </row>
    <row r="101" spans="1:21" x14ac:dyDescent="0.25">
      <c r="A101" s="1">
        <v>5.7</v>
      </c>
      <c r="B101" s="1">
        <v>2.8</v>
      </c>
      <c r="C101" s="14">
        <v>4.0999999999999996</v>
      </c>
      <c r="D101" s="16">
        <v>1.3</v>
      </c>
      <c r="E101" s="9" t="s">
        <v>6</v>
      </c>
      <c r="F101" s="23">
        <f t="shared" si="7"/>
        <v>3</v>
      </c>
      <c r="G101" s="5">
        <f t="shared" si="8"/>
        <v>2.8407675019261953</v>
      </c>
      <c r="H101" s="15">
        <f t="shared" si="9"/>
        <v>0.72197885190902855</v>
      </c>
      <c r="I101" s="15">
        <f t="shared" si="10"/>
        <v>0.2237721262736744</v>
      </c>
      <c r="J101" s="15">
        <f t="shared" si="11"/>
        <v>1.8698592077453637</v>
      </c>
      <c r="K101" s="16">
        <f t="shared" si="12"/>
        <v>0.2237721262736744</v>
      </c>
      <c r="S101" s="38">
        <v>3.5</v>
      </c>
      <c r="T101" s="39">
        <v>1</v>
      </c>
      <c r="U101" s="40">
        <v>3</v>
      </c>
    </row>
    <row r="102" spans="1:21" x14ac:dyDescent="0.25">
      <c r="A102" s="1">
        <v>6.3</v>
      </c>
      <c r="B102" s="1">
        <v>3.3</v>
      </c>
      <c r="C102" s="14">
        <v>6</v>
      </c>
      <c r="D102" s="16">
        <v>2.5</v>
      </c>
      <c r="E102" s="9" t="s">
        <v>7</v>
      </c>
      <c r="F102" s="23">
        <f t="shared" si="7"/>
        <v>4</v>
      </c>
      <c r="G102" s="5">
        <f t="shared" si="8"/>
        <v>5.0669477992179868</v>
      </c>
      <c r="H102" s="15">
        <f t="shared" si="9"/>
        <v>1.5354378046920565</v>
      </c>
      <c r="I102" s="15">
        <f t="shared" si="10"/>
        <v>2.4706112843470938</v>
      </c>
      <c r="J102" s="15">
        <f t="shared" si="11"/>
        <v>0.44626363796292229</v>
      </c>
      <c r="K102" s="16">
        <f t="shared" si="12"/>
        <v>0.44626363796292229</v>
      </c>
      <c r="S102" s="38">
        <v>3.8</v>
      </c>
      <c r="T102" s="39">
        <v>1.1000000000000001</v>
      </c>
      <c r="U102" s="40">
        <v>3</v>
      </c>
    </row>
    <row r="103" spans="1:21" x14ac:dyDescent="0.25">
      <c r="A103" s="1">
        <v>5.8</v>
      </c>
      <c r="B103" s="1">
        <v>2.7</v>
      </c>
      <c r="C103" s="14">
        <v>5.0999999999999996</v>
      </c>
      <c r="D103" s="16">
        <v>1.9</v>
      </c>
      <c r="E103" s="9" t="s">
        <v>7</v>
      </c>
      <c r="F103" s="23">
        <f t="shared" si="7"/>
        <v>2</v>
      </c>
      <c r="G103" s="5">
        <f t="shared" si="8"/>
        <v>3.9963433285942784</v>
      </c>
      <c r="H103" s="15">
        <f t="shared" si="9"/>
        <v>0.45675144625552011</v>
      </c>
      <c r="I103" s="15">
        <f t="shared" si="10"/>
        <v>1.389824602615561</v>
      </c>
      <c r="J103" s="15">
        <f t="shared" si="11"/>
        <v>0.7170433979668871</v>
      </c>
      <c r="K103" s="16">
        <f t="shared" si="12"/>
        <v>0.45675144625552011</v>
      </c>
      <c r="S103" s="38">
        <v>3.7</v>
      </c>
      <c r="T103" s="39">
        <v>1</v>
      </c>
      <c r="U103" s="40">
        <v>3</v>
      </c>
    </row>
    <row r="104" spans="1:21" x14ac:dyDescent="0.25">
      <c r="A104" s="1">
        <v>7.1</v>
      </c>
      <c r="B104" s="1">
        <v>3</v>
      </c>
      <c r="C104" s="14">
        <v>5.9</v>
      </c>
      <c r="D104" s="16">
        <v>2.1</v>
      </c>
      <c r="E104" s="9" t="s">
        <v>7</v>
      </c>
      <c r="F104" s="23">
        <f t="shared" si="7"/>
        <v>4</v>
      </c>
      <c r="G104" s="5">
        <f t="shared" si="8"/>
        <v>4.8096943769848828</v>
      </c>
      <c r="H104" s="15">
        <f t="shared" si="9"/>
        <v>1.2478152652889325</v>
      </c>
      <c r="I104" s="15">
        <f t="shared" si="10"/>
        <v>2.1928373179418901</v>
      </c>
      <c r="J104" s="15">
        <f t="shared" si="11"/>
        <v>0.11419335995052658</v>
      </c>
      <c r="K104" s="16">
        <f t="shared" si="12"/>
        <v>0.11419335995052658</v>
      </c>
      <c r="S104" s="38">
        <v>3.9</v>
      </c>
      <c r="T104" s="39">
        <v>1.2</v>
      </c>
      <c r="U104" s="40">
        <v>3</v>
      </c>
    </row>
    <row r="105" spans="1:21" x14ac:dyDescent="0.25">
      <c r="A105" s="1">
        <v>6.3</v>
      </c>
      <c r="B105" s="1">
        <v>2.9</v>
      </c>
      <c r="C105" s="14">
        <v>5.6</v>
      </c>
      <c r="D105" s="16">
        <v>1.8</v>
      </c>
      <c r="E105" s="9" t="s">
        <v>7</v>
      </c>
      <c r="F105" s="23">
        <f t="shared" si="7"/>
        <v>4</v>
      </c>
      <c r="G105" s="5">
        <f t="shared" si="8"/>
        <v>4.4201764670655406</v>
      </c>
      <c r="H105" s="15">
        <f t="shared" si="9"/>
        <v>0.86614134586967351</v>
      </c>
      <c r="I105" s="15">
        <f t="shared" si="10"/>
        <v>1.8017291168904628</v>
      </c>
      <c r="J105" s="15">
        <f t="shared" si="11"/>
        <v>0.36014828907473118</v>
      </c>
      <c r="K105" s="16">
        <f t="shared" si="12"/>
        <v>0.36014828907473118</v>
      </c>
      <c r="S105" s="38">
        <v>4.0999999999999996</v>
      </c>
      <c r="T105" s="39">
        <v>1.3</v>
      </c>
      <c r="U105" s="40">
        <v>3</v>
      </c>
    </row>
    <row r="106" spans="1:21" x14ac:dyDescent="0.25">
      <c r="A106" s="1">
        <v>6.5</v>
      </c>
      <c r="B106" s="1">
        <v>3</v>
      </c>
      <c r="C106" s="14">
        <v>5.8</v>
      </c>
      <c r="D106" s="16">
        <v>2.2000000000000002</v>
      </c>
      <c r="E106" s="9" t="s">
        <v>7</v>
      </c>
      <c r="F106" s="23">
        <f t="shared" si="7"/>
        <v>4</v>
      </c>
      <c r="G106" s="5">
        <f t="shared" si="8"/>
        <v>4.7577683844424365</v>
      </c>
      <c r="H106" s="15">
        <f t="shared" si="9"/>
        <v>1.2038057149914112</v>
      </c>
      <c r="I106" s="15">
        <f t="shared" si="10"/>
        <v>2.1472874039742029</v>
      </c>
      <c r="J106" s="15">
        <f t="shared" si="11"/>
        <v>9.271288482377095E-2</v>
      </c>
      <c r="K106" s="16">
        <f t="shared" si="12"/>
        <v>9.271288482377095E-2</v>
      </c>
      <c r="S106" s="38">
        <v>4</v>
      </c>
      <c r="T106" s="39">
        <v>1.3</v>
      </c>
      <c r="U106" s="40">
        <v>3</v>
      </c>
    </row>
    <row r="107" spans="1:21" x14ac:dyDescent="0.25">
      <c r="A107" s="1">
        <v>7.6</v>
      </c>
      <c r="B107" s="1">
        <v>3</v>
      </c>
      <c r="C107" s="14">
        <v>6.6</v>
      </c>
      <c r="D107" s="16">
        <v>2.1</v>
      </c>
      <c r="E107" s="9" t="s">
        <v>7</v>
      </c>
      <c r="F107" s="23">
        <f t="shared" si="7"/>
        <v>4</v>
      </c>
      <c r="G107" s="5">
        <f t="shared" si="8"/>
        <v>5.462266928666156</v>
      </c>
      <c r="H107" s="15">
        <f t="shared" si="9"/>
        <v>1.9094476438774484</v>
      </c>
      <c r="I107" s="15">
        <f t="shared" si="10"/>
        <v>2.844846373281686</v>
      </c>
      <c r="J107" s="15">
        <f t="shared" si="11"/>
        <v>0.81393154988686633</v>
      </c>
      <c r="K107" s="16">
        <f t="shared" si="12"/>
        <v>0.81393154988686633</v>
      </c>
      <c r="S107" s="38">
        <v>4.4000000000000004</v>
      </c>
      <c r="T107" s="39">
        <v>1.2</v>
      </c>
      <c r="U107" s="40">
        <v>3</v>
      </c>
    </row>
    <row r="108" spans="1:21" x14ac:dyDescent="0.25">
      <c r="A108" s="1">
        <v>4.9000000000000004</v>
      </c>
      <c r="B108" s="1">
        <v>2.5</v>
      </c>
      <c r="C108" s="14">
        <v>4.5</v>
      </c>
      <c r="D108" s="16">
        <v>1.7</v>
      </c>
      <c r="E108" s="9" t="s">
        <v>7</v>
      </c>
      <c r="F108" s="23">
        <f t="shared" si="7"/>
        <v>2</v>
      </c>
      <c r="G108" s="5">
        <f t="shared" si="8"/>
        <v>3.3680201899632367</v>
      </c>
      <c r="H108" s="15">
        <f t="shared" si="9"/>
        <v>0.27756609354906631</v>
      </c>
      <c r="I108" s="15">
        <f t="shared" si="10"/>
        <v>0.78303951852634135</v>
      </c>
      <c r="J108" s="15">
        <f t="shared" si="11"/>
        <v>1.3493768566395985</v>
      </c>
      <c r="K108" s="16">
        <f t="shared" si="12"/>
        <v>0.27756609354906631</v>
      </c>
      <c r="S108" s="38">
        <v>4</v>
      </c>
      <c r="T108" s="39">
        <v>1.2</v>
      </c>
      <c r="U108" s="40">
        <v>3</v>
      </c>
    </row>
    <row r="109" spans="1:21" x14ac:dyDescent="0.25">
      <c r="A109" s="1">
        <v>7.3</v>
      </c>
      <c r="B109" s="1">
        <v>2.9</v>
      </c>
      <c r="C109" s="14">
        <v>6.3</v>
      </c>
      <c r="D109" s="16">
        <v>1.8</v>
      </c>
      <c r="E109" s="9" t="s">
        <v>7</v>
      </c>
      <c r="F109" s="23">
        <f t="shared" si="7"/>
        <v>4</v>
      </c>
      <c r="G109" s="5">
        <f t="shared" si="8"/>
        <v>5.081452548238544</v>
      </c>
      <c r="H109" s="15">
        <f t="shared" si="9"/>
        <v>1.5553611154474647</v>
      </c>
      <c r="I109" s="15">
        <f t="shared" si="10"/>
        <v>2.4720119731235672</v>
      </c>
      <c r="J109" s="15">
        <f t="shared" si="11"/>
        <v>0.59929227808132346</v>
      </c>
      <c r="K109" s="16">
        <f t="shared" si="12"/>
        <v>0.59929227808132346</v>
      </c>
      <c r="S109" s="38">
        <v>3.3</v>
      </c>
      <c r="T109" s="39">
        <v>1</v>
      </c>
      <c r="U109" s="40">
        <v>3</v>
      </c>
    </row>
    <row r="110" spans="1:21" x14ac:dyDescent="0.25">
      <c r="A110" s="1">
        <v>6.7</v>
      </c>
      <c r="B110" s="1">
        <v>2.5</v>
      </c>
      <c r="C110" s="14">
        <v>5.8</v>
      </c>
      <c r="D110" s="16">
        <v>1.8</v>
      </c>
      <c r="E110" s="9" t="s">
        <v>7</v>
      </c>
      <c r="F110" s="23">
        <f t="shared" si="7"/>
        <v>4</v>
      </c>
      <c r="G110" s="5">
        <f t="shared" si="8"/>
        <v>4.607945312175481</v>
      </c>
      <c r="H110" s="15">
        <f t="shared" si="9"/>
        <v>1.0616227843674453</v>
      </c>
      <c r="I110" s="15">
        <f t="shared" si="10"/>
        <v>1.9911527689035882</v>
      </c>
      <c r="J110" s="15">
        <f t="shared" si="11"/>
        <v>0.30864598762824069</v>
      </c>
      <c r="K110" s="16">
        <f t="shared" si="12"/>
        <v>0.30864598762824069</v>
      </c>
      <c r="S110" s="38">
        <v>4.2</v>
      </c>
      <c r="T110" s="39">
        <v>1.3</v>
      </c>
      <c r="U110" s="40">
        <v>3</v>
      </c>
    </row>
    <row r="111" spans="1:21" x14ac:dyDescent="0.25">
      <c r="A111" s="1">
        <v>7.2</v>
      </c>
      <c r="B111" s="1">
        <v>3.6</v>
      </c>
      <c r="C111" s="14">
        <v>6.1</v>
      </c>
      <c r="D111" s="16">
        <v>2.5</v>
      </c>
      <c r="E111" s="9" t="s">
        <v>7</v>
      </c>
      <c r="F111" s="23">
        <f t="shared" si="7"/>
        <v>4</v>
      </c>
      <c r="G111" s="5">
        <f t="shared" si="8"/>
        <v>5.1567004954718865</v>
      </c>
      <c r="H111" s="15">
        <f t="shared" si="9"/>
        <v>1.6174023323555398</v>
      </c>
      <c r="I111" s="15">
        <f t="shared" si="10"/>
        <v>2.5560029122780676</v>
      </c>
      <c r="J111" s="15">
        <f t="shared" si="11"/>
        <v>0.50192530554424131</v>
      </c>
      <c r="K111" s="16">
        <f t="shared" si="12"/>
        <v>0.50192530554424131</v>
      </c>
      <c r="S111" s="38">
        <v>4.2</v>
      </c>
      <c r="T111" s="39">
        <v>1.2</v>
      </c>
      <c r="U111" s="40">
        <v>3</v>
      </c>
    </row>
    <row r="112" spans="1:21" x14ac:dyDescent="0.25">
      <c r="A112" s="1">
        <v>6.5</v>
      </c>
      <c r="B112" s="1">
        <v>3.2</v>
      </c>
      <c r="C112" s="14">
        <v>5.0999999999999996</v>
      </c>
      <c r="D112" s="16">
        <v>2</v>
      </c>
      <c r="E112" s="9" t="s">
        <v>7</v>
      </c>
      <c r="F112" s="23">
        <f t="shared" si="7"/>
        <v>2</v>
      </c>
      <c r="G112" s="5">
        <f t="shared" si="8"/>
        <v>4.0387572345958098</v>
      </c>
      <c r="H112" s="15">
        <f t="shared" si="9"/>
        <v>0.52834477327402707</v>
      </c>
      <c r="I112" s="15">
        <f t="shared" si="10"/>
        <v>1.4433124705253411</v>
      </c>
      <c r="J112" s="15">
        <f t="shared" si="11"/>
        <v>0.69461109111590846</v>
      </c>
      <c r="K112" s="16">
        <f t="shared" si="12"/>
        <v>0.52834477327402707</v>
      </c>
      <c r="S112" s="38">
        <v>4.2</v>
      </c>
      <c r="T112" s="39">
        <v>1.3</v>
      </c>
      <c r="U112" s="40">
        <v>3</v>
      </c>
    </row>
    <row r="113" spans="1:21" x14ac:dyDescent="0.25">
      <c r="A113" s="1">
        <v>6.4</v>
      </c>
      <c r="B113" s="1">
        <v>2.7</v>
      </c>
      <c r="C113" s="14">
        <v>5.3</v>
      </c>
      <c r="D113" s="16">
        <v>1.9</v>
      </c>
      <c r="E113" s="9" t="s">
        <v>7</v>
      </c>
      <c r="F113" s="23">
        <f t="shared" si="7"/>
        <v>4</v>
      </c>
      <c r="G113" s="5">
        <f t="shared" si="8"/>
        <v>4.1792295940759221</v>
      </c>
      <c r="H113" s="15">
        <f t="shared" si="9"/>
        <v>0.62085746264313113</v>
      </c>
      <c r="I113" s="15">
        <f t="shared" si="10"/>
        <v>1.5652712111634333</v>
      </c>
      <c r="J113" s="15">
        <f t="shared" si="11"/>
        <v>0.528873132351659</v>
      </c>
      <c r="K113" s="16">
        <f t="shared" si="12"/>
        <v>0.528873132351659</v>
      </c>
      <c r="S113" s="38">
        <v>4.3</v>
      </c>
      <c r="T113" s="39">
        <v>1.3</v>
      </c>
      <c r="U113" s="40">
        <v>3</v>
      </c>
    </row>
    <row r="114" spans="1:21" x14ac:dyDescent="0.25">
      <c r="A114" s="1">
        <v>6.8</v>
      </c>
      <c r="B114" s="1">
        <v>3</v>
      </c>
      <c r="C114" s="14">
        <v>5.5</v>
      </c>
      <c r="D114" s="16">
        <v>2.1</v>
      </c>
      <c r="E114" s="9" t="s">
        <v>7</v>
      </c>
      <c r="F114" s="23">
        <f t="shared" si="7"/>
        <v>4</v>
      </c>
      <c r="G114" s="5">
        <f t="shared" si="8"/>
        <v>4.4432825703526895</v>
      </c>
      <c r="H114" s="15">
        <f t="shared" si="9"/>
        <v>0.89630280918993699</v>
      </c>
      <c r="I114" s="15">
        <f t="shared" si="10"/>
        <v>1.8361950947640349</v>
      </c>
      <c r="J114" s="15">
        <f t="shared" si="11"/>
        <v>0.28623244460696307</v>
      </c>
      <c r="K114" s="16">
        <f t="shared" si="12"/>
        <v>0.28623244460696307</v>
      </c>
      <c r="S114" s="38">
        <v>3</v>
      </c>
      <c r="T114" s="39">
        <v>1.1000000000000001</v>
      </c>
      <c r="U114" s="40">
        <v>3</v>
      </c>
    </row>
    <row r="115" spans="1:21" x14ac:dyDescent="0.25">
      <c r="A115" s="1">
        <v>5.7</v>
      </c>
      <c r="B115" s="1">
        <v>2.5</v>
      </c>
      <c r="C115" s="14">
        <v>5</v>
      </c>
      <c r="D115" s="16">
        <v>2</v>
      </c>
      <c r="E115" s="9" t="s">
        <v>7</v>
      </c>
      <c r="F115" s="23">
        <f t="shared" si="7"/>
        <v>2</v>
      </c>
      <c r="G115" s="5">
        <f t="shared" si="8"/>
        <v>3.9489188393786976</v>
      </c>
      <c r="H115" s="15">
        <f t="shared" si="9"/>
        <v>0.46981607764571504</v>
      </c>
      <c r="I115" s="15">
        <f t="shared" si="10"/>
        <v>1.36158735244684</v>
      </c>
      <c r="J115" s="15">
        <f t="shared" si="11"/>
        <v>0.79354066696260406</v>
      </c>
      <c r="K115" s="16">
        <f t="shared" si="12"/>
        <v>0.46981607764571504</v>
      </c>
      <c r="S115" s="38">
        <v>4.0999999999999996</v>
      </c>
      <c r="T115" s="39">
        <v>1.3</v>
      </c>
      <c r="U115" s="40">
        <v>3</v>
      </c>
    </row>
    <row r="116" spans="1:21" x14ac:dyDescent="0.25">
      <c r="A116" s="1">
        <v>5.8</v>
      </c>
      <c r="B116" s="1">
        <v>2.8</v>
      </c>
      <c r="C116" s="14">
        <v>5.0999999999999996</v>
      </c>
      <c r="D116" s="16">
        <v>2.4</v>
      </c>
      <c r="E116" s="9" t="s">
        <v>7</v>
      </c>
      <c r="F116" s="23">
        <f t="shared" si="7"/>
        <v>4</v>
      </c>
      <c r="G116" s="5">
        <f t="shared" si="8"/>
        <v>4.22785524823166</v>
      </c>
      <c r="H116" s="15">
        <f t="shared" si="9"/>
        <v>0.8724984026368634</v>
      </c>
      <c r="I116" s="15">
        <f t="shared" si="10"/>
        <v>1.6997954976195839</v>
      </c>
      <c r="J116" s="15">
        <f t="shared" si="11"/>
        <v>0.74553195856017229</v>
      </c>
      <c r="K116" s="16">
        <f t="shared" si="12"/>
        <v>0.74553195856017229</v>
      </c>
      <c r="S116" s="38">
        <v>6</v>
      </c>
      <c r="T116" s="39">
        <v>2.5</v>
      </c>
      <c r="U116" s="40">
        <v>4</v>
      </c>
    </row>
    <row r="117" spans="1:21" x14ac:dyDescent="0.25">
      <c r="A117" s="1">
        <v>6.4</v>
      </c>
      <c r="B117" s="1">
        <v>3.2</v>
      </c>
      <c r="C117" s="14">
        <v>5.3</v>
      </c>
      <c r="D117" s="16">
        <v>2.2999999999999998</v>
      </c>
      <c r="E117" s="9" t="s">
        <v>7</v>
      </c>
      <c r="F117" s="23">
        <f t="shared" si="7"/>
        <v>4</v>
      </c>
      <c r="G117" s="5">
        <f t="shared" si="8"/>
        <v>4.3530632892251857</v>
      </c>
      <c r="H117" s="15">
        <f t="shared" si="9"/>
        <v>0.88745098573248649</v>
      </c>
      <c r="I117" s="15">
        <f t="shared" si="10"/>
        <v>1.7821974667951042</v>
      </c>
      <c r="J117" s="15">
        <f t="shared" si="11"/>
        <v>0.52253241378577553</v>
      </c>
      <c r="K117" s="16">
        <f t="shared" si="12"/>
        <v>0.52253241378577553</v>
      </c>
      <c r="S117" s="38">
        <v>5.9</v>
      </c>
      <c r="T117" s="39">
        <v>2.1</v>
      </c>
      <c r="U117" s="40">
        <v>4</v>
      </c>
    </row>
    <row r="118" spans="1:21" x14ac:dyDescent="0.25">
      <c r="A118" s="1">
        <v>6.5</v>
      </c>
      <c r="B118" s="1">
        <v>3</v>
      </c>
      <c r="C118" s="14">
        <v>5.5</v>
      </c>
      <c r="D118" s="16">
        <v>1.8</v>
      </c>
      <c r="E118" s="9" t="s">
        <v>7</v>
      </c>
      <c r="F118" s="23">
        <f t="shared" si="7"/>
        <v>4</v>
      </c>
      <c r="G118" s="5">
        <f t="shared" si="8"/>
        <v>4.3267031328714944</v>
      </c>
      <c r="H118" s="15">
        <f t="shared" si="9"/>
        <v>0.76927223945320633</v>
      </c>
      <c r="I118" s="15">
        <f t="shared" si="10"/>
        <v>1.7079218487448768</v>
      </c>
      <c r="J118" s="15">
        <f t="shared" si="11"/>
        <v>0.42062930514370717</v>
      </c>
      <c r="K118" s="16">
        <f t="shared" si="12"/>
        <v>0.42062930514370717</v>
      </c>
      <c r="S118" s="38">
        <v>5.6</v>
      </c>
      <c r="T118" s="39">
        <v>1.8</v>
      </c>
      <c r="U118" s="40">
        <v>4</v>
      </c>
    </row>
    <row r="119" spans="1:21" x14ac:dyDescent="0.25">
      <c r="A119" s="1">
        <v>7.7</v>
      </c>
      <c r="B119" s="1">
        <v>3.8</v>
      </c>
      <c r="C119" s="14">
        <v>6.7</v>
      </c>
      <c r="D119" s="16">
        <v>2.2000000000000002</v>
      </c>
      <c r="E119" s="9" t="s">
        <v>7</v>
      </c>
      <c r="F119" s="23">
        <f t="shared" si="7"/>
        <v>4</v>
      </c>
      <c r="G119" s="5">
        <f t="shared" si="8"/>
        <v>5.5905956748811656</v>
      </c>
      <c r="H119" s="15">
        <f t="shared" si="9"/>
        <v>2.0334546154586763</v>
      </c>
      <c r="I119" s="15">
        <f t="shared" si="10"/>
        <v>2.9721911308566948</v>
      </c>
      <c r="J119" s="15">
        <f t="shared" si="11"/>
        <v>0.91847464799652945</v>
      </c>
      <c r="K119" s="16">
        <f t="shared" si="12"/>
        <v>0.91847464799652945</v>
      </c>
      <c r="S119" s="38">
        <v>5.8</v>
      </c>
      <c r="T119" s="39">
        <v>2.2000000000000002</v>
      </c>
      <c r="U119" s="40">
        <v>4</v>
      </c>
    </row>
    <row r="120" spans="1:21" x14ac:dyDescent="0.25">
      <c r="A120" s="1">
        <v>7.7</v>
      </c>
      <c r="B120" s="1">
        <v>2.6</v>
      </c>
      <c r="C120" s="14">
        <v>6.9</v>
      </c>
      <c r="D120" s="16">
        <v>2.2999999999999998</v>
      </c>
      <c r="E120" s="9" t="s">
        <v>7</v>
      </c>
      <c r="F120" s="23">
        <f t="shared" si="7"/>
        <v>4</v>
      </c>
      <c r="G120" s="5">
        <f t="shared" si="8"/>
        <v>5.8129820230239835</v>
      </c>
      <c r="H120" s="15">
        <f t="shared" si="9"/>
        <v>2.2543970577923544</v>
      </c>
      <c r="I120" s="15">
        <f t="shared" si="10"/>
        <v>3.1943575439113254</v>
      </c>
      <c r="J120" s="15">
        <f t="shared" si="11"/>
        <v>1.1302586287665486</v>
      </c>
      <c r="K120" s="16">
        <f t="shared" si="12"/>
        <v>1.1302586287665486</v>
      </c>
      <c r="S120" s="38">
        <v>6.6</v>
      </c>
      <c r="T120" s="39">
        <v>2.1</v>
      </c>
      <c r="U120" s="40">
        <v>4</v>
      </c>
    </row>
    <row r="121" spans="1:21" x14ac:dyDescent="0.25">
      <c r="A121" s="1">
        <v>6</v>
      </c>
      <c r="B121" s="1">
        <v>2.2000000000000002</v>
      </c>
      <c r="C121" s="14">
        <v>5</v>
      </c>
      <c r="D121" s="16">
        <v>1.5</v>
      </c>
      <c r="E121" s="9" t="s">
        <v>7</v>
      </c>
      <c r="F121" s="23">
        <f t="shared" si="7"/>
        <v>2</v>
      </c>
      <c r="G121" s="5">
        <f t="shared" si="8"/>
        <v>3.7536595476947561</v>
      </c>
      <c r="H121" s="15">
        <f t="shared" si="9"/>
        <v>0.26095127489061176</v>
      </c>
      <c r="I121" s="15">
        <f t="shared" si="10"/>
        <v>1.1385200088935141</v>
      </c>
      <c r="J121" s="15">
        <f t="shared" si="11"/>
        <v>0.99400207417127018</v>
      </c>
      <c r="K121" s="16">
        <f t="shared" si="12"/>
        <v>0.26095127489061176</v>
      </c>
      <c r="S121" s="38">
        <v>6.3</v>
      </c>
      <c r="T121" s="39">
        <v>1.8</v>
      </c>
      <c r="U121" s="40">
        <v>4</v>
      </c>
    </row>
    <row r="122" spans="1:21" x14ac:dyDescent="0.25">
      <c r="A122" s="1">
        <v>6.9</v>
      </c>
      <c r="B122" s="1">
        <v>3.2</v>
      </c>
      <c r="C122" s="14">
        <v>5.7</v>
      </c>
      <c r="D122" s="16">
        <v>2.2999999999999998</v>
      </c>
      <c r="E122" s="9" t="s">
        <v>7</v>
      </c>
      <c r="F122" s="23">
        <f t="shared" si="7"/>
        <v>4</v>
      </c>
      <c r="G122" s="5">
        <f t="shared" si="8"/>
        <v>4.70951802204854</v>
      </c>
      <c r="H122" s="15">
        <f t="shared" si="9"/>
        <v>1.175267400468454</v>
      </c>
      <c r="I122" s="15">
        <f t="shared" si="10"/>
        <v>2.1102490107980065</v>
      </c>
      <c r="J122" s="15">
        <f t="shared" si="11"/>
        <v>0.21012195165641553</v>
      </c>
      <c r="K122" s="16">
        <f t="shared" si="12"/>
        <v>0.21012195165641553</v>
      </c>
      <c r="S122" s="38">
        <v>5.8</v>
      </c>
      <c r="T122" s="39">
        <v>1.8</v>
      </c>
      <c r="U122" s="40">
        <v>4</v>
      </c>
    </row>
    <row r="123" spans="1:21" x14ac:dyDescent="0.25">
      <c r="A123" s="1">
        <v>5.6</v>
      </c>
      <c r="B123" s="1">
        <v>2.8</v>
      </c>
      <c r="C123" s="14">
        <v>4.9000000000000004</v>
      </c>
      <c r="D123" s="16">
        <v>2</v>
      </c>
      <c r="E123" s="9" t="s">
        <v>7</v>
      </c>
      <c r="F123" s="23">
        <f t="shared" si="7"/>
        <v>2</v>
      </c>
      <c r="G123" s="5">
        <f t="shared" si="8"/>
        <v>3.8595802880624213</v>
      </c>
      <c r="H123" s="15">
        <f t="shared" si="9"/>
        <v>0.42697317735757806</v>
      </c>
      <c r="I123" s="15">
        <f t="shared" si="10"/>
        <v>1.2824544237954136</v>
      </c>
      <c r="J123" s="15">
        <f t="shared" si="11"/>
        <v>0.89270880602001212</v>
      </c>
      <c r="K123" s="16">
        <f t="shared" si="12"/>
        <v>0.42697317735757806</v>
      </c>
      <c r="S123" s="38">
        <v>6.1</v>
      </c>
      <c r="T123" s="39">
        <v>2.5</v>
      </c>
      <c r="U123" s="40">
        <v>4</v>
      </c>
    </row>
    <row r="124" spans="1:21" x14ac:dyDescent="0.25">
      <c r="A124" s="1">
        <v>7.7</v>
      </c>
      <c r="B124" s="1">
        <v>2.8</v>
      </c>
      <c r="C124" s="14">
        <v>6.7</v>
      </c>
      <c r="D124" s="16">
        <v>2</v>
      </c>
      <c r="E124" s="9" t="s">
        <v>7</v>
      </c>
      <c r="F124" s="23">
        <f t="shared" si="7"/>
        <v>4</v>
      </c>
      <c r="G124" s="5">
        <f t="shared" si="8"/>
        <v>5.5238718305188792</v>
      </c>
      <c r="H124" s="15">
        <f t="shared" si="9"/>
        <v>1.9834023902252527</v>
      </c>
      <c r="I124" s="15">
        <f t="shared" si="10"/>
        <v>2.9104713012270493</v>
      </c>
      <c r="J124" s="15">
        <f t="shared" si="11"/>
        <v>0.92028746179967158</v>
      </c>
      <c r="K124" s="16">
        <f t="shared" si="12"/>
        <v>0.92028746179967158</v>
      </c>
      <c r="S124" s="38">
        <v>5.3</v>
      </c>
      <c r="T124" s="39">
        <v>1.9</v>
      </c>
      <c r="U124" s="40">
        <v>4</v>
      </c>
    </row>
    <row r="125" spans="1:21" x14ac:dyDescent="0.25">
      <c r="A125" s="1">
        <v>6.3</v>
      </c>
      <c r="B125" s="1">
        <v>2.7</v>
      </c>
      <c r="C125" s="14">
        <v>4.9000000000000004</v>
      </c>
      <c r="D125" s="16">
        <v>1.8</v>
      </c>
      <c r="E125" s="9" t="s">
        <v>7</v>
      </c>
      <c r="F125" s="23">
        <f t="shared" si="7"/>
        <v>2</v>
      </c>
      <c r="G125" s="5">
        <f t="shared" si="8"/>
        <v>3.7728980903279115</v>
      </c>
      <c r="H125" s="15">
        <f t="shared" si="9"/>
        <v>0.24749436883266307</v>
      </c>
      <c r="I125" s="15">
        <f t="shared" si="10"/>
        <v>1.1668814961406766</v>
      </c>
      <c r="J125" s="15">
        <f t="shared" si="11"/>
        <v>0.93822297226139628</v>
      </c>
      <c r="K125" s="16">
        <f t="shared" si="12"/>
        <v>0.24749436883266307</v>
      </c>
      <c r="S125" s="38">
        <v>5.5</v>
      </c>
      <c r="T125" s="39">
        <v>2.1</v>
      </c>
      <c r="U125" s="40">
        <v>4</v>
      </c>
    </row>
    <row r="126" spans="1:21" x14ac:dyDescent="0.25">
      <c r="A126" s="1">
        <v>6.7</v>
      </c>
      <c r="B126" s="1">
        <v>3.3</v>
      </c>
      <c r="C126" s="14">
        <v>5.7</v>
      </c>
      <c r="D126" s="16">
        <v>2.1</v>
      </c>
      <c r="E126" s="9" t="s">
        <v>7</v>
      </c>
      <c r="F126" s="23">
        <f t="shared" si="7"/>
        <v>4</v>
      </c>
      <c r="G126" s="5">
        <f t="shared" si="8"/>
        <v>4.625792905005583</v>
      </c>
      <c r="H126" s="15">
        <f t="shared" si="9"/>
        <v>1.0678018688056932</v>
      </c>
      <c r="I126" s="15">
        <f t="shared" si="10"/>
        <v>2.0124795562929436</v>
      </c>
      <c r="J126" s="15">
        <f t="shared" si="11"/>
        <v>8.6513397235539635E-2</v>
      </c>
      <c r="K126" s="16">
        <f t="shared" si="12"/>
        <v>8.6513397235539635E-2</v>
      </c>
      <c r="S126" s="38">
        <v>5.0999999999999996</v>
      </c>
      <c r="T126" s="39">
        <v>2.4</v>
      </c>
      <c r="U126" s="40">
        <v>4</v>
      </c>
    </row>
    <row r="127" spans="1:21" x14ac:dyDescent="0.25">
      <c r="A127" s="1">
        <v>7.2</v>
      </c>
      <c r="B127" s="1">
        <v>3.2</v>
      </c>
      <c r="C127" s="14">
        <v>6</v>
      </c>
      <c r="D127" s="16">
        <v>1.8</v>
      </c>
      <c r="E127" s="9" t="s">
        <v>7</v>
      </c>
      <c r="F127" s="23">
        <f t="shared" si="7"/>
        <v>4</v>
      </c>
      <c r="G127" s="5">
        <f t="shared" si="8"/>
        <v>4.7967030343768418</v>
      </c>
      <c r="H127" s="15">
        <f t="shared" si="9"/>
        <v>1.2585249467337727</v>
      </c>
      <c r="I127" s="15">
        <f t="shared" si="10"/>
        <v>2.1824644069432071</v>
      </c>
      <c r="J127" s="15">
        <f t="shared" si="11"/>
        <v>0.37525711350295315</v>
      </c>
      <c r="K127" s="16">
        <f t="shared" si="12"/>
        <v>0.37525711350295315</v>
      </c>
      <c r="S127" s="38">
        <v>5.3</v>
      </c>
      <c r="T127" s="39">
        <v>2.2999999999999998</v>
      </c>
      <c r="U127" s="40">
        <v>4</v>
      </c>
    </row>
    <row r="128" spans="1:21" x14ac:dyDescent="0.25">
      <c r="A128" s="1">
        <v>6.2</v>
      </c>
      <c r="B128" s="1">
        <v>2.8</v>
      </c>
      <c r="C128" s="14">
        <v>4.8</v>
      </c>
      <c r="D128" s="16">
        <v>1.8</v>
      </c>
      <c r="E128" s="9" t="s">
        <v>7</v>
      </c>
      <c r="F128" s="23">
        <f t="shared" si="7"/>
        <v>2</v>
      </c>
      <c r="G128" s="5">
        <f t="shared" si="8"/>
        <v>3.6820048886442285</v>
      </c>
      <c r="H128" s="15">
        <f t="shared" si="9"/>
        <v>0.20695992358980836</v>
      </c>
      <c r="I128" s="15">
        <f t="shared" si="10"/>
        <v>1.082765744196192</v>
      </c>
      <c r="J128" s="15">
        <f t="shared" si="11"/>
        <v>1.033191447845573</v>
      </c>
      <c r="K128" s="16">
        <f t="shared" si="12"/>
        <v>0.20695992358980836</v>
      </c>
      <c r="S128" s="38">
        <v>5.5</v>
      </c>
      <c r="T128" s="39">
        <v>1.8</v>
      </c>
      <c r="U128" s="40">
        <v>4</v>
      </c>
    </row>
    <row r="129" spans="1:21" x14ac:dyDescent="0.25">
      <c r="A129" s="1">
        <v>6.1</v>
      </c>
      <c r="B129" s="1">
        <v>3</v>
      </c>
      <c r="C129" s="14">
        <v>4.9000000000000004</v>
      </c>
      <c r="D129" s="16">
        <v>1.8</v>
      </c>
      <c r="E129" s="9" t="s">
        <v>7</v>
      </c>
      <c r="F129" s="23">
        <f t="shared" si="7"/>
        <v>2</v>
      </c>
      <c r="G129" s="5">
        <f t="shared" si="8"/>
        <v>3.7728980903279115</v>
      </c>
      <c r="H129" s="15">
        <f t="shared" si="9"/>
        <v>0.24749436883266307</v>
      </c>
      <c r="I129" s="15">
        <f t="shared" si="10"/>
        <v>1.1668814961406766</v>
      </c>
      <c r="J129" s="15">
        <f t="shared" si="11"/>
        <v>0.93822297226139628</v>
      </c>
      <c r="K129" s="16">
        <f t="shared" si="12"/>
        <v>0.24749436883266307</v>
      </c>
      <c r="S129" s="38">
        <v>6.7</v>
      </c>
      <c r="T129" s="39">
        <v>2.2000000000000002</v>
      </c>
      <c r="U129" s="40">
        <v>4</v>
      </c>
    </row>
    <row r="130" spans="1:21" x14ac:dyDescent="0.25">
      <c r="A130" s="1">
        <v>6.4</v>
      </c>
      <c r="B130" s="1">
        <v>2.8</v>
      </c>
      <c r="C130" s="14">
        <v>5.6</v>
      </c>
      <c r="D130" s="16">
        <v>2.1</v>
      </c>
      <c r="E130" s="9" t="s">
        <v>7</v>
      </c>
      <c r="F130" s="23">
        <f t="shared" si="7"/>
        <v>4</v>
      </c>
      <c r="G130" s="5">
        <f t="shared" si="8"/>
        <v>4.5343533166263077</v>
      </c>
      <c r="H130" s="15">
        <f t="shared" si="9"/>
        <v>0.98070371590677219</v>
      </c>
      <c r="I130" s="15">
        <f t="shared" si="10"/>
        <v>1.9237575718541751</v>
      </c>
      <c r="J130" s="15">
        <f t="shared" si="11"/>
        <v>0.18629758485674572</v>
      </c>
      <c r="K130" s="16">
        <f t="shared" si="12"/>
        <v>0.18629758485674572</v>
      </c>
      <c r="S130" s="38">
        <v>6.9</v>
      </c>
      <c r="T130" s="39">
        <v>2.2999999999999998</v>
      </c>
      <c r="U130" s="40">
        <v>4</v>
      </c>
    </row>
    <row r="131" spans="1:21" x14ac:dyDescent="0.25">
      <c r="A131" s="1">
        <v>7.2</v>
      </c>
      <c r="B131" s="1">
        <v>3</v>
      </c>
      <c r="C131" s="14">
        <v>5.8</v>
      </c>
      <c r="D131" s="16">
        <v>1.6</v>
      </c>
      <c r="E131" s="9" t="s">
        <v>7</v>
      </c>
      <c r="F131" s="23">
        <f t="shared" ref="F131:F151" si="13">IF(G131=K131,1,IF(H131=K131,2,IF(I131=K131,3,4)))</f>
        <v>4</v>
      </c>
      <c r="G131" s="5">
        <f t="shared" ref="G131:G151" si="14">(($C131-$O$2)^2+($D131-$P$2)^2)^(1/2)</f>
        <v>4.5443987501098526</v>
      </c>
      <c r="H131" s="15">
        <f t="shared" ref="H131:H151" si="15">(($C131-$O$3)^2+($D131-$P$3)^2)^(1/2)</f>
        <v>1.0421085858532879</v>
      </c>
      <c r="I131" s="15">
        <f t="shared" ref="I131:I151" si="16">(($C131-$O$4)^2+($D131-$P$4)^2)^(1/2)</f>
        <v>1.9394876710192057</v>
      </c>
      <c r="J131" s="15">
        <f t="shared" ref="J131:J151" si="17">(($C131-$O$5)^2+($D131-$P$5)^2)^(1/2)</f>
        <v>0.50852303685511169</v>
      </c>
      <c r="K131" s="16">
        <f t="shared" ref="K131:K151" si="18">MIN(G131:J131)</f>
        <v>0.50852303685511169</v>
      </c>
      <c r="S131" s="38">
        <v>5.7</v>
      </c>
      <c r="T131" s="39">
        <v>2.2999999999999998</v>
      </c>
      <c r="U131" s="40">
        <v>4</v>
      </c>
    </row>
    <row r="132" spans="1:21" x14ac:dyDescent="0.25">
      <c r="A132" s="1">
        <v>7.4</v>
      </c>
      <c r="B132" s="1">
        <v>2.8</v>
      </c>
      <c r="C132" s="14">
        <v>6.1</v>
      </c>
      <c r="D132" s="16">
        <v>1.9</v>
      </c>
      <c r="E132" s="9" t="s">
        <v>7</v>
      </c>
      <c r="F132" s="23">
        <f t="shared" si="13"/>
        <v>4</v>
      </c>
      <c r="G132" s="5">
        <f t="shared" si="14"/>
        <v>4.9240999177514668</v>
      </c>
      <c r="H132" s="15">
        <f t="shared" si="15"/>
        <v>1.3758024603744161</v>
      </c>
      <c r="I132" s="15">
        <f t="shared" si="16"/>
        <v>2.3073621558704636</v>
      </c>
      <c r="J132" s="15">
        <f t="shared" si="17"/>
        <v>0.37673467101619351</v>
      </c>
      <c r="K132" s="16">
        <f t="shared" si="18"/>
        <v>0.37673467101619351</v>
      </c>
      <c r="S132" s="38">
        <v>6.7</v>
      </c>
      <c r="T132" s="39">
        <v>2</v>
      </c>
      <c r="U132" s="40">
        <v>4</v>
      </c>
    </row>
    <row r="133" spans="1:21" x14ac:dyDescent="0.25">
      <c r="A133" s="1">
        <v>7.9</v>
      </c>
      <c r="B133" s="1">
        <v>3.8</v>
      </c>
      <c r="C133" s="14">
        <v>6.4</v>
      </c>
      <c r="D133" s="16">
        <v>2</v>
      </c>
      <c r="E133" s="9" t="s">
        <v>7</v>
      </c>
      <c r="F133" s="23">
        <f t="shared" si="13"/>
        <v>4</v>
      </c>
      <c r="G133" s="5">
        <f t="shared" si="14"/>
        <v>5.2402633521608442</v>
      </c>
      <c r="H133" s="15">
        <f t="shared" si="15"/>
        <v>1.6907459547952524</v>
      </c>
      <c r="I133" s="15">
        <f t="shared" si="16"/>
        <v>2.6235759732803556</v>
      </c>
      <c r="J133" s="15">
        <f t="shared" si="17"/>
        <v>0.62337442922560415</v>
      </c>
      <c r="K133" s="16">
        <f t="shared" si="18"/>
        <v>0.62337442922560415</v>
      </c>
      <c r="S133" s="38">
        <v>5.7</v>
      </c>
      <c r="T133" s="39">
        <v>2.1</v>
      </c>
      <c r="U133" s="40">
        <v>4</v>
      </c>
    </row>
    <row r="134" spans="1:21" x14ac:dyDescent="0.25">
      <c r="A134" s="1">
        <v>6.4</v>
      </c>
      <c r="B134" s="1">
        <v>2.8</v>
      </c>
      <c r="C134" s="14">
        <v>5.6</v>
      </c>
      <c r="D134" s="16">
        <v>2.2000000000000002</v>
      </c>
      <c r="E134" s="9" t="s">
        <v>7</v>
      </c>
      <c r="F134" s="23">
        <f t="shared" si="13"/>
        <v>4</v>
      </c>
      <c r="G134" s="5">
        <f t="shared" si="14"/>
        <v>4.5761512212775486</v>
      </c>
      <c r="H134" s="15">
        <f t="shared" si="15"/>
        <v>1.0355221360177795</v>
      </c>
      <c r="I134" s="15">
        <f t="shared" si="16"/>
        <v>1.9729119739118453</v>
      </c>
      <c r="J134" s="15">
        <f t="shared" si="17"/>
        <v>0.2074611372204197</v>
      </c>
      <c r="K134" s="16">
        <f t="shared" si="18"/>
        <v>0.2074611372204197</v>
      </c>
      <c r="S134" s="38">
        <v>6</v>
      </c>
      <c r="T134" s="39">
        <v>1.8</v>
      </c>
      <c r="U134" s="40">
        <v>4</v>
      </c>
    </row>
    <row r="135" spans="1:21" x14ac:dyDescent="0.25">
      <c r="A135" s="1">
        <v>6.3</v>
      </c>
      <c r="B135" s="1">
        <v>2.8</v>
      </c>
      <c r="C135" s="14">
        <v>5.0999999999999996</v>
      </c>
      <c r="D135" s="16">
        <v>1.5</v>
      </c>
      <c r="E135" s="9" t="s">
        <v>7</v>
      </c>
      <c r="F135" s="23">
        <f t="shared" si="13"/>
        <v>2</v>
      </c>
      <c r="G135" s="5">
        <f t="shared" si="14"/>
        <v>3.8480592511030802</v>
      </c>
      <c r="H135" s="15">
        <f t="shared" si="15"/>
        <v>0.35569174926980557</v>
      </c>
      <c r="I135" s="15">
        <f t="shared" si="16"/>
        <v>1.2350945631333885</v>
      </c>
      <c r="J135" s="15">
        <f t="shared" si="17"/>
        <v>0.91696123213283443</v>
      </c>
      <c r="K135" s="16">
        <f t="shared" si="18"/>
        <v>0.35569174926980557</v>
      </c>
      <c r="S135" s="38">
        <v>5.6</v>
      </c>
      <c r="T135" s="39">
        <v>2.1</v>
      </c>
      <c r="U135" s="40">
        <v>4</v>
      </c>
    </row>
    <row r="136" spans="1:21" x14ac:dyDescent="0.25">
      <c r="A136" s="1">
        <v>6.1</v>
      </c>
      <c r="B136" s="1">
        <v>2.6</v>
      </c>
      <c r="C136" s="14">
        <v>5.6</v>
      </c>
      <c r="D136" s="16">
        <v>1.4</v>
      </c>
      <c r="E136" s="9" t="s">
        <v>7</v>
      </c>
      <c r="F136" s="23">
        <f t="shared" si="13"/>
        <v>4</v>
      </c>
      <c r="G136" s="5">
        <f t="shared" si="14"/>
        <v>4.2959003712842314</v>
      </c>
      <c r="H136" s="15">
        <f t="shared" si="15"/>
        <v>0.86492518050235667</v>
      </c>
      <c r="I136" s="15">
        <f t="shared" si="16"/>
        <v>1.7088223911504206</v>
      </c>
      <c r="J136" s="15">
        <f t="shared" si="17"/>
        <v>0.73237521584917287</v>
      </c>
      <c r="K136" s="16">
        <f t="shared" si="18"/>
        <v>0.73237521584917287</v>
      </c>
      <c r="S136" s="38">
        <v>5.8</v>
      </c>
      <c r="T136" s="39">
        <v>1.6</v>
      </c>
      <c r="U136" s="40">
        <v>4</v>
      </c>
    </row>
    <row r="137" spans="1:21" x14ac:dyDescent="0.25">
      <c r="A137" s="1">
        <v>7.7</v>
      </c>
      <c r="B137" s="1">
        <v>3</v>
      </c>
      <c r="C137" s="14">
        <v>6.1</v>
      </c>
      <c r="D137" s="16">
        <v>2.2999999999999998</v>
      </c>
      <c r="E137" s="9" t="s">
        <v>7</v>
      </c>
      <c r="F137" s="23">
        <f t="shared" si="13"/>
        <v>4</v>
      </c>
      <c r="G137" s="5">
        <f t="shared" si="14"/>
        <v>5.0724707983388138</v>
      </c>
      <c r="H137" s="15">
        <f t="shared" si="15"/>
        <v>1.514905169682311</v>
      </c>
      <c r="I137" s="15">
        <f t="shared" si="16"/>
        <v>2.4596898106259335</v>
      </c>
      <c r="J137" s="15">
        <f t="shared" si="17"/>
        <v>0.36778029539252527</v>
      </c>
      <c r="K137" s="16">
        <f t="shared" si="18"/>
        <v>0.36778029539252527</v>
      </c>
      <c r="S137" s="38">
        <v>6.1</v>
      </c>
      <c r="T137" s="39">
        <v>1.9</v>
      </c>
      <c r="U137" s="40">
        <v>4</v>
      </c>
    </row>
    <row r="138" spans="1:21" x14ac:dyDescent="0.25">
      <c r="A138" s="1">
        <v>6.3</v>
      </c>
      <c r="B138" s="1">
        <v>3.4</v>
      </c>
      <c r="C138" s="14">
        <v>5.6</v>
      </c>
      <c r="D138" s="16">
        <v>2.4</v>
      </c>
      <c r="E138" s="9" t="s">
        <v>7</v>
      </c>
      <c r="F138" s="23">
        <f t="shared" si="13"/>
        <v>4</v>
      </c>
      <c r="G138" s="5">
        <f t="shared" si="14"/>
        <v>4.6650573415554071</v>
      </c>
      <c r="H138" s="15">
        <f t="shared" si="15"/>
        <v>1.1633394714191434</v>
      </c>
      <c r="I138" s="15">
        <f t="shared" si="16"/>
        <v>2.0821764046020825</v>
      </c>
      <c r="J138" s="15">
        <f t="shared" si="17"/>
        <v>0.3459866906738705</v>
      </c>
      <c r="K138" s="16">
        <f t="shared" si="18"/>
        <v>0.3459866906738705</v>
      </c>
      <c r="S138" s="38">
        <v>6.4</v>
      </c>
      <c r="T138" s="39">
        <v>2</v>
      </c>
      <c r="U138" s="40">
        <v>4</v>
      </c>
    </row>
    <row r="139" spans="1:21" x14ac:dyDescent="0.25">
      <c r="A139" s="1">
        <v>6.4</v>
      </c>
      <c r="B139" s="1">
        <v>3.1</v>
      </c>
      <c r="C139" s="14">
        <v>5.5</v>
      </c>
      <c r="D139" s="16">
        <v>1.8</v>
      </c>
      <c r="E139" s="9" t="s">
        <v>7</v>
      </c>
      <c r="F139" s="23">
        <f t="shared" si="13"/>
        <v>4</v>
      </c>
      <c r="G139" s="5">
        <f t="shared" si="14"/>
        <v>4.3267031328714944</v>
      </c>
      <c r="H139" s="15">
        <f t="shared" si="15"/>
        <v>0.76927223945320633</v>
      </c>
      <c r="I139" s="15">
        <f t="shared" si="16"/>
        <v>1.7079218487448768</v>
      </c>
      <c r="J139" s="15">
        <f t="shared" si="17"/>
        <v>0.42062930514370717</v>
      </c>
      <c r="K139" s="16">
        <f t="shared" si="18"/>
        <v>0.42062930514370717</v>
      </c>
      <c r="S139" s="38">
        <v>5.6</v>
      </c>
      <c r="T139" s="39">
        <v>2.2000000000000002</v>
      </c>
      <c r="U139" s="40">
        <v>4</v>
      </c>
    </row>
    <row r="140" spans="1:21" x14ac:dyDescent="0.25">
      <c r="A140" s="1">
        <v>6</v>
      </c>
      <c r="B140" s="1">
        <v>3</v>
      </c>
      <c r="C140" s="14">
        <v>4.8</v>
      </c>
      <c r="D140" s="16">
        <v>1.8</v>
      </c>
      <c r="E140" s="9" t="s">
        <v>7</v>
      </c>
      <c r="F140" s="23">
        <f t="shared" si="13"/>
        <v>2</v>
      </c>
      <c r="G140" s="5">
        <f t="shared" si="14"/>
        <v>3.6820048886442285</v>
      </c>
      <c r="H140" s="15">
        <f t="shared" si="15"/>
        <v>0.20695992358980836</v>
      </c>
      <c r="I140" s="15">
        <f t="shared" si="16"/>
        <v>1.082765744196192</v>
      </c>
      <c r="J140" s="15">
        <f t="shared" si="17"/>
        <v>1.033191447845573</v>
      </c>
      <c r="K140" s="16">
        <f t="shared" si="18"/>
        <v>0.20695992358980836</v>
      </c>
      <c r="S140" s="38">
        <v>5.6</v>
      </c>
      <c r="T140" s="39">
        <v>1.4</v>
      </c>
      <c r="U140" s="40">
        <v>4</v>
      </c>
    </row>
    <row r="141" spans="1:21" x14ac:dyDescent="0.25">
      <c r="A141" s="1">
        <v>6.9</v>
      </c>
      <c r="B141" s="1">
        <v>3.1</v>
      </c>
      <c r="C141" s="14">
        <v>5.4</v>
      </c>
      <c r="D141" s="16">
        <v>2.1</v>
      </c>
      <c r="E141" s="9" t="s">
        <v>7</v>
      </c>
      <c r="F141" s="23">
        <f t="shared" si="13"/>
        <v>4</v>
      </c>
      <c r="G141" s="5">
        <f t="shared" si="14"/>
        <v>4.3526038184057141</v>
      </c>
      <c r="H141" s="15">
        <f t="shared" si="15"/>
        <v>0.81543710556375482</v>
      </c>
      <c r="I141" s="15">
        <f t="shared" si="16"/>
        <v>1.7499661873318395</v>
      </c>
      <c r="J141" s="15">
        <f t="shared" si="17"/>
        <v>0.38620102869865558</v>
      </c>
      <c r="K141" s="16">
        <f t="shared" si="18"/>
        <v>0.38620102869865558</v>
      </c>
      <c r="S141" s="38">
        <v>6.1</v>
      </c>
      <c r="T141" s="39">
        <v>2.2999999999999998</v>
      </c>
      <c r="U141" s="40">
        <v>4</v>
      </c>
    </row>
    <row r="142" spans="1:21" x14ac:dyDescent="0.25">
      <c r="A142" s="1">
        <v>6.7</v>
      </c>
      <c r="B142" s="1">
        <v>3.1</v>
      </c>
      <c r="C142" s="14">
        <v>5.6</v>
      </c>
      <c r="D142" s="16">
        <v>2.4</v>
      </c>
      <c r="E142" s="9" t="s">
        <v>7</v>
      </c>
      <c r="F142" s="23">
        <f t="shared" si="13"/>
        <v>4</v>
      </c>
      <c r="G142" s="5">
        <f t="shared" si="14"/>
        <v>4.6650573415554071</v>
      </c>
      <c r="H142" s="15">
        <f t="shared" si="15"/>
        <v>1.1633394714191434</v>
      </c>
      <c r="I142" s="15">
        <f t="shared" si="16"/>
        <v>2.0821764046020825</v>
      </c>
      <c r="J142" s="15">
        <f t="shared" si="17"/>
        <v>0.3459866906738705</v>
      </c>
      <c r="K142" s="16">
        <f t="shared" si="18"/>
        <v>0.3459866906738705</v>
      </c>
      <c r="S142" s="38">
        <v>5.6</v>
      </c>
      <c r="T142" s="39">
        <v>2.4</v>
      </c>
      <c r="U142" s="40">
        <v>4</v>
      </c>
    </row>
    <row r="143" spans="1:21" x14ac:dyDescent="0.25">
      <c r="A143" s="1">
        <v>6.9</v>
      </c>
      <c r="B143" s="1">
        <v>3.1</v>
      </c>
      <c r="C143" s="14">
        <v>5.0999999999999996</v>
      </c>
      <c r="D143" s="16">
        <v>2.2999999999999998</v>
      </c>
      <c r="E143" s="9" t="s">
        <v>7</v>
      </c>
      <c r="F143" s="23">
        <f t="shared" si="13"/>
        <v>4</v>
      </c>
      <c r="G143" s="5">
        <f t="shared" si="14"/>
        <v>4.1777936760926808</v>
      </c>
      <c r="H143" s="15">
        <f t="shared" si="15"/>
        <v>0.78149033699362158</v>
      </c>
      <c r="I143" s="15">
        <f t="shared" si="16"/>
        <v>1.6302657060090995</v>
      </c>
      <c r="J143" s="15">
        <f t="shared" si="17"/>
        <v>0.71237951114643461</v>
      </c>
      <c r="K143" s="16">
        <f t="shared" si="18"/>
        <v>0.71237951114643461</v>
      </c>
      <c r="S143" s="38">
        <v>5.5</v>
      </c>
      <c r="T143" s="39">
        <v>1.8</v>
      </c>
      <c r="U143" s="40">
        <v>4</v>
      </c>
    </row>
    <row r="144" spans="1:21" x14ac:dyDescent="0.25">
      <c r="A144" s="1">
        <v>5.8</v>
      </c>
      <c r="B144" s="1">
        <v>2.7</v>
      </c>
      <c r="C144" s="14">
        <v>5.0999999999999996</v>
      </c>
      <c r="D144" s="16">
        <v>1.9</v>
      </c>
      <c r="E144" s="9" t="s">
        <v>7</v>
      </c>
      <c r="F144" s="23">
        <f t="shared" si="13"/>
        <v>2</v>
      </c>
      <c r="G144" s="5">
        <f t="shared" si="14"/>
        <v>3.9963433285942784</v>
      </c>
      <c r="H144" s="15">
        <f t="shared" si="15"/>
        <v>0.45675144625552011</v>
      </c>
      <c r="I144" s="15">
        <f t="shared" si="16"/>
        <v>1.389824602615561</v>
      </c>
      <c r="J144" s="15">
        <f t="shared" si="17"/>
        <v>0.7170433979668871</v>
      </c>
      <c r="K144" s="16">
        <f t="shared" si="18"/>
        <v>0.45675144625552011</v>
      </c>
      <c r="S144" s="38">
        <v>5.4</v>
      </c>
      <c r="T144" s="39">
        <v>2.1</v>
      </c>
      <c r="U144" s="40">
        <v>4</v>
      </c>
    </row>
    <row r="145" spans="1:21" x14ac:dyDescent="0.25">
      <c r="A145" s="1">
        <v>6.8</v>
      </c>
      <c r="B145" s="1">
        <v>3.2</v>
      </c>
      <c r="C145" s="14">
        <v>5.9</v>
      </c>
      <c r="D145" s="16">
        <v>2.2999999999999998</v>
      </c>
      <c r="E145" s="9" t="s">
        <v>7</v>
      </c>
      <c r="F145" s="23">
        <f t="shared" si="13"/>
        <v>4</v>
      </c>
      <c r="G145" s="5">
        <f t="shared" si="14"/>
        <v>4.8902719760765869</v>
      </c>
      <c r="H145" s="15">
        <f t="shared" si="15"/>
        <v>1.3409308587198059</v>
      </c>
      <c r="I145" s="15">
        <f t="shared" si="16"/>
        <v>2.2828956231145354</v>
      </c>
      <c r="J145" s="15">
        <f t="shared" si="17"/>
        <v>0.22295019650912462</v>
      </c>
      <c r="K145" s="16">
        <f t="shared" si="18"/>
        <v>0.22295019650912462</v>
      </c>
      <c r="S145" s="38">
        <v>5.6</v>
      </c>
      <c r="T145" s="39">
        <v>2.4</v>
      </c>
      <c r="U145" s="40">
        <v>4</v>
      </c>
    </row>
    <row r="146" spans="1:21" x14ac:dyDescent="0.25">
      <c r="A146" s="1">
        <v>6.7</v>
      </c>
      <c r="B146" s="1">
        <v>3.3</v>
      </c>
      <c r="C146" s="14">
        <v>5.7</v>
      </c>
      <c r="D146" s="16">
        <v>2.5</v>
      </c>
      <c r="E146" s="9" t="s">
        <v>7</v>
      </c>
      <c r="F146" s="23">
        <f t="shared" si="13"/>
        <v>4</v>
      </c>
      <c r="G146" s="5">
        <f t="shared" si="14"/>
        <v>4.8001208318124657</v>
      </c>
      <c r="H146" s="15">
        <f t="shared" si="15"/>
        <v>1.3047245280835436</v>
      </c>
      <c r="I146" s="15">
        <f t="shared" si="16"/>
        <v>2.2217623209179886</v>
      </c>
      <c r="J146" s="15">
        <f t="shared" si="17"/>
        <v>0.4010210733048426</v>
      </c>
      <c r="K146" s="16">
        <f t="shared" si="18"/>
        <v>0.4010210733048426</v>
      </c>
      <c r="S146" s="38">
        <v>5.0999999999999996</v>
      </c>
      <c r="T146" s="39">
        <v>2.2999999999999998</v>
      </c>
      <c r="U146" s="40">
        <v>4</v>
      </c>
    </row>
    <row r="147" spans="1:21" x14ac:dyDescent="0.25">
      <c r="A147" s="1">
        <v>6.7</v>
      </c>
      <c r="B147" s="1">
        <v>3</v>
      </c>
      <c r="C147" s="14">
        <v>5.2</v>
      </c>
      <c r="D147" s="16">
        <v>2.2999999999999998</v>
      </c>
      <c r="E147" s="9" t="s">
        <v>7</v>
      </c>
      <c r="F147" s="23">
        <f t="shared" si="13"/>
        <v>4</v>
      </c>
      <c r="G147" s="5">
        <f t="shared" si="14"/>
        <v>4.2651565035763923</v>
      </c>
      <c r="H147" s="15">
        <f t="shared" si="15"/>
        <v>0.83014950427376832</v>
      </c>
      <c r="I147" s="15">
        <f t="shared" si="16"/>
        <v>1.7049918009832534</v>
      </c>
      <c r="J147" s="15">
        <f t="shared" si="17"/>
        <v>0.61665415402720714</v>
      </c>
      <c r="K147" s="16">
        <f t="shared" si="18"/>
        <v>0.61665415402720714</v>
      </c>
      <c r="S147" s="38">
        <v>5.9</v>
      </c>
      <c r="T147" s="39">
        <v>2.2999999999999998</v>
      </c>
      <c r="U147" s="40">
        <v>4</v>
      </c>
    </row>
    <row r="148" spans="1:21" x14ac:dyDescent="0.25">
      <c r="A148" s="1">
        <v>6.3</v>
      </c>
      <c r="B148" s="1">
        <v>2.5</v>
      </c>
      <c r="C148" s="14">
        <v>5</v>
      </c>
      <c r="D148" s="16">
        <v>1.9</v>
      </c>
      <c r="E148" s="9" t="s">
        <v>7</v>
      </c>
      <c r="F148" s="23">
        <f t="shared" si="13"/>
        <v>2</v>
      </c>
      <c r="G148" s="5">
        <f t="shared" si="14"/>
        <v>3.9055294135366592</v>
      </c>
      <c r="H148" s="15">
        <f t="shared" si="15"/>
        <v>0.38755751963409341</v>
      </c>
      <c r="I148" s="15">
        <f t="shared" si="16"/>
        <v>1.3047534850709284</v>
      </c>
      <c r="J148" s="15">
        <f t="shared" si="17"/>
        <v>0.81324870537254534</v>
      </c>
      <c r="K148" s="16">
        <f t="shared" si="18"/>
        <v>0.38755751963409341</v>
      </c>
      <c r="S148" s="38">
        <v>5.7</v>
      </c>
      <c r="T148" s="39">
        <v>2.5</v>
      </c>
      <c r="U148" s="40">
        <v>4</v>
      </c>
    </row>
    <row r="149" spans="1:21" x14ac:dyDescent="0.25">
      <c r="A149" s="1">
        <v>6.5</v>
      </c>
      <c r="B149" s="1">
        <v>3</v>
      </c>
      <c r="C149" s="14">
        <v>5.2</v>
      </c>
      <c r="D149" s="16">
        <v>2</v>
      </c>
      <c r="E149" s="9" t="s">
        <v>7</v>
      </c>
      <c r="F149" s="23">
        <f t="shared" si="13"/>
        <v>4</v>
      </c>
      <c r="G149" s="5">
        <f t="shared" si="14"/>
        <v>4.1290628476689477</v>
      </c>
      <c r="H149" s="15">
        <f t="shared" si="15"/>
        <v>0.5979709458473399</v>
      </c>
      <c r="I149" s="15">
        <f t="shared" si="16"/>
        <v>1.5272136906159315</v>
      </c>
      <c r="J149" s="15">
        <f t="shared" si="17"/>
        <v>0.59603887933507349</v>
      </c>
      <c r="K149" s="16">
        <f t="shared" si="18"/>
        <v>0.59603887933507349</v>
      </c>
      <c r="S149" s="38">
        <v>5.2</v>
      </c>
      <c r="T149" s="39">
        <v>2.2999999999999998</v>
      </c>
      <c r="U149" s="40">
        <v>4</v>
      </c>
    </row>
    <row r="150" spans="1:21" x14ac:dyDescent="0.25">
      <c r="A150" s="1">
        <v>6.2</v>
      </c>
      <c r="B150" s="1">
        <v>3.4</v>
      </c>
      <c r="C150" s="14">
        <v>5.4</v>
      </c>
      <c r="D150" s="16">
        <v>2.2999999999999998</v>
      </c>
      <c r="E150" s="9" t="s">
        <v>7</v>
      </c>
      <c r="F150" s="23">
        <f t="shared" si="13"/>
        <v>4</v>
      </c>
      <c r="G150" s="5">
        <f t="shared" si="14"/>
        <v>4.4414817347367315</v>
      </c>
      <c r="H150" s="15">
        <f t="shared" si="15"/>
        <v>0.95183522981088553</v>
      </c>
      <c r="I150" s="15">
        <f t="shared" si="16"/>
        <v>1.8615742208898514</v>
      </c>
      <c r="J150" s="15">
        <f t="shared" si="17"/>
        <v>0.43106600565872344</v>
      </c>
      <c r="K150" s="16">
        <f t="shared" si="18"/>
        <v>0.43106600565872344</v>
      </c>
      <c r="S150" s="38">
        <v>5.2</v>
      </c>
      <c r="T150" s="39">
        <v>2</v>
      </c>
      <c r="U150" s="40">
        <v>4</v>
      </c>
    </row>
    <row r="151" spans="1:21" ht="15.75" thickBot="1" x14ac:dyDescent="0.3">
      <c r="A151" s="1">
        <v>5.9</v>
      </c>
      <c r="B151" s="1">
        <v>3</v>
      </c>
      <c r="C151" s="17">
        <v>5.0999999999999996</v>
      </c>
      <c r="D151" s="19">
        <v>1.8</v>
      </c>
      <c r="E151" s="27" t="s">
        <v>7</v>
      </c>
      <c r="F151" s="24">
        <f t="shared" si="13"/>
        <v>2</v>
      </c>
      <c r="G151" s="21">
        <f t="shared" si="14"/>
        <v>3.956003033365874</v>
      </c>
      <c r="H151" s="18">
        <f t="shared" si="15"/>
        <v>0.39761233364551907</v>
      </c>
      <c r="I151" s="18">
        <f t="shared" si="16"/>
        <v>1.34166835115726</v>
      </c>
      <c r="J151" s="18">
        <f t="shared" si="17"/>
        <v>0.75220868197234081</v>
      </c>
      <c r="K151" s="19">
        <f t="shared" si="18"/>
        <v>0.39761233364551907</v>
      </c>
      <c r="S151" s="41">
        <v>5.4</v>
      </c>
      <c r="T151" s="42">
        <v>2.2999999999999998</v>
      </c>
      <c r="U151" s="43">
        <v>4</v>
      </c>
    </row>
  </sheetData>
  <sortState xmlns:xlrd2="http://schemas.microsoft.com/office/spreadsheetml/2017/richdata2" ref="S2:U151">
    <sortCondition ref="U2:U15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8</vt:i4>
      </vt:variant>
    </vt:vector>
  </HeadingPairs>
  <TitlesOfParts>
    <vt:vector size="10" baseType="lpstr">
      <vt:lpstr>2-grupy</vt:lpstr>
      <vt:lpstr>4-grupy</vt:lpstr>
      <vt:lpstr>'4-grupy'!_m1</vt:lpstr>
      <vt:lpstr>'4-grupy'!_m2</vt:lpstr>
      <vt:lpstr>'4-grupy'!_m3</vt:lpstr>
      <vt:lpstr>'4-grupy'!_m4</vt:lpstr>
      <vt:lpstr>'2-grupy'!_n1</vt:lpstr>
      <vt:lpstr>'4-grupy'!_n1</vt:lpstr>
      <vt:lpstr>'2-grupy'!_n2</vt:lpstr>
      <vt:lpstr>'4-grupy'!_n2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2020-06-25T07:15:02Z</dcterms:created>
  <dcterms:modified xsi:type="dcterms:W3CDTF">2020-06-29T11:08:49Z</dcterms:modified>
</cp:coreProperties>
</file>