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tudia\IV semestr\Matematyczne metody analizy danych\Moje\"/>
    </mc:Choice>
  </mc:AlternateContent>
  <xr:revisionPtr revIDLastSave="0" documentId="13_ncr:1_{34CA86A7-F3BE-45E1-9710-6050FC25E88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rysy" sheetId="1" r:id="rId1"/>
    <sheet name="Dźwignia I" sheetId="7" r:id="rId2"/>
    <sheet name="Wzrost" sheetId="6" r:id="rId3"/>
    <sheet name="Dźwignia II" sheetId="8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" i="6" l="1"/>
  <c r="J2" i="1"/>
  <c r="F2" i="1"/>
  <c r="AA3" i="6" l="1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2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2" i="6"/>
  <c r="J3" i="6" a="1"/>
  <c r="J3" i="6" s="1"/>
  <c r="J5" i="6" l="1"/>
  <c r="K5" i="6"/>
  <c r="K4" i="6"/>
  <c r="J6" i="6"/>
  <c r="K7" i="6"/>
  <c r="J4" i="6"/>
  <c r="K3" i="6"/>
  <c r="K6" i="6"/>
  <c r="J7" i="6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G2" i="1"/>
  <c r="P10" i="1" a="1"/>
  <c r="P10" i="1" s="1"/>
  <c r="P3" i="1" l="1" a="1"/>
  <c r="P3" i="1" s="1"/>
  <c r="S12" i="1"/>
  <c r="P15" i="1"/>
  <c r="T13" i="1"/>
  <c r="P11" i="1"/>
  <c r="U14" i="1"/>
  <c r="S13" i="1"/>
  <c r="Q12" i="1"/>
  <c r="U10" i="1"/>
  <c r="Q11" i="1"/>
  <c r="R12" i="1"/>
  <c r="U15" i="1"/>
  <c r="T14" i="1"/>
  <c r="R13" i="1"/>
  <c r="P12" i="1"/>
  <c r="T10" i="1"/>
  <c r="U13" i="1"/>
  <c r="S10" i="1"/>
  <c r="T15" i="1"/>
  <c r="R14" i="1"/>
  <c r="P13" i="1"/>
  <c r="T11" i="1"/>
  <c r="R10" i="1"/>
  <c r="Q15" i="1"/>
  <c r="S14" i="1"/>
  <c r="U11" i="1"/>
  <c r="S15" i="1"/>
  <c r="Q14" i="1"/>
  <c r="U12" i="1"/>
  <c r="S11" i="1"/>
  <c r="Q10" i="1"/>
  <c r="Q13" i="1"/>
  <c r="R15" i="1"/>
  <c r="P14" i="1"/>
  <c r="T12" i="1"/>
  <c r="R11" i="1"/>
  <c r="S5" i="1" l="1"/>
  <c r="S6" i="1"/>
  <c r="R4" i="1"/>
  <c r="T4" i="1"/>
  <c r="T3" i="1"/>
  <c r="U7" i="1"/>
  <c r="P6" i="1"/>
  <c r="U6" i="1"/>
  <c r="R7" i="1"/>
  <c r="R6" i="1"/>
  <c r="P4" i="1"/>
  <c r="Q3" i="1"/>
  <c r="T5" i="1"/>
  <c r="P5" i="1"/>
  <c r="P7" i="1"/>
  <c r="S3" i="1"/>
  <c r="T7" i="1"/>
  <c r="R5" i="1"/>
  <c r="S4" i="1"/>
  <c r="U4" i="1"/>
  <c r="Q4" i="1"/>
  <c r="T6" i="1"/>
  <c r="U5" i="1"/>
  <c r="Q6" i="1"/>
  <c r="U3" i="1"/>
  <c r="Q7" i="1"/>
  <c r="S7" i="1"/>
  <c r="Q5" i="1"/>
  <c r="AG2" i="1" s="1"/>
  <c r="R3" i="1"/>
  <c r="C2" i="7" a="1"/>
  <c r="W10" i="1" a="1"/>
  <c r="K13" i="6"/>
  <c r="K17" i="6" s="1" a="1"/>
  <c r="K17" i="6" s="1"/>
  <c r="J10" i="6" a="1"/>
  <c r="J10" i="6" s="1"/>
  <c r="W10" i="1" l="1"/>
  <c r="W12" i="1"/>
  <c r="W11" i="1"/>
  <c r="W14" i="1"/>
  <c r="W15" i="1"/>
  <c r="W13" i="1"/>
  <c r="O106" i="7"/>
  <c r="CN109" i="7"/>
  <c r="CZ111" i="7"/>
  <c r="AS112" i="7"/>
  <c r="DM112" i="7"/>
  <c r="BH113" i="7"/>
  <c r="EE113" i="7"/>
  <c r="AG114" i="7"/>
  <c r="CQ114" i="7"/>
  <c r="ES114" i="7"/>
  <c r="Q115" i="7"/>
  <c r="AN115" i="7"/>
  <c r="BK115" i="7"/>
  <c r="CC115" i="7"/>
  <c r="CZ115" i="7"/>
  <c r="DW115" i="7"/>
  <c r="EO115" i="7"/>
  <c r="R116" i="7"/>
  <c r="AO116" i="7"/>
  <c r="BG116" i="7"/>
  <c r="CD116" i="7"/>
  <c r="DA116" i="7"/>
  <c r="DS116" i="7"/>
  <c r="EP116" i="7"/>
  <c r="S117" i="7"/>
  <c r="AK117" i="7"/>
  <c r="BH117" i="7"/>
  <c r="CE117" i="7"/>
  <c r="CW117" i="7"/>
  <c r="DT117" i="7"/>
  <c r="EQ117" i="7"/>
  <c r="O118" i="7"/>
  <c r="AI118" i="7"/>
  <c r="AQ118" i="7"/>
  <c r="AY118" i="7"/>
  <c r="BG118" i="7"/>
  <c r="BO118" i="7"/>
  <c r="BW118" i="7"/>
  <c r="CE118" i="7"/>
  <c r="CM118" i="7"/>
  <c r="CU118" i="7"/>
  <c r="DC118" i="7"/>
  <c r="DK118" i="7"/>
  <c r="DS118" i="7"/>
  <c r="EA118" i="7"/>
  <c r="EI118" i="7"/>
  <c r="EQ118" i="7"/>
  <c r="E119" i="7"/>
  <c r="M119" i="7"/>
  <c r="U119" i="7"/>
  <c r="AC119" i="7"/>
  <c r="AK119" i="7"/>
  <c r="AS119" i="7"/>
  <c r="BA119" i="7"/>
  <c r="BI119" i="7"/>
  <c r="BQ119" i="7"/>
  <c r="BY119" i="7"/>
  <c r="CG119" i="7"/>
  <c r="CO119" i="7"/>
  <c r="CW119" i="7"/>
  <c r="DE119" i="7"/>
  <c r="DM119" i="7"/>
  <c r="DU119" i="7"/>
  <c r="EC119" i="7"/>
  <c r="EK119" i="7"/>
  <c r="ES119" i="7"/>
  <c r="G120" i="7"/>
  <c r="BY106" i="7"/>
  <c r="AL110" i="7"/>
  <c r="DC111" i="7"/>
  <c r="AX112" i="7"/>
  <c r="EK112" i="7"/>
  <c r="BK113" i="7"/>
  <c r="EJ113" i="7"/>
  <c r="AW114" i="7"/>
  <c r="CS114" i="7"/>
  <c r="ET114" i="7"/>
  <c r="W115" i="7"/>
  <c r="AO115" i="7"/>
  <c r="BL115" i="7"/>
  <c r="CI115" i="7"/>
  <c r="DA115" i="7"/>
  <c r="DX115" i="7"/>
  <c r="EU115" i="7"/>
  <c r="S116" i="7"/>
  <c r="AP116" i="7"/>
  <c r="BM116" i="7"/>
  <c r="CE116" i="7"/>
  <c r="DB116" i="7"/>
  <c r="DY116" i="7"/>
  <c r="EQ116" i="7"/>
  <c r="T117" i="7"/>
  <c r="AQ117" i="7"/>
  <c r="BI117" i="7"/>
  <c r="CF117" i="7"/>
  <c r="DC117" i="7"/>
  <c r="DU117" i="7"/>
  <c r="ER117" i="7"/>
  <c r="U118" i="7"/>
  <c r="AJ118" i="7"/>
  <c r="AR118" i="7"/>
  <c r="AZ118" i="7"/>
  <c r="BH118" i="7"/>
  <c r="BP118" i="7"/>
  <c r="BX118" i="7"/>
  <c r="CF118" i="7"/>
  <c r="CN118" i="7"/>
  <c r="CV118" i="7"/>
  <c r="DD118" i="7"/>
  <c r="DL118" i="7"/>
  <c r="DT118" i="7"/>
  <c r="EB118" i="7"/>
  <c r="EJ118" i="7"/>
  <c r="ER118" i="7"/>
  <c r="F119" i="7"/>
  <c r="N119" i="7"/>
  <c r="V119" i="7"/>
  <c r="AD119" i="7"/>
  <c r="AL119" i="7"/>
  <c r="AT119" i="7"/>
  <c r="BB119" i="7"/>
  <c r="BJ119" i="7"/>
  <c r="BR119" i="7"/>
  <c r="BZ119" i="7"/>
  <c r="CH119" i="7"/>
  <c r="CP119" i="7"/>
  <c r="CX119" i="7"/>
  <c r="DF119" i="7"/>
  <c r="DN119" i="7"/>
  <c r="DV119" i="7"/>
  <c r="ED119" i="7"/>
  <c r="EL119" i="7"/>
  <c r="ET119" i="7"/>
  <c r="CW106" i="7"/>
  <c r="BI110" i="7"/>
  <c r="EA111" i="7"/>
  <c r="BA112" i="7"/>
  <c r="EP112" i="7"/>
  <c r="CI113" i="7"/>
  <c r="EK113" i="7"/>
  <c r="BB114" i="7"/>
  <c r="DI114" i="7"/>
  <c r="EU114" i="7"/>
  <c r="X115" i="7"/>
  <c r="AU115" i="7"/>
  <c r="BM115" i="7"/>
  <c r="CJ115" i="7"/>
  <c r="DG115" i="7"/>
  <c r="DY115" i="7"/>
  <c r="EV115" i="7"/>
  <c r="Y116" i="7"/>
  <c r="AQ116" i="7"/>
  <c r="BN116" i="7"/>
  <c r="CK116" i="7"/>
  <c r="DC116" i="7"/>
  <c r="DZ116" i="7"/>
  <c r="C117" i="7"/>
  <c r="U117" i="7"/>
  <c r="AR117" i="7"/>
  <c r="BO117" i="7"/>
  <c r="CG117" i="7"/>
  <c r="DD117" i="7"/>
  <c r="EA117" i="7"/>
  <c r="ES117" i="7"/>
  <c r="V118" i="7"/>
  <c r="AK118" i="7"/>
  <c r="AS118" i="7"/>
  <c r="BA118" i="7"/>
  <c r="BI118" i="7"/>
  <c r="BQ118" i="7"/>
  <c r="BY118" i="7"/>
  <c r="CG118" i="7"/>
  <c r="CO118" i="7"/>
  <c r="CW118" i="7"/>
  <c r="DE118" i="7"/>
  <c r="DM118" i="7"/>
  <c r="DU118" i="7"/>
  <c r="EC118" i="7"/>
  <c r="EK118" i="7"/>
  <c r="ES118" i="7"/>
  <c r="G119" i="7"/>
  <c r="O119" i="7"/>
  <c r="W119" i="7"/>
  <c r="AE119" i="7"/>
  <c r="AM119" i="7"/>
  <c r="AU119" i="7"/>
  <c r="BC119" i="7"/>
  <c r="BK119" i="7"/>
  <c r="BS119" i="7"/>
  <c r="CA119" i="7"/>
  <c r="CI119" i="7"/>
  <c r="CQ119" i="7"/>
  <c r="CY119" i="7"/>
  <c r="DG119" i="7"/>
  <c r="DO119" i="7"/>
  <c r="DW119" i="7"/>
  <c r="EE119" i="7"/>
  <c r="EM119" i="7"/>
  <c r="EU119" i="7"/>
  <c r="Z108" i="7"/>
  <c r="BR110" i="7"/>
  <c r="EF111" i="7"/>
  <c r="BY112" i="7"/>
  <c r="ES112" i="7"/>
  <c r="CN113" i="7"/>
  <c r="G114" i="7"/>
  <c r="BC114" i="7"/>
  <c r="DN114" i="7"/>
  <c r="G115" i="7"/>
  <c r="Y115" i="7"/>
  <c r="AV115" i="7"/>
  <c r="BS115" i="7"/>
  <c r="CK115" i="7"/>
  <c r="DH115" i="7"/>
  <c r="EE115" i="7"/>
  <c r="C116" i="7"/>
  <c r="Z116" i="7"/>
  <c r="AW116" i="7"/>
  <c r="BO116" i="7"/>
  <c r="CL116" i="7"/>
  <c r="DI116" i="7"/>
  <c r="EA116" i="7"/>
  <c r="D117" i="7"/>
  <c r="AA117" i="7"/>
  <c r="AS117" i="7"/>
  <c r="BP117" i="7"/>
  <c r="CM117" i="7"/>
  <c r="DE117" i="7"/>
  <c r="EB117" i="7"/>
  <c r="E118" i="7"/>
  <c r="W118" i="7"/>
  <c r="AL118" i="7"/>
  <c r="AT118" i="7"/>
  <c r="BB118" i="7"/>
  <c r="BJ118" i="7"/>
  <c r="BR118" i="7"/>
  <c r="BZ118" i="7"/>
  <c r="CH118" i="7"/>
  <c r="CP118" i="7"/>
  <c r="CX118" i="7"/>
  <c r="DF118" i="7"/>
  <c r="DN118" i="7"/>
  <c r="DV118" i="7"/>
  <c r="ED118" i="7"/>
  <c r="EL118" i="7"/>
  <c r="ET118" i="7"/>
  <c r="H119" i="7"/>
  <c r="P119" i="7"/>
  <c r="X119" i="7"/>
  <c r="AF119" i="7"/>
  <c r="AN119" i="7"/>
  <c r="AV119" i="7"/>
  <c r="BD119" i="7"/>
  <c r="BL119" i="7"/>
  <c r="BT119" i="7"/>
  <c r="CB119" i="7"/>
  <c r="CJ119" i="7"/>
  <c r="CR119" i="7"/>
  <c r="CZ119" i="7"/>
  <c r="DH119" i="7"/>
  <c r="DP119" i="7"/>
  <c r="DX119" i="7"/>
  <c r="EF119" i="7"/>
  <c r="EN119" i="7"/>
  <c r="BU108" i="7"/>
  <c r="P111" i="7"/>
  <c r="EI111" i="7"/>
  <c r="CD112" i="7"/>
  <c r="W113" i="7"/>
  <c r="CQ113" i="7"/>
  <c r="I114" i="7"/>
  <c r="BS114" i="7"/>
  <c r="DO114" i="7"/>
  <c r="H115" i="7"/>
  <c r="AE115" i="7"/>
  <c r="AW115" i="7"/>
  <c r="BT115" i="7"/>
  <c r="CQ115" i="7"/>
  <c r="DI115" i="7"/>
  <c r="EF115" i="7"/>
  <c r="I116" i="7"/>
  <c r="AA116" i="7"/>
  <c r="AX116" i="7"/>
  <c r="BU116" i="7"/>
  <c r="CM116" i="7"/>
  <c r="DJ116" i="7"/>
  <c r="EG116" i="7"/>
  <c r="E117" i="7"/>
  <c r="AB117" i="7"/>
  <c r="AY117" i="7"/>
  <c r="BQ117" i="7"/>
  <c r="CN117" i="7"/>
  <c r="DK117" i="7"/>
  <c r="EC117" i="7"/>
  <c r="F118" i="7"/>
  <c r="AC118" i="7"/>
  <c r="AM118" i="7"/>
  <c r="AU118" i="7"/>
  <c r="BC118" i="7"/>
  <c r="BK118" i="7"/>
  <c r="BS118" i="7"/>
  <c r="CA118" i="7"/>
  <c r="CI118" i="7"/>
  <c r="CQ118" i="7"/>
  <c r="CY118" i="7"/>
  <c r="DG118" i="7"/>
  <c r="DO118" i="7"/>
  <c r="DW118" i="7"/>
  <c r="EE118" i="7"/>
  <c r="EM118" i="7"/>
  <c r="EU118" i="7"/>
  <c r="I119" i="7"/>
  <c r="Q119" i="7"/>
  <c r="Y119" i="7"/>
  <c r="AG119" i="7"/>
  <c r="AO119" i="7"/>
  <c r="AW119" i="7"/>
  <c r="BE119" i="7"/>
  <c r="BM119" i="7"/>
  <c r="BU119" i="7"/>
  <c r="CC119" i="7"/>
  <c r="CK119" i="7"/>
  <c r="CS119" i="7"/>
  <c r="DA119" i="7"/>
  <c r="DI119" i="7"/>
  <c r="DQ119" i="7"/>
  <c r="DY119" i="7"/>
  <c r="EG119" i="7"/>
  <c r="EO119" i="7"/>
  <c r="C120" i="7"/>
  <c r="CL108" i="7"/>
  <c r="AM111" i="7"/>
  <c r="M112" i="7"/>
  <c r="CG112" i="7"/>
  <c r="AB113" i="7"/>
  <c r="DL113" i="7"/>
  <c r="N114" i="7"/>
  <c r="BU114" i="7"/>
  <c r="EE114" i="7"/>
  <c r="I115" i="7"/>
  <c r="AF115" i="7"/>
  <c r="BC115" i="7"/>
  <c r="BU115" i="7"/>
  <c r="CR115" i="7"/>
  <c r="DO115" i="7"/>
  <c r="EG115" i="7"/>
  <c r="J116" i="7"/>
  <c r="AG116" i="7"/>
  <c r="AY116" i="7"/>
  <c r="BV116" i="7"/>
  <c r="CS116" i="7"/>
  <c r="DK116" i="7"/>
  <c r="EH116" i="7"/>
  <c r="K117" i="7"/>
  <c r="AC117" i="7"/>
  <c r="AZ117" i="7"/>
  <c r="BW117" i="7"/>
  <c r="CO117" i="7"/>
  <c r="DL117" i="7"/>
  <c r="EI117" i="7"/>
  <c r="G118" i="7"/>
  <c r="AD118" i="7"/>
  <c r="AN118" i="7"/>
  <c r="AV118" i="7"/>
  <c r="BD118" i="7"/>
  <c r="BL118" i="7"/>
  <c r="BT118" i="7"/>
  <c r="CB118" i="7"/>
  <c r="CJ118" i="7"/>
  <c r="CR118" i="7"/>
  <c r="CZ118" i="7"/>
  <c r="DH118" i="7"/>
  <c r="DP118" i="7"/>
  <c r="DX118" i="7"/>
  <c r="EF118" i="7"/>
  <c r="EN118" i="7"/>
  <c r="EV118" i="7"/>
  <c r="J119" i="7"/>
  <c r="R119" i="7"/>
  <c r="Z119" i="7"/>
  <c r="AH119" i="7"/>
  <c r="AP119" i="7"/>
  <c r="AX119" i="7"/>
  <c r="BF119" i="7"/>
  <c r="BN119" i="7"/>
  <c r="BV119" i="7"/>
  <c r="CD119" i="7"/>
  <c r="CL119" i="7"/>
  <c r="CT119" i="7"/>
  <c r="DB119" i="7"/>
  <c r="DJ119" i="7"/>
  <c r="DR119" i="7"/>
  <c r="DZ119" i="7"/>
  <c r="EH119" i="7"/>
  <c r="EP119" i="7"/>
  <c r="D120" i="7"/>
  <c r="BH109" i="7"/>
  <c r="AV111" i="7"/>
  <c r="R112" i="7"/>
  <c r="DE112" i="7"/>
  <c r="AE113" i="7"/>
  <c r="DM113" i="7"/>
  <c r="AD114" i="7"/>
  <c r="BZ114" i="7"/>
  <c r="EG114" i="7"/>
  <c r="O115" i="7"/>
  <c r="AG115" i="7"/>
  <c r="BD115" i="7"/>
  <c r="CA115" i="7"/>
  <c r="CS115" i="7"/>
  <c r="DP115" i="7"/>
  <c r="EM115" i="7"/>
  <c r="K116" i="7"/>
  <c r="AH116" i="7"/>
  <c r="BE116" i="7"/>
  <c r="BW116" i="7"/>
  <c r="CT116" i="7"/>
  <c r="DQ116" i="7"/>
  <c r="EI116" i="7"/>
  <c r="L117" i="7"/>
  <c r="AI117" i="7"/>
  <c r="BA117" i="7"/>
  <c r="BX117" i="7"/>
  <c r="CU117" i="7"/>
  <c r="DM117" i="7"/>
  <c r="EJ117" i="7"/>
  <c r="M118" i="7"/>
  <c r="AE118" i="7"/>
  <c r="AO118" i="7"/>
  <c r="AW118" i="7"/>
  <c r="BE118" i="7"/>
  <c r="BM118" i="7"/>
  <c r="BU118" i="7"/>
  <c r="CC118" i="7"/>
  <c r="CK118" i="7"/>
  <c r="CS118" i="7"/>
  <c r="DA118" i="7"/>
  <c r="DI118" i="7"/>
  <c r="DQ118" i="7"/>
  <c r="DY118" i="7"/>
  <c r="EG118" i="7"/>
  <c r="EO118" i="7"/>
  <c r="C119" i="7"/>
  <c r="K119" i="7"/>
  <c r="S119" i="7"/>
  <c r="AA119" i="7"/>
  <c r="AI119" i="7"/>
  <c r="AQ119" i="7"/>
  <c r="AY119" i="7"/>
  <c r="BG119" i="7"/>
  <c r="BO119" i="7"/>
  <c r="BW119" i="7"/>
  <c r="CE119" i="7"/>
  <c r="CM119" i="7"/>
  <c r="CU119" i="7"/>
  <c r="DC119" i="7"/>
  <c r="DK119" i="7"/>
  <c r="DS119" i="7"/>
  <c r="EA119" i="7"/>
  <c r="EI119" i="7"/>
  <c r="EQ119" i="7"/>
  <c r="E120" i="7"/>
  <c r="BC113" i="7"/>
  <c r="CB115" i="7"/>
  <c r="CU116" i="7"/>
  <c r="DS117" i="7"/>
  <c r="BV118" i="7"/>
  <c r="EH118" i="7"/>
  <c r="AZ119" i="7"/>
  <c r="DL119" i="7"/>
  <c r="I120" i="7"/>
  <c r="Q120" i="7"/>
  <c r="Y120" i="7"/>
  <c r="AG120" i="7"/>
  <c r="AO120" i="7"/>
  <c r="AW120" i="7"/>
  <c r="BE120" i="7"/>
  <c r="BM120" i="7"/>
  <c r="BU120" i="7"/>
  <c r="CC120" i="7"/>
  <c r="CK120" i="7"/>
  <c r="CS120" i="7"/>
  <c r="DA120" i="7"/>
  <c r="DI120" i="7"/>
  <c r="DQ120" i="7"/>
  <c r="DY120" i="7"/>
  <c r="EG120" i="7"/>
  <c r="EO120" i="7"/>
  <c r="C121" i="7"/>
  <c r="K121" i="7"/>
  <c r="S121" i="7"/>
  <c r="AA121" i="7"/>
  <c r="AI121" i="7"/>
  <c r="AQ121" i="7"/>
  <c r="AY121" i="7"/>
  <c r="BG121" i="7"/>
  <c r="BO121" i="7"/>
  <c r="BW121" i="7"/>
  <c r="CE121" i="7"/>
  <c r="CM121" i="7"/>
  <c r="CU121" i="7"/>
  <c r="DC121" i="7"/>
  <c r="DK121" i="7"/>
  <c r="DS121" i="7"/>
  <c r="EA121" i="7"/>
  <c r="EI121" i="7"/>
  <c r="EQ121" i="7"/>
  <c r="E122" i="7"/>
  <c r="M122" i="7"/>
  <c r="U122" i="7"/>
  <c r="AC122" i="7"/>
  <c r="AK122" i="7"/>
  <c r="AS122" i="7"/>
  <c r="BA122" i="7"/>
  <c r="BI122" i="7"/>
  <c r="BQ122" i="7"/>
  <c r="BY122" i="7"/>
  <c r="CG122" i="7"/>
  <c r="CO122" i="7"/>
  <c r="CW122" i="7"/>
  <c r="DE122" i="7"/>
  <c r="DM122" i="7"/>
  <c r="DU122" i="7"/>
  <c r="EC122" i="7"/>
  <c r="EK122" i="7"/>
  <c r="ES122" i="7"/>
  <c r="G123" i="7"/>
  <c r="O123" i="7"/>
  <c r="W123" i="7"/>
  <c r="AE123" i="7"/>
  <c r="AM123" i="7"/>
  <c r="AU123" i="7"/>
  <c r="BC123" i="7"/>
  <c r="BK123" i="7"/>
  <c r="BS123" i="7"/>
  <c r="CA123" i="7"/>
  <c r="CI123" i="7"/>
  <c r="CQ123" i="7"/>
  <c r="CY123" i="7"/>
  <c r="DG123" i="7"/>
  <c r="DO123" i="7"/>
  <c r="DW123" i="7"/>
  <c r="EE123" i="7"/>
  <c r="EM123" i="7"/>
  <c r="EU123" i="7"/>
  <c r="DO113" i="7"/>
  <c r="CY115" i="7"/>
  <c r="DR116" i="7"/>
  <c r="EK117" i="7"/>
  <c r="CD118" i="7"/>
  <c r="EP118" i="7"/>
  <c r="BH119" i="7"/>
  <c r="DT119" i="7"/>
  <c r="J120" i="7"/>
  <c r="R120" i="7"/>
  <c r="Z120" i="7"/>
  <c r="AH120" i="7"/>
  <c r="AP120" i="7"/>
  <c r="AX120" i="7"/>
  <c r="BF120" i="7"/>
  <c r="BN120" i="7"/>
  <c r="BV120" i="7"/>
  <c r="CD120" i="7"/>
  <c r="CL120" i="7"/>
  <c r="CT120" i="7"/>
  <c r="DB120" i="7"/>
  <c r="DJ120" i="7"/>
  <c r="DR120" i="7"/>
  <c r="DZ120" i="7"/>
  <c r="EH120" i="7"/>
  <c r="EP120" i="7"/>
  <c r="D121" i="7"/>
  <c r="L121" i="7"/>
  <c r="T121" i="7"/>
  <c r="AB121" i="7"/>
  <c r="AJ121" i="7"/>
  <c r="AR121" i="7"/>
  <c r="AZ121" i="7"/>
  <c r="BH121" i="7"/>
  <c r="BP121" i="7"/>
  <c r="BX121" i="7"/>
  <c r="CF121" i="7"/>
  <c r="CN121" i="7"/>
  <c r="CV121" i="7"/>
  <c r="DD121" i="7"/>
  <c r="DL121" i="7"/>
  <c r="DT121" i="7"/>
  <c r="EB121" i="7"/>
  <c r="EJ121" i="7"/>
  <c r="ER121" i="7"/>
  <c r="F122" i="7"/>
  <c r="N122" i="7"/>
  <c r="V122" i="7"/>
  <c r="AD122" i="7"/>
  <c r="AL122" i="7"/>
  <c r="AT122" i="7"/>
  <c r="BB122" i="7"/>
  <c r="BJ122" i="7"/>
  <c r="BR122" i="7"/>
  <c r="BZ122" i="7"/>
  <c r="CH122" i="7"/>
  <c r="CP122" i="7"/>
  <c r="CX122" i="7"/>
  <c r="DF122" i="7"/>
  <c r="DN122" i="7"/>
  <c r="DV122" i="7"/>
  <c r="ED122" i="7"/>
  <c r="EL122" i="7"/>
  <c r="ET122" i="7"/>
  <c r="H123" i="7"/>
  <c r="P123" i="7"/>
  <c r="X123" i="7"/>
  <c r="AF123" i="7"/>
  <c r="AN123" i="7"/>
  <c r="AV123" i="7"/>
  <c r="BD123" i="7"/>
  <c r="BL123" i="7"/>
  <c r="BT123" i="7"/>
  <c r="CB123" i="7"/>
  <c r="CJ123" i="7"/>
  <c r="CR123" i="7"/>
  <c r="CZ123" i="7"/>
  <c r="DH123" i="7"/>
  <c r="DP123" i="7"/>
  <c r="DX123" i="7"/>
  <c r="EF123" i="7"/>
  <c r="EN123" i="7"/>
  <c r="EV123" i="7"/>
  <c r="AE114" i="7"/>
  <c r="DQ115" i="7"/>
  <c r="EO116" i="7"/>
  <c r="N118" i="7"/>
  <c r="CL118" i="7"/>
  <c r="D119" i="7"/>
  <c r="BP119" i="7"/>
  <c r="EB119" i="7"/>
  <c r="K120" i="7"/>
  <c r="S120" i="7"/>
  <c r="AA120" i="7"/>
  <c r="AI120" i="7"/>
  <c r="AQ120" i="7"/>
  <c r="AY120" i="7"/>
  <c r="BG120" i="7"/>
  <c r="BO120" i="7"/>
  <c r="BW120" i="7"/>
  <c r="CE120" i="7"/>
  <c r="CM120" i="7"/>
  <c r="CU120" i="7"/>
  <c r="DC120" i="7"/>
  <c r="DK120" i="7"/>
  <c r="DS120" i="7"/>
  <c r="EA120" i="7"/>
  <c r="EI120" i="7"/>
  <c r="EQ120" i="7"/>
  <c r="E121" i="7"/>
  <c r="M121" i="7"/>
  <c r="U121" i="7"/>
  <c r="AC121" i="7"/>
  <c r="AK121" i="7"/>
  <c r="AS121" i="7"/>
  <c r="BA121" i="7"/>
  <c r="BI121" i="7"/>
  <c r="BQ121" i="7"/>
  <c r="BY121" i="7"/>
  <c r="CG121" i="7"/>
  <c r="CO121" i="7"/>
  <c r="CW121" i="7"/>
  <c r="DE121" i="7"/>
  <c r="DM121" i="7"/>
  <c r="DU121" i="7"/>
  <c r="EC121" i="7"/>
  <c r="EK121" i="7"/>
  <c r="ES121" i="7"/>
  <c r="G122" i="7"/>
  <c r="O122" i="7"/>
  <c r="W122" i="7"/>
  <c r="AE122" i="7"/>
  <c r="AM122" i="7"/>
  <c r="AU122" i="7"/>
  <c r="BC122" i="7"/>
  <c r="BK122" i="7"/>
  <c r="BS122" i="7"/>
  <c r="CA122" i="7"/>
  <c r="CI122" i="7"/>
  <c r="CQ122" i="7"/>
  <c r="CY122" i="7"/>
  <c r="DG122" i="7"/>
  <c r="DO122" i="7"/>
  <c r="DW122" i="7"/>
  <c r="EE122" i="7"/>
  <c r="EM122" i="7"/>
  <c r="EU122" i="7"/>
  <c r="I123" i="7"/>
  <c r="Q123" i="7"/>
  <c r="Y123" i="7"/>
  <c r="AG123" i="7"/>
  <c r="AO123" i="7"/>
  <c r="AW123" i="7"/>
  <c r="BE123" i="7"/>
  <c r="BM123" i="7"/>
  <c r="BU123" i="7"/>
  <c r="CC123" i="7"/>
  <c r="CK123" i="7"/>
  <c r="CS123" i="7"/>
  <c r="DA123" i="7"/>
  <c r="DI123" i="7"/>
  <c r="DQ123" i="7"/>
  <c r="DY123" i="7"/>
  <c r="EG123" i="7"/>
  <c r="EO123" i="7"/>
  <c r="C124" i="7"/>
  <c r="CE109" i="7"/>
  <c r="EK114" i="7"/>
  <c r="Q116" i="7"/>
  <c r="AJ117" i="7"/>
  <c r="AP118" i="7"/>
  <c r="DB118" i="7"/>
  <c r="T119" i="7"/>
  <c r="CF119" i="7"/>
  <c r="ER119" i="7"/>
  <c r="M120" i="7"/>
  <c r="U120" i="7"/>
  <c r="AC120" i="7"/>
  <c r="AK120" i="7"/>
  <c r="AS120" i="7"/>
  <c r="BA120" i="7"/>
  <c r="BI120" i="7"/>
  <c r="BQ120" i="7"/>
  <c r="BY120" i="7"/>
  <c r="CG120" i="7"/>
  <c r="CO120" i="7"/>
  <c r="CW120" i="7"/>
  <c r="DE120" i="7"/>
  <c r="DM120" i="7"/>
  <c r="DU120" i="7"/>
  <c r="EC120" i="7"/>
  <c r="EK120" i="7"/>
  <c r="ES120" i="7"/>
  <c r="G121" i="7"/>
  <c r="O121" i="7"/>
  <c r="W121" i="7"/>
  <c r="AE121" i="7"/>
  <c r="AM121" i="7"/>
  <c r="AU121" i="7"/>
  <c r="BC121" i="7"/>
  <c r="BK121" i="7"/>
  <c r="BS121" i="7"/>
  <c r="CA121" i="7"/>
  <c r="CI121" i="7"/>
  <c r="CQ121" i="7"/>
  <c r="CY121" i="7"/>
  <c r="DG121" i="7"/>
  <c r="DO121" i="7"/>
  <c r="DW121" i="7"/>
  <c r="EE121" i="7"/>
  <c r="EM121" i="7"/>
  <c r="EU121" i="7"/>
  <c r="I122" i="7"/>
  <c r="Q122" i="7"/>
  <c r="Y122" i="7"/>
  <c r="AG122" i="7"/>
  <c r="AO122" i="7"/>
  <c r="AW122" i="7"/>
  <c r="BE122" i="7"/>
  <c r="BM122" i="7"/>
  <c r="BU122" i="7"/>
  <c r="CC122" i="7"/>
  <c r="CK122" i="7"/>
  <c r="CS122" i="7"/>
  <c r="DA122" i="7"/>
  <c r="DI122" i="7"/>
  <c r="DQ122" i="7"/>
  <c r="DY122" i="7"/>
  <c r="EG122" i="7"/>
  <c r="EO122" i="7"/>
  <c r="C123" i="7"/>
  <c r="K123" i="7"/>
  <c r="S123" i="7"/>
  <c r="AA123" i="7"/>
  <c r="AI123" i="7"/>
  <c r="AQ123" i="7"/>
  <c r="AY123" i="7"/>
  <c r="BG123" i="7"/>
  <c r="BO123" i="7"/>
  <c r="BW123" i="7"/>
  <c r="CE123" i="7"/>
  <c r="CM123" i="7"/>
  <c r="CU123" i="7"/>
  <c r="DC123" i="7"/>
  <c r="DK123" i="7"/>
  <c r="DS123" i="7"/>
  <c r="EA123" i="7"/>
  <c r="EI123" i="7"/>
  <c r="EQ123" i="7"/>
  <c r="CU111" i="7"/>
  <c r="P115" i="7"/>
  <c r="AI116" i="7"/>
  <c r="BG117" i="7"/>
  <c r="AX118" i="7"/>
  <c r="DJ118" i="7"/>
  <c r="AB119" i="7"/>
  <c r="CN119" i="7"/>
  <c r="EV119" i="7"/>
  <c r="N120" i="7"/>
  <c r="V120" i="7"/>
  <c r="AD120" i="7"/>
  <c r="AL120" i="7"/>
  <c r="AT120" i="7"/>
  <c r="BB120" i="7"/>
  <c r="BJ120" i="7"/>
  <c r="BR120" i="7"/>
  <c r="BZ120" i="7"/>
  <c r="CH120" i="7"/>
  <c r="CP120" i="7"/>
  <c r="CX120" i="7"/>
  <c r="DF120" i="7"/>
  <c r="DN120" i="7"/>
  <c r="DV120" i="7"/>
  <c r="ED120" i="7"/>
  <c r="EL120" i="7"/>
  <c r="ET120" i="7"/>
  <c r="H121" i="7"/>
  <c r="P121" i="7"/>
  <c r="X121" i="7"/>
  <c r="AF121" i="7"/>
  <c r="AN121" i="7"/>
  <c r="AV121" i="7"/>
  <c r="BD121" i="7"/>
  <c r="BL121" i="7"/>
  <c r="BT121" i="7"/>
  <c r="CB121" i="7"/>
  <c r="CJ121" i="7"/>
  <c r="CR121" i="7"/>
  <c r="CZ121" i="7"/>
  <c r="DH121" i="7"/>
  <c r="DP121" i="7"/>
  <c r="DX121" i="7"/>
  <c r="EF121" i="7"/>
  <c r="EN121" i="7"/>
  <c r="EV121" i="7"/>
  <c r="J122" i="7"/>
  <c r="R122" i="7"/>
  <c r="Z122" i="7"/>
  <c r="AH122" i="7"/>
  <c r="AP122" i="7"/>
  <c r="AX122" i="7"/>
  <c r="BF122" i="7"/>
  <c r="BN122" i="7"/>
  <c r="BV122" i="7"/>
  <c r="CD122" i="7"/>
  <c r="CL122" i="7"/>
  <c r="CT122" i="7"/>
  <c r="DB122" i="7"/>
  <c r="DJ122" i="7"/>
  <c r="DR122" i="7"/>
  <c r="DZ122" i="7"/>
  <c r="EH122" i="7"/>
  <c r="EP122" i="7"/>
  <c r="D123" i="7"/>
  <c r="L123" i="7"/>
  <c r="T123" i="7"/>
  <c r="AB123" i="7"/>
  <c r="AJ123" i="7"/>
  <c r="AR123" i="7"/>
  <c r="AZ123" i="7"/>
  <c r="BH123" i="7"/>
  <c r="BP123" i="7"/>
  <c r="BX123" i="7"/>
  <c r="CF123" i="7"/>
  <c r="CN123" i="7"/>
  <c r="CV123" i="7"/>
  <c r="DD123" i="7"/>
  <c r="DL123" i="7"/>
  <c r="DT123" i="7"/>
  <c r="EB123" i="7"/>
  <c r="EJ123" i="7"/>
  <c r="ER123" i="7"/>
  <c r="DJ112" i="7"/>
  <c r="BE115" i="7"/>
  <c r="CC116" i="7"/>
  <c r="CV117" i="7"/>
  <c r="BN118" i="7"/>
  <c r="DZ118" i="7"/>
  <c r="AR119" i="7"/>
  <c r="DD119" i="7"/>
  <c r="H120" i="7"/>
  <c r="P120" i="7"/>
  <c r="X120" i="7"/>
  <c r="AF120" i="7"/>
  <c r="AN120" i="7"/>
  <c r="AV120" i="7"/>
  <c r="BD120" i="7"/>
  <c r="BL120" i="7"/>
  <c r="BT120" i="7"/>
  <c r="CB120" i="7"/>
  <c r="CJ120" i="7"/>
  <c r="CR120" i="7"/>
  <c r="CZ120" i="7"/>
  <c r="DH120" i="7"/>
  <c r="DP120" i="7"/>
  <c r="DX120" i="7"/>
  <c r="EF120" i="7"/>
  <c r="EN120" i="7"/>
  <c r="EV120" i="7"/>
  <c r="J121" i="7"/>
  <c r="R121" i="7"/>
  <c r="Z121" i="7"/>
  <c r="AH121" i="7"/>
  <c r="AP121" i="7"/>
  <c r="AX121" i="7"/>
  <c r="BF121" i="7"/>
  <c r="BN121" i="7"/>
  <c r="BV121" i="7"/>
  <c r="CD121" i="7"/>
  <c r="CL121" i="7"/>
  <c r="CT121" i="7"/>
  <c r="DB121" i="7"/>
  <c r="DJ121" i="7"/>
  <c r="DR121" i="7"/>
  <c r="DZ121" i="7"/>
  <c r="EH121" i="7"/>
  <c r="EP121" i="7"/>
  <c r="D122" i="7"/>
  <c r="L122" i="7"/>
  <c r="T122" i="7"/>
  <c r="AB122" i="7"/>
  <c r="AJ122" i="7"/>
  <c r="AR122" i="7"/>
  <c r="AZ122" i="7"/>
  <c r="BH122" i="7"/>
  <c r="BP122" i="7"/>
  <c r="BX122" i="7"/>
  <c r="CF122" i="7"/>
  <c r="CN122" i="7"/>
  <c r="CV122" i="7"/>
  <c r="DD122" i="7"/>
  <c r="DL122" i="7"/>
  <c r="DT122" i="7"/>
  <c r="EB122" i="7"/>
  <c r="EJ122" i="7"/>
  <c r="ER122" i="7"/>
  <c r="F123" i="7"/>
  <c r="N123" i="7"/>
  <c r="V123" i="7"/>
  <c r="AD123" i="7"/>
  <c r="AL123" i="7"/>
  <c r="AT123" i="7"/>
  <c r="BB123" i="7"/>
  <c r="BJ123" i="7"/>
  <c r="BR123" i="7"/>
  <c r="BZ123" i="7"/>
  <c r="CH123" i="7"/>
  <c r="CP123" i="7"/>
  <c r="CX123" i="7"/>
  <c r="DF123" i="7"/>
  <c r="DN123" i="7"/>
  <c r="DV123" i="7"/>
  <c r="ED123" i="7"/>
  <c r="EL123" i="7"/>
  <c r="ET123" i="7"/>
  <c r="M117" i="7"/>
  <c r="BX119" i="7"/>
  <c r="AB120" i="7"/>
  <c r="BH120" i="7"/>
  <c r="CN120" i="7"/>
  <c r="DT120" i="7"/>
  <c r="F121" i="7"/>
  <c r="AL121" i="7"/>
  <c r="BR121" i="7"/>
  <c r="CX121" i="7"/>
  <c r="ED121" i="7"/>
  <c r="P122" i="7"/>
  <c r="AV122" i="7"/>
  <c r="CB122" i="7"/>
  <c r="DH122" i="7"/>
  <c r="EN122" i="7"/>
  <c r="Z123" i="7"/>
  <c r="BF123" i="7"/>
  <c r="CL123" i="7"/>
  <c r="DR123" i="7"/>
  <c r="D124" i="7"/>
  <c r="L124" i="7"/>
  <c r="T124" i="7"/>
  <c r="AB124" i="7"/>
  <c r="AJ124" i="7"/>
  <c r="AR124" i="7"/>
  <c r="AZ124" i="7"/>
  <c r="BH124" i="7"/>
  <c r="BP124" i="7"/>
  <c r="BX124" i="7"/>
  <c r="CF124" i="7"/>
  <c r="CN124" i="7"/>
  <c r="CV124" i="7"/>
  <c r="DD124" i="7"/>
  <c r="DL124" i="7"/>
  <c r="DT124" i="7"/>
  <c r="EB124" i="7"/>
  <c r="EJ124" i="7"/>
  <c r="ER124" i="7"/>
  <c r="F125" i="7"/>
  <c r="N125" i="7"/>
  <c r="V125" i="7"/>
  <c r="AD125" i="7"/>
  <c r="AL125" i="7"/>
  <c r="AT125" i="7"/>
  <c r="BB125" i="7"/>
  <c r="BJ125" i="7"/>
  <c r="BR125" i="7"/>
  <c r="BZ125" i="7"/>
  <c r="CH125" i="7"/>
  <c r="CP125" i="7"/>
  <c r="CX125" i="7"/>
  <c r="DF125" i="7"/>
  <c r="DN125" i="7"/>
  <c r="DV125" i="7"/>
  <c r="ED125" i="7"/>
  <c r="EL125" i="7"/>
  <c r="ET125" i="7"/>
  <c r="H126" i="7"/>
  <c r="P126" i="7"/>
  <c r="X126" i="7"/>
  <c r="AF126" i="7"/>
  <c r="AN126" i="7"/>
  <c r="AV126" i="7"/>
  <c r="BD126" i="7"/>
  <c r="BL126" i="7"/>
  <c r="BT126" i="7"/>
  <c r="CB126" i="7"/>
  <c r="CJ126" i="7"/>
  <c r="CR126" i="7"/>
  <c r="CZ126" i="7"/>
  <c r="DH126" i="7"/>
  <c r="DP126" i="7"/>
  <c r="DX126" i="7"/>
  <c r="EF126" i="7"/>
  <c r="EN126" i="7"/>
  <c r="EV126" i="7"/>
  <c r="J127" i="7"/>
  <c r="R127" i="7"/>
  <c r="Z127" i="7"/>
  <c r="AH127" i="7"/>
  <c r="AP127" i="7"/>
  <c r="AX127" i="7"/>
  <c r="BF127" i="7"/>
  <c r="BY117" i="7"/>
  <c r="CV119" i="7"/>
  <c r="AE120" i="7"/>
  <c r="BK120" i="7"/>
  <c r="CQ120" i="7"/>
  <c r="DW120" i="7"/>
  <c r="I121" i="7"/>
  <c r="AO121" i="7"/>
  <c r="BU121" i="7"/>
  <c r="DA121" i="7"/>
  <c r="EG121" i="7"/>
  <c r="S122" i="7"/>
  <c r="AY122" i="7"/>
  <c r="CE122" i="7"/>
  <c r="DK122" i="7"/>
  <c r="EQ122" i="7"/>
  <c r="AC123" i="7"/>
  <c r="BI123" i="7"/>
  <c r="CO123" i="7"/>
  <c r="DU123" i="7"/>
  <c r="E124" i="7"/>
  <c r="M124" i="7"/>
  <c r="U124" i="7"/>
  <c r="AC124" i="7"/>
  <c r="AK124" i="7"/>
  <c r="AS124" i="7"/>
  <c r="BA124" i="7"/>
  <c r="BI124" i="7"/>
  <c r="BQ124" i="7"/>
  <c r="BY124" i="7"/>
  <c r="CG124" i="7"/>
  <c r="CO124" i="7"/>
  <c r="CW124" i="7"/>
  <c r="DE124" i="7"/>
  <c r="DM124" i="7"/>
  <c r="DU124" i="7"/>
  <c r="EC124" i="7"/>
  <c r="EK124" i="7"/>
  <c r="ES124" i="7"/>
  <c r="G125" i="7"/>
  <c r="O125" i="7"/>
  <c r="W125" i="7"/>
  <c r="AE125" i="7"/>
  <c r="AM125" i="7"/>
  <c r="AU125" i="7"/>
  <c r="BC125" i="7"/>
  <c r="BK125" i="7"/>
  <c r="BS125" i="7"/>
  <c r="CA125" i="7"/>
  <c r="CI125" i="7"/>
  <c r="CQ125" i="7"/>
  <c r="CY125" i="7"/>
  <c r="DG125" i="7"/>
  <c r="DO125" i="7"/>
  <c r="DW125" i="7"/>
  <c r="EE125" i="7"/>
  <c r="EM125" i="7"/>
  <c r="EU125" i="7"/>
  <c r="I126" i="7"/>
  <c r="Q126" i="7"/>
  <c r="Y126" i="7"/>
  <c r="AG126" i="7"/>
  <c r="AO126" i="7"/>
  <c r="AW126" i="7"/>
  <c r="BE126" i="7"/>
  <c r="BM126" i="7"/>
  <c r="BU126" i="7"/>
  <c r="CC126" i="7"/>
  <c r="CK126" i="7"/>
  <c r="CS126" i="7"/>
  <c r="DA126" i="7"/>
  <c r="DI126" i="7"/>
  <c r="DQ126" i="7"/>
  <c r="DY126" i="7"/>
  <c r="EG126" i="7"/>
  <c r="EO126" i="7"/>
  <c r="C127" i="7"/>
  <c r="K127" i="7"/>
  <c r="S127" i="7"/>
  <c r="AA127" i="7"/>
  <c r="AI127" i="7"/>
  <c r="AQ127" i="7"/>
  <c r="AY127" i="7"/>
  <c r="BG127" i="7"/>
  <c r="BO127" i="7"/>
  <c r="AG118" i="7"/>
  <c r="EJ119" i="7"/>
  <c r="AJ120" i="7"/>
  <c r="BP120" i="7"/>
  <c r="CV120" i="7"/>
  <c r="EB120" i="7"/>
  <c r="N121" i="7"/>
  <c r="AT121" i="7"/>
  <c r="BZ121" i="7"/>
  <c r="DF121" i="7"/>
  <c r="EL121" i="7"/>
  <c r="X122" i="7"/>
  <c r="BD122" i="7"/>
  <c r="CJ122" i="7"/>
  <c r="DP122" i="7"/>
  <c r="EV122" i="7"/>
  <c r="AH123" i="7"/>
  <c r="BN123" i="7"/>
  <c r="CT123" i="7"/>
  <c r="DZ123" i="7"/>
  <c r="F124" i="7"/>
  <c r="N124" i="7"/>
  <c r="V124" i="7"/>
  <c r="AD124" i="7"/>
  <c r="AL124" i="7"/>
  <c r="AT124" i="7"/>
  <c r="BB124" i="7"/>
  <c r="BJ124" i="7"/>
  <c r="BR124" i="7"/>
  <c r="BZ124" i="7"/>
  <c r="CH124" i="7"/>
  <c r="CP124" i="7"/>
  <c r="CX124" i="7"/>
  <c r="DF124" i="7"/>
  <c r="DN124" i="7"/>
  <c r="DV124" i="7"/>
  <c r="ED124" i="7"/>
  <c r="EL124" i="7"/>
  <c r="ET124" i="7"/>
  <c r="H125" i="7"/>
  <c r="P125" i="7"/>
  <c r="X125" i="7"/>
  <c r="AF125" i="7"/>
  <c r="AN125" i="7"/>
  <c r="AV125" i="7"/>
  <c r="BD125" i="7"/>
  <c r="BL125" i="7"/>
  <c r="BT125" i="7"/>
  <c r="CB125" i="7"/>
  <c r="CJ125" i="7"/>
  <c r="CR125" i="7"/>
  <c r="CZ125" i="7"/>
  <c r="DH125" i="7"/>
  <c r="DP125" i="7"/>
  <c r="DX125" i="7"/>
  <c r="EF125" i="7"/>
  <c r="EN125" i="7"/>
  <c r="EV125" i="7"/>
  <c r="J126" i="7"/>
  <c r="R126" i="7"/>
  <c r="Z126" i="7"/>
  <c r="AH126" i="7"/>
  <c r="AP126" i="7"/>
  <c r="AX126" i="7"/>
  <c r="BF126" i="7"/>
  <c r="BN126" i="7"/>
  <c r="BV126" i="7"/>
  <c r="CD126" i="7"/>
  <c r="CL126" i="7"/>
  <c r="CT126" i="7"/>
  <c r="DB126" i="7"/>
  <c r="DJ126" i="7"/>
  <c r="DR126" i="7"/>
  <c r="DZ126" i="7"/>
  <c r="EH126" i="7"/>
  <c r="EP126" i="7"/>
  <c r="D127" i="7"/>
  <c r="L127" i="7"/>
  <c r="T127" i="7"/>
  <c r="AB127" i="7"/>
  <c r="AJ127" i="7"/>
  <c r="AR127" i="7"/>
  <c r="AZ127" i="7"/>
  <c r="BH127" i="7"/>
  <c r="U112" i="7"/>
  <c r="BF118" i="7"/>
  <c r="F120" i="7"/>
  <c r="AM120" i="7"/>
  <c r="BS120" i="7"/>
  <c r="CY120" i="7"/>
  <c r="EE120" i="7"/>
  <c r="Q121" i="7"/>
  <c r="AW121" i="7"/>
  <c r="CC121" i="7"/>
  <c r="DI121" i="7"/>
  <c r="EO121" i="7"/>
  <c r="AA122" i="7"/>
  <c r="BG122" i="7"/>
  <c r="CM122" i="7"/>
  <c r="DS122" i="7"/>
  <c r="E123" i="7"/>
  <c r="AK123" i="7"/>
  <c r="BQ123" i="7"/>
  <c r="CW123" i="7"/>
  <c r="EC123" i="7"/>
  <c r="G124" i="7"/>
  <c r="O124" i="7"/>
  <c r="W124" i="7"/>
  <c r="AE124" i="7"/>
  <c r="AM124" i="7"/>
  <c r="AU124" i="7"/>
  <c r="BC124" i="7"/>
  <c r="BK124" i="7"/>
  <c r="BS124" i="7"/>
  <c r="CA124" i="7"/>
  <c r="CI124" i="7"/>
  <c r="CQ124" i="7"/>
  <c r="CY124" i="7"/>
  <c r="DG124" i="7"/>
  <c r="DO124" i="7"/>
  <c r="DW124" i="7"/>
  <c r="EE124" i="7"/>
  <c r="EM124" i="7"/>
  <c r="EU124" i="7"/>
  <c r="I125" i="7"/>
  <c r="Q125" i="7"/>
  <c r="Y125" i="7"/>
  <c r="AG125" i="7"/>
  <c r="AO125" i="7"/>
  <c r="AW125" i="7"/>
  <c r="BE125" i="7"/>
  <c r="BM125" i="7"/>
  <c r="BU125" i="7"/>
  <c r="CC125" i="7"/>
  <c r="CK125" i="7"/>
  <c r="CS125" i="7"/>
  <c r="DA125" i="7"/>
  <c r="DI125" i="7"/>
  <c r="DQ125" i="7"/>
  <c r="DY125" i="7"/>
  <c r="EG125" i="7"/>
  <c r="EO125" i="7"/>
  <c r="C126" i="7"/>
  <c r="K126" i="7"/>
  <c r="S126" i="7"/>
  <c r="AA126" i="7"/>
  <c r="AI126" i="7"/>
  <c r="AQ126" i="7"/>
  <c r="AY126" i="7"/>
  <c r="BG126" i="7"/>
  <c r="BO126" i="7"/>
  <c r="BW126" i="7"/>
  <c r="CE126" i="7"/>
  <c r="CM126" i="7"/>
  <c r="CU126" i="7"/>
  <c r="DC126" i="7"/>
  <c r="DK126" i="7"/>
  <c r="DS126" i="7"/>
  <c r="EA126" i="7"/>
  <c r="EI126" i="7"/>
  <c r="EQ126" i="7"/>
  <c r="E127" i="7"/>
  <c r="M127" i="7"/>
  <c r="U127" i="7"/>
  <c r="AC127" i="7"/>
  <c r="AK127" i="7"/>
  <c r="AS127" i="7"/>
  <c r="BA127" i="7"/>
  <c r="BI127" i="7"/>
  <c r="CP114" i="7"/>
  <c r="CT118" i="7"/>
  <c r="L120" i="7"/>
  <c r="AR120" i="7"/>
  <c r="BX120" i="7"/>
  <c r="DD120" i="7"/>
  <c r="EJ120" i="7"/>
  <c r="V121" i="7"/>
  <c r="BB121" i="7"/>
  <c r="CH121" i="7"/>
  <c r="DN121" i="7"/>
  <c r="ET121" i="7"/>
  <c r="AF122" i="7"/>
  <c r="BL122" i="7"/>
  <c r="CR122" i="7"/>
  <c r="DX122" i="7"/>
  <c r="J123" i="7"/>
  <c r="AP123" i="7"/>
  <c r="BV123" i="7"/>
  <c r="DB123" i="7"/>
  <c r="EH123" i="7"/>
  <c r="H124" i="7"/>
  <c r="P124" i="7"/>
  <c r="X124" i="7"/>
  <c r="AF124" i="7"/>
  <c r="AN124" i="7"/>
  <c r="AV124" i="7"/>
  <c r="BD124" i="7"/>
  <c r="BL124" i="7"/>
  <c r="BT124" i="7"/>
  <c r="CB124" i="7"/>
  <c r="CJ124" i="7"/>
  <c r="CR124" i="7"/>
  <c r="CZ124" i="7"/>
  <c r="DH124" i="7"/>
  <c r="DP124" i="7"/>
  <c r="DX124" i="7"/>
  <c r="EF124" i="7"/>
  <c r="EN124" i="7"/>
  <c r="EV124" i="7"/>
  <c r="J125" i="7"/>
  <c r="R125" i="7"/>
  <c r="Z125" i="7"/>
  <c r="AH125" i="7"/>
  <c r="AP125" i="7"/>
  <c r="AX125" i="7"/>
  <c r="BF125" i="7"/>
  <c r="BN125" i="7"/>
  <c r="BV125" i="7"/>
  <c r="CD125" i="7"/>
  <c r="CL125" i="7"/>
  <c r="CT125" i="7"/>
  <c r="DB125" i="7"/>
  <c r="DJ125" i="7"/>
  <c r="DR125" i="7"/>
  <c r="DZ125" i="7"/>
  <c r="EH125" i="7"/>
  <c r="EP125" i="7"/>
  <c r="D126" i="7"/>
  <c r="L126" i="7"/>
  <c r="T126" i="7"/>
  <c r="AB126" i="7"/>
  <c r="AJ126" i="7"/>
  <c r="AR126" i="7"/>
  <c r="AZ126" i="7"/>
  <c r="BH126" i="7"/>
  <c r="BP126" i="7"/>
  <c r="BX126" i="7"/>
  <c r="CF126" i="7"/>
  <c r="CN126" i="7"/>
  <c r="CV126" i="7"/>
  <c r="DD126" i="7"/>
  <c r="DL126" i="7"/>
  <c r="DT126" i="7"/>
  <c r="EB126" i="7"/>
  <c r="EJ126" i="7"/>
  <c r="ER126" i="7"/>
  <c r="F127" i="7"/>
  <c r="N127" i="7"/>
  <c r="V127" i="7"/>
  <c r="AD127" i="7"/>
  <c r="AL127" i="7"/>
  <c r="AT127" i="7"/>
  <c r="BB127" i="7"/>
  <c r="BJ127" i="7"/>
  <c r="BR127" i="7"/>
  <c r="AM115" i="7"/>
  <c r="DR118" i="7"/>
  <c r="O120" i="7"/>
  <c r="AU120" i="7"/>
  <c r="CA120" i="7"/>
  <c r="DG120" i="7"/>
  <c r="EM120" i="7"/>
  <c r="Y121" i="7"/>
  <c r="BE121" i="7"/>
  <c r="CK121" i="7"/>
  <c r="DQ121" i="7"/>
  <c r="C122" i="7"/>
  <c r="AI122" i="7"/>
  <c r="BO122" i="7"/>
  <c r="CU122" i="7"/>
  <c r="EA122" i="7"/>
  <c r="M123" i="7"/>
  <c r="AS123" i="7"/>
  <c r="BY123" i="7"/>
  <c r="DE123" i="7"/>
  <c r="EK123" i="7"/>
  <c r="I124" i="7"/>
  <c r="Q124" i="7"/>
  <c r="Y124" i="7"/>
  <c r="AG124" i="7"/>
  <c r="AO124" i="7"/>
  <c r="AW124" i="7"/>
  <c r="BE124" i="7"/>
  <c r="BM124" i="7"/>
  <c r="BU124" i="7"/>
  <c r="CC124" i="7"/>
  <c r="CK124" i="7"/>
  <c r="CS124" i="7"/>
  <c r="DA124" i="7"/>
  <c r="DI124" i="7"/>
  <c r="DQ124" i="7"/>
  <c r="DY124" i="7"/>
  <c r="EG124" i="7"/>
  <c r="EO124" i="7"/>
  <c r="C125" i="7"/>
  <c r="K125" i="7"/>
  <c r="S125" i="7"/>
  <c r="AA125" i="7"/>
  <c r="AI125" i="7"/>
  <c r="AQ125" i="7"/>
  <c r="AY125" i="7"/>
  <c r="BG125" i="7"/>
  <c r="BO125" i="7"/>
  <c r="BW125" i="7"/>
  <c r="CE125" i="7"/>
  <c r="CM125" i="7"/>
  <c r="CU125" i="7"/>
  <c r="DC125" i="7"/>
  <c r="DK125" i="7"/>
  <c r="DS125" i="7"/>
  <c r="EA125" i="7"/>
  <c r="EI125" i="7"/>
  <c r="EQ125" i="7"/>
  <c r="E126" i="7"/>
  <c r="M126" i="7"/>
  <c r="U126" i="7"/>
  <c r="AC126" i="7"/>
  <c r="AK126" i="7"/>
  <c r="AS126" i="7"/>
  <c r="BA126" i="7"/>
  <c r="BI126" i="7"/>
  <c r="BQ126" i="7"/>
  <c r="BY126" i="7"/>
  <c r="CG126" i="7"/>
  <c r="CO126" i="7"/>
  <c r="CW126" i="7"/>
  <c r="DE126" i="7"/>
  <c r="DM126" i="7"/>
  <c r="DU126" i="7"/>
  <c r="EC126" i="7"/>
  <c r="EK126" i="7"/>
  <c r="ES126" i="7"/>
  <c r="G127" i="7"/>
  <c r="O127" i="7"/>
  <c r="W127" i="7"/>
  <c r="AE127" i="7"/>
  <c r="AM127" i="7"/>
  <c r="AU127" i="7"/>
  <c r="BC127" i="7"/>
  <c r="BK127" i="7"/>
  <c r="EN115" i="7"/>
  <c r="L119" i="7"/>
  <c r="T120" i="7"/>
  <c r="AZ120" i="7"/>
  <c r="CF120" i="7"/>
  <c r="DL120" i="7"/>
  <c r="ER120" i="7"/>
  <c r="AD121" i="7"/>
  <c r="BJ121" i="7"/>
  <c r="CP121" i="7"/>
  <c r="DV121" i="7"/>
  <c r="H122" i="7"/>
  <c r="AN122" i="7"/>
  <c r="BT122" i="7"/>
  <c r="CZ122" i="7"/>
  <c r="EF122" i="7"/>
  <c r="R123" i="7"/>
  <c r="AX123" i="7"/>
  <c r="CD123" i="7"/>
  <c r="DJ123" i="7"/>
  <c r="EP123" i="7"/>
  <c r="J124" i="7"/>
  <c r="R124" i="7"/>
  <c r="Z124" i="7"/>
  <c r="AH124" i="7"/>
  <c r="AP124" i="7"/>
  <c r="AX124" i="7"/>
  <c r="BF124" i="7"/>
  <c r="BN124" i="7"/>
  <c r="BV124" i="7"/>
  <c r="CD124" i="7"/>
  <c r="CL124" i="7"/>
  <c r="CT124" i="7"/>
  <c r="DB124" i="7"/>
  <c r="DJ124" i="7"/>
  <c r="DR124" i="7"/>
  <c r="DZ124" i="7"/>
  <c r="EH124" i="7"/>
  <c r="EP124" i="7"/>
  <c r="D125" i="7"/>
  <c r="L125" i="7"/>
  <c r="T125" i="7"/>
  <c r="AB125" i="7"/>
  <c r="AJ125" i="7"/>
  <c r="AR125" i="7"/>
  <c r="AZ125" i="7"/>
  <c r="BH125" i="7"/>
  <c r="BP125" i="7"/>
  <c r="BX125" i="7"/>
  <c r="CF125" i="7"/>
  <c r="CN125" i="7"/>
  <c r="CV125" i="7"/>
  <c r="DD125" i="7"/>
  <c r="DL125" i="7"/>
  <c r="DT125" i="7"/>
  <c r="EB125" i="7"/>
  <c r="EJ125" i="7"/>
  <c r="ER125" i="7"/>
  <c r="F126" i="7"/>
  <c r="N126" i="7"/>
  <c r="V126" i="7"/>
  <c r="AD126" i="7"/>
  <c r="AL126" i="7"/>
  <c r="AT126" i="7"/>
  <c r="BB126" i="7"/>
  <c r="BJ126" i="7"/>
  <c r="BR126" i="7"/>
  <c r="BZ126" i="7"/>
  <c r="CH126" i="7"/>
  <c r="CP126" i="7"/>
  <c r="CX126" i="7"/>
  <c r="DF126" i="7"/>
  <c r="DN126" i="7"/>
  <c r="DV126" i="7"/>
  <c r="ED126" i="7"/>
  <c r="EL126" i="7"/>
  <c r="ET126" i="7"/>
  <c r="H127" i="7"/>
  <c r="P127" i="7"/>
  <c r="X127" i="7"/>
  <c r="AF127" i="7"/>
  <c r="AN127" i="7"/>
  <c r="AV127" i="7"/>
  <c r="BD127" i="7"/>
  <c r="BL127" i="7"/>
  <c r="BF116" i="7"/>
  <c r="AJ119" i="7"/>
  <c r="W120" i="7"/>
  <c r="BC120" i="7"/>
  <c r="CI120" i="7"/>
  <c r="DO120" i="7"/>
  <c r="EU120" i="7"/>
  <c r="AG121" i="7"/>
  <c r="BM121" i="7"/>
  <c r="CS121" i="7"/>
  <c r="DY121" i="7"/>
  <c r="K122" i="7"/>
  <c r="AQ122" i="7"/>
  <c r="BW122" i="7"/>
  <c r="DC122" i="7"/>
  <c r="EI122" i="7"/>
  <c r="U123" i="7"/>
  <c r="BA123" i="7"/>
  <c r="CG123" i="7"/>
  <c r="DM123" i="7"/>
  <c r="ES123" i="7"/>
  <c r="K124" i="7"/>
  <c r="S124" i="7"/>
  <c r="AA124" i="7"/>
  <c r="AI124" i="7"/>
  <c r="AQ124" i="7"/>
  <c r="AY124" i="7"/>
  <c r="BG124" i="7"/>
  <c r="BO124" i="7"/>
  <c r="BW124" i="7"/>
  <c r="CE124" i="7"/>
  <c r="CM124" i="7"/>
  <c r="CU124" i="7"/>
  <c r="DC124" i="7"/>
  <c r="DK124" i="7"/>
  <c r="DS124" i="7"/>
  <c r="EA124" i="7"/>
  <c r="EI124" i="7"/>
  <c r="EQ124" i="7"/>
  <c r="E125" i="7"/>
  <c r="M125" i="7"/>
  <c r="U125" i="7"/>
  <c r="AC125" i="7"/>
  <c r="AK125" i="7"/>
  <c r="AS125" i="7"/>
  <c r="BA125" i="7"/>
  <c r="BI125" i="7"/>
  <c r="BQ125" i="7"/>
  <c r="BY125" i="7"/>
  <c r="CG125" i="7"/>
  <c r="CO125" i="7"/>
  <c r="CW125" i="7"/>
  <c r="DE125" i="7"/>
  <c r="DM125" i="7"/>
  <c r="DU125" i="7"/>
  <c r="EC125" i="7"/>
  <c r="EK125" i="7"/>
  <c r="ES125" i="7"/>
  <c r="G126" i="7"/>
  <c r="O126" i="7"/>
  <c r="W126" i="7"/>
  <c r="AE126" i="7"/>
  <c r="AM126" i="7"/>
  <c r="AU126" i="7"/>
  <c r="BC126" i="7"/>
  <c r="BK126" i="7"/>
  <c r="BS126" i="7"/>
  <c r="CA126" i="7"/>
  <c r="CI126" i="7"/>
  <c r="CQ126" i="7"/>
  <c r="CY126" i="7"/>
  <c r="DG126" i="7"/>
  <c r="DO126" i="7"/>
  <c r="DW126" i="7"/>
  <c r="EE126" i="7"/>
  <c r="EM126" i="7"/>
  <c r="EU126" i="7"/>
  <c r="I127" i="7"/>
  <c r="Q127" i="7"/>
  <c r="Y127" i="7"/>
  <c r="AG127" i="7"/>
  <c r="AO127" i="7"/>
  <c r="AW127" i="7"/>
  <c r="BE127" i="7"/>
  <c r="BM127" i="7"/>
  <c r="BW127" i="7"/>
  <c r="CE127" i="7"/>
  <c r="CM127" i="7"/>
  <c r="CU127" i="7"/>
  <c r="DC127" i="7"/>
  <c r="DK127" i="7"/>
  <c r="DS127" i="7"/>
  <c r="EA127" i="7"/>
  <c r="EI127" i="7"/>
  <c r="EQ127" i="7"/>
  <c r="E128" i="7"/>
  <c r="M128" i="7"/>
  <c r="U128" i="7"/>
  <c r="AC128" i="7"/>
  <c r="AK128" i="7"/>
  <c r="AS128" i="7"/>
  <c r="BA128" i="7"/>
  <c r="BI128" i="7"/>
  <c r="BQ128" i="7"/>
  <c r="BY128" i="7"/>
  <c r="CG128" i="7"/>
  <c r="CO128" i="7"/>
  <c r="CW128" i="7"/>
  <c r="DE128" i="7"/>
  <c r="DM128" i="7"/>
  <c r="DU128" i="7"/>
  <c r="EC128" i="7"/>
  <c r="EK128" i="7"/>
  <c r="ES128" i="7"/>
  <c r="G129" i="7"/>
  <c r="O129" i="7"/>
  <c r="W129" i="7"/>
  <c r="AE129" i="7"/>
  <c r="AM129" i="7"/>
  <c r="AU129" i="7"/>
  <c r="BC129" i="7"/>
  <c r="BK129" i="7"/>
  <c r="BS129" i="7"/>
  <c r="CA129" i="7"/>
  <c r="CI129" i="7"/>
  <c r="CQ129" i="7"/>
  <c r="CY129" i="7"/>
  <c r="DG129" i="7"/>
  <c r="DO129" i="7"/>
  <c r="DW129" i="7"/>
  <c r="EE129" i="7"/>
  <c r="EM129" i="7"/>
  <c r="EU129" i="7"/>
  <c r="I130" i="7"/>
  <c r="Q130" i="7"/>
  <c r="Y130" i="7"/>
  <c r="AG130" i="7"/>
  <c r="AO130" i="7"/>
  <c r="AW130" i="7"/>
  <c r="BE130" i="7"/>
  <c r="BM130" i="7"/>
  <c r="BU130" i="7"/>
  <c r="CC130" i="7"/>
  <c r="CK130" i="7"/>
  <c r="CS130" i="7"/>
  <c r="DA130" i="7"/>
  <c r="DI130" i="7"/>
  <c r="DQ130" i="7"/>
  <c r="DY130" i="7"/>
  <c r="EG130" i="7"/>
  <c r="EO130" i="7"/>
  <c r="C131" i="7"/>
  <c r="K131" i="7"/>
  <c r="S131" i="7"/>
  <c r="AA131" i="7"/>
  <c r="AI131" i="7"/>
  <c r="AQ131" i="7"/>
  <c r="AY131" i="7"/>
  <c r="BG131" i="7"/>
  <c r="BO131" i="7"/>
  <c r="BW131" i="7"/>
  <c r="CE131" i="7"/>
  <c r="CM131" i="7"/>
  <c r="CU131" i="7"/>
  <c r="DC131" i="7"/>
  <c r="DK131" i="7"/>
  <c r="DS131" i="7"/>
  <c r="EA131" i="7"/>
  <c r="EI131" i="7"/>
  <c r="EQ131" i="7"/>
  <c r="BN127" i="7"/>
  <c r="BX127" i="7"/>
  <c r="CF127" i="7"/>
  <c r="CN127" i="7"/>
  <c r="CV127" i="7"/>
  <c r="DD127" i="7"/>
  <c r="DL127" i="7"/>
  <c r="DT127" i="7"/>
  <c r="EB127" i="7"/>
  <c r="EJ127" i="7"/>
  <c r="ER127" i="7"/>
  <c r="F128" i="7"/>
  <c r="N128" i="7"/>
  <c r="V128" i="7"/>
  <c r="AD128" i="7"/>
  <c r="AL128" i="7"/>
  <c r="AT128" i="7"/>
  <c r="BB128" i="7"/>
  <c r="BJ128" i="7"/>
  <c r="BR128" i="7"/>
  <c r="BZ128" i="7"/>
  <c r="CH128" i="7"/>
  <c r="CP128" i="7"/>
  <c r="CX128" i="7"/>
  <c r="DF128" i="7"/>
  <c r="DN128" i="7"/>
  <c r="DV128" i="7"/>
  <c r="ED128" i="7"/>
  <c r="EL128" i="7"/>
  <c r="ET128" i="7"/>
  <c r="H129" i="7"/>
  <c r="P129" i="7"/>
  <c r="X129" i="7"/>
  <c r="AF129" i="7"/>
  <c r="AN129" i="7"/>
  <c r="AV129" i="7"/>
  <c r="BD129" i="7"/>
  <c r="BL129" i="7"/>
  <c r="BT129" i="7"/>
  <c r="CB129" i="7"/>
  <c r="CJ129" i="7"/>
  <c r="CR129" i="7"/>
  <c r="CZ129" i="7"/>
  <c r="DH129" i="7"/>
  <c r="DP129" i="7"/>
  <c r="DX129" i="7"/>
  <c r="EF129" i="7"/>
  <c r="EN129" i="7"/>
  <c r="EV129" i="7"/>
  <c r="J130" i="7"/>
  <c r="R130" i="7"/>
  <c r="Z130" i="7"/>
  <c r="AH130" i="7"/>
  <c r="AP130" i="7"/>
  <c r="AX130" i="7"/>
  <c r="BF130" i="7"/>
  <c r="BN130" i="7"/>
  <c r="BV130" i="7"/>
  <c r="CD130" i="7"/>
  <c r="CL130" i="7"/>
  <c r="CT130" i="7"/>
  <c r="DB130" i="7"/>
  <c r="DJ130" i="7"/>
  <c r="DR130" i="7"/>
  <c r="DZ130" i="7"/>
  <c r="EH130" i="7"/>
  <c r="EP130" i="7"/>
  <c r="D131" i="7"/>
  <c r="L131" i="7"/>
  <c r="T131" i="7"/>
  <c r="AB131" i="7"/>
  <c r="AJ131" i="7"/>
  <c r="AR131" i="7"/>
  <c r="AZ131" i="7"/>
  <c r="BH131" i="7"/>
  <c r="BP131" i="7"/>
  <c r="BX131" i="7"/>
  <c r="CF131" i="7"/>
  <c r="CN131" i="7"/>
  <c r="CV131" i="7"/>
  <c r="DD131" i="7"/>
  <c r="DL131" i="7"/>
  <c r="DT131" i="7"/>
  <c r="EB131" i="7"/>
  <c r="EJ131" i="7"/>
  <c r="ER131" i="7"/>
  <c r="BP127" i="7"/>
  <c r="BY127" i="7"/>
  <c r="CG127" i="7"/>
  <c r="CO127" i="7"/>
  <c r="CW127" i="7"/>
  <c r="DE127" i="7"/>
  <c r="DM127" i="7"/>
  <c r="DU127" i="7"/>
  <c r="EC127" i="7"/>
  <c r="EK127" i="7"/>
  <c r="ES127" i="7"/>
  <c r="G128" i="7"/>
  <c r="O128" i="7"/>
  <c r="W128" i="7"/>
  <c r="AE128" i="7"/>
  <c r="AM128" i="7"/>
  <c r="AU128" i="7"/>
  <c r="BC128" i="7"/>
  <c r="BK128" i="7"/>
  <c r="BS128" i="7"/>
  <c r="CA128" i="7"/>
  <c r="CI128" i="7"/>
  <c r="CQ128" i="7"/>
  <c r="CY128" i="7"/>
  <c r="DG128" i="7"/>
  <c r="DO128" i="7"/>
  <c r="DW128" i="7"/>
  <c r="EE128" i="7"/>
  <c r="EM128" i="7"/>
  <c r="EU128" i="7"/>
  <c r="I129" i="7"/>
  <c r="Q129" i="7"/>
  <c r="Y129" i="7"/>
  <c r="AG129" i="7"/>
  <c r="AO129" i="7"/>
  <c r="AW129" i="7"/>
  <c r="BE129" i="7"/>
  <c r="BM129" i="7"/>
  <c r="BU129" i="7"/>
  <c r="CC129" i="7"/>
  <c r="CK129" i="7"/>
  <c r="CS129" i="7"/>
  <c r="DA129" i="7"/>
  <c r="DI129" i="7"/>
  <c r="DQ129" i="7"/>
  <c r="DY129" i="7"/>
  <c r="EG129" i="7"/>
  <c r="EO129" i="7"/>
  <c r="C130" i="7"/>
  <c r="K130" i="7"/>
  <c r="S130" i="7"/>
  <c r="AA130" i="7"/>
  <c r="AI130" i="7"/>
  <c r="AQ130" i="7"/>
  <c r="AY130" i="7"/>
  <c r="BG130" i="7"/>
  <c r="BO130" i="7"/>
  <c r="BW130" i="7"/>
  <c r="CE130" i="7"/>
  <c r="CM130" i="7"/>
  <c r="CU130" i="7"/>
  <c r="DC130" i="7"/>
  <c r="DK130" i="7"/>
  <c r="DS130" i="7"/>
  <c r="EA130" i="7"/>
  <c r="EI130" i="7"/>
  <c r="EQ130" i="7"/>
  <c r="E131" i="7"/>
  <c r="M131" i="7"/>
  <c r="U131" i="7"/>
  <c r="AC131" i="7"/>
  <c r="AK131" i="7"/>
  <c r="AS131" i="7"/>
  <c r="BA131" i="7"/>
  <c r="BI131" i="7"/>
  <c r="BQ131" i="7"/>
  <c r="BY131" i="7"/>
  <c r="CG131" i="7"/>
  <c r="CO131" i="7"/>
  <c r="CW131" i="7"/>
  <c r="DE131" i="7"/>
  <c r="DM131" i="7"/>
  <c r="DU131" i="7"/>
  <c r="EC131" i="7"/>
  <c r="EK131" i="7"/>
  <c r="ES131" i="7"/>
  <c r="BQ127" i="7"/>
  <c r="BZ127" i="7"/>
  <c r="CH127" i="7"/>
  <c r="CP127" i="7"/>
  <c r="CX127" i="7"/>
  <c r="DF127" i="7"/>
  <c r="DN127" i="7"/>
  <c r="DV127" i="7"/>
  <c r="ED127" i="7"/>
  <c r="EL127" i="7"/>
  <c r="ET127" i="7"/>
  <c r="H128" i="7"/>
  <c r="P128" i="7"/>
  <c r="X128" i="7"/>
  <c r="AF128" i="7"/>
  <c r="AN128" i="7"/>
  <c r="AV128" i="7"/>
  <c r="BD128" i="7"/>
  <c r="BL128" i="7"/>
  <c r="BT128" i="7"/>
  <c r="CB128" i="7"/>
  <c r="CJ128" i="7"/>
  <c r="CR128" i="7"/>
  <c r="CZ128" i="7"/>
  <c r="DH128" i="7"/>
  <c r="DP128" i="7"/>
  <c r="DX128" i="7"/>
  <c r="EF128" i="7"/>
  <c r="EN128" i="7"/>
  <c r="EV128" i="7"/>
  <c r="J129" i="7"/>
  <c r="R129" i="7"/>
  <c r="Z129" i="7"/>
  <c r="AH129" i="7"/>
  <c r="AP129" i="7"/>
  <c r="AX129" i="7"/>
  <c r="BF129" i="7"/>
  <c r="BN129" i="7"/>
  <c r="BV129" i="7"/>
  <c r="CD129" i="7"/>
  <c r="CL129" i="7"/>
  <c r="CT129" i="7"/>
  <c r="DB129" i="7"/>
  <c r="DJ129" i="7"/>
  <c r="DR129" i="7"/>
  <c r="DZ129" i="7"/>
  <c r="EH129" i="7"/>
  <c r="EP129" i="7"/>
  <c r="D130" i="7"/>
  <c r="L130" i="7"/>
  <c r="T130" i="7"/>
  <c r="AB130" i="7"/>
  <c r="AJ130" i="7"/>
  <c r="AR130" i="7"/>
  <c r="AZ130" i="7"/>
  <c r="BH130" i="7"/>
  <c r="BP130" i="7"/>
  <c r="BX130" i="7"/>
  <c r="CF130" i="7"/>
  <c r="CN130" i="7"/>
  <c r="CV130" i="7"/>
  <c r="DD130" i="7"/>
  <c r="DL130" i="7"/>
  <c r="DT130" i="7"/>
  <c r="EB130" i="7"/>
  <c r="EJ130" i="7"/>
  <c r="ER130" i="7"/>
  <c r="F131" i="7"/>
  <c r="N131" i="7"/>
  <c r="V131" i="7"/>
  <c r="AD131" i="7"/>
  <c r="AL131" i="7"/>
  <c r="AT131" i="7"/>
  <c r="BB131" i="7"/>
  <c r="BJ131" i="7"/>
  <c r="BR131" i="7"/>
  <c r="BZ131" i="7"/>
  <c r="CH131" i="7"/>
  <c r="CP131" i="7"/>
  <c r="CX131" i="7"/>
  <c r="DF131" i="7"/>
  <c r="DN131" i="7"/>
  <c r="DV131" i="7"/>
  <c r="ED131" i="7"/>
  <c r="EL131" i="7"/>
  <c r="BS127" i="7"/>
  <c r="CA127" i="7"/>
  <c r="CI127" i="7"/>
  <c r="CQ127" i="7"/>
  <c r="CY127" i="7"/>
  <c r="DG127" i="7"/>
  <c r="DO127" i="7"/>
  <c r="DW127" i="7"/>
  <c r="EE127" i="7"/>
  <c r="EM127" i="7"/>
  <c r="EU127" i="7"/>
  <c r="I128" i="7"/>
  <c r="Q128" i="7"/>
  <c r="Y128" i="7"/>
  <c r="AG128" i="7"/>
  <c r="AO128" i="7"/>
  <c r="AW128" i="7"/>
  <c r="BE128" i="7"/>
  <c r="BM128" i="7"/>
  <c r="BU128" i="7"/>
  <c r="CC128" i="7"/>
  <c r="CK128" i="7"/>
  <c r="CS128" i="7"/>
  <c r="DA128" i="7"/>
  <c r="DI128" i="7"/>
  <c r="DQ128" i="7"/>
  <c r="DY128" i="7"/>
  <c r="EG128" i="7"/>
  <c r="EO128" i="7"/>
  <c r="C129" i="7"/>
  <c r="K129" i="7"/>
  <c r="S129" i="7"/>
  <c r="AA129" i="7"/>
  <c r="AI129" i="7"/>
  <c r="AQ129" i="7"/>
  <c r="AY129" i="7"/>
  <c r="BG129" i="7"/>
  <c r="BO129" i="7"/>
  <c r="BW129" i="7"/>
  <c r="CE129" i="7"/>
  <c r="CM129" i="7"/>
  <c r="CU129" i="7"/>
  <c r="DC129" i="7"/>
  <c r="DK129" i="7"/>
  <c r="DS129" i="7"/>
  <c r="EA129" i="7"/>
  <c r="EI129" i="7"/>
  <c r="EQ129" i="7"/>
  <c r="E130" i="7"/>
  <c r="M130" i="7"/>
  <c r="U130" i="7"/>
  <c r="AC130" i="7"/>
  <c r="AK130" i="7"/>
  <c r="AS130" i="7"/>
  <c r="BA130" i="7"/>
  <c r="BI130" i="7"/>
  <c r="BQ130" i="7"/>
  <c r="BY130" i="7"/>
  <c r="CG130" i="7"/>
  <c r="CO130" i="7"/>
  <c r="CW130" i="7"/>
  <c r="DE130" i="7"/>
  <c r="DM130" i="7"/>
  <c r="DU130" i="7"/>
  <c r="EC130" i="7"/>
  <c r="EK130" i="7"/>
  <c r="ES130" i="7"/>
  <c r="G131" i="7"/>
  <c r="O131" i="7"/>
  <c r="W131" i="7"/>
  <c r="AE131" i="7"/>
  <c r="AM131" i="7"/>
  <c r="AU131" i="7"/>
  <c r="BC131" i="7"/>
  <c r="BK131" i="7"/>
  <c r="BS131" i="7"/>
  <c r="CA131" i="7"/>
  <c r="CI131" i="7"/>
  <c r="CQ131" i="7"/>
  <c r="CY131" i="7"/>
  <c r="DG131" i="7"/>
  <c r="DO131" i="7"/>
  <c r="DW131" i="7"/>
  <c r="EE131" i="7"/>
  <c r="EM131" i="7"/>
  <c r="BT127" i="7"/>
  <c r="CB127" i="7"/>
  <c r="CJ127" i="7"/>
  <c r="CR127" i="7"/>
  <c r="CZ127" i="7"/>
  <c r="DH127" i="7"/>
  <c r="DP127" i="7"/>
  <c r="DX127" i="7"/>
  <c r="EF127" i="7"/>
  <c r="EN127" i="7"/>
  <c r="EV127" i="7"/>
  <c r="J128" i="7"/>
  <c r="R128" i="7"/>
  <c r="Z128" i="7"/>
  <c r="AH128" i="7"/>
  <c r="AP128" i="7"/>
  <c r="AX128" i="7"/>
  <c r="BF128" i="7"/>
  <c r="BN128" i="7"/>
  <c r="BV128" i="7"/>
  <c r="CD128" i="7"/>
  <c r="CL128" i="7"/>
  <c r="CT128" i="7"/>
  <c r="DB128" i="7"/>
  <c r="DJ128" i="7"/>
  <c r="DR128" i="7"/>
  <c r="DZ128" i="7"/>
  <c r="EH128" i="7"/>
  <c r="EP128" i="7"/>
  <c r="D129" i="7"/>
  <c r="L129" i="7"/>
  <c r="T129" i="7"/>
  <c r="AB129" i="7"/>
  <c r="AJ129" i="7"/>
  <c r="AR129" i="7"/>
  <c r="AZ129" i="7"/>
  <c r="BH129" i="7"/>
  <c r="BP129" i="7"/>
  <c r="BX129" i="7"/>
  <c r="CF129" i="7"/>
  <c r="CN129" i="7"/>
  <c r="CV129" i="7"/>
  <c r="DD129" i="7"/>
  <c r="DL129" i="7"/>
  <c r="DT129" i="7"/>
  <c r="EB129" i="7"/>
  <c r="EJ129" i="7"/>
  <c r="ER129" i="7"/>
  <c r="F130" i="7"/>
  <c r="N130" i="7"/>
  <c r="V130" i="7"/>
  <c r="AD130" i="7"/>
  <c r="AL130" i="7"/>
  <c r="AT130" i="7"/>
  <c r="BB130" i="7"/>
  <c r="BJ130" i="7"/>
  <c r="BR130" i="7"/>
  <c r="BZ130" i="7"/>
  <c r="CH130" i="7"/>
  <c r="CP130" i="7"/>
  <c r="CX130" i="7"/>
  <c r="DF130" i="7"/>
  <c r="DN130" i="7"/>
  <c r="DV130" i="7"/>
  <c r="ED130" i="7"/>
  <c r="EL130" i="7"/>
  <c r="ET130" i="7"/>
  <c r="H131" i="7"/>
  <c r="P131" i="7"/>
  <c r="X131" i="7"/>
  <c r="AF131" i="7"/>
  <c r="AN131" i="7"/>
  <c r="AV131" i="7"/>
  <c r="BD131" i="7"/>
  <c r="BL131" i="7"/>
  <c r="BT131" i="7"/>
  <c r="CB131" i="7"/>
  <c r="CJ131" i="7"/>
  <c r="CR131" i="7"/>
  <c r="CZ131" i="7"/>
  <c r="DH131" i="7"/>
  <c r="DP131" i="7"/>
  <c r="DX131" i="7"/>
  <c r="EF131" i="7"/>
  <c r="EN131" i="7"/>
  <c r="BU127" i="7"/>
  <c r="CC127" i="7"/>
  <c r="CK127" i="7"/>
  <c r="CS127" i="7"/>
  <c r="DA127" i="7"/>
  <c r="DI127" i="7"/>
  <c r="DQ127" i="7"/>
  <c r="DY127" i="7"/>
  <c r="EG127" i="7"/>
  <c r="EO127" i="7"/>
  <c r="C128" i="7"/>
  <c r="K128" i="7"/>
  <c r="S128" i="7"/>
  <c r="AA128" i="7"/>
  <c r="AI128" i="7"/>
  <c r="AQ128" i="7"/>
  <c r="AY128" i="7"/>
  <c r="BG128" i="7"/>
  <c r="BO128" i="7"/>
  <c r="BW128" i="7"/>
  <c r="CE128" i="7"/>
  <c r="CM128" i="7"/>
  <c r="CU128" i="7"/>
  <c r="DC128" i="7"/>
  <c r="DK128" i="7"/>
  <c r="DS128" i="7"/>
  <c r="EA128" i="7"/>
  <c r="EI128" i="7"/>
  <c r="EQ128" i="7"/>
  <c r="E129" i="7"/>
  <c r="M129" i="7"/>
  <c r="U129" i="7"/>
  <c r="AC129" i="7"/>
  <c r="AK129" i="7"/>
  <c r="AS129" i="7"/>
  <c r="BA129" i="7"/>
  <c r="BI129" i="7"/>
  <c r="BQ129" i="7"/>
  <c r="BY129" i="7"/>
  <c r="CG129" i="7"/>
  <c r="CO129" i="7"/>
  <c r="CW129" i="7"/>
  <c r="DE129" i="7"/>
  <c r="DM129" i="7"/>
  <c r="DU129" i="7"/>
  <c r="EC129" i="7"/>
  <c r="EK129" i="7"/>
  <c r="ES129" i="7"/>
  <c r="G130" i="7"/>
  <c r="O130" i="7"/>
  <c r="W130" i="7"/>
  <c r="AE130" i="7"/>
  <c r="AM130" i="7"/>
  <c r="AU130" i="7"/>
  <c r="BC130" i="7"/>
  <c r="BK130" i="7"/>
  <c r="BS130" i="7"/>
  <c r="CA130" i="7"/>
  <c r="CI130" i="7"/>
  <c r="CQ130" i="7"/>
  <c r="CY130" i="7"/>
  <c r="DG130" i="7"/>
  <c r="DO130" i="7"/>
  <c r="DW130" i="7"/>
  <c r="EE130" i="7"/>
  <c r="EM130" i="7"/>
  <c r="EU130" i="7"/>
  <c r="I131" i="7"/>
  <c r="Q131" i="7"/>
  <c r="Y131" i="7"/>
  <c r="AG131" i="7"/>
  <c r="AO131" i="7"/>
  <c r="AW131" i="7"/>
  <c r="BE131" i="7"/>
  <c r="BM131" i="7"/>
  <c r="BU131" i="7"/>
  <c r="CC131" i="7"/>
  <c r="CK131" i="7"/>
  <c r="CS131" i="7"/>
  <c r="DA131" i="7"/>
  <c r="DI131" i="7"/>
  <c r="DQ131" i="7"/>
  <c r="DY131" i="7"/>
  <c r="EG131" i="7"/>
  <c r="EO131" i="7"/>
  <c r="BV127" i="7"/>
  <c r="CD127" i="7"/>
  <c r="CL127" i="7"/>
  <c r="CT127" i="7"/>
  <c r="DB127" i="7"/>
  <c r="DJ127" i="7"/>
  <c r="DR127" i="7"/>
  <c r="DZ127" i="7"/>
  <c r="EH127" i="7"/>
  <c r="EP127" i="7"/>
  <c r="D128" i="7"/>
  <c r="L128" i="7"/>
  <c r="T128" i="7"/>
  <c r="AB128" i="7"/>
  <c r="AJ128" i="7"/>
  <c r="AR128" i="7"/>
  <c r="AZ128" i="7"/>
  <c r="BH128" i="7"/>
  <c r="BP128" i="7"/>
  <c r="BX128" i="7"/>
  <c r="CF128" i="7"/>
  <c r="CN128" i="7"/>
  <c r="CV128" i="7"/>
  <c r="DD128" i="7"/>
  <c r="DL128" i="7"/>
  <c r="DT128" i="7"/>
  <c r="EB128" i="7"/>
  <c r="EJ128" i="7"/>
  <c r="ER128" i="7"/>
  <c r="F129" i="7"/>
  <c r="N129" i="7"/>
  <c r="V129" i="7"/>
  <c r="AD129" i="7"/>
  <c r="AL129" i="7"/>
  <c r="AT129" i="7"/>
  <c r="BB129" i="7"/>
  <c r="BJ129" i="7"/>
  <c r="BR129" i="7"/>
  <c r="BZ129" i="7"/>
  <c r="CH129" i="7"/>
  <c r="CP129" i="7"/>
  <c r="CX129" i="7"/>
  <c r="DF129" i="7"/>
  <c r="DN129" i="7"/>
  <c r="DV129" i="7"/>
  <c r="ED129" i="7"/>
  <c r="EL129" i="7"/>
  <c r="ET129" i="7"/>
  <c r="H130" i="7"/>
  <c r="P130" i="7"/>
  <c r="X130" i="7"/>
  <c r="AF130" i="7"/>
  <c r="AN130" i="7"/>
  <c r="AV130" i="7"/>
  <c r="BD130" i="7"/>
  <c r="BL130" i="7"/>
  <c r="BT130" i="7"/>
  <c r="CB130" i="7"/>
  <c r="CJ130" i="7"/>
  <c r="CR130" i="7"/>
  <c r="CZ130" i="7"/>
  <c r="DH130" i="7"/>
  <c r="DP130" i="7"/>
  <c r="DX130" i="7"/>
  <c r="EF130" i="7"/>
  <c r="EN130" i="7"/>
  <c r="EV130" i="7"/>
  <c r="J131" i="7"/>
  <c r="R131" i="7"/>
  <c r="Z131" i="7"/>
  <c r="AH131" i="7"/>
  <c r="AP131" i="7"/>
  <c r="AX131" i="7"/>
  <c r="BF131" i="7"/>
  <c r="BN131" i="7"/>
  <c r="BV131" i="7"/>
  <c r="CD131" i="7"/>
  <c r="CL131" i="7"/>
  <c r="CT131" i="7"/>
  <c r="DB131" i="7"/>
  <c r="DJ131" i="7"/>
  <c r="DR131" i="7"/>
  <c r="D132" i="7"/>
  <c r="L132" i="7"/>
  <c r="T132" i="7"/>
  <c r="AB132" i="7"/>
  <c r="AJ132" i="7"/>
  <c r="AR132" i="7"/>
  <c r="AZ132" i="7"/>
  <c r="BH132" i="7"/>
  <c r="BP132" i="7"/>
  <c r="BX132" i="7"/>
  <c r="CF132" i="7"/>
  <c r="CN132" i="7"/>
  <c r="CV132" i="7"/>
  <c r="DD132" i="7"/>
  <c r="DL132" i="7"/>
  <c r="DT132" i="7"/>
  <c r="EB132" i="7"/>
  <c r="EJ132" i="7"/>
  <c r="ER132" i="7"/>
  <c r="F133" i="7"/>
  <c r="N133" i="7"/>
  <c r="V133" i="7"/>
  <c r="AD133" i="7"/>
  <c r="AL133" i="7"/>
  <c r="AT133" i="7"/>
  <c r="BB133" i="7"/>
  <c r="BJ133" i="7"/>
  <c r="BR133" i="7"/>
  <c r="BZ133" i="7"/>
  <c r="CH133" i="7"/>
  <c r="CP133" i="7"/>
  <c r="CX133" i="7"/>
  <c r="DF133" i="7"/>
  <c r="DN133" i="7"/>
  <c r="DV133" i="7"/>
  <c r="ED133" i="7"/>
  <c r="EL133" i="7"/>
  <c r="ET133" i="7"/>
  <c r="H134" i="7"/>
  <c r="P134" i="7"/>
  <c r="X134" i="7"/>
  <c r="AF134" i="7"/>
  <c r="AN134" i="7"/>
  <c r="AV134" i="7"/>
  <c r="BD134" i="7"/>
  <c r="BL134" i="7"/>
  <c r="BT134" i="7"/>
  <c r="CB134" i="7"/>
  <c r="CJ134" i="7"/>
  <c r="CR134" i="7"/>
  <c r="CZ134" i="7"/>
  <c r="DH134" i="7"/>
  <c r="DP134" i="7"/>
  <c r="DX134" i="7"/>
  <c r="EF134" i="7"/>
  <c r="EN134" i="7"/>
  <c r="EV134" i="7"/>
  <c r="J135" i="7"/>
  <c r="R135" i="7"/>
  <c r="Z135" i="7"/>
  <c r="AH135" i="7"/>
  <c r="AP135" i="7"/>
  <c r="AX135" i="7"/>
  <c r="BF135" i="7"/>
  <c r="BN135" i="7"/>
  <c r="BV135" i="7"/>
  <c r="CD135" i="7"/>
  <c r="CL135" i="7"/>
  <c r="CT135" i="7"/>
  <c r="DB135" i="7"/>
  <c r="DJ135" i="7"/>
  <c r="DR135" i="7"/>
  <c r="DZ135" i="7"/>
  <c r="EH135" i="7"/>
  <c r="EP135" i="7"/>
  <c r="D136" i="7"/>
  <c r="L136" i="7"/>
  <c r="T136" i="7"/>
  <c r="AB136" i="7"/>
  <c r="AJ136" i="7"/>
  <c r="AR136" i="7"/>
  <c r="AZ136" i="7"/>
  <c r="BH136" i="7"/>
  <c r="BP136" i="7"/>
  <c r="BX136" i="7"/>
  <c r="DZ131" i="7"/>
  <c r="E132" i="7"/>
  <c r="M132" i="7"/>
  <c r="U132" i="7"/>
  <c r="AC132" i="7"/>
  <c r="AK132" i="7"/>
  <c r="AS132" i="7"/>
  <c r="BA132" i="7"/>
  <c r="BI132" i="7"/>
  <c r="BQ132" i="7"/>
  <c r="BY132" i="7"/>
  <c r="CG132" i="7"/>
  <c r="CO132" i="7"/>
  <c r="CW132" i="7"/>
  <c r="DE132" i="7"/>
  <c r="DM132" i="7"/>
  <c r="DU132" i="7"/>
  <c r="EC132" i="7"/>
  <c r="EK132" i="7"/>
  <c r="ES132" i="7"/>
  <c r="G133" i="7"/>
  <c r="O133" i="7"/>
  <c r="W133" i="7"/>
  <c r="AE133" i="7"/>
  <c r="AM133" i="7"/>
  <c r="AU133" i="7"/>
  <c r="BC133" i="7"/>
  <c r="BK133" i="7"/>
  <c r="BS133" i="7"/>
  <c r="CA133" i="7"/>
  <c r="CI133" i="7"/>
  <c r="CQ133" i="7"/>
  <c r="CY133" i="7"/>
  <c r="DG133" i="7"/>
  <c r="DO133" i="7"/>
  <c r="DW133" i="7"/>
  <c r="EE133" i="7"/>
  <c r="EM133" i="7"/>
  <c r="EU133" i="7"/>
  <c r="I134" i="7"/>
  <c r="Q134" i="7"/>
  <c r="Y134" i="7"/>
  <c r="AG134" i="7"/>
  <c r="AO134" i="7"/>
  <c r="AW134" i="7"/>
  <c r="BE134" i="7"/>
  <c r="BM134" i="7"/>
  <c r="BU134" i="7"/>
  <c r="CC134" i="7"/>
  <c r="CK134" i="7"/>
  <c r="CS134" i="7"/>
  <c r="DA134" i="7"/>
  <c r="DI134" i="7"/>
  <c r="DQ134" i="7"/>
  <c r="DY134" i="7"/>
  <c r="EG134" i="7"/>
  <c r="EO134" i="7"/>
  <c r="C135" i="7"/>
  <c r="K135" i="7"/>
  <c r="S135" i="7"/>
  <c r="AA135" i="7"/>
  <c r="AI135" i="7"/>
  <c r="AQ135" i="7"/>
  <c r="AY135" i="7"/>
  <c r="BG135" i="7"/>
  <c r="BO135" i="7"/>
  <c r="BW135" i="7"/>
  <c r="CE135" i="7"/>
  <c r="CM135" i="7"/>
  <c r="CU135" i="7"/>
  <c r="DC135" i="7"/>
  <c r="DK135" i="7"/>
  <c r="DS135" i="7"/>
  <c r="EA135" i="7"/>
  <c r="EI135" i="7"/>
  <c r="EQ135" i="7"/>
  <c r="E136" i="7"/>
  <c r="M136" i="7"/>
  <c r="U136" i="7"/>
  <c r="AC136" i="7"/>
  <c r="AK136" i="7"/>
  <c r="AS136" i="7"/>
  <c r="BA136" i="7"/>
  <c r="BI136" i="7"/>
  <c r="BQ136" i="7"/>
  <c r="BY136" i="7"/>
  <c r="EH131" i="7"/>
  <c r="F132" i="7"/>
  <c r="N132" i="7"/>
  <c r="V132" i="7"/>
  <c r="AD132" i="7"/>
  <c r="AL132" i="7"/>
  <c r="AT132" i="7"/>
  <c r="BB132" i="7"/>
  <c r="BJ132" i="7"/>
  <c r="BR132" i="7"/>
  <c r="BZ132" i="7"/>
  <c r="CH132" i="7"/>
  <c r="CP132" i="7"/>
  <c r="CX132" i="7"/>
  <c r="DF132" i="7"/>
  <c r="DN132" i="7"/>
  <c r="DV132" i="7"/>
  <c r="ED132" i="7"/>
  <c r="EL132" i="7"/>
  <c r="ET132" i="7"/>
  <c r="H133" i="7"/>
  <c r="P133" i="7"/>
  <c r="X133" i="7"/>
  <c r="AF133" i="7"/>
  <c r="AN133" i="7"/>
  <c r="AV133" i="7"/>
  <c r="BD133" i="7"/>
  <c r="BL133" i="7"/>
  <c r="BT133" i="7"/>
  <c r="CB133" i="7"/>
  <c r="CJ133" i="7"/>
  <c r="CR133" i="7"/>
  <c r="CZ133" i="7"/>
  <c r="DH133" i="7"/>
  <c r="DP133" i="7"/>
  <c r="DX133" i="7"/>
  <c r="EF133" i="7"/>
  <c r="EN133" i="7"/>
  <c r="EV133" i="7"/>
  <c r="J134" i="7"/>
  <c r="R134" i="7"/>
  <c r="Z134" i="7"/>
  <c r="AH134" i="7"/>
  <c r="AP134" i="7"/>
  <c r="AX134" i="7"/>
  <c r="BF134" i="7"/>
  <c r="BN134" i="7"/>
  <c r="BV134" i="7"/>
  <c r="CD134" i="7"/>
  <c r="CL134" i="7"/>
  <c r="CT134" i="7"/>
  <c r="DB134" i="7"/>
  <c r="DJ134" i="7"/>
  <c r="DR134" i="7"/>
  <c r="DZ134" i="7"/>
  <c r="EH134" i="7"/>
  <c r="EP134" i="7"/>
  <c r="D135" i="7"/>
  <c r="L135" i="7"/>
  <c r="T135" i="7"/>
  <c r="AB135" i="7"/>
  <c r="AJ135" i="7"/>
  <c r="AR135" i="7"/>
  <c r="AZ135" i="7"/>
  <c r="BH135" i="7"/>
  <c r="BP135" i="7"/>
  <c r="BX135" i="7"/>
  <c r="CF135" i="7"/>
  <c r="CN135" i="7"/>
  <c r="CV135" i="7"/>
  <c r="DD135" i="7"/>
  <c r="DL135" i="7"/>
  <c r="DT135" i="7"/>
  <c r="EB135" i="7"/>
  <c r="EJ135" i="7"/>
  <c r="ER135" i="7"/>
  <c r="F136" i="7"/>
  <c r="N136" i="7"/>
  <c r="V136" i="7"/>
  <c r="AD136" i="7"/>
  <c r="AL136" i="7"/>
  <c r="AT136" i="7"/>
  <c r="BB136" i="7"/>
  <c r="BJ136" i="7"/>
  <c r="BR136" i="7"/>
  <c r="BZ136" i="7"/>
  <c r="CH136" i="7"/>
  <c r="EP131" i="7"/>
  <c r="G132" i="7"/>
  <c r="O132" i="7"/>
  <c r="W132" i="7"/>
  <c r="AE132" i="7"/>
  <c r="AM132" i="7"/>
  <c r="AU132" i="7"/>
  <c r="BC132" i="7"/>
  <c r="BK132" i="7"/>
  <c r="BS132" i="7"/>
  <c r="CA132" i="7"/>
  <c r="CI132" i="7"/>
  <c r="CQ132" i="7"/>
  <c r="CY132" i="7"/>
  <c r="DG132" i="7"/>
  <c r="DO132" i="7"/>
  <c r="DW132" i="7"/>
  <c r="EE132" i="7"/>
  <c r="EM132" i="7"/>
  <c r="EU132" i="7"/>
  <c r="I133" i="7"/>
  <c r="Q133" i="7"/>
  <c r="Y133" i="7"/>
  <c r="AG133" i="7"/>
  <c r="AO133" i="7"/>
  <c r="AW133" i="7"/>
  <c r="BE133" i="7"/>
  <c r="BM133" i="7"/>
  <c r="BU133" i="7"/>
  <c r="CC133" i="7"/>
  <c r="CK133" i="7"/>
  <c r="CS133" i="7"/>
  <c r="DA133" i="7"/>
  <c r="DI133" i="7"/>
  <c r="DQ133" i="7"/>
  <c r="DY133" i="7"/>
  <c r="EG133" i="7"/>
  <c r="EO133" i="7"/>
  <c r="C134" i="7"/>
  <c r="K134" i="7"/>
  <c r="S134" i="7"/>
  <c r="AA134" i="7"/>
  <c r="AI134" i="7"/>
  <c r="AQ134" i="7"/>
  <c r="AY134" i="7"/>
  <c r="BG134" i="7"/>
  <c r="BO134" i="7"/>
  <c r="BW134" i="7"/>
  <c r="CE134" i="7"/>
  <c r="CM134" i="7"/>
  <c r="CU134" i="7"/>
  <c r="DC134" i="7"/>
  <c r="DK134" i="7"/>
  <c r="DS134" i="7"/>
  <c r="EA134" i="7"/>
  <c r="EI134" i="7"/>
  <c r="EQ134" i="7"/>
  <c r="E135" i="7"/>
  <c r="M135" i="7"/>
  <c r="U135" i="7"/>
  <c r="AC135" i="7"/>
  <c r="AK135" i="7"/>
  <c r="AS135" i="7"/>
  <c r="BA135" i="7"/>
  <c r="BI135" i="7"/>
  <c r="BQ135" i="7"/>
  <c r="BY135" i="7"/>
  <c r="CG135" i="7"/>
  <c r="CO135" i="7"/>
  <c r="CW135" i="7"/>
  <c r="DE135" i="7"/>
  <c r="DM135" i="7"/>
  <c r="DU135" i="7"/>
  <c r="EC135" i="7"/>
  <c r="EK135" i="7"/>
  <c r="ES135" i="7"/>
  <c r="G136" i="7"/>
  <c r="O136" i="7"/>
  <c r="W136" i="7"/>
  <c r="AE136" i="7"/>
  <c r="AM136" i="7"/>
  <c r="AU136" i="7"/>
  <c r="BC136" i="7"/>
  <c r="BK136" i="7"/>
  <c r="BS136" i="7"/>
  <c r="CA136" i="7"/>
  <c r="CI136" i="7"/>
  <c r="ET131" i="7"/>
  <c r="H132" i="7"/>
  <c r="P132" i="7"/>
  <c r="X132" i="7"/>
  <c r="AF132" i="7"/>
  <c r="AN132" i="7"/>
  <c r="AV132" i="7"/>
  <c r="BD132" i="7"/>
  <c r="BL132" i="7"/>
  <c r="BT132" i="7"/>
  <c r="CB132" i="7"/>
  <c r="CJ132" i="7"/>
  <c r="CR132" i="7"/>
  <c r="CZ132" i="7"/>
  <c r="DH132" i="7"/>
  <c r="DP132" i="7"/>
  <c r="DX132" i="7"/>
  <c r="EF132" i="7"/>
  <c r="EN132" i="7"/>
  <c r="EV132" i="7"/>
  <c r="J133" i="7"/>
  <c r="R133" i="7"/>
  <c r="Z133" i="7"/>
  <c r="AH133" i="7"/>
  <c r="AP133" i="7"/>
  <c r="AX133" i="7"/>
  <c r="BF133" i="7"/>
  <c r="BN133" i="7"/>
  <c r="BV133" i="7"/>
  <c r="CD133" i="7"/>
  <c r="CL133" i="7"/>
  <c r="CT133" i="7"/>
  <c r="DB133" i="7"/>
  <c r="DJ133" i="7"/>
  <c r="DR133" i="7"/>
  <c r="DZ133" i="7"/>
  <c r="EH133" i="7"/>
  <c r="EP133" i="7"/>
  <c r="D134" i="7"/>
  <c r="L134" i="7"/>
  <c r="T134" i="7"/>
  <c r="AB134" i="7"/>
  <c r="AJ134" i="7"/>
  <c r="AR134" i="7"/>
  <c r="AZ134" i="7"/>
  <c r="BH134" i="7"/>
  <c r="BP134" i="7"/>
  <c r="BX134" i="7"/>
  <c r="CF134" i="7"/>
  <c r="CN134" i="7"/>
  <c r="CV134" i="7"/>
  <c r="DD134" i="7"/>
  <c r="DL134" i="7"/>
  <c r="DT134" i="7"/>
  <c r="EB134" i="7"/>
  <c r="EJ134" i="7"/>
  <c r="ER134" i="7"/>
  <c r="F135" i="7"/>
  <c r="N135" i="7"/>
  <c r="V135" i="7"/>
  <c r="AD135" i="7"/>
  <c r="AL135" i="7"/>
  <c r="AT135" i="7"/>
  <c r="BB135" i="7"/>
  <c r="BJ135" i="7"/>
  <c r="BR135" i="7"/>
  <c r="BZ135" i="7"/>
  <c r="CH135" i="7"/>
  <c r="CP135" i="7"/>
  <c r="CX135" i="7"/>
  <c r="DF135" i="7"/>
  <c r="DN135" i="7"/>
  <c r="DV135" i="7"/>
  <c r="ED135" i="7"/>
  <c r="EL135" i="7"/>
  <c r="ET135" i="7"/>
  <c r="H136" i="7"/>
  <c r="P136" i="7"/>
  <c r="X136" i="7"/>
  <c r="AF136" i="7"/>
  <c r="AN136" i="7"/>
  <c r="AV136" i="7"/>
  <c r="BD136" i="7"/>
  <c r="BL136" i="7"/>
  <c r="BT136" i="7"/>
  <c r="CB136" i="7"/>
  <c r="EU131" i="7"/>
  <c r="I132" i="7"/>
  <c r="Q132" i="7"/>
  <c r="Y132" i="7"/>
  <c r="AG132" i="7"/>
  <c r="AO132" i="7"/>
  <c r="AW132" i="7"/>
  <c r="BE132" i="7"/>
  <c r="BM132" i="7"/>
  <c r="BU132" i="7"/>
  <c r="CC132" i="7"/>
  <c r="CK132" i="7"/>
  <c r="CS132" i="7"/>
  <c r="DA132" i="7"/>
  <c r="DI132" i="7"/>
  <c r="DQ132" i="7"/>
  <c r="DY132" i="7"/>
  <c r="EG132" i="7"/>
  <c r="EO132" i="7"/>
  <c r="C133" i="7"/>
  <c r="K133" i="7"/>
  <c r="S133" i="7"/>
  <c r="AA133" i="7"/>
  <c r="AI133" i="7"/>
  <c r="AQ133" i="7"/>
  <c r="AY133" i="7"/>
  <c r="BG133" i="7"/>
  <c r="BO133" i="7"/>
  <c r="BW133" i="7"/>
  <c r="CE133" i="7"/>
  <c r="CM133" i="7"/>
  <c r="CU133" i="7"/>
  <c r="DC133" i="7"/>
  <c r="DK133" i="7"/>
  <c r="DS133" i="7"/>
  <c r="EA133" i="7"/>
  <c r="EI133" i="7"/>
  <c r="EQ133" i="7"/>
  <c r="E134" i="7"/>
  <c r="M134" i="7"/>
  <c r="U134" i="7"/>
  <c r="AC134" i="7"/>
  <c r="AK134" i="7"/>
  <c r="AS134" i="7"/>
  <c r="BA134" i="7"/>
  <c r="BI134" i="7"/>
  <c r="BQ134" i="7"/>
  <c r="BY134" i="7"/>
  <c r="CG134" i="7"/>
  <c r="CO134" i="7"/>
  <c r="CW134" i="7"/>
  <c r="DE134" i="7"/>
  <c r="DM134" i="7"/>
  <c r="DU134" i="7"/>
  <c r="EC134" i="7"/>
  <c r="EK134" i="7"/>
  <c r="ES134" i="7"/>
  <c r="G135" i="7"/>
  <c r="O135" i="7"/>
  <c r="W135" i="7"/>
  <c r="AE135" i="7"/>
  <c r="AM135" i="7"/>
  <c r="AU135" i="7"/>
  <c r="BC135" i="7"/>
  <c r="BK135" i="7"/>
  <c r="BS135" i="7"/>
  <c r="CA135" i="7"/>
  <c r="CI135" i="7"/>
  <c r="CQ135" i="7"/>
  <c r="CY135" i="7"/>
  <c r="DG135" i="7"/>
  <c r="DO135" i="7"/>
  <c r="DW135" i="7"/>
  <c r="EE135" i="7"/>
  <c r="EM135" i="7"/>
  <c r="EU135" i="7"/>
  <c r="I136" i="7"/>
  <c r="Q136" i="7"/>
  <c r="Y136" i="7"/>
  <c r="AG136" i="7"/>
  <c r="AO136" i="7"/>
  <c r="AW136" i="7"/>
  <c r="BE136" i="7"/>
  <c r="BM136" i="7"/>
  <c r="BU136" i="7"/>
  <c r="CC136" i="7"/>
  <c r="CK136" i="7"/>
  <c r="EV131" i="7"/>
  <c r="J132" i="7"/>
  <c r="R132" i="7"/>
  <c r="Z132" i="7"/>
  <c r="AH132" i="7"/>
  <c r="AP132" i="7"/>
  <c r="AX132" i="7"/>
  <c r="BF132" i="7"/>
  <c r="BN132" i="7"/>
  <c r="BV132" i="7"/>
  <c r="CD132" i="7"/>
  <c r="CL132" i="7"/>
  <c r="CT132" i="7"/>
  <c r="DB132" i="7"/>
  <c r="DJ132" i="7"/>
  <c r="DR132" i="7"/>
  <c r="DZ132" i="7"/>
  <c r="EH132" i="7"/>
  <c r="EP132" i="7"/>
  <c r="D133" i="7"/>
  <c r="L133" i="7"/>
  <c r="T133" i="7"/>
  <c r="AB133" i="7"/>
  <c r="AJ133" i="7"/>
  <c r="AR133" i="7"/>
  <c r="AZ133" i="7"/>
  <c r="BH133" i="7"/>
  <c r="BP133" i="7"/>
  <c r="BX133" i="7"/>
  <c r="CF133" i="7"/>
  <c r="CN133" i="7"/>
  <c r="CV133" i="7"/>
  <c r="DD133" i="7"/>
  <c r="DL133" i="7"/>
  <c r="DT133" i="7"/>
  <c r="EB133" i="7"/>
  <c r="EJ133" i="7"/>
  <c r="ER133" i="7"/>
  <c r="F134" i="7"/>
  <c r="N134" i="7"/>
  <c r="V134" i="7"/>
  <c r="AD134" i="7"/>
  <c r="AL134" i="7"/>
  <c r="AT134" i="7"/>
  <c r="BB134" i="7"/>
  <c r="BJ134" i="7"/>
  <c r="BR134" i="7"/>
  <c r="BZ134" i="7"/>
  <c r="CH134" i="7"/>
  <c r="CP134" i="7"/>
  <c r="CX134" i="7"/>
  <c r="DF134" i="7"/>
  <c r="DN134" i="7"/>
  <c r="DV134" i="7"/>
  <c r="ED134" i="7"/>
  <c r="EL134" i="7"/>
  <c r="ET134" i="7"/>
  <c r="H135" i="7"/>
  <c r="P135" i="7"/>
  <c r="X135" i="7"/>
  <c r="AF135" i="7"/>
  <c r="AN135" i="7"/>
  <c r="AV135" i="7"/>
  <c r="BD135" i="7"/>
  <c r="BL135" i="7"/>
  <c r="BT135" i="7"/>
  <c r="CB135" i="7"/>
  <c r="CJ135" i="7"/>
  <c r="CR135" i="7"/>
  <c r="CZ135" i="7"/>
  <c r="DH135" i="7"/>
  <c r="DP135" i="7"/>
  <c r="DX135" i="7"/>
  <c r="EF135" i="7"/>
  <c r="EN135" i="7"/>
  <c r="EV135" i="7"/>
  <c r="J136" i="7"/>
  <c r="R136" i="7"/>
  <c r="Z136" i="7"/>
  <c r="AH136" i="7"/>
  <c r="AP136" i="7"/>
  <c r="AX136" i="7"/>
  <c r="BF136" i="7"/>
  <c r="BN136" i="7"/>
  <c r="BV136" i="7"/>
  <c r="C132" i="7"/>
  <c r="K132" i="7"/>
  <c r="S132" i="7"/>
  <c r="AA132" i="7"/>
  <c r="AI132" i="7"/>
  <c r="AQ132" i="7"/>
  <c r="AY132" i="7"/>
  <c r="BG132" i="7"/>
  <c r="BO132" i="7"/>
  <c r="BW132" i="7"/>
  <c r="CE132" i="7"/>
  <c r="CM132" i="7"/>
  <c r="CU132" i="7"/>
  <c r="DC132" i="7"/>
  <c r="DK132" i="7"/>
  <c r="DS132" i="7"/>
  <c r="EA132" i="7"/>
  <c r="EI132" i="7"/>
  <c r="EQ132" i="7"/>
  <c r="E133" i="7"/>
  <c r="M133" i="7"/>
  <c r="U133" i="7"/>
  <c r="AC133" i="7"/>
  <c r="AK133" i="7"/>
  <c r="AS133" i="7"/>
  <c r="BA133" i="7"/>
  <c r="BI133" i="7"/>
  <c r="BQ133" i="7"/>
  <c r="BY133" i="7"/>
  <c r="CG133" i="7"/>
  <c r="CO133" i="7"/>
  <c r="CW133" i="7"/>
  <c r="DE133" i="7"/>
  <c r="DM133" i="7"/>
  <c r="DU133" i="7"/>
  <c r="EC133" i="7"/>
  <c r="EK133" i="7"/>
  <c r="ES133" i="7"/>
  <c r="G134" i="7"/>
  <c r="O134" i="7"/>
  <c r="W134" i="7"/>
  <c r="AE134" i="7"/>
  <c r="AM134" i="7"/>
  <c r="AU134" i="7"/>
  <c r="BC134" i="7"/>
  <c r="BK134" i="7"/>
  <c r="BS134" i="7"/>
  <c r="CA134" i="7"/>
  <c r="CI134" i="7"/>
  <c r="CQ134" i="7"/>
  <c r="CY134" i="7"/>
  <c r="DG134" i="7"/>
  <c r="DO134" i="7"/>
  <c r="DW134" i="7"/>
  <c r="EE134" i="7"/>
  <c r="EM134" i="7"/>
  <c r="EU134" i="7"/>
  <c r="I135" i="7"/>
  <c r="Q135" i="7"/>
  <c r="Y135" i="7"/>
  <c r="AG135" i="7"/>
  <c r="AO135" i="7"/>
  <c r="AW135" i="7"/>
  <c r="BE135" i="7"/>
  <c r="BM135" i="7"/>
  <c r="BU135" i="7"/>
  <c r="CC135" i="7"/>
  <c r="CK135" i="7"/>
  <c r="CS135" i="7"/>
  <c r="DA135" i="7"/>
  <c r="DI135" i="7"/>
  <c r="DQ135" i="7"/>
  <c r="DY135" i="7"/>
  <c r="EG135" i="7"/>
  <c r="EO135" i="7"/>
  <c r="C136" i="7"/>
  <c r="K136" i="7"/>
  <c r="S136" i="7"/>
  <c r="AA136" i="7"/>
  <c r="AI136" i="7"/>
  <c r="AQ136" i="7"/>
  <c r="AY136" i="7"/>
  <c r="BG136" i="7"/>
  <c r="CL136" i="7"/>
  <c r="CT136" i="7"/>
  <c r="DB136" i="7"/>
  <c r="DJ136" i="7"/>
  <c r="DR136" i="7"/>
  <c r="DZ136" i="7"/>
  <c r="EH136" i="7"/>
  <c r="EP136" i="7"/>
  <c r="D137" i="7"/>
  <c r="L137" i="7"/>
  <c r="T137" i="7"/>
  <c r="AB137" i="7"/>
  <c r="AJ137" i="7"/>
  <c r="AR137" i="7"/>
  <c r="AZ137" i="7"/>
  <c r="BH137" i="7"/>
  <c r="BP137" i="7"/>
  <c r="BX137" i="7"/>
  <c r="CF137" i="7"/>
  <c r="CN137" i="7"/>
  <c r="CV137" i="7"/>
  <c r="DD137" i="7"/>
  <c r="DL137" i="7"/>
  <c r="DT137" i="7"/>
  <c r="EB137" i="7"/>
  <c r="EJ137" i="7"/>
  <c r="ER137" i="7"/>
  <c r="F138" i="7"/>
  <c r="N138" i="7"/>
  <c r="V138" i="7"/>
  <c r="AD138" i="7"/>
  <c r="AL138" i="7"/>
  <c r="AT138" i="7"/>
  <c r="BB138" i="7"/>
  <c r="BJ138" i="7"/>
  <c r="BR138" i="7"/>
  <c r="BZ138" i="7"/>
  <c r="CH138" i="7"/>
  <c r="CP138" i="7"/>
  <c r="CX138" i="7"/>
  <c r="DF138" i="7"/>
  <c r="DN138" i="7"/>
  <c r="DV138" i="7"/>
  <c r="ED138" i="7"/>
  <c r="EL138" i="7"/>
  <c r="ET138" i="7"/>
  <c r="H139" i="7"/>
  <c r="P139" i="7"/>
  <c r="X139" i="7"/>
  <c r="AF139" i="7"/>
  <c r="AN139" i="7"/>
  <c r="AV139" i="7"/>
  <c r="BD139" i="7"/>
  <c r="BL139" i="7"/>
  <c r="BT139" i="7"/>
  <c r="CB139" i="7"/>
  <c r="CJ139" i="7"/>
  <c r="CR139" i="7"/>
  <c r="CZ139" i="7"/>
  <c r="DH139" i="7"/>
  <c r="DP139" i="7"/>
  <c r="DX139" i="7"/>
  <c r="EF139" i="7"/>
  <c r="EN139" i="7"/>
  <c r="EV139" i="7"/>
  <c r="J140" i="7"/>
  <c r="R140" i="7"/>
  <c r="Z140" i="7"/>
  <c r="AH140" i="7"/>
  <c r="AP140" i="7"/>
  <c r="AX140" i="7"/>
  <c r="BF140" i="7"/>
  <c r="BN140" i="7"/>
  <c r="BV140" i="7"/>
  <c r="CD140" i="7"/>
  <c r="CL140" i="7"/>
  <c r="CT140" i="7"/>
  <c r="DB140" i="7"/>
  <c r="DJ140" i="7"/>
  <c r="DR140" i="7"/>
  <c r="DZ140" i="7"/>
  <c r="EH140" i="7"/>
  <c r="EP140" i="7"/>
  <c r="D141" i="7"/>
  <c r="L141" i="7"/>
  <c r="T141" i="7"/>
  <c r="BO136" i="7"/>
  <c r="CM136" i="7"/>
  <c r="CU136" i="7"/>
  <c r="DC136" i="7"/>
  <c r="DK136" i="7"/>
  <c r="DS136" i="7"/>
  <c r="EA136" i="7"/>
  <c r="EI136" i="7"/>
  <c r="EQ136" i="7"/>
  <c r="E137" i="7"/>
  <c r="M137" i="7"/>
  <c r="U137" i="7"/>
  <c r="AC137" i="7"/>
  <c r="AK137" i="7"/>
  <c r="AS137" i="7"/>
  <c r="BA137" i="7"/>
  <c r="BI137" i="7"/>
  <c r="BQ137" i="7"/>
  <c r="BY137" i="7"/>
  <c r="CG137" i="7"/>
  <c r="CO137" i="7"/>
  <c r="CW137" i="7"/>
  <c r="DE137" i="7"/>
  <c r="DM137" i="7"/>
  <c r="DU137" i="7"/>
  <c r="EC137" i="7"/>
  <c r="EK137" i="7"/>
  <c r="ES137" i="7"/>
  <c r="G138" i="7"/>
  <c r="O138" i="7"/>
  <c r="W138" i="7"/>
  <c r="AE138" i="7"/>
  <c r="AM138" i="7"/>
  <c r="AU138" i="7"/>
  <c r="BC138" i="7"/>
  <c r="BK138" i="7"/>
  <c r="BS138" i="7"/>
  <c r="CA138" i="7"/>
  <c r="CI138" i="7"/>
  <c r="CQ138" i="7"/>
  <c r="CY138" i="7"/>
  <c r="DG138" i="7"/>
  <c r="DO138" i="7"/>
  <c r="DW138" i="7"/>
  <c r="EE138" i="7"/>
  <c r="EM138" i="7"/>
  <c r="EU138" i="7"/>
  <c r="I139" i="7"/>
  <c r="Q139" i="7"/>
  <c r="Y139" i="7"/>
  <c r="AG139" i="7"/>
  <c r="AO139" i="7"/>
  <c r="AW139" i="7"/>
  <c r="BE139" i="7"/>
  <c r="BM139" i="7"/>
  <c r="BU139" i="7"/>
  <c r="CC139" i="7"/>
  <c r="CK139" i="7"/>
  <c r="CS139" i="7"/>
  <c r="DA139" i="7"/>
  <c r="DI139" i="7"/>
  <c r="DQ139" i="7"/>
  <c r="DY139" i="7"/>
  <c r="EG139" i="7"/>
  <c r="EO139" i="7"/>
  <c r="C140" i="7"/>
  <c r="K140" i="7"/>
  <c r="S140" i="7"/>
  <c r="AA140" i="7"/>
  <c r="AI140" i="7"/>
  <c r="AQ140" i="7"/>
  <c r="AY140" i="7"/>
  <c r="BG140" i="7"/>
  <c r="BO140" i="7"/>
  <c r="BW140" i="7"/>
  <c r="CE140" i="7"/>
  <c r="CM140" i="7"/>
  <c r="CU140" i="7"/>
  <c r="DC140" i="7"/>
  <c r="DK140" i="7"/>
  <c r="DS140" i="7"/>
  <c r="EA140" i="7"/>
  <c r="EI140" i="7"/>
  <c r="EQ140" i="7"/>
  <c r="E141" i="7"/>
  <c r="M141" i="7"/>
  <c r="U141" i="7"/>
  <c r="BW136" i="7"/>
  <c r="CN136" i="7"/>
  <c r="CV136" i="7"/>
  <c r="DD136" i="7"/>
  <c r="DL136" i="7"/>
  <c r="DT136" i="7"/>
  <c r="EB136" i="7"/>
  <c r="EJ136" i="7"/>
  <c r="ER136" i="7"/>
  <c r="F137" i="7"/>
  <c r="N137" i="7"/>
  <c r="V137" i="7"/>
  <c r="AD137" i="7"/>
  <c r="AL137" i="7"/>
  <c r="AT137" i="7"/>
  <c r="BB137" i="7"/>
  <c r="BJ137" i="7"/>
  <c r="BR137" i="7"/>
  <c r="BZ137" i="7"/>
  <c r="CH137" i="7"/>
  <c r="CP137" i="7"/>
  <c r="CX137" i="7"/>
  <c r="DF137" i="7"/>
  <c r="DN137" i="7"/>
  <c r="DV137" i="7"/>
  <c r="ED137" i="7"/>
  <c r="EL137" i="7"/>
  <c r="ET137" i="7"/>
  <c r="H138" i="7"/>
  <c r="P138" i="7"/>
  <c r="X138" i="7"/>
  <c r="AF138" i="7"/>
  <c r="AN138" i="7"/>
  <c r="AV138" i="7"/>
  <c r="BD138" i="7"/>
  <c r="BL138" i="7"/>
  <c r="BT138" i="7"/>
  <c r="CB138" i="7"/>
  <c r="CJ138" i="7"/>
  <c r="CR138" i="7"/>
  <c r="CZ138" i="7"/>
  <c r="DH138" i="7"/>
  <c r="DP138" i="7"/>
  <c r="DX138" i="7"/>
  <c r="EF138" i="7"/>
  <c r="EN138" i="7"/>
  <c r="EV138" i="7"/>
  <c r="J139" i="7"/>
  <c r="R139" i="7"/>
  <c r="Z139" i="7"/>
  <c r="AH139" i="7"/>
  <c r="AP139" i="7"/>
  <c r="AX139" i="7"/>
  <c r="BF139" i="7"/>
  <c r="BN139" i="7"/>
  <c r="BV139" i="7"/>
  <c r="CD139" i="7"/>
  <c r="CL139" i="7"/>
  <c r="CT139" i="7"/>
  <c r="DB139" i="7"/>
  <c r="DJ139" i="7"/>
  <c r="DR139" i="7"/>
  <c r="DZ139" i="7"/>
  <c r="EH139" i="7"/>
  <c r="EP139" i="7"/>
  <c r="D140" i="7"/>
  <c r="L140" i="7"/>
  <c r="T140" i="7"/>
  <c r="AB140" i="7"/>
  <c r="AJ140" i="7"/>
  <c r="AR140" i="7"/>
  <c r="AZ140" i="7"/>
  <c r="BH140" i="7"/>
  <c r="BP140" i="7"/>
  <c r="BX140" i="7"/>
  <c r="CF140" i="7"/>
  <c r="CN140" i="7"/>
  <c r="CV140" i="7"/>
  <c r="DD140" i="7"/>
  <c r="DL140" i="7"/>
  <c r="DT140" i="7"/>
  <c r="EB140" i="7"/>
  <c r="EJ140" i="7"/>
  <c r="ER140" i="7"/>
  <c r="F141" i="7"/>
  <c r="N141" i="7"/>
  <c r="CD136" i="7"/>
  <c r="CO136" i="7"/>
  <c r="CW136" i="7"/>
  <c r="DE136" i="7"/>
  <c r="DM136" i="7"/>
  <c r="DU136" i="7"/>
  <c r="EC136" i="7"/>
  <c r="EK136" i="7"/>
  <c r="ES136" i="7"/>
  <c r="G137" i="7"/>
  <c r="O137" i="7"/>
  <c r="W137" i="7"/>
  <c r="AE137" i="7"/>
  <c r="AM137" i="7"/>
  <c r="AU137" i="7"/>
  <c r="BC137" i="7"/>
  <c r="BK137" i="7"/>
  <c r="BS137" i="7"/>
  <c r="CA137" i="7"/>
  <c r="CI137" i="7"/>
  <c r="CQ137" i="7"/>
  <c r="CY137" i="7"/>
  <c r="DG137" i="7"/>
  <c r="DO137" i="7"/>
  <c r="DW137" i="7"/>
  <c r="EE137" i="7"/>
  <c r="EM137" i="7"/>
  <c r="EU137" i="7"/>
  <c r="I138" i="7"/>
  <c r="Q138" i="7"/>
  <c r="Y138" i="7"/>
  <c r="AG138" i="7"/>
  <c r="AO138" i="7"/>
  <c r="AW138" i="7"/>
  <c r="BE138" i="7"/>
  <c r="BM138" i="7"/>
  <c r="BU138" i="7"/>
  <c r="CC138" i="7"/>
  <c r="CK138" i="7"/>
  <c r="CS138" i="7"/>
  <c r="DA138" i="7"/>
  <c r="DI138" i="7"/>
  <c r="DQ138" i="7"/>
  <c r="DY138" i="7"/>
  <c r="EG138" i="7"/>
  <c r="EO138" i="7"/>
  <c r="C139" i="7"/>
  <c r="K139" i="7"/>
  <c r="S139" i="7"/>
  <c r="AA139" i="7"/>
  <c r="AI139" i="7"/>
  <c r="AQ139" i="7"/>
  <c r="AY139" i="7"/>
  <c r="BG139" i="7"/>
  <c r="BO139" i="7"/>
  <c r="BW139" i="7"/>
  <c r="CE139" i="7"/>
  <c r="CM139" i="7"/>
  <c r="CU139" i="7"/>
  <c r="DC139" i="7"/>
  <c r="DK139" i="7"/>
  <c r="DS139" i="7"/>
  <c r="EA139" i="7"/>
  <c r="EI139" i="7"/>
  <c r="EQ139" i="7"/>
  <c r="E140" i="7"/>
  <c r="M140" i="7"/>
  <c r="U140" i="7"/>
  <c r="AC140" i="7"/>
  <c r="AK140" i="7"/>
  <c r="AS140" i="7"/>
  <c r="BA140" i="7"/>
  <c r="BI140" i="7"/>
  <c r="BQ140" i="7"/>
  <c r="BY140" i="7"/>
  <c r="CG140" i="7"/>
  <c r="CO140" i="7"/>
  <c r="CW140" i="7"/>
  <c r="DE140" i="7"/>
  <c r="DM140" i="7"/>
  <c r="DU140" i="7"/>
  <c r="EC140" i="7"/>
  <c r="EK140" i="7"/>
  <c r="ES140" i="7"/>
  <c r="G141" i="7"/>
  <c r="O141" i="7"/>
  <c r="CE136" i="7"/>
  <c r="CP136" i="7"/>
  <c r="CX136" i="7"/>
  <c r="DF136" i="7"/>
  <c r="DN136" i="7"/>
  <c r="DV136" i="7"/>
  <c r="ED136" i="7"/>
  <c r="EL136" i="7"/>
  <c r="ET136" i="7"/>
  <c r="H137" i="7"/>
  <c r="P137" i="7"/>
  <c r="X137" i="7"/>
  <c r="AF137" i="7"/>
  <c r="AN137" i="7"/>
  <c r="AV137" i="7"/>
  <c r="BD137" i="7"/>
  <c r="BL137" i="7"/>
  <c r="BT137" i="7"/>
  <c r="CB137" i="7"/>
  <c r="CJ137" i="7"/>
  <c r="CR137" i="7"/>
  <c r="CZ137" i="7"/>
  <c r="DH137" i="7"/>
  <c r="DP137" i="7"/>
  <c r="DX137" i="7"/>
  <c r="EF137" i="7"/>
  <c r="EN137" i="7"/>
  <c r="EV137" i="7"/>
  <c r="J138" i="7"/>
  <c r="R138" i="7"/>
  <c r="Z138" i="7"/>
  <c r="AH138" i="7"/>
  <c r="AP138" i="7"/>
  <c r="AX138" i="7"/>
  <c r="BF138" i="7"/>
  <c r="BN138" i="7"/>
  <c r="BV138" i="7"/>
  <c r="CD138" i="7"/>
  <c r="CL138" i="7"/>
  <c r="CT138" i="7"/>
  <c r="DB138" i="7"/>
  <c r="DJ138" i="7"/>
  <c r="DR138" i="7"/>
  <c r="DZ138" i="7"/>
  <c r="EH138" i="7"/>
  <c r="EP138" i="7"/>
  <c r="D139" i="7"/>
  <c r="L139" i="7"/>
  <c r="T139" i="7"/>
  <c r="AB139" i="7"/>
  <c r="AJ139" i="7"/>
  <c r="AR139" i="7"/>
  <c r="AZ139" i="7"/>
  <c r="BH139" i="7"/>
  <c r="BP139" i="7"/>
  <c r="BX139" i="7"/>
  <c r="CF139" i="7"/>
  <c r="CN139" i="7"/>
  <c r="CV139" i="7"/>
  <c r="DD139" i="7"/>
  <c r="DL139" i="7"/>
  <c r="DT139" i="7"/>
  <c r="EB139" i="7"/>
  <c r="EJ139" i="7"/>
  <c r="ER139" i="7"/>
  <c r="F140" i="7"/>
  <c r="N140" i="7"/>
  <c r="V140" i="7"/>
  <c r="AD140" i="7"/>
  <c r="AL140" i="7"/>
  <c r="AT140" i="7"/>
  <c r="BB140" i="7"/>
  <c r="BJ140" i="7"/>
  <c r="BR140" i="7"/>
  <c r="BZ140" i="7"/>
  <c r="CH140" i="7"/>
  <c r="CP140" i="7"/>
  <c r="CX140" i="7"/>
  <c r="DF140" i="7"/>
  <c r="DN140" i="7"/>
  <c r="DV140" i="7"/>
  <c r="ED140" i="7"/>
  <c r="EL140" i="7"/>
  <c r="ET140" i="7"/>
  <c r="H141" i="7"/>
  <c r="P141" i="7"/>
  <c r="CF136" i="7"/>
  <c r="CQ136" i="7"/>
  <c r="CY136" i="7"/>
  <c r="DG136" i="7"/>
  <c r="DO136" i="7"/>
  <c r="DW136" i="7"/>
  <c r="EE136" i="7"/>
  <c r="EM136" i="7"/>
  <c r="EU136" i="7"/>
  <c r="I137" i="7"/>
  <c r="Q137" i="7"/>
  <c r="Y137" i="7"/>
  <c r="AG137" i="7"/>
  <c r="AO137" i="7"/>
  <c r="AW137" i="7"/>
  <c r="BE137" i="7"/>
  <c r="BM137" i="7"/>
  <c r="BU137" i="7"/>
  <c r="CC137" i="7"/>
  <c r="CK137" i="7"/>
  <c r="CS137" i="7"/>
  <c r="DA137" i="7"/>
  <c r="DI137" i="7"/>
  <c r="DQ137" i="7"/>
  <c r="DY137" i="7"/>
  <c r="EG137" i="7"/>
  <c r="EO137" i="7"/>
  <c r="C138" i="7"/>
  <c r="K138" i="7"/>
  <c r="S138" i="7"/>
  <c r="AA138" i="7"/>
  <c r="AI138" i="7"/>
  <c r="AQ138" i="7"/>
  <c r="AY138" i="7"/>
  <c r="BG138" i="7"/>
  <c r="BO138" i="7"/>
  <c r="BW138" i="7"/>
  <c r="CE138" i="7"/>
  <c r="CM138" i="7"/>
  <c r="CU138" i="7"/>
  <c r="DC138" i="7"/>
  <c r="DK138" i="7"/>
  <c r="DS138" i="7"/>
  <c r="EA138" i="7"/>
  <c r="EI138" i="7"/>
  <c r="EQ138" i="7"/>
  <c r="E139" i="7"/>
  <c r="M139" i="7"/>
  <c r="U139" i="7"/>
  <c r="AC139" i="7"/>
  <c r="AK139" i="7"/>
  <c r="AS139" i="7"/>
  <c r="BA139" i="7"/>
  <c r="BI139" i="7"/>
  <c r="BQ139" i="7"/>
  <c r="BY139" i="7"/>
  <c r="CG139" i="7"/>
  <c r="CO139" i="7"/>
  <c r="CW139" i="7"/>
  <c r="DE139" i="7"/>
  <c r="DM139" i="7"/>
  <c r="DU139" i="7"/>
  <c r="EC139" i="7"/>
  <c r="EK139" i="7"/>
  <c r="ES139" i="7"/>
  <c r="G140" i="7"/>
  <c r="O140" i="7"/>
  <c r="W140" i="7"/>
  <c r="AE140" i="7"/>
  <c r="AM140" i="7"/>
  <c r="AU140" i="7"/>
  <c r="BC140" i="7"/>
  <c r="BK140" i="7"/>
  <c r="BS140" i="7"/>
  <c r="CA140" i="7"/>
  <c r="CI140" i="7"/>
  <c r="CQ140" i="7"/>
  <c r="CY140" i="7"/>
  <c r="DG140" i="7"/>
  <c r="DO140" i="7"/>
  <c r="DW140" i="7"/>
  <c r="EE140" i="7"/>
  <c r="EM140" i="7"/>
  <c r="EU140" i="7"/>
  <c r="I141" i="7"/>
  <c r="Q141" i="7"/>
  <c r="CG136" i="7"/>
  <c r="CR136" i="7"/>
  <c r="CZ136" i="7"/>
  <c r="DH136" i="7"/>
  <c r="DP136" i="7"/>
  <c r="DX136" i="7"/>
  <c r="EF136" i="7"/>
  <c r="EN136" i="7"/>
  <c r="EV136" i="7"/>
  <c r="J137" i="7"/>
  <c r="R137" i="7"/>
  <c r="Z137" i="7"/>
  <c r="AH137" i="7"/>
  <c r="AP137" i="7"/>
  <c r="AX137" i="7"/>
  <c r="BF137" i="7"/>
  <c r="BN137" i="7"/>
  <c r="BV137" i="7"/>
  <c r="CD137" i="7"/>
  <c r="CL137" i="7"/>
  <c r="CT137" i="7"/>
  <c r="DB137" i="7"/>
  <c r="DJ137" i="7"/>
  <c r="DR137" i="7"/>
  <c r="DZ137" i="7"/>
  <c r="EH137" i="7"/>
  <c r="EP137" i="7"/>
  <c r="D138" i="7"/>
  <c r="L138" i="7"/>
  <c r="T138" i="7"/>
  <c r="AB138" i="7"/>
  <c r="AJ138" i="7"/>
  <c r="AR138" i="7"/>
  <c r="AZ138" i="7"/>
  <c r="BH138" i="7"/>
  <c r="BP138" i="7"/>
  <c r="BX138" i="7"/>
  <c r="CF138" i="7"/>
  <c r="CN138" i="7"/>
  <c r="CV138" i="7"/>
  <c r="DD138" i="7"/>
  <c r="DL138" i="7"/>
  <c r="DT138" i="7"/>
  <c r="EB138" i="7"/>
  <c r="EJ138" i="7"/>
  <c r="ER138" i="7"/>
  <c r="F139" i="7"/>
  <c r="N139" i="7"/>
  <c r="V139" i="7"/>
  <c r="AD139" i="7"/>
  <c r="AL139" i="7"/>
  <c r="AT139" i="7"/>
  <c r="BB139" i="7"/>
  <c r="BJ139" i="7"/>
  <c r="BR139" i="7"/>
  <c r="BZ139" i="7"/>
  <c r="CH139" i="7"/>
  <c r="CP139" i="7"/>
  <c r="CX139" i="7"/>
  <c r="DF139" i="7"/>
  <c r="DN139" i="7"/>
  <c r="DV139" i="7"/>
  <c r="ED139" i="7"/>
  <c r="EL139" i="7"/>
  <c r="ET139" i="7"/>
  <c r="H140" i="7"/>
  <c r="P140" i="7"/>
  <c r="X140" i="7"/>
  <c r="AF140" i="7"/>
  <c r="AN140" i="7"/>
  <c r="AV140" i="7"/>
  <c r="BD140" i="7"/>
  <c r="BL140" i="7"/>
  <c r="BT140" i="7"/>
  <c r="CB140" i="7"/>
  <c r="CJ140" i="7"/>
  <c r="CR140" i="7"/>
  <c r="CZ140" i="7"/>
  <c r="DH140" i="7"/>
  <c r="DP140" i="7"/>
  <c r="DX140" i="7"/>
  <c r="EF140" i="7"/>
  <c r="EN140" i="7"/>
  <c r="EV140" i="7"/>
  <c r="J141" i="7"/>
  <c r="R141" i="7"/>
  <c r="CJ136" i="7"/>
  <c r="CS136" i="7"/>
  <c r="DA136" i="7"/>
  <c r="DI136" i="7"/>
  <c r="DQ136" i="7"/>
  <c r="DY136" i="7"/>
  <c r="EG136" i="7"/>
  <c r="EO136" i="7"/>
  <c r="C137" i="7"/>
  <c r="K137" i="7"/>
  <c r="S137" i="7"/>
  <c r="AA137" i="7"/>
  <c r="AI137" i="7"/>
  <c r="AQ137" i="7"/>
  <c r="AY137" i="7"/>
  <c r="BG137" i="7"/>
  <c r="BO137" i="7"/>
  <c r="BW137" i="7"/>
  <c r="CE137" i="7"/>
  <c r="CM137" i="7"/>
  <c r="CU137" i="7"/>
  <c r="DC137" i="7"/>
  <c r="DK137" i="7"/>
  <c r="DS137" i="7"/>
  <c r="EA137" i="7"/>
  <c r="EI137" i="7"/>
  <c r="EQ137" i="7"/>
  <c r="E138" i="7"/>
  <c r="M138" i="7"/>
  <c r="U138" i="7"/>
  <c r="AC138" i="7"/>
  <c r="AK138" i="7"/>
  <c r="AS138" i="7"/>
  <c r="BA138" i="7"/>
  <c r="BI138" i="7"/>
  <c r="BQ138" i="7"/>
  <c r="BY138" i="7"/>
  <c r="CG138" i="7"/>
  <c r="CO138" i="7"/>
  <c r="CW138" i="7"/>
  <c r="DE138" i="7"/>
  <c r="DM138" i="7"/>
  <c r="DU138" i="7"/>
  <c r="EC138" i="7"/>
  <c r="EK138" i="7"/>
  <c r="ES138" i="7"/>
  <c r="G139" i="7"/>
  <c r="O139" i="7"/>
  <c r="W139" i="7"/>
  <c r="AE139" i="7"/>
  <c r="AM139" i="7"/>
  <c r="AU139" i="7"/>
  <c r="BC139" i="7"/>
  <c r="BK139" i="7"/>
  <c r="BS139" i="7"/>
  <c r="CA139" i="7"/>
  <c r="CI139" i="7"/>
  <c r="CQ139" i="7"/>
  <c r="CY139" i="7"/>
  <c r="DG139" i="7"/>
  <c r="DO139" i="7"/>
  <c r="DW139" i="7"/>
  <c r="EE139" i="7"/>
  <c r="EM139" i="7"/>
  <c r="EU139" i="7"/>
  <c r="I140" i="7"/>
  <c r="Q140" i="7"/>
  <c r="Y140" i="7"/>
  <c r="AG140" i="7"/>
  <c r="AO140" i="7"/>
  <c r="AW140" i="7"/>
  <c r="BE140" i="7"/>
  <c r="BM140" i="7"/>
  <c r="BU140" i="7"/>
  <c r="CC140" i="7"/>
  <c r="CK140" i="7"/>
  <c r="CS140" i="7"/>
  <c r="DA140" i="7"/>
  <c r="DI140" i="7"/>
  <c r="DQ140" i="7"/>
  <c r="DY140" i="7"/>
  <c r="EG140" i="7"/>
  <c r="EO140" i="7"/>
  <c r="C141" i="7"/>
  <c r="K141" i="7"/>
  <c r="AB141" i="7"/>
  <c r="AJ141" i="7"/>
  <c r="AR141" i="7"/>
  <c r="AZ141" i="7"/>
  <c r="BH141" i="7"/>
  <c r="BP141" i="7"/>
  <c r="BX141" i="7"/>
  <c r="CF141" i="7"/>
  <c r="CN141" i="7"/>
  <c r="CV141" i="7"/>
  <c r="DD141" i="7"/>
  <c r="DL141" i="7"/>
  <c r="DT141" i="7"/>
  <c r="EB141" i="7"/>
  <c r="EJ141" i="7"/>
  <c r="ER141" i="7"/>
  <c r="F142" i="7"/>
  <c r="N142" i="7"/>
  <c r="V142" i="7"/>
  <c r="AD142" i="7"/>
  <c r="AL142" i="7"/>
  <c r="AT142" i="7"/>
  <c r="BB142" i="7"/>
  <c r="BJ142" i="7"/>
  <c r="BR142" i="7"/>
  <c r="BZ142" i="7"/>
  <c r="CH142" i="7"/>
  <c r="CP142" i="7"/>
  <c r="CX142" i="7"/>
  <c r="DF142" i="7"/>
  <c r="DN142" i="7"/>
  <c r="DV142" i="7"/>
  <c r="ED142" i="7"/>
  <c r="EL142" i="7"/>
  <c r="ET142" i="7"/>
  <c r="H143" i="7"/>
  <c r="P143" i="7"/>
  <c r="X143" i="7"/>
  <c r="AF143" i="7"/>
  <c r="AN143" i="7"/>
  <c r="AV143" i="7"/>
  <c r="BD143" i="7"/>
  <c r="BL143" i="7"/>
  <c r="BT143" i="7"/>
  <c r="CB143" i="7"/>
  <c r="CJ143" i="7"/>
  <c r="CR143" i="7"/>
  <c r="CZ143" i="7"/>
  <c r="DH143" i="7"/>
  <c r="DP143" i="7"/>
  <c r="DX143" i="7"/>
  <c r="EF143" i="7"/>
  <c r="EN143" i="7"/>
  <c r="EV143" i="7"/>
  <c r="J144" i="7"/>
  <c r="R144" i="7"/>
  <c r="Z144" i="7"/>
  <c r="AH144" i="7"/>
  <c r="AP144" i="7"/>
  <c r="AX144" i="7"/>
  <c r="BF144" i="7"/>
  <c r="BN144" i="7"/>
  <c r="BV144" i="7"/>
  <c r="CD144" i="7"/>
  <c r="CL144" i="7"/>
  <c r="CT144" i="7"/>
  <c r="DB144" i="7"/>
  <c r="DJ144" i="7"/>
  <c r="DR144" i="7"/>
  <c r="DZ144" i="7"/>
  <c r="EH144" i="7"/>
  <c r="EP144" i="7"/>
  <c r="D145" i="7"/>
  <c r="L145" i="7"/>
  <c r="T145" i="7"/>
  <c r="AB145" i="7"/>
  <c r="AJ145" i="7"/>
  <c r="AR145" i="7"/>
  <c r="AZ145" i="7"/>
  <c r="BH145" i="7"/>
  <c r="BP145" i="7"/>
  <c r="BX145" i="7"/>
  <c r="CF145" i="7"/>
  <c r="CN145" i="7"/>
  <c r="CV145" i="7"/>
  <c r="DD145" i="7"/>
  <c r="DL145" i="7"/>
  <c r="DT145" i="7"/>
  <c r="EB145" i="7"/>
  <c r="EJ145" i="7"/>
  <c r="ER145" i="7"/>
  <c r="F146" i="7"/>
  <c r="N146" i="7"/>
  <c r="V146" i="7"/>
  <c r="AD146" i="7"/>
  <c r="AL146" i="7"/>
  <c r="AT146" i="7"/>
  <c r="BB146" i="7"/>
  <c r="BJ146" i="7"/>
  <c r="BR146" i="7"/>
  <c r="BZ146" i="7"/>
  <c r="CH146" i="7"/>
  <c r="CP146" i="7"/>
  <c r="CX146" i="7"/>
  <c r="DF146" i="7"/>
  <c r="DN146" i="7"/>
  <c r="DV146" i="7"/>
  <c r="ED146" i="7"/>
  <c r="EL146" i="7"/>
  <c r="ET146" i="7"/>
  <c r="H147" i="7"/>
  <c r="P147" i="7"/>
  <c r="X147" i="7"/>
  <c r="AF147" i="7"/>
  <c r="AN147" i="7"/>
  <c r="AV147" i="7"/>
  <c r="BD147" i="7"/>
  <c r="BL147" i="7"/>
  <c r="BT147" i="7"/>
  <c r="CB147" i="7"/>
  <c r="CJ147" i="7"/>
  <c r="CR147" i="7"/>
  <c r="CZ147" i="7"/>
  <c r="DH147" i="7"/>
  <c r="DP147" i="7"/>
  <c r="DX147" i="7"/>
  <c r="EF147" i="7"/>
  <c r="EN147" i="7"/>
  <c r="EV147" i="7"/>
  <c r="J148" i="7"/>
  <c r="R148" i="7"/>
  <c r="Z148" i="7"/>
  <c r="AH148" i="7"/>
  <c r="AP148" i="7"/>
  <c r="AX148" i="7"/>
  <c r="BF148" i="7"/>
  <c r="BN148" i="7"/>
  <c r="BV148" i="7"/>
  <c r="CD148" i="7"/>
  <c r="CL148" i="7"/>
  <c r="CT148" i="7"/>
  <c r="DB148" i="7"/>
  <c r="DJ148" i="7"/>
  <c r="DR148" i="7"/>
  <c r="DZ148" i="7"/>
  <c r="EH148" i="7"/>
  <c r="EP148" i="7"/>
  <c r="D149" i="7"/>
  <c r="L149" i="7"/>
  <c r="T149" i="7"/>
  <c r="AB149" i="7"/>
  <c r="AJ149" i="7"/>
  <c r="AR149" i="7"/>
  <c r="AZ149" i="7"/>
  <c r="BH149" i="7"/>
  <c r="BP149" i="7"/>
  <c r="BX149" i="7"/>
  <c r="CF149" i="7"/>
  <c r="CN149" i="7"/>
  <c r="CV149" i="7"/>
  <c r="DD149" i="7"/>
  <c r="DL149" i="7"/>
  <c r="DT149" i="7"/>
  <c r="EB149" i="7"/>
  <c r="EJ149" i="7"/>
  <c r="ER149" i="7"/>
  <c r="F150" i="7"/>
  <c r="N150" i="7"/>
  <c r="V150" i="7"/>
  <c r="AD150" i="7"/>
  <c r="S141" i="7"/>
  <c r="AC141" i="7"/>
  <c r="AK141" i="7"/>
  <c r="AS141" i="7"/>
  <c r="BA141" i="7"/>
  <c r="BI141" i="7"/>
  <c r="BQ141" i="7"/>
  <c r="BY141" i="7"/>
  <c r="CG141" i="7"/>
  <c r="CO141" i="7"/>
  <c r="CW141" i="7"/>
  <c r="DE141" i="7"/>
  <c r="DM141" i="7"/>
  <c r="DU141" i="7"/>
  <c r="EC141" i="7"/>
  <c r="EK141" i="7"/>
  <c r="ES141" i="7"/>
  <c r="G142" i="7"/>
  <c r="O142" i="7"/>
  <c r="W142" i="7"/>
  <c r="AE142" i="7"/>
  <c r="AM142" i="7"/>
  <c r="AU142" i="7"/>
  <c r="BC142" i="7"/>
  <c r="BK142" i="7"/>
  <c r="BS142" i="7"/>
  <c r="CA142" i="7"/>
  <c r="CI142" i="7"/>
  <c r="CQ142" i="7"/>
  <c r="CY142" i="7"/>
  <c r="DG142" i="7"/>
  <c r="DO142" i="7"/>
  <c r="DW142" i="7"/>
  <c r="EE142" i="7"/>
  <c r="EM142" i="7"/>
  <c r="EU142" i="7"/>
  <c r="I143" i="7"/>
  <c r="Q143" i="7"/>
  <c r="Y143" i="7"/>
  <c r="AG143" i="7"/>
  <c r="AO143" i="7"/>
  <c r="AW143" i="7"/>
  <c r="BE143" i="7"/>
  <c r="BM143" i="7"/>
  <c r="BU143" i="7"/>
  <c r="CC143" i="7"/>
  <c r="CK143" i="7"/>
  <c r="CS143" i="7"/>
  <c r="DA143" i="7"/>
  <c r="DI143" i="7"/>
  <c r="DQ143" i="7"/>
  <c r="DY143" i="7"/>
  <c r="EG143" i="7"/>
  <c r="EO143" i="7"/>
  <c r="C144" i="7"/>
  <c r="K144" i="7"/>
  <c r="S144" i="7"/>
  <c r="AA144" i="7"/>
  <c r="AI144" i="7"/>
  <c r="AQ144" i="7"/>
  <c r="AY144" i="7"/>
  <c r="BG144" i="7"/>
  <c r="BO144" i="7"/>
  <c r="BW144" i="7"/>
  <c r="CE144" i="7"/>
  <c r="CM144" i="7"/>
  <c r="CU144" i="7"/>
  <c r="DC144" i="7"/>
  <c r="DK144" i="7"/>
  <c r="DS144" i="7"/>
  <c r="EA144" i="7"/>
  <c r="EI144" i="7"/>
  <c r="EQ144" i="7"/>
  <c r="E145" i="7"/>
  <c r="M145" i="7"/>
  <c r="U145" i="7"/>
  <c r="AC145" i="7"/>
  <c r="AK145" i="7"/>
  <c r="AS145" i="7"/>
  <c r="BA145" i="7"/>
  <c r="BI145" i="7"/>
  <c r="BQ145" i="7"/>
  <c r="BY145" i="7"/>
  <c r="CG145" i="7"/>
  <c r="CO145" i="7"/>
  <c r="CW145" i="7"/>
  <c r="DE145" i="7"/>
  <c r="DM145" i="7"/>
  <c r="DU145" i="7"/>
  <c r="EC145" i="7"/>
  <c r="EK145" i="7"/>
  <c r="ES145" i="7"/>
  <c r="G146" i="7"/>
  <c r="O146" i="7"/>
  <c r="W146" i="7"/>
  <c r="AE146" i="7"/>
  <c r="AM146" i="7"/>
  <c r="AU146" i="7"/>
  <c r="BC146" i="7"/>
  <c r="BK146" i="7"/>
  <c r="BS146" i="7"/>
  <c r="CA146" i="7"/>
  <c r="CI146" i="7"/>
  <c r="CQ146" i="7"/>
  <c r="CY146" i="7"/>
  <c r="DG146" i="7"/>
  <c r="DO146" i="7"/>
  <c r="DW146" i="7"/>
  <c r="EE146" i="7"/>
  <c r="EM146" i="7"/>
  <c r="EU146" i="7"/>
  <c r="I147" i="7"/>
  <c r="Q147" i="7"/>
  <c r="Y147" i="7"/>
  <c r="AG147" i="7"/>
  <c r="AO147" i="7"/>
  <c r="AW147" i="7"/>
  <c r="BE147" i="7"/>
  <c r="BM147" i="7"/>
  <c r="BU147" i="7"/>
  <c r="CC147" i="7"/>
  <c r="CK147" i="7"/>
  <c r="CS147" i="7"/>
  <c r="DA147" i="7"/>
  <c r="DI147" i="7"/>
  <c r="DQ147" i="7"/>
  <c r="DY147" i="7"/>
  <c r="EG147" i="7"/>
  <c r="EO147" i="7"/>
  <c r="C148" i="7"/>
  <c r="K148" i="7"/>
  <c r="S148" i="7"/>
  <c r="AA148" i="7"/>
  <c r="AI148" i="7"/>
  <c r="AQ148" i="7"/>
  <c r="AY148" i="7"/>
  <c r="BG148" i="7"/>
  <c r="BO148" i="7"/>
  <c r="BW148" i="7"/>
  <c r="CE148" i="7"/>
  <c r="CM148" i="7"/>
  <c r="CU148" i="7"/>
  <c r="DC148" i="7"/>
  <c r="DK148" i="7"/>
  <c r="DS148" i="7"/>
  <c r="EA148" i="7"/>
  <c r="EI148" i="7"/>
  <c r="EQ148" i="7"/>
  <c r="E149" i="7"/>
  <c r="M149" i="7"/>
  <c r="U149" i="7"/>
  <c r="AC149" i="7"/>
  <c r="AK149" i="7"/>
  <c r="AS149" i="7"/>
  <c r="BA149" i="7"/>
  <c r="BI149" i="7"/>
  <c r="BQ149" i="7"/>
  <c r="BY149" i="7"/>
  <c r="CG149" i="7"/>
  <c r="CO149" i="7"/>
  <c r="CW149" i="7"/>
  <c r="DE149" i="7"/>
  <c r="DM149" i="7"/>
  <c r="DU149" i="7"/>
  <c r="EC149" i="7"/>
  <c r="EK149" i="7"/>
  <c r="ES149" i="7"/>
  <c r="G150" i="7"/>
  <c r="O150" i="7"/>
  <c r="W150" i="7"/>
  <c r="V141" i="7"/>
  <c r="AD141" i="7"/>
  <c r="AL141" i="7"/>
  <c r="AT141" i="7"/>
  <c r="BB141" i="7"/>
  <c r="BJ141" i="7"/>
  <c r="BR141" i="7"/>
  <c r="BZ141" i="7"/>
  <c r="CH141" i="7"/>
  <c r="CP141" i="7"/>
  <c r="CX141" i="7"/>
  <c r="DF141" i="7"/>
  <c r="DN141" i="7"/>
  <c r="DV141" i="7"/>
  <c r="ED141" i="7"/>
  <c r="EL141" i="7"/>
  <c r="ET141" i="7"/>
  <c r="H142" i="7"/>
  <c r="P142" i="7"/>
  <c r="X142" i="7"/>
  <c r="AF142" i="7"/>
  <c r="AN142" i="7"/>
  <c r="AV142" i="7"/>
  <c r="BD142" i="7"/>
  <c r="BL142" i="7"/>
  <c r="BT142" i="7"/>
  <c r="CB142" i="7"/>
  <c r="CJ142" i="7"/>
  <c r="CR142" i="7"/>
  <c r="CZ142" i="7"/>
  <c r="DH142" i="7"/>
  <c r="DP142" i="7"/>
  <c r="DX142" i="7"/>
  <c r="EF142" i="7"/>
  <c r="EN142" i="7"/>
  <c r="EV142" i="7"/>
  <c r="J143" i="7"/>
  <c r="R143" i="7"/>
  <c r="Z143" i="7"/>
  <c r="AH143" i="7"/>
  <c r="AP143" i="7"/>
  <c r="AX143" i="7"/>
  <c r="BF143" i="7"/>
  <c r="BN143" i="7"/>
  <c r="BV143" i="7"/>
  <c r="CD143" i="7"/>
  <c r="CL143" i="7"/>
  <c r="CT143" i="7"/>
  <c r="DB143" i="7"/>
  <c r="DJ143" i="7"/>
  <c r="DR143" i="7"/>
  <c r="DZ143" i="7"/>
  <c r="EH143" i="7"/>
  <c r="EP143" i="7"/>
  <c r="D144" i="7"/>
  <c r="L144" i="7"/>
  <c r="T144" i="7"/>
  <c r="AB144" i="7"/>
  <c r="AJ144" i="7"/>
  <c r="AR144" i="7"/>
  <c r="AZ144" i="7"/>
  <c r="BH144" i="7"/>
  <c r="BP144" i="7"/>
  <c r="BX144" i="7"/>
  <c r="CF144" i="7"/>
  <c r="CN144" i="7"/>
  <c r="CV144" i="7"/>
  <c r="DD144" i="7"/>
  <c r="DL144" i="7"/>
  <c r="DT144" i="7"/>
  <c r="EB144" i="7"/>
  <c r="EJ144" i="7"/>
  <c r="ER144" i="7"/>
  <c r="F145" i="7"/>
  <c r="N145" i="7"/>
  <c r="V145" i="7"/>
  <c r="AD145" i="7"/>
  <c r="AL145" i="7"/>
  <c r="AT145" i="7"/>
  <c r="BB145" i="7"/>
  <c r="BJ145" i="7"/>
  <c r="BR145" i="7"/>
  <c r="BZ145" i="7"/>
  <c r="CH145" i="7"/>
  <c r="CP145" i="7"/>
  <c r="CX145" i="7"/>
  <c r="DF145" i="7"/>
  <c r="DN145" i="7"/>
  <c r="DV145" i="7"/>
  <c r="ED145" i="7"/>
  <c r="EL145" i="7"/>
  <c r="ET145" i="7"/>
  <c r="H146" i="7"/>
  <c r="P146" i="7"/>
  <c r="X146" i="7"/>
  <c r="AF146" i="7"/>
  <c r="AN146" i="7"/>
  <c r="AV146" i="7"/>
  <c r="BD146" i="7"/>
  <c r="BL146" i="7"/>
  <c r="BT146" i="7"/>
  <c r="CB146" i="7"/>
  <c r="CJ146" i="7"/>
  <c r="CR146" i="7"/>
  <c r="CZ146" i="7"/>
  <c r="DH146" i="7"/>
  <c r="DP146" i="7"/>
  <c r="DX146" i="7"/>
  <c r="EF146" i="7"/>
  <c r="EN146" i="7"/>
  <c r="EV146" i="7"/>
  <c r="J147" i="7"/>
  <c r="R147" i="7"/>
  <c r="Z147" i="7"/>
  <c r="AH147" i="7"/>
  <c r="AP147" i="7"/>
  <c r="AX147" i="7"/>
  <c r="BF147" i="7"/>
  <c r="BN147" i="7"/>
  <c r="BV147" i="7"/>
  <c r="CD147" i="7"/>
  <c r="CL147" i="7"/>
  <c r="CT147" i="7"/>
  <c r="DB147" i="7"/>
  <c r="DJ147" i="7"/>
  <c r="DR147" i="7"/>
  <c r="DZ147" i="7"/>
  <c r="EH147" i="7"/>
  <c r="EP147" i="7"/>
  <c r="D148" i="7"/>
  <c r="L148" i="7"/>
  <c r="T148" i="7"/>
  <c r="AB148" i="7"/>
  <c r="AJ148" i="7"/>
  <c r="AR148" i="7"/>
  <c r="AZ148" i="7"/>
  <c r="BH148" i="7"/>
  <c r="BP148" i="7"/>
  <c r="BX148" i="7"/>
  <c r="CF148" i="7"/>
  <c r="CN148" i="7"/>
  <c r="CV148" i="7"/>
  <c r="DD148" i="7"/>
  <c r="DL148" i="7"/>
  <c r="DT148" i="7"/>
  <c r="EB148" i="7"/>
  <c r="EJ148" i="7"/>
  <c r="ER148" i="7"/>
  <c r="F149" i="7"/>
  <c r="N149" i="7"/>
  <c r="V149" i="7"/>
  <c r="AD149" i="7"/>
  <c r="AL149" i="7"/>
  <c r="AT149" i="7"/>
  <c r="BB149" i="7"/>
  <c r="BJ149" i="7"/>
  <c r="BR149" i="7"/>
  <c r="BZ149" i="7"/>
  <c r="CH149" i="7"/>
  <c r="CP149" i="7"/>
  <c r="CX149" i="7"/>
  <c r="DF149" i="7"/>
  <c r="DN149" i="7"/>
  <c r="DV149" i="7"/>
  <c r="ED149" i="7"/>
  <c r="EL149" i="7"/>
  <c r="ET149" i="7"/>
  <c r="H150" i="7"/>
  <c r="P150" i="7"/>
  <c r="X150" i="7"/>
  <c r="W141" i="7"/>
  <c r="AE141" i="7"/>
  <c r="AM141" i="7"/>
  <c r="AU141" i="7"/>
  <c r="BC141" i="7"/>
  <c r="BK141" i="7"/>
  <c r="BS141" i="7"/>
  <c r="CA141" i="7"/>
  <c r="CI141" i="7"/>
  <c r="CQ141" i="7"/>
  <c r="CY141" i="7"/>
  <c r="DG141" i="7"/>
  <c r="DO141" i="7"/>
  <c r="DW141" i="7"/>
  <c r="EE141" i="7"/>
  <c r="EM141" i="7"/>
  <c r="EU141" i="7"/>
  <c r="I142" i="7"/>
  <c r="Q142" i="7"/>
  <c r="Y142" i="7"/>
  <c r="AG142" i="7"/>
  <c r="AO142" i="7"/>
  <c r="AW142" i="7"/>
  <c r="BE142" i="7"/>
  <c r="BM142" i="7"/>
  <c r="BU142" i="7"/>
  <c r="CC142" i="7"/>
  <c r="CK142" i="7"/>
  <c r="CS142" i="7"/>
  <c r="DA142" i="7"/>
  <c r="DI142" i="7"/>
  <c r="DQ142" i="7"/>
  <c r="DY142" i="7"/>
  <c r="EG142" i="7"/>
  <c r="EO142" i="7"/>
  <c r="C143" i="7"/>
  <c r="K143" i="7"/>
  <c r="S143" i="7"/>
  <c r="AA143" i="7"/>
  <c r="AI143" i="7"/>
  <c r="AQ143" i="7"/>
  <c r="AY143" i="7"/>
  <c r="BG143" i="7"/>
  <c r="BO143" i="7"/>
  <c r="BW143" i="7"/>
  <c r="CE143" i="7"/>
  <c r="CM143" i="7"/>
  <c r="CU143" i="7"/>
  <c r="DC143" i="7"/>
  <c r="DK143" i="7"/>
  <c r="DS143" i="7"/>
  <c r="EA143" i="7"/>
  <c r="EI143" i="7"/>
  <c r="EQ143" i="7"/>
  <c r="E144" i="7"/>
  <c r="M144" i="7"/>
  <c r="U144" i="7"/>
  <c r="AC144" i="7"/>
  <c r="AK144" i="7"/>
  <c r="AS144" i="7"/>
  <c r="BA144" i="7"/>
  <c r="BI144" i="7"/>
  <c r="BQ144" i="7"/>
  <c r="BY144" i="7"/>
  <c r="CG144" i="7"/>
  <c r="CO144" i="7"/>
  <c r="CW144" i="7"/>
  <c r="DE144" i="7"/>
  <c r="DM144" i="7"/>
  <c r="DU144" i="7"/>
  <c r="EC144" i="7"/>
  <c r="EK144" i="7"/>
  <c r="ES144" i="7"/>
  <c r="G145" i="7"/>
  <c r="O145" i="7"/>
  <c r="W145" i="7"/>
  <c r="AE145" i="7"/>
  <c r="AM145" i="7"/>
  <c r="AU145" i="7"/>
  <c r="BC145" i="7"/>
  <c r="BK145" i="7"/>
  <c r="BS145" i="7"/>
  <c r="CA145" i="7"/>
  <c r="CI145" i="7"/>
  <c r="CQ145" i="7"/>
  <c r="CY145" i="7"/>
  <c r="DG145" i="7"/>
  <c r="DO145" i="7"/>
  <c r="DW145" i="7"/>
  <c r="EE145" i="7"/>
  <c r="EM145" i="7"/>
  <c r="EU145" i="7"/>
  <c r="I146" i="7"/>
  <c r="Q146" i="7"/>
  <c r="Y146" i="7"/>
  <c r="AG146" i="7"/>
  <c r="AO146" i="7"/>
  <c r="AW146" i="7"/>
  <c r="BE146" i="7"/>
  <c r="BM146" i="7"/>
  <c r="BU146" i="7"/>
  <c r="CC146" i="7"/>
  <c r="CK146" i="7"/>
  <c r="CS146" i="7"/>
  <c r="DA146" i="7"/>
  <c r="DI146" i="7"/>
  <c r="DQ146" i="7"/>
  <c r="DY146" i="7"/>
  <c r="EG146" i="7"/>
  <c r="EO146" i="7"/>
  <c r="C147" i="7"/>
  <c r="K147" i="7"/>
  <c r="S147" i="7"/>
  <c r="AA147" i="7"/>
  <c r="AI147" i="7"/>
  <c r="AQ147" i="7"/>
  <c r="AY147" i="7"/>
  <c r="BG147" i="7"/>
  <c r="BO147" i="7"/>
  <c r="BW147" i="7"/>
  <c r="CE147" i="7"/>
  <c r="CM147" i="7"/>
  <c r="CU147" i="7"/>
  <c r="DC147" i="7"/>
  <c r="DK147" i="7"/>
  <c r="DS147" i="7"/>
  <c r="EA147" i="7"/>
  <c r="EI147" i="7"/>
  <c r="EQ147" i="7"/>
  <c r="E148" i="7"/>
  <c r="M148" i="7"/>
  <c r="U148" i="7"/>
  <c r="AC148" i="7"/>
  <c r="AK148" i="7"/>
  <c r="AS148" i="7"/>
  <c r="BA148" i="7"/>
  <c r="BI148" i="7"/>
  <c r="BQ148" i="7"/>
  <c r="BY148" i="7"/>
  <c r="CG148" i="7"/>
  <c r="CO148" i="7"/>
  <c r="CW148" i="7"/>
  <c r="DE148" i="7"/>
  <c r="DM148" i="7"/>
  <c r="DU148" i="7"/>
  <c r="EC148" i="7"/>
  <c r="EK148" i="7"/>
  <c r="ES148" i="7"/>
  <c r="G149" i="7"/>
  <c r="O149" i="7"/>
  <c r="W149" i="7"/>
  <c r="AE149" i="7"/>
  <c r="AM149" i="7"/>
  <c r="AU149" i="7"/>
  <c r="BC149" i="7"/>
  <c r="BK149" i="7"/>
  <c r="BS149" i="7"/>
  <c r="CA149" i="7"/>
  <c r="CI149" i="7"/>
  <c r="CQ149" i="7"/>
  <c r="CY149" i="7"/>
  <c r="DG149" i="7"/>
  <c r="DO149" i="7"/>
  <c r="DW149" i="7"/>
  <c r="EE149" i="7"/>
  <c r="EM149" i="7"/>
  <c r="EU149" i="7"/>
  <c r="I150" i="7"/>
  <c r="Q150" i="7"/>
  <c r="Y150" i="7"/>
  <c r="X141" i="7"/>
  <c r="AF141" i="7"/>
  <c r="AN141" i="7"/>
  <c r="AV141" i="7"/>
  <c r="BD141" i="7"/>
  <c r="BL141" i="7"/>
  <c r="BT141" i="7"/>
  <c r="CB141" i="7"/>
  <c r="CJ141" i="7"/>
  <c r="CR141" i="7"/>
  <c r="CZ141" i="7"/>
  <c r="DH141" i="7"/>
  <c r="DP141" i="7"/>
  <c r="DX141" i="7"/>
  <c r="EF141" i="7"/>
  <c r="EN141" i="7"/>
  <c r="EV141" i="7"/>
  <c r="J142" i="7"/>
  <c r="R142" i="7"/>
  <c r="Z142" i="7"/>
  <c r="AH142" i="7"/>
  <c r="AP142" i="7"/>
  <c r="AX142" i="7"/>
  <c r="BF142" i="7"/>
  <c r="BN142" i="7"/>
  <c r="BV142" i="7"/>
  <c r="CD142" i="7"/>
  <c r="CL142" i="7"/>
  <c r="CT142" i="7"/>
  <c r="DB142" i="7"/>
  <c r="DJ142" i="7"/>
  <c r="DR142" i="7"/>
  <c r="DZ142" i="7"/>
  <c r="EH142" i="7"/>
  <c r="EP142" i="7"/>
  <c r="D143" i="7"/>
  <c r="L143" i="7"/>
  <c r="T143" i="7"/>
  <c r="AB143" i="7"/>
  <c r="AJ143" i="7"/>
  <c r="AR143" i="7"/>
  <c r="AZ143" i="7"/>
  <c r="BH143" i="7"/>
  <c r="BP143" i="7"/>
  <c r="BX143" i="7"/>
  <c r="CF143" i="7"/>
  <c r="CN143" i="7"/>
  <c r="CV143" i="7"/>
  <c r="DD143" i="7"/>
  <c r="DL143" i="7"/>
  <c r="DT143" i="7"/>
  <c r="EB143" i="7"/>
  <c r="EJ143" i="7"/>
  <c r="ER143" i="7"/>
  <c r="F144" i="7"/>
  <c r="N144" i="7"/>
  <c r="V144" i="7"/>
  <c r="AD144" i="7"/>
  <c r="AL144" i="7"/>
  <c r="AT144" i="7"/>
  <c r="BB144" i="7"/>
  <c r="BJ144" i="7"/>
  <c r="BR144" i="7"/>
  <c r="BZ144" i="7"/>
  <c r="CH144" i="7"/>
  <c r="CP144" i="7"/>
  <c r="CX144" i="7"/>
  <c r="DF144" i="7"/>
  <c r="DN144" i="7"/>
  <c r="DV144" i="7"/>
  <c r="ED144" i="7"/>
  <c r="EL144" i="7"/>
  <c r="ET144" i="7"/>
  <c r="H145" i="7"/>
  <c r="P145" i="7"/>
  <c r="X145" i="7"/>
  <c r="AF145" i="7"/>
  <c r="AN145" i="7"/>
  <c r="AV145" i="7"/>
  <c r="BD145" i="7"/>
  <c r="BL145" i="7"/>
  <c r="BT145" i="7"/>
  <c r="CB145" i="7"/>
  <c r="CJ145" i="7"/>
  <c r="CR145" i="7"/>
  <c r="CZ145" i="7"/>
  <c r="DH145" i="7"/>
  <c r="DP145" i="7"/>
  <c r="DX145" i="7"/>
  <c r="EF145" i="7"/>
  <c r="EN145" i="7"/>
  <c r="EV145" i="7"/>
  <c r="J146" i="7"/>
  <c r="R146" i="7"/>
  <c r="Z146" i="7"/>
  <c r="AH146" i="7"/>
  <c r="AP146" i="7"/>
  <c r="AX146" i="7"/>
  <c r="BF146" i="7"/>
  <c r="BN146" i="7"/>
  <c r="BV146" i="7"/>
  <c r="CD146" i="7"/>
  <c r="CL146" i="7"/>
  <c r="CT146" i="7"/>
  <c r="DB146" i="7"/>
  <c r="DJ146" i="7"/>
  <c r="DR146" i="7"/>
  <c r="DZ146" i="7"/>
  <c r="EH146" i="7"/>
  <c r="EP146" i="7"/>
  <c r="D147" i="7"/>
  <c r="L147" i="7"/>
  <c r="T147" i="7"/>
  <c r="AB147" i="7"/>
  <c r="AJ147" i="7"/>
  <c r="AR147" i="7"/>
  <c r="AZ147" i="7"/>
  <c r="BH147" i="7"/>
  <c r="BP147" i="7"/>
  <c r="BX147" i="7"/>
  <c r="CF147" i="7"/>
  <c r="CN147" i="7"/>
  <c r="CV147" i="7"/>
  <c r="DD147" i="7"/>
  <c r="DL147" i="7"/>
  <c r="DT147" i="7"/>
  <c r="EB147" i="7"/>
  <c r="EJ147" i="7"/>
  <c r="ER147" i="7"/>
  <c r="F148" i="7"/>
  <c r="N148" i="7"/>
  <c r="V148" i="7"/>
  <c r="AD148" i="7"/>
  <c r="AL148" i="7"/>
  <c r="AT148" i="7"/>
  <c r="BB148" i="7"/>
  <c r="BJ148" i="7"/>
  <c r="BR148" i="7"/>
  <c r="BZ148" i="7"/>
  <c r="CH148" i="7"/>
  <c r="CP148" i="7"/>
  <c r="CX148" i="7"/>
  <c r="DF148" i="7"/>
  <c r="DN148" i="7"/>
  <c r="DV148" i="7"/>
  <c r="ED148" i="7"/>
  <c r="EL148" i="7"/>
  <c r="ET148" i="7"/>
  <c r="H149" i="7"/>
  <c r="P149" i="7"/>
  <c r="X149" i="7"/>
  <c r="AF149" i="7"/>
  <c r="AN149" i="7"/>
  <c r="AV149" i="7"/>
  <c r="BD149" i="7"/>
  <c r="BL149" i="7"/>
  <c r="BT149" i="7"/>
  <c r="CB149" i="7"/>
  <c r="CJ149" i="7"/>
  <c r="CR149" i="7"/>
  <c r="CZ149" i="7"/>
  <c r="DH149" i="7"/>
  <c r="DP149" i="7"/>
  <c r="DX149" i="7"/>
  <c r="EF149" i="7"/>
  <c r="EN149" i="7"/>
  <c r="EV149" i="7"/>
  <c r="J150" i="7"/>
  <c r="R150" i="7"/>
  <c r="Z150" i="7"/>
  <c r="Y141" i="7"/>
  <c r="AG141" i="7"/>
  <c r="AO141" i="7"/>
  <c r="AW141" i="7"/>
  <c r="BE141" i="7"/>
  <c r="BM141" i="7"/>
  <c r="BU141" i="7"/>
  <c r="CC141" i="7"/>
  <c r="CK141" i="7"/>
  <c r="CS141" i="7"/>
  <c r="DA141" i="7"/>
  <c r="DI141" i="7"/>
  <c r="DQ141" i="7"/>
  <c r="DY141" i="7"/>
  <c r="EG141" i="7"/>
  <c r="EO141" i="7"/>
  <c r="C142" i="7"/>
  <c r="K142" i="7"/>
  <c r="S142" i="7"/>
  <c r="AA142" i="7"/>
  <c r="AI142" i="7"/>
  <c r="AQ142" i="7"/>
  <c r="AY142" i="7"/>
  <c r="BG142" i="7"/>
  <c r="BO142" i="7"/>
  <c r="BW142" i="7"/>
  <c r="CE142" i="7"/>
  <c r="CM142" i="7"/>
  <c r="CU142" i="7"/>
  <c r="DC142" i="7"/>
  <c r="DK142" i="7"/>
  <c r="DS142" i="7"/>
  <c r="EA142" i="7"/>
  <c r="EI142" i="7"/>
  <c r="EQ142" i="7"/>
  <c r="E143" i="7"/>
  <c r="M143" i="7"/>
  <c r="U143" i="7"/>
  <c r="AC143" i="7"/>
  <c r="AK143" i="7"/>
  <c r="AS143" i="7"/>
  <c r="BA143" i="7"/>
  <c r="BI143" i="7"/>
  <c r="BQ143" i="7"/>
  <c r="BY143" i="7"/>
  <c r="CG143" i="7"/>
  <c r="CO143" i="7"/>
  <c r="CW143" i="7"/>
  <c r="DE143" i="7"/>
  <c r="DM143" i="7"/>
  <c r="DU143" i="7"/>
  <c r="EC143" i="7"/>
  <c r="EK143" i="7"/>
  <c r="ES143" i="7"/>
  <c r="G144" i="7"/>
  <c r="O144" i="7"/>
  <c r="W144" i="7"/>
  <c r="AE144" i="7"/>
  <c r="AM144" i="7"/>
  <c r="AU144" i="7"/>
  <c r="BC144" i="7"/>
  <c r="BK144" i="7"/>
  <c r="BS144" i="7"/>
  <c r="CA144" i="7"/>
  <c r="CI144" i="7"/>
  <c r="CQ144" i="7"/>
  <c r="CY144" i="7"/>
  <c r="DG144" i="7"/>
  <c r="DO144" i="7"/>
  <c r="DW144" i="7"/>
  <c r="EE144" i="7"/>
  <c r="EM144" i="7"/>
  <c r="EU144" i="7"/>
  <c r="I145" i="7"/>
  <c r="Q145" i="7"/>
  <c r="Y145" i="7"/>
  <c r="AG145" i="7"/>
  <c r="AO145" i="7"/>
  <c r="AW145" i="7"/>
  <c r="BE145" i="7"/>
  <c r="BM145" i="7"/>
  <c r="BU145" i="7"/>
  <c r="CC145" i="7"/>
  <c r="CK145" i="7"/>
  <c r="CS145" i="7"/>
  <c r="DA145" i="7"/>
  <c r="DI145" i="7"/>
  <c r="DQ145" i="7"/>
  <c r="DY145" i="7"/>
  <c r="EG145" i="7"/>
  <c r="EO145" i="7"/>
  <c r="C146" i="7"/>
  <c r="K146" i="7"/>
  <c r="S146" i="7"/>
  <c r="AA146" i="7"/>
  <c r="AI146" i="7"/>
  <c r="AQ146" i="7"/>
  <c r="AY146" i="7"/>
  <c r="BG146" i="7"/>
  <c r="BO146" i="7"/>
  <c r="BW146" i="7"/>
  <c r="CE146" i="7"/>
  <c r="CM146" i="7"/>
  <c r="CU146" i="7"/>
  <c r="DC146" i="7"/>
  <c r="DK146" i="7"/>
  <c r="DS146" i="7"/>
  <c r="EA146" i="7"/>
  <c r="EI146" i="7"/>
  <c r="EQ146" i="7"/>
  <c r="E147" i="7"/>
  <c r="M147" i="7"/>
  <c r="U147" i="7"/>
  <c r="AC147" i="7"/>
  <c r="AK147" i="7"/>
  <c r="AS147" i="7"/>
  <c r="BA147" i="7"/>
  <c r="BI147" i="7"/>
  <c r="BQ147" i="7"/>
  <c r="BY147" i="7"/>
  <c r="CG147" i="7"/>
  <c r="CO147" i="7"/>
  <c r="CW147" i="7"/>
  <c r="DE147" i="7"/>
  <c r="DM147" i="7"/>
  <c r="DU147" i="7"/>
  <c r="EC147" i="7"/>
  <c r="EK147" i="7"/>
  <c r="ES147" i="7"/>
  <c r="G148" i="7"/>
  <c r="O148" i="7"/>
  <c r="W148" i="7"/>
  <c r="AE148" i="7"/>
  <c r="AM148" i="7"/>
  <c r="AU148" i="7"/>
  <c r="BC148" i="7"/>
  <c r="BK148" i="7"/>
  <c r="BS148" i="7"/>
  <c r="CA148" i="7"/>
  <c r="CI148" i="7"/>
  <c r="CQ148" i="7"/>
  <c r="CY148" i="7"/>
  <c r="DG148" i="7"/>
  <c r="DO148" i="7"/>
  <c r="DW148" i="7"/>
  <c r="EE148" i="7"/>
  <c r="EM148" i="7"/>
  <c r="EU148" i="7"/>
  <c r="I149" i="7"/>
  <c r="Q149" i="7"/>
  <c r="Y149" i="7"/>
  <c r="AG149" i="7"/>
  <c r="AO149" i="7"/>
  <c r="AW149" i="7"/>
  <c r="BE149" i="7"/>
  <c r="BM149" i="7"/>
  <c r="BU149" i="7"/>
  <c r="CC149" i="7"/>
  <c r="CK149" i="7"/>
  <c r="CS149" i="7"/>
  <c r="DA149" i="7"/>
  <c r="DI149" i="7"/>
  <c r="DQ149" i="7"/>
  <c r="DY149" i="7"/>
  <c r="EG149" i="7"/>
  <c r="EO149" i="7"/>
  <c r="C150" i="7"/>
  <c r="K150" i="7"/>
  <c r="S150" i="7"/>
  <c r="AA150" i="7"/>
  <c r="Z141" i="7"/>
  <c r="AH141" i="7"/>
  <c r="AP141" i="7"/>
  <c r="AX141" i="7"/>
  <c r="BF141" i="7"/>
  <c r="BN141" i="7"/>
  <c r="BV141" i="7"/>
  <c r="CD141" i="7"/>
  <c r="CL141" i="7"/>
  <c r="CT141" i="7"/>
  <c r="DB141" i="7"/>
  <c r="DJ141" i="7"/>
  <c r="DR141" i="7"/>
  <c r="DZ141" i="7"/>
  <c r="EH141" i="7"/>
  <c r="EP141" i="7"/>
  <c r="D142" i="7"/>
  <c r="L142" i="7"/>
  <c r="T142" i="7"/>
  <c r="AB142" i="7"/>
  <c r="AJ142" i="7"/>
  <c r="AR142" i="7"/>
  <c r="AZ142" i="7"/>
  <c r="BH142" i="7"/>
  <c r="BP142" i="7"/>
  <c r="BX142" i="7"/>
  <c r="CF142" i="7"/>
  <c r="CN142" i="7"/>
  <c r="CV142" i="7"/>
  <c r="DD142" i="7"/>
  <c r="DL142" i="7"/>
  <c r="DT142" i="7"/>
  <c r="EB142" i="7"/>
  <c r="EJ142" i="7"/>
  <c r="ER142" i="7"/>
  <c r="F143" i="7"/>
  <c r="N143" i="7"/>
  <c r="V143" i="7"/>
  <c r="AD143" i="7"/>
  <c r="AL143" i="7"/>
  <c r="AT143" i="7"/>
  <c r="BB143" i="7"/>
  <c r="BJ143" i="7"/>
  <c r="BR143" i="7"/>
  <c r="BZ143" i="7"/>
  <c r="CH143" i="7"/>
  <c r="CP143" i="7"/>
  <c r="CX143" i="7"/>
  <c r="DF143" i="7"/>
  <c r="DN143" i="7"/>
  <c r="DV143" i="7"/>
  <c r="ED143" i="7"/>
  <c r="EL143" i="7"/>
  <c r="ET143" i="7"/>
  <c r="H144" i="7"/>
  <c r="P144" i="7"/>
  <c r="X144" i="7"/>
  <c r="AF144" i="7"/>
  <c r="AN144" i="7"/>
  <c r="AV144" i="7"/>
  <c r="BD144" i="7"/>
  <c r="BL144" i="7"/>
  <c r="BT144" i="7"/>
  <c r="CB144" i="7"/>
  <c r="CJ144" i="7"/>
  <c r="CR144" i="7"/>
  <c r="CZ144" i="7"/>
  <c r="DH144" i="7"/>
  <c r="DP144" i="7"/>
  <c r="DX144" i="7"/>
  <c r="EF144" i="7"/>
  <c r="EN144" i="7"/>
  <c r="EV144" i="7"/>
  <c r="J145" i="7"/>
  <c r="R145" i="7"/>
  <c r="Z145" i="7"/>
  <c r="AH145" i="7"/>
  <c r="AP145" i="7"/>
  <c r="AX145" i="7"/>
  <c r="BF145" i="7"/>
  <c r="BN145" i="7"/>
  <c r="BV145" i="7"/>
  <c r="CD145" i="7"/>
  <c r="CL145" i="7"/>
  <c r="CT145" i="7"/>
  <c r="DB145" i="7"/>
  <c r="DJ145" i="7"/>
  <c r="DR145" i="7"/>
  <c r="DZ145" i="7"/>
  <c r="EH145" i="7"/>
  <c r="EP145" i="7"/>
  <c r="D146" i="7"/>
  <c r="L146" i="7"/>
  <c r="T146" i="7"/>
  <c r="AB146" i="7"/>
  <c r="AJ146" i="7"/>
  <c r="AR146" i="7"/>
  <c r="AZ146" i="7"/>
  <c r="BH146" i="7"/>
  <c r="BP146" i="7"/>
  <c r="BX146" i="7"/>
  <c r="CF146" i="7"/>
  <c r="CN146" i="7"/>
  <c r="CV146" i="7"/>
  <c r="DD146" i="7"/>
  <c r="DL146" i="7"/>
  <c r="DT146" i="7"/>
  <c r="EB146" i="7"/>
  <c r="EJ146" i="7"/>
  <c r="ER146" i="7"/>
  <c r="F147" i="7"/>
  <c r="N147" i="7"/>
  <c r="V147" i="7"/>
  <c r="AD147" i="7"/>
  <c r="AL147" i="7"/>
  <c r="AT147" i="7"/>
  <c r="BB147" i="7"/>
  <c r="BJ147" i="7"/>
  <c r="BR147" i="7"/>
  <c r="BZ147" i="7"/>
  <c r="CH147" i="7"/>
  <c r="CP147" i="7"/>
  <c r="CX147" i="7"/>
  <c r="DF147" i="7"/>
  <c r="DN147" i="7"/>
  <c r="DV147" i="7"/>
  <c r="ED147" i="7"/>
  <c r="EL147" i="7"/>
  <c r="ET147" i="7"/>
  <c r="H148" i="7"/>
  <c r="P148" i="7"/>
  <c r="X148" i="7"/>
  <c r="AF148" i="7"/>
  <c r="AN148" i="7"/>
  <c r="AV148" i="7"/>
  <c r="BD148" i="7"/>
  <c r="BL148" i="7"/>
  <c r="BT148" i="7"/>
  <c r="CB148" i="7"/>
  <c r="CJ148" i="7"/>
  <c r="CR148" i="7"/>
  <c r="CZ148" i="7"/>
  <c r="DH148" i="7"/>
  <c r="DP148" i="7"/>
  <c r="DX148" i="7"/>
  <c r="EF148" i="7"/>
  <c r="EN148" i="7"/>
  <c r="EV148" i="7"/>
  <c r="J149" i="7"/>
  <c r="R149" i="7"/>
  <c r="Z149" i="7"/>
  <c r="AH149" i="7"/>
  <c r="AP149" i="7"/>
  <c r="AX149" i="7"/>
  <c r="BF149" i="7"/>
  <c r="BN149" i="7"/>
  <c r="BV149" i="7"/>
  <c r="CD149" i="7"/>
  <c r="CL149" i="7"/>
  <c r="CT149" i="7"/>
  <c r="DB149" i="7"/>
  <c r="DJ149" i="7"/>
  <c r="DR149" i="7"/>
  <c r="DZ149" i="7"/>
  <c r="EH149" i="7"/>
  <c r="EP149" i="7"/>
  <c r="D150" i="7"/>
  <c r="L150" i="7"/>
  <c r="T150" i="7"/>
  <c r="AB150" i="7"/>
  <c r="AA141" i="7"/>
  <c r="AI141" i="7"/>
  <c r="AQ141" i="7"/>
  <c r="AY141" i="7"/>
  <c r="BG141" i="7"/>
  <c r="BO141" i="7"/>
  <c r="BW141" i="7"/>
  <c r="CE141" i="7"/>
  <c r="CM141" i="7"/>
  <c r="CU141" i="7"/>
  <c r="DC141" i="7"/>
  <c r="DK141" i="7"/>
  <c r="DS141" i="7"/>
  <c r="EA141" i="7"/>
  <c r="EI141" i="7"/>
  <c r="EQ141" i="7"/>
  <c r="E142" i="7"/>
  <c r="M142" i="7"/>
  <c r="U142" i="7"/>
  <c r="AC142" i="7"/>
  <c r="AK142" i="7"/>
  <c r="AS142" i="7"/>
  <c r="BA142" i="7"/>
  <c r="BI142" i="7"/>
  <c r="BQ142" i="7"/>
  <c r="BY142" i="7"/>
  <c r="CG142" i="7"/>
  <c r="CO142" i="7"/>
  <c r="CW142" i="7"/>
  <c r="DE142" i="7"/>
  <c r="DM142" i="7"/>
  <c r="DU142" i="7"/>
  <c r="EC142" i="7"/>
  <c r="EK142" i="7"/>
  <c r="ES142" i="7"/>
  <c r="G143" i="7"/>
  <c r="O143" i="7"/>
  <c r="W143" i="7"/>
  <c r="AE143" i="7"/>
  <c r="AM143" i="7"/>
  <c r="AU143" i="7"/>
  <c r="BC143" i="7"/>
  <c r="BK143" i="7"/>
  <c r="BS143" i="7"/>
  <c r="CA143" i="7"/>
  <c r="CI143" i="7"/>
  <c r="CQ143" i="7"/>
  <c r="CY143" i="7"/>
  <c r="DG143" i="7"/>
  <c r="DO143" i="7"/>
  <c r="DW143" i="7"/>
  <c r="EE143" i="7"/>
  <c r="EM143" i="7"/>
  <c r="EU143" i="7"/>
  <c r="I144" i="7"/>
  <c r="Q144" i="7"/>
  <c r="Y144" i="7"/>
  <c r="AG144" i="7"/>
  <c r="AO144" i="7"/>
  <c r="AW144" i="7"/>
  <c r="BE144" i="7"/>
  <c r="BM144" i="7"/>
  <c r="BU144" i="7"/>
  <c r="CC144" i="7"/>
  <c r="CK144" i="7"/>
  <c r="CS144" i="7"/>
  <c r="DA144" i="7"/>
  <c r="DI144" i="7"/>
  <c r="DQ144" i="7"/>
  <c r="DY144" i="7"/>
  <c r="EG144" i="7"/>
  <c r="EO144" i="7"/>
  <c r="C145" i="7"/>
  <c r="K145" i="7"/>
  <c r="S145" i="7"/>
  <c r="AA145" i="7"/>
  <c r="AI145" i="7"/>
  <c r="AQ145" i="7"/>
  <c r="AY145" i="7"/>
  <c r="BG145" i="7"/>
  <c r="BO145" i="7"/>
  <c r="BW145" i="7"/>
  <c r="CE145" i="7"/>
  <c r="CM145" i="7"/>
  <c r="CU145" i="7"/>
  <c r="DC145" i="7"/>
  <c r="DK145" i="7"/>
  <c r="DS145" i="7"/>
  <c r="EA145" i="7"/>
  <c r="EI145" i="7"/>
  <c r="EQ145" i="7"/>
  <c r="E146" i="7"/>
  <c r="M146" i="7"/>
  <c r="U146" i="7"/>
  <c r="AC146" i="7"/>
  <c r="AK146" i="7"/>
  <c r="AS146" i="7"/>
  <c r="BA146" i="7"/>
  <c r="BI146" i="7"/>
  <c r="BQ146" i="7"/>
  <c r="BY146" i="7"/>
  <c r="CG146" i="7"/>
  <c r="CO146" i="7"/>
  <c r="CW146" i="7"/>
  <c r="DE146" i="7"/>
  <c r="DM146" i="7"/>
  <c r="DU146" i="7"/>
  <c r="EC146" i="7"/>
  <c r="EK146" i="7"/>
  <c r="ES146" i="7"/>
  <c r="G147" i="7"/>
  <c r="O147" i="7"/>
  <c r="W147" i="7"/>
  <c r="AE147" i="7"/>
  <c r="AM147" i="7"/>
  <c r="AU147" i="7"/>
  <c r="BC147" i="7"/>
  <c r="BK147" i="7"/>
  <c r="BS147" i="7"/>
  <c r="CA147" i="7"/>
  <c r="CI147" i="7"/>
  <c r="CQ147" i="7"/>
  <c r="CY147" i="7"/>
  <c r="DG147" i="7"/>
  <c r="DO147" i="7"/>
  <c r="DW147" i="7"/>
  <c r="EE147" i="7"/>
  <c r="EM147" i="7"/>
  <c r="EU147" i="7"/>
  <c r="I148" i="7"/>
  <c r="Q148" i="7"/>
  <c r="Y148" i="7"/>
  <c r="AG148" i="7"/>
  <c r="AO148" i="7"/>
  <c r="AW148" i="7"/>
  <c r="BE148" i="7"/>
  <c r="BM148" i="7"/>
  <c r="BU148" i="7"/>
  <c r="CC148" i="7"/>
  <c r="CK148" i="7"/>
  <c r="CS148" i="7"/>
  <c r="DA148" i="7"/>
  <c r="DI148" i="7"/>
  <c r="DQ148" i="7"/>
  <c r="DY148" i="7"/>
  <c r="EG148" i="7"/>
  <c r="EO148" i="7"/>
  <c r="C149" i="7"/>
  <c r="K149" i="7"/>
  <c r="S149" i="7"/>
  <c r="AA149" i="7"/>
  <c r="AI149" i="7"/>
  <c r="AQ149" i="7"/>
  <c r="AY149" i="7"/>
  <c r="BG149" i="7"/>
  <c r="BO149" i="7"/>
  <c r="BW149" i="7"/>
  <c r="CE149" i="7"/>
  <c r="CM149" i="7"/>
  <c r="CU149" i="7"/>
  <c r="DC149" i="7"/>
  <c r="DK149" i="7"/>
  <c r="DS149" i="7"/>
  <c r="EA149" i="7"/>
  <c r="EI149" i="7"/>
  <c r="EQ149" i="7"/>
  <c r="E150" i="7"/>
  <c r="M150" i="7"/>
  <c r="U150" i="7"/>
  <c r="AK150" i="7"/>
  <c r="AS150" i="7"/>
  <c r="BA150" i="7"/>
  <c r="BI150" i="7"/>
  <c r="BQ150" i="7"/>
  <c r="BY150" i="7"/>
  <c r="CG150" i="7"/>
  <c r="CO150" i="7"/>
  <c r="CW150" i="7"/>
  <c r="DE150" i="7"/>
  <c r="DM150" i="7"/>
  <c r="DU150" i="7"/>
  <c r="EC150" i="7"/>
  <c r="EK150" i="7"/>
  <c r="ES150" i="7"/>
  <c r="G151" i="7"/>
  <c r="O151" i="7"/>
  <c r="W151" i="7"/>
  <c r="AE151" i="7"/>
  <c r="AM151" i="7"/>
  <c r="AU151" i="7"/>
  <c r="BC151" i="7"/>
  <c r="BK151" i="7"/>
  <c r="BS151" i="7"/>
  <c r="CA151" i="7"/>
  <c r="CI151" i="7"/>
  <c r="CQ151" i="7"/>
  <c r="CY151" i="7"/>
  <c r="DG151" i="7"/>
  <c r="DO151" i="7"/>
  <c r="DW151" i="7"/>
  <c r="EE151" i="7"/>
  <c r="EM151" i="7"/>
  <c r="EU151" i="7"/>
  <c r="AC150" i="7"/>
  <c r="AL150" i="7"/>
  <c r="AT150" i="7"/>
  <c r="BB150" i="7"/>
  <c r="BJ150" i="7"/>
  <c r="BR150" i="7"/>
  <c r="BZ150" i="7"/>
  <c r="CH150" i="7"/>
  <c r="CP150" i="7"/>
  <c r="CX150" i="7"/>
  <c r="DF150" i="7"/>
  <c r="DN150" i="7"/>
  <c r="DV150" i="7"/>
  <c r="ED150" i="7"/>
  <c r="EL150" i="7"/>
  <c r="ET150" i="7"/>
  <c r="H151" i="7"/>
  <c r="P151" i="7"/>
  <c r="X151" i="7"/>
  <c r="AF151" i="7"/>
  <c r="AN151" i="7"/>
  <c r="AV151" i="7"/>
  <c r="BD151" i="7"/>
  <c r="BL151" i="7"/>
  <c r="BT151" i="7"/>
  <c r="CB151" i="7"/>
  <c r="CJ151" i="7"/>
  <c r="CR151" i="7"/>
  <c r="CZ151" i="7"/>
  <c r="DH151" i="7"/>
  <c r="DP151" i="7"/>
  <c r="DX151" i="7"/>
  <c r="EF151" i="7"/>
  <c r="EN151" i="7"/>
  <c r="EV151" i="7"/>
  <c r="AE150" i="7"/>
  <c r="AM150" i="7"/>
  <c r="AU150" i="7"/>
  <c r="BC150" i="7"/>
  <c r="BK150" i="7"/>
  <c r="BS150" i="7"/>
  <c r="CA150" i="7"/>
  <c r="CI150" i="7"/>
  <c r="CQ150" i="7"/>
  <c r="CY150" i="7"/>
  <c r="DG150" i="7"/>
  <c r="DO150" i="7"/>
  <c r="DW150" i="7"/>
  <c r="EE150" i="7"/>
  <c r="EM150" i="7"/>
  <c r="EU150" i="7"/>
  <c r="I151" i="7"/>
  <c r="Q151" i="7"/>
  <c r="Y151" i="7"/>
  <c r="AG151" i="7"/>
  <c r="AO151" i="7"/>
  <c r="AW151" i="7"/>
  <c r="BE151" i="7"/>
  <c r="BM151" i="7"/>
  <c r="BU151" i="7"/>
  <c r="CC151" i="7"/>
  <c r="CK151" i="7"/>
  <c r="CS151" i="7"/>
  <c r="DA151" i="7"/>
  <c r="DI151" i="7"/>
  <c r="DQ151" i="7"/>
  <c r="DY151" i="7"/>
  <c r="EG151" i="7"/>
  <c r="EO151" i="7"/>
  <c r="AF150" i="7"/>
  <c r="AN150" i="7"/>
  <c r="AV150" i="7"/>
  <c r="BD150" i="7"/>
  <c r="BL150" i="7"/>
  <c r="BT150" i="7"/>
  <c r="CB150" i="7"/>
  <c r="CJ150" i="7"/>
  <c r="CR150" i="7"/>
  <c r="CZ150" i="7"/>
  <c r="DH150" i="7"/>
  <c r="DP150" i="7"/>
  <c r="DX150" i="7"/>
  <c r="EF150" i="7"/>
  <c r="EN150" i="7"/>
  <c r="EV150" i="7"/>
  <c r="J151" i="7"/>
  <c r="R151" i="7"/>
  <c r="Z151" i="7"/>
  <c r="AH151" i="7"/>
  <c r="AP151" i="7"/>
  <c r="AX151" i="7"/>
  <c r="BF151" i="7"/>
  <c r="BN151" i="7"/>
  <c r="BV151" i="7"/>
  <c r="CD151" i="7"/>
  <c r="CL151" i="7"/>
  <c r="CT151" i="7"/>
  <c r="DB151" i="7"/>
  <c r="DJ151" i="7"/>
  <c r="DR151" i="7"/>
  <c r="DZ151" i="7"/>
  <c r="EH151" i="7"/>
  <c r="EP151" i="7"/>
  <c r="AG150" i="7"/>
  <c r="AO150" i="7"/>
  <c r="AW150" i="7"/>
  <c r="BE150" i="7"/>
  <c r="BM150" i="7"/>
  <c r="BU150" i="7"/>
  <c r="CC150" i="7"/>
  <c r="CK150" i="7"/>
  <c r="CS150" i="7"/>
  <c r="DA150" i="7"/>
  <c r="DI150" i="7"/>
  <c r="DQ150" i="7"/>
  <c r="DY150" i="7"/>
  <c r="EG150" i="7"/>
  <c r="EO150" i="7"/>
  <c r="C151" i="7"/>
  <c r="K151" i="7"/>
  <c r="S151" i="7"/>
  <c r="AA151" i="7"/>
  <c r="AI151" i="7"/>
  <c r="AQ151" i="7"/>
  <c r="AY151" i="7"/>
  <c r="BG151" i="7"/>
  <c r="BO151" i="7"/>
  <c r="BW151" i="7"/>
  <c r="CE151" i="7"/>
  <c r="CM151" i="7"/>
  <c r="CU151" i="7"/>
  <c r="DC151" i="7"/>
  <c r="DK151" i="7"/>
  <c r="DS151" i="7"/>
  <c r="EA151" i="7"/>
  <c r="EI151" i="7"/>
  <c r="EQ151" i="7"/>
  <c r="AH150" i="7"/>
  <c r="AP150" i="7"/>
  <c r="AX150" i="7"/>
  <c r="BF150" i="7"/>
  <c r="BN150" i="7"/>
  <c r="BV150" i="7"/>
  <c r="CD150" i="7"/>
  <c r="CL150" i="7"/>
  <c r="CT150" i="7"/>
  <c r="DB150" i="7"/>
  <c r="DJ150" i="7"/>
  <c r="DR150" i="7"/>
  <c r="DZ150" i="7"/>
  <c r="EH150" i="7"/>
  <c r="EP150" i="7"/>
  <c r="D151" i="7"/>
  <c r="L151" i="7"/>
  <c r="T151" i="7"/>
  <c r="AB151" i="7"/>
  <c r="AJ151" i="7"/>
  <c r="AR151" i="7"/>
  <c r="AZ151" i="7"/>
  <c r="BH151" i="7"/>
  <c r="BP151" i="7"/>
  <c r="BX151" i="7"/>
  <c r="CF151" i="7"/>
  <c r="CN151" i="7"/>
  <c r="CV151" i="7"/>
  <c r="DD151" i="7"/>
  <c r="DL151" i="7"/>
  <c r="DT151" i="7"/>
  <c r="EB151" i="7"/>
  <c r="EJ151" i="7"/>
  <c r="ER151" i="7"/>
  <c r="AI150" i="7"/>
  <c r="AQ150" i="7"/>
  <c r="AY150" i="7"/>
  <c r="BG150" i="7"/>
  <c r="BO150" i="7"/>
  <c r="BW150" i="7"/>
  <c r="CE150" i="7"/>
  <c r="CM150" i="7"/>
  <c r="CU150" i="7"/>
  <c r="DC150" i="7"/>
  <c r="DK150" i="7"/>
  <c r="DS150" i="7"/>
  <c r="EA150" i="7"/>
  <c r="EI150" i="7"/>
  <c r="EQ150" i="7"/>
  <c r="E151" i="7"/>
  <c r="M151" i="7"/>
  <c r="U151" i="7"/>
  <c r="AC151" i="7"/>
  <c r="AK151" i="7"/>
  <c r="AS151" i="7"/>
  <c r="BA151" i="7"/>
  <c r="BI151" i="7"/>
  <c r="BQ151" i="7"/>
  <c r="BY151" i="7"/>
  <c r="CG151" i="7"/>
  <c r="CO151" i="7"/>
  <c r="CW151" i="7"/>
  <c r="DE151" i="7"/>
  <c r="DM151" i="7"/>
  <c r="DU151" i="7"/>
  <c r="EC151" i="7"/>
  <c r="EK151" i="7"/>
  <c r="ES151" i="7"/>
  <c r="AJ150" i="7"/>
  <c r="AR150" i="7"/>
  <c r="AZ150" i="7"/>
  <c r="BH150" i="7"/>
  <c r="BP150" i="7"/>
  <c r="BX150" i="7"/>
  <c r="CF150" i="7"/>
  <c r="CN150" i="7"/>
  <c r="CV150" i="7"/>
  <c r="DD150" i="7"/>
  <c r="DL150" i="7"/>
  <c r="DT150" i="7"/>
  <c r="EB150" i="7"/>
  <c r="EJ150" i="7"/>
  <c r="ER150" i="7"/>
  <c r="F151" i="7"/>
  <c r="N151" i="7"/>
  <c r="V151" i="7"/>
  <c r="AD151" i="7"/>
  <c r="AL151" i="7"/>
  <c r="AT151" i="7"/>
  <c r="BB151" i="7"/>
  <c r="BJ151" i="7"/>
  <c r="BR151" i="7"/>
  <c r="BZ151" i="7"/>
  <c r="CH151" i="7"/>
  <c r="CP151" i="7"/>
  <c r="CX151" i="7"/>
  <c r="DF151" i="7"/>
  <c r="DN151" i="7"/>
  <c r="DV151" i="7"/>
  <c r="ED151" i="7"/>
  <c r="EL151" i="7"/>
  <c r="ET151" i="7"/>
  <c r="ED55" i="7"/>
  <c r="BZ105" i="7"/>
  <c r="CY106" i="7"/>
  <c r="DI107" i="7"/>
  <c r="CM108" i="7"/>
  <c r="AC109" i="7"/>
  <c r="CO109" i="7"/>
  <c r="G110" i="7"/>
  <c r="BS110" i="7"/>
  <c r="EE110" i="7"/>
  <c r="AW111" i="7"/>
  <c r="DX94" i="7"/>
  <c r="ES105" i="7"/>
  <c r="R107" i="7"/>
  <c r="L108" i="7"/>
  <c r="EJ108" i="7"/>
  <c r="BB109" i="7"/>
  <c r="DN109" i="7"/>
  <c r="AF110" i="7"/>
  <c r="CR110" i="7"/>
  <c r="J111" i="7"/>
  <c r="BV111" i="7"/>
  <c r="ED101" i="7"/>
  <c r="BL106" i="7"/>
  <c r="CI107" i="7"/>
  <c r="BM108" i="7"/>
  <c r="O109" i="7"/>
  <c r="CA109" i="7"/>
  <c r="EM109" i="7"/>
  <c r="BE110" i="7"/>
  <c r="DQ110" i="7"/>
  <c r="AI111" i="7"/>
  <c r="AB88" i="7"/>
  <c r="DF105" i="7"/>
  <c r="EC106" i="7"/>
  <c r="EF107" i="7"/>
  <c r="DJ108" i="7"/>
  <c r="AN109" i="7"/>
  <c r="CZ109" i="7"/>
  <c r="R110" i="7"/>
  <c r="CD110" i="7"/>
  <c r="EP110" i="7"/>
  <c r="BH111" i="7"/>
  <c r="CB102" i="7"/>
  <c r="BS106" i="7"/>
  <c r="CK107" i="7"/>
  <c r="BO108" i="7"/>
  <c r="Q109" i="7"/>
  <c r="CC109" i="7"/>
  <c r="EO109" i="7"/>
  <c r="BG110" i="7"/>
  <c r="DS110" i="7"/>
  <c r="AK111" i="7"/>
  <c r="BC93" i="7"/>
  <c r="EI105" i="7"/>
  <c r="I107" i="7"/>
  <c r="D108" i="7"/>
  <c r="EB108" i="7"/>
  <c r="AX109" i="7"/>
  <c r="DJ109" i="7"/>
  <c r="AB110" i="7"/>
  <c r="CN110" i="7"/>
  <c r="F111" i="7"/>
  <c r="BR111" i="7"/>
  <c r="BC107" i="7"/>
  <c r="EA109" i="7"/>
  <c r="CB111" i="7"/>
  <c r="ER111" i="7"/>
  <c r="BJ112" i="7"/>
  <c r="DV112" i="7"/>
  <c r="AN113" i="7"/>
  <c r="CZ113" i="7"/>
  <c r="R114" i="7"/>
  <c r="CD114" i="7"/>
  <c r="EP114" i="7"/>
  <c r="AP108" i="7"/>
  <c r="AT110" i="7"/>
  <c r="CW111" i="7"/>
  <c r="O112" i="7"/>
  <c r="CA112" i="7"/>
  <c r="EM112" i="7"/>
  <c r="BE113" i="7"/>
  <c r="DQ113" i="7"/>
  <c r="AI114" i="7"/>
  <c r="CU114" i="7"/>
  <c r="DN105" i="7"/>
  <c r="AQ109" i="7"/>
  <c r="ES110" i="7"/>
  <c r="DV111" i="7"/>
  <c r="AN112" i="7"/>
  <c r="CZ112" i="7"/>
  <c r="R113" i="7"/>
  <c r="CD113" i="7"/>
  <c r="EP113" i="7"/>
  <c r="BH114" i="7"/>
  <c r="DT114" i="7"/>
  <c r="CA107" i="7"/>
  <c r="EJ109" i="7"/>
  <c r="CI111" i="7"/>
  <c r="EU111" i="7"/>
  <c r="BM112" i="7"/>
  <c r="DY112" i="7"/>
  <c r="AQ113" i="7"/>
  <c r="DC113" i="7"/>
  <c r="U114" i="7"/>
  <c r="CG114" i="7"/>
  <c r="BF103" i="7"/>
  <c r="T109" i="7"/>
  <c r="DV110" i="7"/>
  <c r="DQ111" i="7"/>
  <c r="AI112" i="7"/>
  <c r="CU112" i="7"/>
  <c r="M113" i="7"/>
  <c r="BY113" i="7"/>
  <c r="AG107" i="7"/>
  <c r="DS109" i="7"/>
  <c r="BX111" i="7"/>
  <c r="EP111" i="7"/>
  <c r="BH112" i="7"/>
  <c r="DT112" i="7"/>
  <c r="AL113" i="7"/>
  <c r="CX113" i="7"/>
  <c r="P114" i="7"/>
  <c r="CB114" i="7"/>
  <c r="EN114" i="7"/>
  <c r="DR117" i="7"/>
  <c r="BF117" i="7"/>
  <c r="EN116" i="7"/>
  <c r="CB116" i="7"/>
  <c r="P116" i="7"/>
  <c r="CX115" i="7"/>
  <c r="AL115" i="7"/>
  <c r="CK114" i="7"/>
  <c r="AZ113" i="7"/>
  <c r="CR111" i="7"/>
  <c r="K118" i="7"/>
  <c r="CS117" i="7"/>
  <c r="AG117" i="7"/>
  <c r="DO116" i="7"/>
  <c r="BC116" i="7"/>
  <c r="EK115" i="7"/>
  <c r="BY115" i="7"/>
  <c r="M115" i="7"/>
  <c r="W114" i="7"/>
  <c r="CW112" i="7"/>
  <c r="AB109" i="7"/>
  <c r="EN117" i="7"/>
  <c r="CB117" i="7"/>
  <c r="P117" i="7"/>
  <c r="CX116" i="7"/>
  <c r="AL116" i="7"/>
  <c r="DT115" i="7"/>
  <c r="DQ84" i="7"/>
  <c r="CX105" i="7"/>
  <c r="DU106" i="7"/>
  <c r="DY107" i="7"/>
  <c r="DC108" i="7"/>
  <c r="AK109" i="7"/>
  <c r="CW109" i="7"/>
  <c r="O110" i="7"/>
  <c r="CA110" i="7"/>
  <c r="EM110" i="7"/>
  <c r="BE111" i="7"/>
  <c r="DM96" i="7"/>
  <c r="U106" i="7"/>
  <c r="AO107" i="7"/>
  <c r="AB108" i="7"/>
  <c r="ER108" i="7"/>
  <c r="BJ109" i="7"/>
  <c r="DV109" i="7"/>
  <c r="AN110" i="7"/>
  <c r="CZ110" i="7"/>
  <c r="R111" i="7"/>
  <c r="CD111" i="7"/>
  <c r="AJ104" i="7"/>
  <c r="CI106" i="7"/>
  <c r="CY107" i="7"/>
  <c r="CC108" i="7"/>
  <c r="W109" i="7"/>
  <c r="CI109" i="7"/>
  <c r="EU109" i="7"/>
  <c r="BM110" i="7"/>
  <c r="DY110" i="7"/>
  <c r="AQ111" i="7"/>
  <c r="V93" i="7"/>
  <c r="EC105" i="7"/>
  <c r="EV106" i="7"/>
  <c r="EV107" i="7"/>
  <c r="DZ108" i="7"/>
  <c r="AV109" i="7"/>
  <c r="DH109" i="7"/>
  <c r="Z110" i="7"/>
  <c r="CL110" i="7"/>
  <c r="D111" i="7"/>
  <c r="BP111" i="7"/>
  <c r="BQ104" i="7"/>
  <c r="CO106" i="7"/>
  <c r="DA107" i="7"/>
  <c r="CE108" i="7"/>
  <c r="Y109" i="7"/>
  <c r="CK109" i="7"/>
  <c r="C110" i="7"/>
  <c r="BO110" i="7"/>
  <c r="EA110" i="7"/>
  <c r="AS111" i="7"/>
  <c r="EH95" i="7"/>
  <c r="H106" i="7"/>
  <c r="AE107" i="7"/>
  <c r="T108" i="7"/>
  <c r="EN108" i="7"/>
  <c r="BF109" i="7"/>
  <c r="DR109" i="7"/>
  <c r="AJ110" i="7"/>
  <c r="CV110" i="7"/>
  <c r="N111" i="7"/>
  <c r="BZ111" i="7"/>
  <c r="DW107" i="7"/>
  <c r="M110" i="7"/>
  <c r="CN111" i="7"/>
  <c r="F112" i="7"/>
  <c r="BR112" i="7"/>
  <c r="ED112" i="7"/>
  <c r="AV113" i="7"/>
  <c r="DH113" i="7"/>
  <c r="Z114" i="7"/>
  <c r="CL114" i="7"/>
  <c r="EM83" i="7"/>
  <c r="DB108" i="7"/>
  <c r="BZ110" i="7"/>
  <c r="DE111" i="7"/>
  <c r="W112" i="7"/>
  <c r="CI112" i="7"/>
  <c r="EU112" i="7"/>
  <c r="BM113" i="7"/>
  <c r="DY113" i="7"/>
  <c r="AQ114" i="7"/>
  <c r="DC114" i="7"/>
  <c r="BC106" i="7"/>
  <c r="BW109" i="7"/>
  <c r="AE111" i="7"/>
  <c r="ED111" i="7"/>
  <c r="AV112" i="7"/>
  <c r="DH112" i="7"/>
  <c r="Z113" i="7"/>
  <c r="CL113" i="7"/>
  <c r="D114" i="7"/>
  <c r="BP114" i="7"/>
  <c r="EB114" i="7"/>
  <c r="EN107" i="7"/>
  <c r="V110" i="7"/>
  <c r="CQ111" i="7"/>
  <c r="I112" i="7"/>
  <c r="BU112" i="7"/>
  <c r="EG112" i="7"/>
  <c r="AY113" i="7"/>
  <c r="DK113" i="7"/>
  <c r="AC114" i="7"/>
  <c r="CO114" i="7"/>
  <c r="EL105" i="7"/>
  <c r="AZ109" i="7"/>
  <c r="H111" i="7"/>
  <c r="DY111" i="7"/>
  <c r="AQ112" i="7"/>
  <c r="DC112" i="7"/>
  <c r="U113" i="7"/>
  <c r="CG113" i="7"/>
  <c r="DG107" i="7"/>
  <c r="E110" i="7"/>
  <c r="CL111" i="7"/>
  <c r="D112" i="7"/>
  <c r="BP112" i="7"/>
  <c r="EB112" i="7"/>
  <c r="AT113" i="7"/>
  <c r="DF113" i="7"/>
  <c r="X114" i="7"/>
  <c r="CJ114" i="7"/>
  <c r="AB118" i="7"/>
  <c r="DJ117" i="7"/>
  <c r="AX117" i="7"/>
  <c r="EF116" i="7"/>
  <c r="BT116" i="7"/>
  <c r="H116" i="7"/>
  <c r="CP115" i="7"/>
  <c r="AD115" i="7"/>
  <c r="BR114" i="7"/>
  <c r="T113" i="7"/>
  <c r="G111" i="7"/>
  <c r="C118" i="7"/>
  <c r="CK117" i="7"/>
  <c r="Y117" i="7"/>
  <c r="DG116" i="7"/>
  <c r="AU116" i="7"/>
  <c r="EC115" i="7"/>
  <c r="BQ115" i="7"/>
  <c r="E115" i="7"/>
  <c r="EU113" i="7"/>
  <c r="BQ112" i="7"/>
  <c r="DH107" i="7"/>
  <c r="EF117" i="7"/>
  <c r="BT117" i="7"/>
  <c r="H117" i="7"/>
  <c r="CP116" i="7"/>
  <c r="AD116" i="7"/>
  <c r="DY91" i="7"/>
  <c r="DU105" i="7"/>
  <c r="EN106" i="7"/>
  <c r="EO107" i="7"/>
  <c r="DS108" i="7"/>
  <c r="AS109" i="7"/>
  <c r="DE109" i="7"/>
  <c r="W110" i="7"/>
  <c r="CI110" i="7"/>
  <c r="EU110" i="7"/>
  <c r="BM111" i="7"/>
  <c r="AX99" i="7"/>
  <c r="AN106" i="7"/>
  <c r="BK107" i="7"/>
  <c r="AR108" i="7"/>
  <c r="F109" i="7"/>
  <c r="BR109" i="7"/>
  <c r="ED109" i="7"/>
  <c r="AV110" i="7"/>
  <c r="DH110" i="7"/>
  <c r="Z111" i="7"/>
  <c r="EQ77" i="7"/>
  <c r="CG105" i="7"/>
  <c r="DE106" i="7"/>
  <c r="DO107" i="7"/>
  <c r="CS108" i="7"/>
  <c r="AE109" i="7"/>
  <c r="CQ109" i="7"/>
  <c r="I110" i="7"/>
  <c r="BU110" i="7"/>
  <c r="EG110" i="7"/>
  <c r="AY111" i="7"/>
  <c r="K95" i="7"/>
  <c r="E106" i="7"/>
  <c r="Y107" i="7"/>
  <c r="R108" i="7"/>
  <c r="EL108" i="7"/>
  <c r="BD109" i="7"/>
  <c r="DP109" i="7"/>
  <c r="AH110" i="7"/>
  <c r="CT110" i="7"/>
  <c r="L111" i="7"/>
  <c r="CC80" i="7"/>
  <c r="CO105" i="7"/>
  <c r="DH106" i="7"/>
  <c r="DQ107" i="7"/>
  <c r="CU108" i="7"/>
  <c r="AG109" i="7"/>
  <c r="CS109" i="7"/>
  <c r="K110" i="7"/>
  <c r="BW110" i="7"/>
  <c r="EI110" i="7"/>
  <c r="BA111" i="7"/>
  <c r="AN98" i="7"/>
  <c r="AE106" i="7"/>
  <c r="AX107" i="7"/>
  <c r="AJ108" i="7"/>
  <c r="EV108" i="7"/>
  <c r="BN109" i="7"/>
  <c r="DZ109" i="7"/>
  <c r="AR110" i="7"/>
  <c r="DD110" i="7"/>
  <c r="V111" i="7"/>
  <c r="CH111" i="7"/>
  <c r="AO108" i="7"/>
  <c r="AS110" i="7"/>
  <c r="CV111" i="7"/>
  <c r="N112" i="7"/>
  <c r="BZ112" i="7"/>
  <c r="EL112" i="7"/>
  <c r="BD113" i="7"/>
  <c r="DP113" i="7"/>
  <c r="AH114" i="7"/>
  <c r="CT114" i="7"/>
  <c r="BU98" i="7"/>
  <c r="D109" i="7"/>
  <c r="DF110" i="7"/>
  <c r="DM111" i="7"/>
  <c r="AE112" i="7"/>
  <c r="CQ112" i="7"/>
  <c r="I113" i="7"/>
  <c r="BU113" i="7"/>
  <c r="EG113" i="7"/>
  <c r="AY114" i="7"/>
  <c r="DK114" i="7"/>
  <c r="EK106" i="7"/>
  <c r="DC109" i="7"/>
  <c r="BK111" i="7"/>
  <c r="EL111" i="7"/>
  <c r="BD112" i="7"/>
  <c r="DP112" i="7"/>
  <c r="AH113" i="7"/>
  <c r="CT113" i="7"/>
  <c r="L114" i="7"/>
  <c r="BX114" i="7"/>
  <c r="EJ114" i="7"/>
  <c r="BF108" i="7"/>
  <c r="BB110" i="7"/>
  <c r="CY111" i="7"/>
  <c r="Q112" i="7"/>
  <c r="CC112" i="7"/>
  <c r="EO112" i="7"/>
  <c r="BG113" i="7"/>
  <c r="DS113" i="7"/>
  <c r="AK114" i="7"/>
  <c r="CW114" i="7"/>
  <c r="CA106" i="7"/>
  <c r="CF109" i="7"/>
  <c r="AN111" i="7"/>
  <c r="EG111" i="7"/>
  <c r="AY112" i="7"/>
  <c r="DK112" i="7"/>
  <c r="AC113" i="7"/>
  <c r="CO113" i="7"/>
  <c r="Y108" i="7"/>
  <c r="AK110" i="7"/>
  <c r="CT111" i="7"/>
  <c r="L112" i="7"/>
  <c r="BX112" i="7"/>
  <c r="EJ112" i="7"/>
  <c r="BB113" i="7"/>
  <c r="DN113" i="7"/>
  <c r="AF114" i="7"/>
  <c r="CR114" i="7"/>
  <c r="T118" i="7"/>
  <c r="DB117" i="7"/>
  <c r="AP117" i="7"/>
  <c r="DX116" i="7"/>
  <c r="BL116" i="7"/>
  <c r="ET115" i="7"/>
  <c r="CH115" i="7"/>
  <c r="V115" i="7"/>
  <c r="AU114" i="7"/>
  <c r="EH112" i="7"/>
  <c r="AC110" i="7"/>
  <c r="EO117" i="7"/>
  <c r="CC117" i="7"/>
  <c r="Q117" i="7"/>
  <c r="CY116" i="7"/>
  <c r="AM116" i="7"/>
  <c r="DU115" i="7"/>
  <c r="BI115" i="7"/>
  <c r="EQ114" i="7"/>
  <c r="EB113" i="7"/>
  <c r="AK112" i="7"/>
  <c r="AU105" i="7"/>
  <c r="DX117" i="7"/>
  <c r="BL117" i="7"/>
  <c r="ET116" i="7"/>
  <c r="CH116" i="7"/>
  <c r="V116" i="7"/>
  <c r="AG94" i="7"/>
  <c r="EQ105" i="7"/>
  <c r="Q107" i="7"/>
  <c r="K108" i="7"/>
  <c r="EI108" i="7"/>
  <c r="BA109" i="7"/>
  <c r="DM109" i="7"/>
  <c r="AE110" i="7"/>
  <c r="CQ110" i="7"/>
  <c r="I111" i="7"/>
  <c r="BU111" i="7"/>
  <c r="CX101" i="7"/>
  <c r="BK106" i="7"/>
  <c r="CD107" i="7"/>
  <c r="BH108" i="7"/>
  <c r="N109" i="7"/>
  <c r="BZ109" i="7"/>
  <c r="EL109" i="7"/>
  <c r="BD110" i="7"/>
  <c r="DP110" i="7"/>
  <c r="AH111" i="7"/>
  <c r="BC87" i="7"/>
  <c r="DE105" i="7"/>
  <c r="DX106" i="7"/>
  <c r="EE107" i="7"/>
  <c r="DI108" i="7"/>
  <c r="AM109" i="7"/>
  <c r="CY109" i="7"/>
  <c r="Q110" i="7"/>
  <c r="CC110" i="7"/>
  <c r="EO110" i="7"/>
  <c r="BG111" i="7"/>
  <c r="CP97" i="7"/>
  <c r="X106" i="7"/>
  <c r="AU107" i="7"/>
  <c r="AH108" i="7"/>
  <c r="ET108" i="7"/>
  <c r="BL109" i="7"/>
  <c r="DX109" i="7"/>
  <c r="AP110" i="7"/>
  <c r="DB110" i="7"/>
  <c r="T111" i="7"/>
  <c r="AD88" i="7"/>
  <c r="DK105" i="7"/>
  <c r="EE106" i="7"/>
  <c r="EG107" i="7"/>
  <c r="DK108" i="7"/>
  <c r="AO109" i="7"/>
  <c r="DA109" i="7"/>
  <c r="S110" i="7"/>
  <c r="CE110" i="7"/>
  <c r="EQ110" i="7"/>
  <c r="BI111" i="7"/>
  <c r="AC100" i="7"/>
  <c r="BA106" i="7"/>
  <c r="BU107" i="7"/>
  <c r="AZ108" i="7"/>
  <c r="J109" i="7"/>
  <c r="BV109" i="7"/>
  <c r="EH109" i="7"/>
  <c r="AZ110" i="7"/>
  <c r="DL110" i="7"/>
  <c r="AD111" i="7"/>
  <c r="BJ81" i="7"/>
  <c r="DA108" i="7"/>
  <c r="BY110" i="7"/>
  <c r="DD111" i="7"/>
  <c r="V112" i="7"/>
  <c r="CH112" i="7"/>
  <c r="ET112" i="7"/>
  <c r="BL113" i="7"/>
  <c r="DX113" i="7"/>
  <c r="AP114" i="7"/>
  <c r="DB114" i="7"/>
  <c r="CW105" i="7"/>
  <c r="AJ109" i="7"/>
  <c r="EL110" i="7"/>
  <c r="DU111" i="7"/>
  <c r="AM112" i="7"/>
  <c r="CY112" i="7"/>
  <c r="Q113" i="7"/>
  <c r="CC113" i="7"/>
  <c r="EO113" i="7"/>
  <c r="BG114" i="7"/>
  <c r="DS114" i="7"/>
  <c r="BV107" i="7"/>
  <c r="EI109" i="7"/>
  <c r="CG111" i="7"/>
  <c r="ET111" i="7"/>
  <c r="BL112" i="7"/>
  <c r="DX112" i="7"/>
  <c r="AP113" i="7"/>
  <c r="DB113" i="7"/>
  <c r="T114" i="7"/>
  <c r="CF114" i="7"/>
  <c r="BT90" i="7"/>
  <c r="DR108" i="7"/>
  <c r="CH110" i="7"/>
  <c r="DG111" i="7"/>
  <c r="Y112" i="7"/>
  <c r="CK112" i="7"/>
  <c r="C113" i="7"/>
  <c r="BO113" i="7"/>
  <c r="EA113" i="7"/>
  <c r="AS114" i="7"/>
  <c r="DE114" i="7"/>
  <c r="O107" i="7"/>
  <c r="DL109" i="7"/>
  <c r="BT111" i="7"/>
  <c r="EO111" i="7"/>
  <c r="BG112" i="7"/>
  <c r="DS112" i="7"/>
  <c r="AK113" i="7"/>
  <c r="CW113" i="7"/>
  <c r="CK108" i="7"/>
  <c r="BQ110" i="7"/>
  <c r="DB111" i="7"/>
  <c r="T112" i="7"/>
  <c r="CF112" i="7"/>
  <c r="ER112" i="7"/>
  <c r="BJ113" i="7"/>
  <c r="DV113" i="7"/>
  <c r="AN114" i="7"/>
  <c r="CZ114" i="7"/>
  <c r="L118" i="7"/>
  <c r="CT117" i="7"/>
  <c r="AH117" i="7"/>
  <c r="DP116" i="7"/>
  <c r="BD116" i="7"/>
  <c r="EL115" i="7"/>
  <c r="BZ115" i="7"/>
  <c r="N115" i="7"/>
  <c r="Y114" i="7"/>
  <c r="DB112" i="7"/>
  <c r="AY109" i="7"/>
  <c r="EG117" i="7"/>
  <c r="BU117" i="7"/>
  <c r="I117" i="7"/>
  <c r="CQ116" i="7"/>
  <c r="AE116" i="7"/>
  <c r="DM115" i="7"/>
  <c r="BA115" i="7"/>
  <c r="DY114" i="7"/>
  <c r="DE113" i="7"/>
  <c r="E112" i="7"/>
  <c r="AH118" i="7"/>
  <c r="DP117" i="7"/>
  <c r="DL96" i="7"/>
  <c r="P106" i="7"/>
  <c r="AM107" i="7"/>
  <c r="AA108" i="7"/>
  <c r="EQ108" i="7"/>
  <c r="BI109" i="7"/>
  <c r="DU109" i="7"/>
  <c r="AM110" i="7"/>
  <c r="CY110" i="7"/>
  <c r="Q111" i="7"/>
  <c r="CC111" i="7"/>
  <c r="CM103" i="7"/>
  <c r="CG106" i="7"/>
  <c r="CT107" i="7"/>
  <c r="BX108" i="7"/>
  <c r="R99" i="7"/>
  <c r="AM106" i="7"/>
  <c r="BF107" i="7"/>
  <c r="AQ108" i="7"/>
  <c r="E109" i="7"/>
  <c r="BQ109" i="7"/>
  <c r="EC109" i="7"/>
  <c r="AU110" i="7"/>
  <c r="DG110" i="7"/>
  <c r="Y111" i="7"/>
  <c r="S77" i="7"/>
  <c r="CD105" i="7"/>
  <c r="CZ106" i="7"/>
  <c r="DJ107" i="7"/>
  <c r="CN108" i="7"/>
  <c r="AD109" i="7"/>
  <c r="CP109" i="7"/>
  <c r="H110" i="7"/>
  <c r="BT110" i="7"/>
  <c r="EF110" i="7"/>
  <c r="AX111" i="7"/>
  <c r="J95" i="7"/>
  <c r="ET105" i="7"/>
  <c r="W107" i="7"/>
  <c r="Q108" i="7"/>
  <c r="EK108" i="7"/>
  <c r="BC109" i="7"/>
  <c r="DO109" i="7"/>
  <c r="AG110" i="7"/>
  <c r="CS110" i="7"/>
  <c r="K111" i="7"/>
  <c r="BW111" i="7"/>
  <c r="EE101" i="7"/>
  <c r="BQ106" i="7"/>
  <c r="CJ107" i="7"/>
  <c r="BN108" i="7"/>
  <c r="P109" i="7"/>
  <c r="CB109" i="7"/>
  <c r="EN109" i="7"/>
  <c r="BF110" i="7"/>
  <c r="DR110" i="7"/>
  <c r="AJ111" i="7"/>
  <c r="DB95" i="7"/>
  <c r="G106" i="7"/>
  <c r="Z107" i="7"/>
  <c r="S108" i="7"/>
  <c r="EM108" i="7"/>
  <c r="BE109" i="7"/>
  <c r="DQ109" i="7"/>
  <c r="AI110" i="7"/>
  <c r="CU110" i="7"/>
  <c r="M111" i="7"/>
  <c r="BY111" i="7"/>
  <c r="N105" i="7"/>
  <c r="CQ106" i="7"/>
  <c r="DB107" i="7"/>
  <c r="CF108" i="7"/>
  <c r="Z109" i="7"/>
  <c r="CL109" i="7"/>
  <c r="D110" i="7"/>
  <c r="BP110" i="7"/>
  <c r="EB110" i="7"/>
  <c r="AT111" i="7"/>
  <c r="CU105" i="7"/>
  <c r="AI109" i="7"/>
  <c r="EK110" i="7"/>
  <c r="DT111" i="7"/>
  <c r="AL112" i="7"/>
  <c r="CX112" i="7"/>
  <c r="P113" i="7"/>
  <c r="CB113" i="7"/>
  <c r="EN113" i="7"/>
  <c r="BF114" i="7"/>
  <c r="DR114" i="7"/>
  <c r="DP106" i="7"/>
  <c r="CV109" i="7"/>
  <c r="BD111" i="7"/>
  <c r="EK111" i="7"/>
  <c r="BC112" i="7"/>
  <c r="DO112" i="7"/>
  <c r="AG113" i="7"/>
  <c r="CS113" i="7"/>
  <c r="K114" i="7"/>
  <c r="BW114" i="7"/>
  <c r="EI114" i="7"/>
  <c r="BE108" i="7"/>
  <c r="BA110" i="7"/>
  <c r="CX111" i="7"/>
  <c r="P112" i="7"/>
  <c r="CB112" i="7"/>
  <c r="EN112" i="7"/>
  <c r="BF113" i="7"/>
  <c r="DR113" i="7"/>
  <c r="AJ114" i="7"/>
  <c r="CV114" i="7"/>
  <c r="DS105" i="7"/>
  <c r="AR109" i="7"/>
  <c r="ET110" i="7"/>
  <c r="DW111" i="7"/>
  <c r="AO112" i="7"/>
  <c r="DA112" i="7"/>
  <c r="S113" i="7"/>
  <c r="CE113" i="7"/>
  <c r="EQ113" i="7"/>
  <c r="BI114" i="7"/>
  <c r="DU114" i="7"/>
  <c r="J108" i="7"/>
  <c r="AD110" i="7"/>
  <c r="CS111" i="7"/>
  <c r="K112" i="7"/>
  <c r="BW112" i="7"/>
  <c r="EI112" i="7"/>
  <c r="BA113" i="7"/>
  <c r="AT105" i="7"/>
  <c r="AA109" i="7"/>
  <c r="EC110" i="7"/>
  <c r="DR111" i="7"/>
  <c r="AJ112" i="7"/>
  <c r="CV112" i="7"/>
  <c r="N113" i="7"/>
  <c r="BZ113" i="7"/>
  <c r="EL113" i="7"/>
  <c r="BD114" i="7"/>
  <c r="DP114" i="7"/>
  <c r="EP117" i="7"/>
  <c r="CD117" i="7"/>
  <c r="R117" i="7"/>
  <c r="CZ116" i="7"/>
  <c r="AN116" i="7"/>
  <c r="DV115" i="7"/>
  <c r="BJ115" i="7"/>
  <c r="ER114" i="7"/>
  <c r="EC113" i="7"/>
  <c r="AP112" i="7"/>
  <c r="EK105" i="7"/>
  <c r="DQ117" i="7"/>
  <c r="BE117" i="7"/>
  <c r="EM116" i="7"/>
  <c r="CA116" i="7"/>
  <c r="O116" i="7"/>
  <c r="CW115" i="7"/>
  <c r="AK115" i="7"/>
  <c r="CI114" i="7"/>
  <c r="AU113" i="7"/>
  <c r="CM111" i="7"/>
  <c r="R118" i="7"/>
  <c r="CZ117" i="7"/>
  <c r="AN117" i="7"/>
  <c r="DV116" i="7"/>
  <c r="BJ116" i="7"/>
  <c r="ER115" i="7"/>
  <c r="BI106" i="7"/>
  <c r="BY109" i="7"/>
  <c r="AG111" i="7"/>
  <c r="DZ107" i="7"/>
  <c r="CX109" i="7"/>
  <c r="DX110" i="7"/>
  <c r="AY99" i="7"/>
  <c r="AG108" i="7"/>
  <c r="DG109" i="7"/>
  <c r="DI110" i="7"/>
  <c r="BP104" i="7"/>
  <c r="AX108" i="7"/>
  <c r="CR109" i="7"/>
  <c r="DZ110" i="7"/>
  <c r="ED105" i="7"/>
  <c r="AY108" i="7"/>
  <c r="DY109" i="7"/>
  <c r="E111" i="7"/>
  <c r="DM105" i="7"/>
  <c r="CV108" i="7"/>
  <c r="EP109" i="7"/>
  <c r="ER110" i="7"/>
  <c r="BO109" i="7"/>
  <c r="AD112" i="7"/>
  <c r="AF113" i="7"/>
  <c r="BN114" i="7"/>
  <c r="BP109" i="7"/>
  <c r="G112" i="7"/>
  <c r="AO113" i="7"/>
  <c r="BO114" i="7"/>
  <c r="K109" i="7"/>
  <c r="X112" i="7"/>
  <c r="AX113" i="7"/>
  <c r="AZ114" i="7"/>
  <c r="BX109" i="7"/>
  <c r="AG112" i="7"/>
  <c r="AI113" i="7"/>
  <c r="BQ114" i="7"/>
  <c r="ER109" i="7"/>
  <c r="AA112" i="7"/>
  <c r="BI113" i="7"/>
  <c r="CW110" i="7"/>
  <c r="AZ112" i="7"/>
  <c r="CH113" i="7"/>
  <c r="DH114" i="7"/>
  <c r="BN117" i="7"/>
  <c r="AF116" i="7"/>
  <c r="F115" i="7"/>
  <c r="DX111" i="7"/>
  <c r="AW117" i="7"/>
  <c r="W116" i="7"/>
  <c r="U115" i="7"/>
  <c r="ED110" i="7"/>
  <c r="BD117" i="7"/>
  <c r="BZ116" i="7"/>
  <c r="DL115" i="7"/>
  <c r="AZ115" i="7"/>
  <c r="DW114" i="7"/>
  <c r="DD113" i="7"/>
  <c r="EV111" i="7"/>
  <c r="Y118" i="7"/>
  <c r="DG117" i="7"/>
  <c r="AU117" i="7"/>
  <c r="EC116" i="7"/>
  <c r="BQ116" i="7"/>
  <c r="E116" i="7"/>
  <c r="CM115" i="7"/>
  <c r="AA115" i="7"/>
  <c r="BJ114" i="7"/>
  <c r="G113" i="7"/>
  <c r="CX110" i="7"/>
  <c r="H118" i="7"/>
  <c r="CP117" i="7"/>
  <c r="AD117" i="7"/>
  <c r="DL116" i="7"/>
  <c r="AZ116" i="7"/>
  <c r="EH115" i="7"/>
  <c r="BV115" i="7"/>
  <c r="J115" i="7"/>
  <c r="O114" i="7"/>
  <c r="CL112" i="7"/>
  <c r="EG108" i="7"/>
  <c r="G79" i="7"/>
  <c r="EA85" i="7"/>
  <c r="Q91" i="7"/>
  <c r="CP93" i="7"/>
  <c r="AX95" i="7"/>
  <c r="F97" i="7"/>
  <c r="DH98" i="7"/>
  <c r="BP100" i="7"/>
  <c r="X102" i="7"/>
  <c r="DZ103" i="7"/>
  <c r="D67" i="7"/>
  <c r="CP81" i="7"/>
  <c r="AZ88" i="7"/>
  <c r="BH92" i="7"/>
  <c r="AO94" i="7"/>
  <c r="EQ95" i="7"/>
  <c r="CY97" i="7"/>
  <c r="BG99" i="7"/>
  <c r="O101" i="7"/>
  <c r="DQ102" i="7"/>
  <c r="BY104" i="7"/>
  <c r="CE77" i="7"/>
  <c r="BE84" i="7"/>
  <c r="Z90" i="7"/>
  <c r="AL93" i="7"/>
  <c r="EN94" i="7"/>
  <c r="CV96" i="7"/>
  <c r="BD98" i="7"/>
  <c r="L100" i="7"/>
  <c r="DN101" i="7"/>
  <c r="BV103" i="7"/>
  <c r="AD105" i="7"/>
  <c r="T80" i="7"/>
  <c r="EN86" i="7"/>
  <c r="CT91" i="7"/>
  <c r="EE93" i="7"/>
  <c r="CM95" i="7"/>
  <c r="AU97" i="7"/>
  <c r="C99" i="7"/>
  <c r="DE100" i="7"/>
  <c r="BM102" i="7"/>
  <c r="U104" i="7"/>
  <c r="D74" i="7"/>
  <c r="EC82" i="7"/>
  <c r="AA89" i="7"/>
  <c r="EB92" i="7"/>
  <c r="CJ94" i="7"/>
  <c r="AR96" i="7"/>
  <c r="ET97" i="7"/>
  <c r="DB99" i="7"/>
  <c r="BJ101" i="7"/>
  <c r="R103" i="7"/>
  <c r="DT104" i="7"/>
  <c r="CR78" i="7"/>
  <c r="BR85" i="7"/>
  <c r="EF90" i="7"/>
  <c r="CA93" i="7"/>
  <c r="AI95" i="7"/>
  <c r="EK96" i="7"/>
  <c r="CS98" i="7"/>
  <c r="BA100" i="7"/>
  <c r="I102" i="7"/>
  <c r="DK103" i="7"/>
  <c r="BK105" i="7"/>
  <c r="X107" i="7"/>
  <c r="DF106" i="7"/>
  <c r="AT106" i="7"/>
  <c r="EB105" i="7"/>
  <c r="AK104" i="7"/>
  <c r="BK97" i="7"/>
  <c r="BF87" i="7"/>
  <c r="CZ108" i="7"/>
  <c r="AN108" i="7"/>
  <c r="DV107" i="7"/>
  <c r="BJ107" i="7"/>
  <c r="ER106" i="7"/>
  <c r="CF106" i="7"/>
  <c r="T106" i="7"/>
  <c r="DB105" i="7"/>
  <c r="BS101" i="7"/>
  <c r="CS94" i="7"/>
  <c r="EM74" i="7"/>
  <c r="CA108" i="7"/>
  <c r="O108" i="7"/>
  <c r="CW107" i="7"/>
  <c r="CB106" i="7"/>
  <c r="CG109" i="7"/>
  <c r="AO111" i="7"/>
  <c r="EP107" i="7"/>
  <c r="DF109" i="7"/>
  <c r="EN110" i="7"/>
  <c r="EA105" i="7"/>
  <c r="AW108" i="7"/>
  <c r="DW109" i="7"/>
  <c r="C111" i="7"/>
  <c r="CM105" i="7"/>
  <c r="CD108" i="7"/>
  <c r="EF109" i="7"/>
  <c r="EH110" i="7"/>
  <c r="AC106" i="7"/>
  <c r="EA108" i="7"/>
  <c r="EG109" i="7"/>
  <c r="U111" i="7"/>
  <c r="BT106" i="7"/>
  <c r="DL108" i="7"/>
  <c r="L110" i="7"/>
  <c r="AL111" i="7"/>
  <c r="CU109" i="7"/>
  <c r="AT112" i="7"/>
  <c r="BT113" i="7"/>
  <c r="BV114" i="7"/>
  <c r="EB109" i="7"/>
  <c r="AU112" i="7"/>
  <c r="AW113" i="7"/>
  <c r="CE114" i="7"/>
  <c r="U110" i="7"/>
  <c r="AF112" i="7"/>
  <c r="BN113" i="7"/>
  <c r="CN114" i="7"/>
  <c r="DD109" i="7"/>
  <c r="AW112" i="7"/>
  <c r="BW113" i="7"/>
  <c r="BY114" i="7"/>
  <c r="BJ110" i="7"/>
  <c r="BO112" i="7"/>
  <c r="BQ113" i="7"/>
  <c r="O111" i="7"/>
  <c r="CN112" i="7"/>
  <c r="CP113" i="7"/>
  <c r="DX114" i="7"/>
  <c r="Z117" i="7"/>
  <c r="X116" i="7"/>
  <c r="ED114" i="7"/>
  <c r="I108" i="7"/>
  <c r="AO117" i="7"/>
  <c r="G116" i="7"/>
  <c r="DF114" i="7"/>
  <c r="F110" i="7"/>
  <c r="AV117" i="7"/>
  <c r="BR116" i="7"/>
  <c r="DD115" i="7"/>
  <c r="AR115" i="7"/>
  <c r="DA114" i="7"/>
  <c r="BX113" i="7"/>
  <c r="DP111" i="7"/>
  <c r="Q118" i="7"/>
  <c r="CY117" i="7"/>
  <c r="AM117" i="7"/>
  <c r="DU116" i="7"/>
  <c r="BI116" i="7"/>
  <c r="EQ115" i="7"/>
  <c r="CE115" i="7"/>
  <c r="S115" i="7"/>
  <c r="AM114" i="7"/>
  <c r="DU112" i="7"/>
  <c r="DT109" i="7"/>
  <c r="ET117" i="7"/>
  <c r="CH117" i="7"/>
  <c r="V117" i="7"/>
  <c r="DD116" i="7"/>
  <c r="AR116" i="7"/>
  <c r="DZ115" i="7"/>
  <c r="BN115" i="7"/>
  <c r="EV114" i="7"/>
  <c r="EM113" i="7"/>
  <c r="BF112" i="7"/>
  <c r="J107" i="7"/>
  <c r="EE79" i="7"/>
  <c r="DE86" i="7"/>
  <c r="CC91" i="7"/>
  <c r="DV93" i="7"/>
  <c r="CD95" i="7"/>
  <c r="AL97" i="7"/>
  <c r="EN98" i="7"/>
  <c r="CV100" i="7"/>
  <c r="BD102" i="7"/>
  <c r="L104" i="7"/>
  <c r="V72" i="7"/>
  <c r="BT82" i="7"/>
  <c r="EG88" i="7"/>
  <c r="DM92" i="7"/>
  <c r="BU94" i="7"/>
  <c r="AC96" i="7"/>
  <c r="EE97" i="7"/>
  <c r="CM99" i="7"/>
  <c r="AU101" i="7"/>
  <c r="C103" i="7"/>
  <c r="DE104" i="7"/>
  <c r="BI78" i="7"/>
  <c r="AI85" i="7"/>
  <c r="DH90" i="7"/>
  <c r="BR93" i="7"/>
  <c r="Z95" i="7"/>
  <c r="EB96" i="7"/>
  <c r="CJ98" i="7"/>
  <c r="AR100" i="7"/>
  <c r="ET101" i="7"/>
  <c r="DB103" i="7"/>
  <c r="BC105" i="7"/>
  <c r="ER80" i="7"/>
  <c r="DR87" i="7"/>
  <c r="L92" i="7"/>
  <c r="Q94" i="7"/>
  <c r="DS95" i="7"/>
  <c r="CA97" i="7"/>
  <c r="AI99" i="7"/>
  <c r="EK100" i="7"/>
  <c r="CS102" i="7"/>
  <c r="BA104" i="7"/>
  <c r="DC76" i="7"/>
  <c r="DG83" i="7"/>
  <c r="DH89" i="7"/>
  <c r="N93" i="7"/>
  <c r="DP94" i="7"/>
  <c r="BX96" i="7"/>
  <c r="AF98" i="7"/>
  <c r="EH99" i="7"/>
  <c r="CP101" i="7"/>
  <c r="AX103" i="7"/>
  <c r="F105" i="7"/>
  <c r="BV79" i="7"/>
  <c r="AV86" i="7"/>
  <c r="AX91" i="7"/>
  <c r="DG93" i="7"/>
  <c r="BO95" i="7"/>
  <c r="W97" i="7"/>
  <c r="DY98" i="7"/>
  <c r="CG100" i="7"/>
  <c r="AO102" i="7"/>
  <c r="EQ103" i="7"/>
  <c r="CB107" i="7"/>
  <c r="P107" i="7"/>
  <c r="CX106" i="7"/>
  <c r="AL106" i="7"/>
  <c r="DT105" i="7"/>
  <c r="BG103" i="7"/>
  <c r="CG96" i="7"/>
  <c r="EP83" i="7"/>
  <c r="CR108" i="7"/>
  <c r="AF108" i="7"/>
  <c r="DN107" i="7"/>
  <c r="BB107" i="7"/>
  <c r="EJ106" i="7"/>
  <c r="BX106" i="7"/>
  <c r="L106" i="7"/>
  <c r="CT105" i="7"/>
  <c r="CO100" i="7"/>
  <c r="DO93" i="7"/>
  <c r="EE108" i="7"/>
  <c r="BS108" i="7"/>
  <c r="G108" i="7"/>
  <c r="CO107" i="7"/>
  <c r="CC107" i="7"/>
  <c r="EK109" i="7"/>
  <c r="DT84" i="7"/>
  <c r="DD108" i="7"/>
  <c r="ET109" i="7"/>
  <c r="EV110" i="7"/>
  <c r="W106" i="7"/>
  <c r="DY108" i="7"/>
  <c r="EE109" i="7"/>
  <c r="S111" i="7"/>
  <c r="AU106" i="7"/>
  <c r="CT108" i="7"/>
  <c r="EV109" i="7"/>
  <c r="AB111" i="7"/>
  <c r="AV106" i="7"/>
  <c r="EU108" i="7"/>
  <c r="AA110" i="7"/>
  <c r="AC111" i="7"/>
  <c r="DM106" i="7"/>
  <c r="R109" i="7"/>
  <c r="T110" i="7"/>
  <c r="BB111" i="7"/>
  <c r="DE110" i="7"/>
  <c r="BB112" i="7"/>
  <c r="CJ113" i="7"/>
  <c r="DJ114" i="7"/>
  <c r="N110" i="7"/>
  <c r="BK112" i="7"/>
  <c r="CK113" i="7"/>
  <c r="CM114" i="7"/>
  <c r="CG110" i="7"/>
  <c r="BT112" i="7"/>
  <c r="BV113" i="7"/>
  <c r="DD114" i="7"/>
  <c r="DN110" i="7"/>
  <c r="BE112" i="7"/>
  <c r="CM113" i="7"/>
  <c r="DM114" i="7"/>
  <c r="CP110" i="7"/>
  <c r="CE112" i="7"/>
  <c r="EI95" i="7"/>
  <c r="AU111" i="7"/>
  <c r="DD112" i="7"/>
  <c r="ED113" i="7"/>
  <c r="EF114" i="7"/>
  <c r="J117" i="7"/>
  <c r="ED115" i="7"/>
  <c r="DG114" i="7"/>
  <c r="AA118" i="7"/>
  <c r="EU116" i="7"/>
  <c r="ES115" i="7"/>
  <c r="BM114" i="7"/>
  <c r="Z118" i="7"/>
  <c r="AF117" i="7"/>
  <c r="BB116" i="7"/>
  <c r="CV115" i="7"/>
  <c r="AJ115" i="7"/>
  <c r="CH114" i="7"/>
  <c r="AR113" i="7"/>
  <c r="CJ111" i="7"/>
  <c r="I118" i="7"/>
  <c r="CQ117" i="7"/>
  <c r="AE117" i="7"/>
  <c r="DM116" i="7"/>
  <c r="BA116" i="7"/>
  <c r="EI115" i="7"/>
  <c r="BW115" i="7"/>
  <c r="K115" i="7"/>
  <c r="Q114" i="7"/>
  <c r="CO112" i="7"/>
  <c r="EP108" i="7"/>
  <c r="EL117" i="7"/>
  <c r="BZ117" i="7"/>
  <c r="N117" i="7"/>
  <c r="CV116" i="7"/>
  <c r="AJ116" i="7"/>
  <c r="DR115" i="7"/>
  <c r="BF115" i="7"/>
  <c r="EL114" i="7"/>
  <c r="DT113" i="7"/>
  <c r="Z112" i="7"/>
  <c r="ET93" i="7"/>
  <c r="DI80" i="7"/>
  <c r="CI87" i="7"/>
  <c r="EO91" i="7"/>
  <c r="H94" i="7"/>
  <c r="DJ95" i="7"/>
  <c r="BR97" i="7"/>
  <c r="Z99" i="7"/>
  <c r="EB100" i="7"/>
  <c r="CJ102" i="7"/>
  <c r="AR104" i="7"/>
  <c r="CR75" i="7"/>
  <c r="AX83" i="7"/>
  <c r="BT89" i="7"/>
  <c r="ES92" i="7"/>
  <c r="DA94" i="7"/>
  <c r="BI96" i="7"/>
  <c r="Q98" i="7"/>
  <c r="DS99" i="7"/>
  <c r="CA101" i="7"/>
  <c r="AI103" i="7"/>
  <c r="EK104" i="7"/>
  <c r="AM79" i="7"/>
  <c r="M86" i="7"/>
  <c r="AG91" i="7"/>
  <c r="CX93" i="7"/>
  <c r="BF95" i="7"/>
  <c r="N97" i="7"/>
  <c r="DP98" i="7"/>
  <c r="BX100" i="7"/>
  <c r="AF102" i="7"/>
  <c r="EH103" i="7"/>
  <c r="DE68" i="7"/>
  <c r="DV81" i="7"/>
  <c r="BU88" i="7"/>
  <c r="BX92" i="7"/>
  <c r="AW94" i="7"/>
  <c r="E96" i="7"/>
  <c r="DG97" i="7"/>
  <c r="BO99" i="7"/>
  <c r="W101" i="7"/>
  <c r="DY102" i="7"/>
  <c r="CG104" i="7"/>
  <c r="DK77" i="7"/>
  <c r="CK84" i="7"/>
  <c r="AV90" i="7"/>
  <c r="AT93" i="7"/>
  <c r="EV94" i="7"/>
  <c r="DD96" i="7"/>
  <c r="BL98" i="7"/>
  <c r="T100" i="7"/>
  <c r="DV101" i="7"/>
  <c r="CD103" i="7"/>
  <c r="AL105" i="7"/>
  <c r="AZ80" i="7"/>
  <c r="Z87" i="7"/>
  <c r="DJ91" i="7"/>
  <c r="EM93" i="7"/>
  <c r="CU95" i="7"/>
  <c r="BC97" i="7"/>
  <c r="K99" i="7"/>
  <c r="DM100" i="7"/>
  <c r="BU102" i="7"/>
  <c r="AC104" i="7"/>
  <c r="BT107" i="7"/>
  <c r="H107" i="7"/>
  <c r="CP106" i="7"/>
  <c r="AD106" i="7"/>
  <c r="DL105" i="7"/>
  <c r="CC102" i="7"/>
  <c r="DC95" i="7"/>
  <c r="CF80" i="7"/>
  <c r="CJ108" i="7"/>
  <c r="X108" i="7"/>
  <c r="DF107" i="7"/>
  <c r="AT107" i="7"/>
  <c r="EB106" i="7"/>
  <c r="BP106" i="7"/>
  <c r="D106" i="7"/>
  <c r="CL105" i="7"/>
  <c r="DK99" i="7"/>
  <c r="EK92" i="7"/>
  <c r="DW108" i="7"/>
  <c r="BK108" i="7"/>
  <c r="ES107" i="7"/>
  <c r="CG107" i="7"/>
  <c r="CS107" i="7"/>
  <c r="ES109" i="7"/>
  <c r="AQ92" i="7"/>
  <c r="DT108" i="7"/>
  <c r="P110" i="7"/>
  <c r="AP111" i="7"/>
  <c r="AS106" i="7"/>
  <c r="ES108" i="7"/>
  <c r="Y110" i="7"/>
  <c r="AA111" i="7"/>
  <c r="CJ106" i="7"/>
  <c r="H109" i="7"/>
  <c r="J110" i="7"/>
  <c r="AR111" i="7"/>
  <c r="G107" i="7"/>
  <c r="I109" i="7"/>
  <c r="AQ110" i="7"/>
  <c r="BQ111" i="7"/>
  <c r="EF106" i="7"/>
  <c r="AH109" i="7"/>
  <c r="BH110" i="7"/>
  <c r="BJ111" i="7"/>
  <c r="W111" i="7"/>
  <c r="CP112" i="7"/>
  <c r="CR113" i="7"/>
  <c r="DZ114" i="7"/>
  <c r="X111" i="7"/>
  <c r="BS112" i="7"/>
  <c r="DA113" i="7"/>
  <c r="EA114" i="7"/>
  <c r="DM110" i="7"/>
  <c r="CJ112" i="7"/>
  <c r="DJ113" i="7"/>
  <c r="DL114" i="7"/>
  <c r="AF111" i="7"/>
  <c r="CS112" i="7"/>
  <c r="CU113" i="7"/>
  <c r="EC114" i="7"/>
  <c r="CK111" i="7"/>
  <c r="CM112" i="7"/>
  <c r="M106" i="7"/>
  <c r="DJ111" i="7"/>
  <c r="DL112" i="7"/>
  <c r="ET113" i="7"/>
  <c r="D118" i="7"/>
  <c r="EV116" i="7"/>
  <c r="DN115" i="7"/>
  <c r="F114" i="7"/>
  <c r="S118" i="7"/>
  <c r="EE116" i="7"/>
  <c r="DE115" i="7"/>
  <c r="AT114" i="7"/>
  <c r="J118" i="7"/>
  <c r="X117" i="7"/>
  <c r="AT116" i="7"/>
  <c r="CN115" i="7"/>
  <c r="AB115" i="7"/>
  <c r="BK114" i="7"/>
  <c r="L113" i="7"/>
  <c r="DU110" i="7"/>
  <c r="EU117" i="7"/>
  <c r="CI117" i="7"/>
  <c r="W117" i="7"/>
  <c r="DE116" i="7"/>
  <c r="AS116" i="7"/>
  <c r="EA115" i="7"/>
  <c r="BO115" i="7"/>
  <c r="C115" i="7"/>
  <c r="ER113" i="7"/>
  <c r="BI112" i="7"/>
  <c r="AH107" i="7"/>
  <c r="ED117" i="7"/>
  <c r="BR117" i="7"/>
  <c r="F117" i="7"/>
  <c r="CN116" i="7"/>
  <c r="AB116" i="7"/>
  <c r="DJ115" i="7"/>
  <c r="AX115" i="7"/>
  <c r="DQ114" i="7"/>
  <c r="CV113" i="7"/>
  <c r="EN111" i="7"/>
  <c r="DZ66" i="7"/>
  <c r="CM81" i="7"/>
  <c r="AW88" i="7"/>
  <c r="BG92" i="7"/>
  <c r="AN94" i="7"/>
  <c r="EP95" i="7"/>
  <c r="CX97" i="7"/>
  <c r="BF99" i="7"/>
  <c r="N101" i="7"/>
  <c r="DP102" i="7"/>
  <c r="BX104" i="7"/>
  <c r="BB77" i="7"/>
  <c r="AB84" i="7"/>
  <c r="H90" i="7"/>
  <c r="AE93" i="7"/>
  <c r="EG94" i="7"/>
  <c r="CO96" i="7"/>
  <c r="AW98" i="7"/>
  <c r="E100" i="7"/>
  <c r="DG101" i="7"/>
  <c r="BO103" i="7"/>
  <c r="W105" i="7"/>
  <c r="Q80" i="7"/>
  <c r="EK86" i="7"/>
  <c r="CS91" i="7"/>
  <c r="ED93" i="7"/>
  <c r="CL95" i="7"/>
  <c r="AT97" i="7"/>
  <c r="EV98" i="7"/>
  <c r="DD100" i="7"/>
  <c r="BL102" i="7"/>
  <c r="T104" i="7"/>
  <c r="AK73" i="7"/>
  <c r="CZ82" i="7"/>
  <c r="H89" i="7"/>
  <c r="DU92" i="7"/>
  <c r="CC94" i="7"/>
  <c r="AK96" i="7"/>
  <c r="EM97" i="7"/>
  <c r="CU99" i="7"/>
  <c r="BC101" i="7"/>
  <c r="K103" i="7"/>
  <c r="DM104" i="7"/>
  <c r="CO78" i="7"/>
  <c r="BO85" i="7"/>
  <c r="EC90" i="7"/>
  <c r="BZ93" i="7"/>
  <c r="AH95" i="7"/>
  <c r="EJ96" i="7"/>
  <c r="CR98" i="7"/>
  <c r="AZ100" i="7"/>
  <c r="H102" i="7"/>
  <c r="DJ103" i="7"/>
  <c r="BJ105" i="7"/>
  <c r="AD81" i="7"/>
  <c r="D88" i="7"/>
  <c r="AB92" i="7"/>
  <c r="Y94" i="7"/>
  <c r="EA95" i="7"/>
  <c r="CI97" i="7"/>
  <c r="AQ99" i="7"/>
  <c r="ES100" i="7"/>
  <c r="DA102" i="7"/>
  <c r="BI104" i="7"/>
  <c r="BL107" i="7"/>
  <c r="ET106" i="7"/>
  <c r="CH106" i="7"/>
  <c r="V106" i="7"/>
  <c r="DD105" i="7"/>
  <c r="CY101" i="7"/>
  <c r="DY94" i="7"/>
  <c r="V77" i="7"/>
  <c r="CB108" i="7"/>
  <c r="P108" i="7"/>
  <c r="CX107" i="7"/>
  <c r="AL107" i="7"/>
  <c r="DT106" i="7"/>
  <c r="BH106" i="7"/>
  <c r="EP105" i="7"/>
  <c r="BV105" i="7"/>
  <c r="EG98" i="7"/>
  <c r="BN91" i="7"/>
  <c r="DO108" i="7"/>
  <c r="BC108" i="7"/>
  <c r="EK107" i="7"/>
  <c r="BY107" i="7"/>
  <c r="BG108" i="7"/>
  <c r="BC110" i="7"/>
  <c r="DC105" i="7"/>
  <c r="V109" i="7"/>
  <c r="X110" i="7"/>
  <c r="BF111" i="7"/>
  <c r="EU106" i="7"/>
  <c r="G109" i="7"/>
  <c r="AO110" i="7"/>
  <c r="BO111" i="7"/>
  <c r="DG106" i="7"/>
  <c r="X109" i="7"/>
  <c r="AX110" i="7"/>
  <c r="AZ111" i="7"/>
  <c r="AW107" i="7"/>
  <c r="AW109" i="7"/>
  <c r="AY110" i="7"/>
  <c r="BG81" i="7"/>
  <c r="CL107" i="7"/>
  <c r="AP109" i="7"/>
  <c r="BX110" i="7"/>
  <c r="BT98" i="7"/>
  <c r="BC111" i="7"/>
  <c r="DF112" i="7"/>
  <c r="EF113" i="7"/>
  <c r="EH114" i="7"/>
  <c r="CF111" i="7"/>
  <c r="DG112" i="7"/>
  <c r="DI113" i="7"/>
  <c r="BQ90" i="7"/>
  <c r="CP111" i="7"/>
  <c r="CR112" i="7"/>
  <c r="DZ113" i="7"/>
  <c r="F101" i="7"/>
  <c r="BL111" i="7"/>
  <c r="DI112" i="7"/>
  <c r="EI113" i="7"/>
  <c r="AF94" i="7"/>
  <c r="DA111" i="7"/>
  <c r="EA112" i="7"/>
  <c r="CR106" i="7"/>
  <c r="DZ111" i="7"/>
  <c r="F113" i="7"/>
  <c r="H114" i="7"/>
  <c r="EH117" i="7"/>
  <c r="DH116" i="7"/>
  <c r="DF115" i="7"/>
  <c r="DG113" i="7"/>
  <c r="DY117" i="7"/>
  <c r="DW116" i="7"/>
  <c r="CO115" i="7"/>
  <c r="CA113" i="7"/>
  <c r="EV117" i="7"/>
  <c r="EL116" i="7"/>
  <c r="N116" i="7"/>
  <c r="CF115" i="7"/>
  <c r="T115" i="7"/>
  <c r="AO114" i="7"/>
  <c r="DZ112" i="7"/>
  <c r="EQ109" i="7"/>
  <c r="EM117" i="7"/>
  <c r="CA117" i="7"/>
  <c r="O117" i="7"/>
  <c r="CW116" i="7"/>
  <c r="AK116" i="7"/>
  <c r="DS115" i="7"/>
  <c r="BG115" i="7"/>
  <c r="EM114" i="7"/>
  <c r="DU113" i="7"/>
  <c r="AC112" i="7"/>
  <c r="CF96" i="7"/>
  <c r="DV117" i="7"/>
  <c r="BJ117" i="7"/>
  <c r="ER116" i="7"/>
  <c r="CF116" i="7"/>
  <c r="T116" i="7"/>
  <c r="DB115" i="7"/>
  <c r="AP115" i="7"/>
  <c r="CX114" i="7"/>
  <c r="BP113" i="7"/>
  <c r="DH111" i="7"/>
  <c r="H72" i="7"/>
  <c r="BQ82" i="7"/>
  <c r="ED88" i="7"/>
  <c r="DL92" i="7"/>
  <c r="BT94" i="7"/>
  <c r="AB96" i="7"/>
  <c r="ED97" i="7"/>
  <c r="CL99" i="7"/>
  <c r="AT101" i="7"/>
  <c r="EV102" i="7"/>
  <c r="DD104" i="7"/>
  <c r="AF78" i="7"/>
  <c r="F85" i="7"/>
  <c r="CO90" i="7"/>
  <c r="BK93" i="7"/>
  <c r="S95" i="7"/>
  <c r="DU96" i="7"/>
  <c r="CC98" i="7"/>
  <c r="AK100" i="7"/>
  <c r="EM101" i="7"/>
  <c r="CU103" i="7"/>
  <c r="BB105" i="7"/>
  <c r="EO80" i="7"/>
  <c r="DO87" i="7"/>
  <c r="K92" i="7"/>
  <c r="P94" i="7"/>
  <c r="DR95" i="7"/>
  <c r="BZ97" i="7"/>
  <c r="AH99" i="7"/>
  <c r="EJ100" i="7"/>
  <c r="CR102" i="7"/>
  <c r="AZ104" i="7"/>
  <c r="AF76" i="7"/>
  <c r="CD83" i="7"/>
  <c r="CP89" i="7"/>
  <c r="G93" i="7"/>
  <c r="DI94" i="7"/>
  <c r="BQ96" i="7"/>
  <c r="Y98" i="7"/>
  <c r="EA99" i="7"/>
  <c r="CI101" i="7"/>
  <c r="AQ103" i="7"/>
  <c r="ES104" i="7"/>
  <c r="BS79" i="7"/>
  <c r="AS86" i="7"/>
  <c r="AW91" i="7"/>
  <c r="DF93" i="7"/>
  <c r="BN95" i="7"/>
  <c r="V97" i="7"/>
  <c r="DX98" i="7"/>
  <c r="CF100" i="7"/>
  <c r="AN102" i="7"/>
  <c r="EP103" i="7"/>
  <c r="EA69" i="7"/>
  <c r="H82" i="7"/>
  <c r="CP88" i="7"/>
  <c r="CN92" i="7"/>
  <c r="BE94" i="7"/>
  <c r="M96" i="7"/>
  <c r="DO97" i="7"/>
  <c r="BW99" i="7"/>
  <c r="AE101" i="7"/>
  <c r="EG102" i="7"/>
  <c r="CO104" i="7"/>
  <c r="BD107" i="7"/>
  <c r="EL106" i="7"/>
  <c r="BZ106" i="7"/>
  <c r="N106" i="7"/>
  <c r="CV105" i="7"/>
  <c r="DU100" i="7"/>
  <c r="EU93" i="7"/>
  <c r="EF108" i="7"/>
  <c r="BT108" i="7"/>
  <c r="H108" i="7"/>
  <c r="CP107" i="7"/>
  <c r="AD107" i="7"/>
  <c r="DL106" i="7"/>
  <c r="AZ106" i="7"/>
  <c r="EH105" i="7"/>
  <c r="EC104" i="7"/>
  <c r="I98" i="7"/>
  <c r="AY89" i="7"/>
  <c r="DG108" i="7"/>
  <c r="AU108" i="7"/>
  <c r="EC107" i="7"/>
  <c r="BQ107" i="7"/>
  <c r="BW108" i="7"/>
  <c r="BK110" i="7"/>
  <c r="DV105" i="7"/>
  <c r="AL109" i="7"/>
  <c r="BL110" i="7"/>
  <c r="BN111" i="7"/>
  <c r="AP107" i="7"/>
  <c r="AU109" i="7"/>
  <c r="AW110" i="7"/>
  <c r="CE111" i="7"/>
  <c r="BN107" i="7"/>
  <c r="AF109" i="7"/>
  <c r="BN110" i="7"/>
  <c r="BB93" i="7"/>
  <c r="BS107" i="7"/>
  <c r="BM109" i="7"/>
  <c r="CM110" i="7"/>
  <c r="ED89" i="7"/>
  <c r="DR107" i="7"/>
  <c r="CD109" i="7"/>
  <c r="CF110" i="7"/>
  <c r="AF106" i="7"/>
  <c r="DL111" i="7"/>
  <c r="DN112" i="7"/>
  <c r="EV113" i="7"/>
  <c r="AK106" i="7"/>
  <c r="CO111" i="7"/>
  <c r="DW112" i="7"/>
  <c r="C114" i="7"/>
  <c r="DT100" i="7"/>
  <c r="DF111" i="7"/>
  <c r="EF112" i="7"/>
  <c r="EH113" i="7"/>
  <c r="BD106" i="7"/>
  <c r="DO111" i="7"/>
  <c r="DQ112" i="7"/>
  <c r="E114" i="7"/>
  <c r="CR107" i="7"/>
  <c r="DI111" i="7"/>
  <c r="EQ112" i="7"/>
  <c r="EO108" i="7"/>
  <c r="EH111" i="7"/>
  <c r="V113" i="7"/>
  <c r="AV114" i="7"/>
  <c r="DZ117" i="7"/>
  <c r="CR116" i="7"/>
  <c r="BR115" i="7"/>
  <c r="CF113" i="7"/>
  <c r="DI117" i="7"/>
  <c r="CI116" i="7"/>
  <c r="CG115" i="7"/>
  <c r="O113" i="7"/>
  <c r="DH117" i="7"/>
  <c r="ED116" i="7"/>
  <c r="F116" i="7"/>
  <c r="BX115" i="7"/>
  <c r="L115" i="7"/>
  <c r="V114" i="7"/>
  <c r="CT112" i="7"/>
  <c r="S109" i="7"/>
  <c r="EE117" i="7"/>
  <c r="BS117" i="7"/>
  <c r="G117" i="7"/>
  <c r="CO116" i="7"/>
  <c r="AC116" i="7"/>
  <c r="DK115" i="7"/>
  <c r="AY115" i="7"/>
  <c r="DV114" i="7"/>
  <c r="CY113" i="7"/>
  <c r="EQ111" i="7"/>
  <c r="AF118" i="7"/>
  <c r="DN117" i="7"/>
  <c r="BB117" i="7"/>
  <c r="EJ116" i="7"/>
  <c r="BX116" i="7"/>
  <c r="L116" i="7"/>
  <c r="CT115" i="7"/>
  <c r="AH115" i="7"/>
  <c r="CA114" i="7"/>
  <c r="AJ113" i="7"/>
  <c r="BS111" i="7"/>
  <c r="CJ75" i="7"/>
  <c r="AU83" i="7"/>
  <c r="BR89" i="7"/>
  <c r="ER92" i="7"/>
  <c r="CZ94" i="7"/>
  <c r="BH96" i="7"/>
  <c r="P98" i="7"/>
  <c r="DR99" i="7"/>
  <c r="BZ101" i="7"/>
  <c r="AH103" i="7"/>
  <c r="EJ104" i="7"/>
  <c r="J79" i="7"/>
  <c r="ED85" i="7"/>
  <c r="R91" i="7"/>
  <c r="CQ93" i="7"/>
  <c r="AY95" i="7"/>
  <c r="G97" i="7"/>
  <c r="DI98" i="7"/>
  <c r="BQ100" i="7"/>
  <c r="Y102" i="7"/>
  <c r="EA103" i="7"/>
  <c r="CN68" i="7"/>
  <c r="DS81" i="7"/>
  <c r="BR88" i="7"/>
  <c r="BW92" i="7"/>
  <c r="AV94" i="7"/>
  <c r="D96" i="7"/>
  <c r="DF97" i="7"/>
  <c r="BN99" i="7"/>
  <c r="V101" i="7"/>
  <c r="DX102" i="7"/>
  <c r="CF104" i="7"/>
  <c r="CH77" i="7"/>
  <c r="BH84" i="7"/>
  <c r="AC90" i="7"/>
  <c r="AM93" i="7"/>
  <c r="EO94" i="7"/>
  <c r="CW96" i="7"/>
  <c r="BE98" i="7"/>
  <c r="M100" i="7"/>
  <c r="DO101" i="7"/>
  <c r="BW103" i="7"/>
  <c r="AE105" i="7"/>
  <c r="AW80" i="7"/>
  <c r="W87" i="7"/>
  <c r="DI91" i="7"/>
  <c r="EL93" i="7"/>
  <c r="CT95" i="7"/>
  <c r="BB97" i="7"/>
  <c r="J99" i="7"/>
  <c r="DL100" i="7"/>
  <c r="BT102" i="7"/>
  <c r="AB104" i="7"/>
  <c r="O74" i="7"/>
  <c r="EF82" i="7"/>
  <c r="AD89" i="7"/>
  <c r="EC92" i="7"/>
  <c r="CK94" i="7"/>
  <c r="AS96" i="7"/>
  <c r="EU97" i="7"/>
  <c r="DC99" i="7"/>
  <c r="BK101" i="7"/>
  <c r="S103" i="7"/>
  <c r="DU104" i="7"/>
  <c r="AV107" i="7"/>
  <c r="ED106" i="7"/>
  <c r="BR106" i="7"/>
  <c r="F106" i="7"/>
  <c r="CN105" i="7"/>
  <c r="EQ99" i="7"/>
  <c r="W93" i="7"/>
  <c r="DX108" i="7"/>
  <c r="BL108" i="7"/>
  <c r="ET107" i="7"/>
  <c r="CH107" i="7"/>
  <c r="V107" i="7"/>
  <c r="DD106" i="7"/>
  <c r="AR106" i="7"/>
  <c r="DZ105" i="7"/>
  <c r="E104" i="7"/>
  <c r="AE97" i="7"/>
  <c r="CB86" i="7"/>
  <c r="CY108" i="7"/>
  <c r="AM108" i="7"/>
  <c r="DU107" i="7"/>
  <c r="BI107" i="7"/>
  <c r="CL103" i="7"/>
  <c r="U109" i="7"/>
  <c r="DW110" i="7"/>
  <c r="ES106" i="7"/>
  <c r="CH109" i="7"/>
  <c r="CJ110" i="7"/>
  <c r="BJ97" i="7"/>
  <c r="EU107" i="7"/>
  <c r="BS109" i="7"/>
  <c r="DA110" i="7"/>
  <c r="EP99" i="7"/>
  <c r="DP107" i="7"/>
  <c r="CJ109" i="7"/>
  <c r="DJ110" i="7"/>
  <c r="AB100" i="7"/>
  <c r="AI108" i="7"/>
  <c r="DI109" i="7"/>
  <c r="DK110" i="7"/>
  <c r="CP105" i="7"/>
  <c r="BP108" i="7"/>
  <c r="DB109" i="7"/>
  <c r="EJ110" i="7"/>
  <c r="C109" i="7"/>
  <c r="EJ111" i="7"/>
  <c r="X113" i="7"/>
  <c r="AX114" i="7"/>
  <c r="DX107" i="7"/>
  <c r="ES111" i="7"/>
  <c r="Y113" i="7"/>
  <c r="AA114" i="7"/>
  <c r="DQ108" i="7"/>
  <c r="H112" i="7"/>
  <c r="J113" i="7"/>
  <c r="AR114" i="7"/>
  <c r="L109" i="7"/>
  <c r="EM111" i="7"/>
  <c r="AA113" i="7"/>
  <c r="BA114" i="7"/>
  <c r="EH108" i="7"/>
  <c r="S112" i="7"/>
  <c r="AS113" i="7"/>
  <c r="CM109" i="7"/>
  <c r="AR112" i="7"/>
  <c r="BR113" i="7"/>
  <c r="BT114" i="7"/>
  <c r="BV117" i="7"/>
  <c r="AV116" i="7"/>
  <c r="AT115" i="7"/>
  <c r="J112" i="7"/>
  <c r="BM117" i="7"/>
  <c r="BK116" i="7"/>
  <c r="AC115" i="7"/>
  <c r="DS111" i="7"/>
  <c r="CJ117" i="7"/>
  <c r="DF116" i="7"/>
  <c r="EB115" i="7"/>
  <c r="BH115" i="7"/>
  <c r="EO114" i="7"/>
  <c r="DW113" i="7"/>
  <c r="AH112" i="7"/>
  <c r="DI102" i="7"/>
  <c r="DO117" i="7"/>
  <c r="BC117" i="7"/>
  <c r="EK116" i="7"/>
  <c r="BY116" i="7"/>
  <c r="M116" i="7"/>
  <c r="CU115" i="7"/>
  <c r="AI115" i="7"/>
  <c r="CC114" i="7"/>
  <c r="AM113" i="7"/>
  <c r="CA111" i="7"/>
  <c r="P118" i="7"/>
  <c r="CX117" i="7"/>
  <c r="AL117" i="7"/>
  <c r="DT116" i="7"/>
  <c r="BH116" i="7"/>
  <c r="EP115" i="7"/>
  <c r="CD115" i="7"/>
  <c r="R115" i="7"/>
  <c r="AL114" i="7"/>
  <c r="DR112" i="7"/>
  <c r="DK109" i="7"/>
  <c r="AC78" i="7"/>
  <c r="C85" i="7"/>
  <c r="CL90" i="7"/>
  <c r="BJ93" i="7"/>
  <c r="R95" i="7"/>
  <c r="DT96" i="7"/>
  <c r="CB98" i="7"/>
  <c r="AJ100" i="7"/>
  <c r="EL101" i="7"/>
  <c r="CT103" i="7"/>
  <c r="AX105" i="7"/>
  <c r="DL80" i="7"/>
  <c r="CL87" i="7"/>
  <c r="EP91" i="7"/>
  <c r="I94" i="7"/>
  <c r="DK95" i="7"/>
  <c r="BS97" i="7"/>
  <c r="AA99" i="7"/>
  <c r="EC100" i="7"/>
  <c r="CK102" i="7"/>
  <c r="AS104" i="7"/>
  <c r="X76" i="7"/>
  <c r="CA83" i="7"/>
  <c r="CM89" i="7"/>
  <c r="F93" i="7"/>
  <c r="DH94" i="7"/>
  <c r="BP96" i="7"/>
  <c r="X98" i="7"/>
  <c r="DZ99" i="7"/>
  <c r="CH101" i="7"/>
  <c r="AP103" i="7"/>
  <c r="ER104" i="7"/>
  <c r="AP79" i="7"/>
  <c r="P86" i="7"/>
  <c r="AH91" i="7"/>
  <c r="CY93" i="7"/>
  <c r="BG95" i="7"/>
  <c r="O97" i="7"/>
  <c r="DQ98" i="7"/>
  <c r="BY100" i="7"/>
  <c r="AG102" i="7"/>
  <c r="EI103" i="7"/>
  <c r="DL69" i="7"/>
  <c r="E82" i="7"/>
  <c r="CN88" i="7"/>
  <c r="CM92" i="7"/>
  <c r="BD94" i="7"/>
  <c r="L96" i="7"/>
  <c r="DN97" i="7"/>
  <c r="BV99" i="7"/>
  <c r="AD101" i="7"/>
  <c r="EF102" i="7"/>
  <c r="CN104" i="7"/>
  <c r="DN77" i="7"/>
  <c r="CN84" i="7"/>
  <c r="AX90" i="7"/>
  <c r="AU93" i="7"/>
  <c r="C95" i="7"/>
  <c r="DE96" i="7"/>
  <c r="BM98" i="7"/>
  <c r="U100" i="7"/>
  <c r="DW101" i="7"/>
  <c r="CE103" i="7"/>
  <c r="AM105" i="7"/>
  <c r="AF107" i="7"/>
  <c r="DN106" i="7"/>
  <c r="BB106" i="7"/>
  <c r="EJ105" i="7"/>
  <c r="O105" i="7"/>
  <c r="AO98" i="7"/>
  <c r="EF89" i="7"/>
  <c r="DH108" i="7"/>
  <c r="AV108" i="7"/>
  <c r="ED107" i="7"/>
  <c r="BR107" i="7"/>
  <c r="F107" i="7"/>
  <c r="CN106" i="7"/>
  <c r="AB106" i="7"/>
  <c r="DJ105" i="7"/>
  <c r="AW102" i="7"/>
  <c r="BW95" i="7"/>
  <c r="DB79" i="7"/>
  <c r="CI108" i="7"/>
  <c r="W108" i="7"/>
  <c r="DE107" i="7"/>
  <c r="CB110" i="7"/>
  <c r="BV110" i="7"/>
  <c r="DT110" i="7"/>
  <c r="S114" i="7"/>
  <c r="M114" i="7"/>
  <c r="CL117" i="7"/>
  <c r="CR117" i="7"/>
  <c r="DW117" i="7"/>
  <c r="BS113" i="7"/>
  <c r="CL115" i="7"/>
  <c r="AD93" i="7"/>
  <c r="EH79" i="7"/>
  <c r="BE102" i="7"/>
  <c r="EL97" i="7"/>
  <c r="BS93" i="7"/>
  <c r="AA81" i="7"/>
  <c r="CZ102" i="7"/>
  <c r="AG98" i="7"/>
  <c r="ER105" i="7"/>
  <c r="N107" i="7"/>
  <c r="AE108" i="7"/>
  <c r="E107" i="7"/>
  <c r="CM106" i="7"/>
  <c r="AA106" i="7"/>
  <c r="DI105" i="7"/>
  <c r="AV102" i="7"/>
  <c r="BV95" i="7"/>
  <c r="CY79" i="7"/>
  <c r="CH108" i="7"/>
  <c r="V108" i="7"/>
  <c r="DD107" i="7"/>
  <c r="AR107" i="7"/>
  <c r="DZ106" i="7"/>
  <c r="BN106" i="7"/>
  <c r="EV105" i="7"/>
  <c r="CI105" i="7"/>
  <c r="CE99" i="7"/>
  <c r="DD92" i="7"/>
  <c r="DU108" i="7"/>
  <c r="BI108" i="7"/>
  <c r="EQ107" i="7"/>
  <c r="CE107" i="7"/>
  <c r="S107" i="7"/>
  <c r="DA106" i="7"/>
  <c r="AO106" i="7"/>
  <c r="DW105" i="7"/>
  <c r="DR103" i="7"/>
  <c r="ER96" i="7"/>
  <c r="CU85" i="7"/>
  <c r="CJ2" i="7"/>
  <c r="DD3" i="7"/>
  <c r="EA4" i="7"/>
  <c r="ET5" i="7"/>
  <c r="DK6" i="7"/>
  <c r="AC7" i="7"/>
  <c r="CO7" i="7"/>
  <c r="G8" i="7"/>
  <c r="BS8" i="7"/>
  <c r="EE8" i="7"/>
  <c r="AW9" i="7"/>
  <c r="DJ2" i="7"/>
  <c r="EG3" i="7"/>
  <c r="F5" i="7"/>
  <c r="Z6" i="7"/>
  <c r="DU6" i="7"/>
  <c r="AM7" i="7"/>
  <c r="CY7" i="7"/>
  <c r="Q8" i="7"/>
  <c r="CC8" i="7"/>
  <c r="EO8" i="7"/>
  <c r="BG9" i="7"/>
  <c r="AG3" i="7"/>
  <c r="AZ4" i="7"/>
  <c r="BT5" i="7"/>
  <c r="CH6" i="7"/>
  <c r="ET6" i="7"/>
  <c r="BL7" i="7"/>
  <c r="DX7" i="7"/>
  <c r="AP8" i="7"/>
  <c r="DB8" i="7"/>
  <c r="T9" i="7"/>
  <c r="CA2" i="7"/>
  <c r="CT3" i="7"/>
  <c r="T3" i="7"/>
  <c r="AQ4" i="7"/>
  <c r="BJ5" i="7"/>
  <c r="CD6" i="7"/>
  <c r="EP6" i="7"/>
  <c r="BH7" i="7"/>
  <c r="DT7" i="7"/>
  <c r="AL8" i="7"/>
  <c r="CX8" i="7"/>
  <c r="P9" i="7"/>
  <c r="Q3" i="7"/>
  <c r="BZ5" i="7"/>
  <c r="EV6" i="7"/>
  <c r="DZ7" i="7"/>
  <c r="DD8" i="7"/>
  <c r="BV9" i="7"/>
  <c r="EH9" i="7"/>
  <c r="AZ10" i="7"/>
  <c r="DH2" i="7"/>
  <c r="AL5" i="7"/>
  <c r="EG6" i="7"/>
  <c r="DK7" i="7"/>
  <c r="CO8" i="7"/>
  <c r="BO9" i="7"/>
  <c r="EA9" i="7"/>
  <c r="AS10" i="7"/>
  <c r="DE10" i="7"/>
  <c r="W11" i="7"/>
  <c r="CI11" i="7"/>
  <c r="EB3" i="7"/>
  <c r="X6" i="7"/>
  <c r="AL7" i="7"/>
  <c r="P8" i="7"/>
  <c r="EN8" i="7"/>
  <c r="CN9" i="7"/>
  <c r="F10" i="7"/>
  <c r="BR10" i="7"/>
  <c r="BX4" i="7"/>
  <c r="CQ6" i="7"/>
  <c r="BU7" i="7"/>
  <c r="AY8" i="7"/>
  <c r="AC9" i="7"/>
  <c r="DE9" i="7"/>
  <c r="W10" i="7"/>
  <c r="CI10" i="7"/>
  <c r="AJ4" i="7"/>
  <c r="CA6" i="7"/>
  <c r="BF7" i="7"/>
  <c r="AJ8" i="7"/>
  <c r="N9" i="7"/>
  <c r="CX9" i="7"/>
  <c r="CE4" i="7"/>
  <c r="CS6" i="7"/>
  <c r="BW7" i="7"/>
  <c r="BA8" i="7"/>
  <c r="AE9" i="7"/>
  <c r="BB4" i="7"/>
  <c r="CI6" i="7"/>
  <c r="BM7" i="7"/>
  <c r="AQ8" i="7"/>
  <c r="U9" i="7"/>
  <c r="BQ5" i="7"/>
  <c r="ET9" i="7"/>
  <c r="DJ10" i="7"/>
  <c r="AK11" i="7"/>
  <c r="DF11" i="7"/>
  <c r="Y12" i="7"/>
  <c r="CK12" i="7"/>
  <c r="C13" i="7"/>
  <c r="BO13" i="7"/>
  <c r="EA13" i="7"/>
  <c r="AS14" i="7"/>
  <c r="DP8" i="7"/>
  <c r="AW10" i="7"/>
  <c r="EM10" i="7"/>
  <c r="BN11" i="7"/>
  <c r="EF11" i="7"/>
  <c r="AX12" i="7"/>
  <c r="DJ12" i="7"/>
  <c r="AB13" i="7"/>
  <c r="CN13" i="7"/>
  <c r="F14" i="7"/>
  <c r="BR14" i="7"/>
  <c r="DP9" i="7"/>
  <c r="CR10" i="7"/>
  <c r="U11" i="7"/>
  <c r="CP11" i="7"/>
  <c r="AR92" i="7"/>
  <c r="CQ97" i="7"/>
  <c r="DO106" i="7"/>
  <c r="EM107" i="7"/>
  <c r="BV108" i="7"/>
  <c r="CJ116" i="7"/>
  <c r="DN116" i="7"/>
  <c r="BK117" i="7"/>
  <c r="DK111" i="7"/>
  <c r="Z115" i="7"/>
  <c r="EF94" i="7"/>
  <c r="DH86" i="7"/>
  <c r="M104" i="7"/>
  <c r="CT99" i="7"/>
  <c r="AA95" i="7"/>
  <c r="EU87" i="7"/>
  <c r="BH104" i="7"/>
  <c r="EI99" i="7"/>
  <c r="CA105" i="7"/>
  <c r="CV106" i="7"/>
  <c r="DM107" i="7"/>
  <c r="EQ106" i="7"/>
  <c r="CE106" i="7"/>
  <c r="S106" i="7"/>
  <c r="DA105" i="7"/>
  <c r="BR101" i="7"/>
  <c r="CR94" i="7"/>
  <c r="EB74" i="7"/>
  <c r="BZ108" i="7"/>
  <c r="N108" i="7"/>
  <c r="CV107" i="7"/>
  <c r="AJ107" i="7"/>
  <c r="DR106" i="7"/>
  <c r="BF106" i="7"/>
  <c r="EN105" i="7"/>
  <c r="BR105" i="7"/>
  <c r="DA98" i="7"/>
  <c r="EV90" i="7"/>
  <c r="DM108" i="7"/>
  <c r="BA108" i="7"/>
  <c r="EI107" i="7"/>
  <c r="BW107" i="7"/>
  <c r="K107" i="7"/>
  <c r="CS106" i="7"/>
  <c r="AG106" i="7"/>
  <c r="DO105" i="7"/>
  <c r="EN102" i="7"/>
  <c r="T96" i="7"/>
  <c r="AK82" i="7"/>
  <c r="DG2" i="7"/>
  <c r="DZ3" i="7"/>
  <c r="ET4" i="7"/>
  <c r="W6" i="7"/>
  <c r="DS6" i="7"/>
  <c r="AK7" i="7"/>
  <c r="CW7" i="7"/>
  <c r="O8" i="7"/>
  <c r="CA8" i="7"/>
  <c r="EM8" i="7"/>
  <c r="BE9" i="7"/>
  <c r="EF2" i="7"/>
  <c r="F4" i="7"/>
  <c r="AC5" i="7"/>
  <c r="AV6" i="7"/>
  <c r="EC6" i="7"/>
  <c r="AU7" i="7"/>
  <c r="DG7" i="7"/>
  <c r="Y8" i="7"/>
  <c r="CK8" i="7"/>
  <c r="C9" i="7"/>
  <c r="AF2" i="7"/>
  <c r="AZ3" i="7"/>
  <c r="BW4" i="7"/>
  <c r="CP5" i="7"/>
  <c r="CP6" i="7"/>
  <c r="H7" i="7"/>
  <c r="BT7" i="7"/>
  <c r="EF7" i="7"/>
  <c r="AX8" i="7"/>
  <c r="DJ8" i="7"/>
  <c r="AB9" i="7"/>
  <c r="CT2" i="7"/>
  <c r="J2" i="7"/>
  <c r="AP3" i="7"/>
  <c r="BJ4" i="7"/>
  <c r="CG5" i="7"/>
  <c r="CL6" i="7"/>
  <c r="D7" i="7"/>
  <c r="BP7" i="7"/>
  <c r="EB7" i="7"/>
  <c r="AT8" i="7"/>
  <c r="DF8" i="7"/>
  <c r="X9" i="7"/>
  <c r="BP3" i="7"/>
  <c r="DP5" i="7"/>
  <c r="R7" i="7"/>
  <c r="EP7" i="7"/>
  <c r="DT8" i="7"/>
  <c r="CD9" i="7"/>
  <c r="EP9" i="7"/>
  <c r="BH10" i="7"/>
  <c r="R3" i="7"/>
  <c r="CB5" i="7"/>
  <c r="C7" i="7"/>
  <c r="EA7" i="7"/>
  <c r="DE8" i="7"/>
  <c r="BW9" i="7"/>
  <c r="EI9" i="7"/>
  <c r="BA10" i="7"/>
  <c r="DM10" i="7"/>
  <c r="AE11" i="7"/>
  <c r="CQ11" i="7"/>
  <c r="AA4" i="7"/>
  <c r="BN6" i="7"/>
  <c r="BB7" i="7"/>
  <c r="AF8" i="7"/>
  <c r="J9" i="7"/>
  <c r="CV9" i="7"/>
  <c r="N10" i="7"/>
  <c r="BZ10" i="7"/>
  <c r="DN4" i="7"/>
  <c r="DG6" i="7"/>
  <c r="CK7" i="7"/>
  <c r="BO8" i="7"/>
  <c r="AS9" i="7"/>
  <c r="DM9" i="7"/>
  <c r="AE10" i="7"/>
  <c r="CQ10" i="7"/>
  <c r="BZ4" i="7"/>
  <c r="CR6" i="7"/>
  <c r="BV7" i="7"/>
  <c r="AZ8" i="7"/>
  <c r="AD9" i="7"/>
  <c r="DF9" i="7"/>
  <c r="DT4" i="7"/>
  <c r="DI6" i="7"/>
  <c r="CM7" i="7"/>
  <c r="BQ8" i="7"/>
  <c r="AU9" i="7"/>
  <c r="CU4" i="7"/>
  <c r="CY6" i="7"/>
  <c r="CC7" i="7"/>
  <c r="BG8" i="7"/>
  <c r="AK9" i="7"/>
  <c r="ER6" i="7"/>
  <c r="P10" i="7"/>
  <c r="DS10" i="7"/>
  <c r="AT11" i="7"/>
  <c r="DO11" i="7"/>
  <c r="AG12" i="7"/>
  <c r="CS12" i="7"/>
  <c r="K13" i="7"/>
  <c r="BW13" i="7"/>
  <c r="EI13" i="7"/>
  <c r="BA14" i="7"/>
  <c r="BS9" i="7"/>
  <c r="BM10" i="7"/>
  <c r="EV10" i="7"/>
  <c r="BW11" i="7"/>
  <c r="EN11" i="7"/>
  <c r="BF12" i="7"/>
  <c r="DR12" i="7"/>
  <c r="AJ13" i="7"/>
  <c r="CV13" i="7"/>
  <c r="N14" i="7"/>
  <c r="DI3" i="7"/>
  <c r="EF9" i="7"/>
  <c r="DC10" i="7"/>
  <c r="AD11" i="7"/>
  <c r="CZ11" i="7"/>
  <c r="BM107" i="7"/>
  <c r="C108" i="7"/>
  <c r="EB111" i="7"/>
  <c r="DN111" i="7"/>
  <c r="C112" i="7"/>
  <c r="BB115" i="7"/>
  <c r="EJ115" i="7"/>
  <c r="ES116" i="7"/>
  <c r="X118" i="7"/>
  <c r="BE114" i="7"/>
  <c r="CN96" i="7"/>
  <c r="CD91" i="7"/>
  <c r="Z73" i="7"/>
  <c r="BB101" i="7"/>
  <c r="EC96" i="7"/>
  <c r="AA92" i="7"/>
  <c r="DK76" i="7"/>
  <c r="CQ101" i="7"/>
  <c r="S99" i="7"/>
  <c r="AJ106" i="7"/>
  <c r="BA107" i="7"/>
  <c r="EI106" i="7"/>
  <c r="BW106" i="7"/>
  <c r="K106" i="7"/>
  <c r="CS105" i="7"/>
  <c r="CN100" i="7"/>
  <c r="DN93" i="7"/>
  <c r="ED108" i="7"/>
  <c r="BR108" i="7"/>
  <c r="F108" i="7"/>
  <c r="CN107" i="7"/>
  <c r="AB107" i="7"/>
  <c r="DJ106" i="7"/>
  <c r="AX106" i="7"/>
  <c r="EF105" i="7"/>
  <c r="CW104" i="7"/>
  <c r="DW97" i="7"/>
  <c r="DL88" i="7"/>
  <c r="DE108" i="7"/>
  <c r="AS108" i="7"/>
  <c r="EA107" i="7"/>
  <c r="BO107" i="7"/>
  <c r="C107" i="7"/>
  <c r="CK106" i="7"/>
  <c r="Y106" i="7"/>
  <c r="DG105" i="7"/>
  <c r="P102" i="7"/>
  <c r="AP95" i="7"/>
  <c r="DU78" i="7"/>
  <c r="DZ2" i="7"/>
  <c r="C4" i="7"/>
  <c r="V5" i="7"/>
  <c r="AP6" i="7"/>
  <c r="EA6" i="7"/>
  <c r="AS7" i="7"/>
  <c r="DE7" i="7"/>
  <c r="W8" i="7"/>
  <c r="CI8" i="7"/>
  <c r="EU8" i="7"/>
  <c r="Z2" i="7"/>
  <c r="I3" i="7"/>
  <c r="AB4" i="7"/>
  <c r="AV5" i="7"/>
  <c r="BS6" i="7"/>
  <c r="EK6" i="7"/>
  <c r="BC7" i="7"/>
  <c r="DO7" i="7"/>
  <c r="AG8" i="7"/>
  <c r="CS8" i="7"/>
  <c r="K9" i="7"/>
  <c r="BC2" i="7"/>
  <c r="BV3" i="7"/>
  <c r="CP4" i="7"/>
  <c r="DM5" i="7"/>
  <c r="CX6" i="7"/>
  <c r="P7" i="7"/>
  <c r="CB7" i="7"/>
  <c r="EN7" i="7"/>
  <c r="BF8" i="7"/>
  <c r="DR8" i="7"/>
  <c r="AJ9" i="7"/>
  <c r="DP2" i="7"/>
  <c r="AP2" i="7"/>
  <c r="BM3" i="7"/>
  <c r="CF4" i="7"/>
  <c r="CZ5" i="7"/>
  <c r="CT6" i="7"/>
  <c r="L7" i="7"/>
  <c r="BX7" i="7"/>
  <c r="EJ7" i="7"/>
  <c r="BB8" i="7"/>
  <c r="DN8" i="7"/>
  <c r="AF9" i="7"/>
  <c r="DR3" i="7"/>
  <c r="O6" i="7"/>
  <c r="AH7" i="7"/>
  <c r="L8" i="7"/>
  <c r="EJ8" i="7"/>
  <c r="CL9" i="7"/>
  <c r="D10" i="7"/>
  <c r="BP10" i="7"/>
  <c r="CC3" i="7"/>
  <c r="DU5" i="7"/>
  <c r="S7" i="7"/>
  <c r="EQ7" i="7"/>
  <c r="DU8" i="7"/>
  <c r="CE9" i="7"/>
  <c r="EQ9" i="7"/>
  <c r="BI10" i="7"/>
  <c r="DU10" i="7"/>
  <c r="AM11" i="7"/>
  <c r="CY11" i="7"/>
  <c r="BP4" i="7"/>
  <c r="CN6" i="7"/>
  <c r="BR7" i="7"/>
  <c r="AV8" i="7"/>
  <c r="Z9" i="7"/>
  <c r="DD9" i="7"/>
  <c r="V10" i="7"/>
  <c r="BS2" i="7"/>
  <c r="M5" i="7"/>
  <c r="DW6" i="7"/>
  <c r="DA7" i="7"/>
  <c r="CE8" i="7"/>
  <c r="BI9" i="7"/>
  <c r="DU9" i="7"/>
  <c r="AM10" i="7"/>
  <c r="CY10" i="7"/>
  <c r="DS4" i="7"/>
  <c r="DH6" i="7"/>
  <c r="CL7" i="7"/>
  <c r="BP8" i="7"/>
  <c r="AT9" i="7"/>
  <c r="CD2" i="7"/>
  <c r="P5" i="7"/>
  <c r="DY6" i="7"/>
  <c r="DC7" i="7"/>
  <c r="CG8" i="7"/>
  <c r="AM2" i="7"/>
  <c r="EJ4" i="7"/>
  <c r="DO6" i="7"/>
  <c r="CS7" i="7"/>
  <c r="BW8" i="7"/>
  <c r="BA9" i="7"/>
  <c r="DV7" i="7"/>
  <c r="AF10" i="7"/>
  <c r="EB10" i="7"/>
  <c r="BD11" i="7"/>
  <c r="DW11" i="7"/>
  <c r="AO12" i="7"/>
  <c r="DA12" i="7"/>
  <c r="S13" i="7"/>
  <c r="CE13" i="7"/>
  <c r="EQ13" i="7"/>
  <c r="BI14" i="7"/>
  <c r="CS9" i="7"/>
  <c r="CC10" i="7"/>
  <c r="K11" i="7"/>
  <c r="CF11" i="7"/>
  <c r="EV11" i="7"/>
  <c r="BN12" i="7"/>
  <c r="DZ12" i="7"/>
  <c r="AR13" i="7"/>
  <c r="DD13" i="7"/>
  <c r="V14" i="7"/>
  <c r="EV5" i="7"/>
  <c r="EV9" i="7"/>
  <c r="DL10" i="7"/>
  <c r="G101" i="7"/>
  <c r="BK109" i="7"/>
  <c r="BU109" i="7"/>
  <c r="H113" i="7"/>
  <c r="EV112" i="7"/>
  <c r="E113" i="7"/>
  <c r="BV112" i="7"/>
  <c r="BP115" i="7"/>
  <c r="CG116" i="7"/>
  <c r="DF117" i="7"/>
  <c r="D113" i="7"/>
  <c r="AV98" i="7"/>
  <c r="DW93" i="7"/>
  <c r="CW82" i="7"/>
  <c r="J103" i="7"/>
  <c r="CK98" i="7"/>
  <c r="X94" i="7"/>
  <c r="DJ83" i="7"/>
  <c r="AY103" i="7"/>
  <c r="DZ91" i="7"/>
  <c r="DR105" i="7"/>
  <c r="AS107" i="7"/>
  <c r="EA106" i="7"/>
  <c r="BO106" i="7"/>
  <c r="C106" i="7"/>
  <c r="CK105" i="7"/>
  <c r="DJ99" i="7"/>
  <c r="EJ92" i="7"/>
  <c r="DV108" i="7"/>
  <c r="BJ108" i="7"/>
  <c r="ER107" i="7"/>
  <c r="CF107" i="7"/>
  <c r="T107" i="7"/>
  <c r="DB106" i="7"/>
  <c r="AP106" i="7"/>
  <c r="DX105" i="7"/>
  <c r="DS103" i="7"/>
  <c r="ES96" i="7"/>
  <c r="CX85" i="7"/>
  <c r="CW108" i="7"/>
  <c r="AK108" i="7"/>
  <c r="DS107" i="7"/>
  <c r="BG107" i="7"/>
  <c r="EO106" i="7"/>
  <c r="CC106" i="7"/>
  <c r="Q106" i="7"/>
  <c r="CY105" i="7"/>
  <c r="AL101" i="7"/>
  <c r="BL94" i="7"/>
  <c r="EG70" i="7"/>
  <c r="EV2" i="7"/>
  <c r="V4" i="7"/>
  <c r="AS5" i="7"/>
  <c r="BL6" i="7"/>
  <c r="EI6" i="7"/>
  <c r="BA7" i="7"/>
  <c r="DM7" i="7"/>
  <c r="AE8" i="7"/>
  <c r="CQ8" i="7"/>
  <c r="I9" i="7"/>
  <c r="AV2" i="7"/>
  <c r="AB3" i="7"/>
  <c r="AY4" i="7"/>
  <c r="BR5" i="7"/>
  <c r="CG6" i="7"/>
  <c r="ES6" i="7"/>
  <c r="BK7" i="7"/>
  <c r="DW7" i="7"/>
  <c r="AO8" i="7"/>
  <c r="DA8" i="7"/>
  <c r="S9" i="7"/>
  <c r="BV2" i="7"/>
  <c r="CS3" i="7"/>
  <c r="DL4" i="7"/>
  <c r="EF5" i="7"/>
  <c r="DF6" i="7"/>
  <c r="X7" i="7"/>
  <c r="CJ7" i="7"/>
  <c r="EV7" i="7"/>
  <c r="BN8" i="7"/>
  <c r="DZ8" i="7"/>
  <c r="AR9" i="7"/>
  <c r="EM2" i="7"/>
  <c r="BL2" i="7"/>
  <c r="CF3" i="7"/>
  <c r="DC4" i="7"/>
  <c r="DV5" i="7"/>
  <c r="DB6" i="7"/>
  <c r="T7" i="7"/>
  <c r="CF7" i="7"/>
  <c r="ER7" i="7"/>
  <c r="BJ8" i="7"/>
  <c r="DV8" i="7"/>
  <c r="AN9" i="7"/>
  <c r="N4" i="7"/>
  <c r="BD6" i="7"/>
  <c r="AX7" i="7"/>
  <c r="AB8" i="7"/>
  <c r="F9" i="7"/>
  <c r="CT9" i="7"/>
  <c r="L10" i="7"/>
  <c r="BX10" i="7"/>
  <c r="DT3" i="7"/>
  <c r="P6" i="7"/>
  <c r="AI7" i="7"/>
  <c r="M8" i="7"/>
  <c r="EK8" i="7"/>
  <c r="CM9" i="7"/>
  <c r="E10" i="7"/>
  <c r="BQ10" i="7"/>
  <c r="EC10" i="7"/>
  <c r="AU11" i="7"/>
  <c r="DG11" i="7"/>
  <c r="DF4" i="7"/>
  <c r="DD6" i="7"/>
  <c r="CH7" i="7"/>
  <c r="BL8" i="7"/>
  <c r="AP9" i="7"/>
  <c r="DL9" i="7"/>
  <c r="AD10" i="7"/>
  <c r="DW2" i="7"/>
  <c r="BB5" i="7"/>
  <c r="EM6" i="7"/>
  <c r="DQ7" i="7"/>
  <c r="CU8" i="7"/>
  <c r="BQ9" i="7"/>
  <c r="EC9" i="7"/>
  <c r="AU10" i="7"/>
  <c r="CB2" i="7"/>
  <c r="N5" i="7"/>
  <c r="DX6" i="7"/>
  <c r="DB7" i="7"/>
  <c r="CF8" i="7"/>
  <c r="BJ9" i="7"/>
  <c r="EN2" i="7"/>
  <c r="BI5" i="7"/>
  <c r="EO6" i="7"/>
  <c r="DS7" i="7"/>
  <c r="CW8" i="7"/>
  <c r="CY2" i="7"/>
  <c r="AF5" i="7"/>
  <c r="EE6" i="7"/>
  <c r="DI7" i="7"/>
  <c r="CM8" i="7"/>
  <c r="BM9" i="7"/>
  <c r="CZ8" i="7"/>
  <c r="AV10" i="7"/>
  <c r="EL10" i="7"/>
  <c r="BM11" i="7"/>
  <c r="EE11" i="7"/>
  <c r="AW12" i="7"/>
  <c r="DI12" i="7"/>
  <c r="AA13" i="7"/>
  <c r="CM13" i="7"/>
  <c r="E14" i="7"/>
  <c r="BQ14" i="7"/>
  <c r="DO9" i="7"/>
  <c r="CP10" i="7"/>
  <c r="T11" i="7"/>
  <c r="CO11" i="7"/>
  <c r="J12" i="7"/>
  <c r="BV12" i="7"/>
  <c r="EH12" i="7"/>
  <c r="AZ13" i="7"/>
  <c r="DL13" i="7"/>
  <c r="AD14" i="7"/>
  <c r="AD7" i="7"/>
  <c r="R10" i="7"/>
  <c r="DV10" i="7"/>
  <c r="AW11" i="7"/>
  <c r="M109" i="7"/>
  <c r="CK110" i="7"/>
  <c r="DC110" i="7"/>
  <c r="J114" i="7"/>
  <c r="AB114" i="7"/>
  <c r="BG109" i="7"/>
  <c r="DA117" i="7"/>
  <c r="D115" i="7"/>
  <c r="U116" i="7"/>
  <c r="AT117" i="7"/>
  <c r="CO110" i="7"/>
  <c r="D100" i="7"/>
  <c r="CE95" i="7"/>
  <c r="F89" i="7"/>
  <c r="DL104" i="7"/>
  <c r="AS100" i="7"/>
  <c r="DZ95" i="7"/>
  <c r="DK89" i="7"/>
  <c r="G105" i="7"/>
  <c r="DP108" i="7"/>
  <c r="AA103" i="7"/>
  <c r="AK107" i="7"/>
  <c r="DS106" i="7"/>
  <c r="BG106" i="7"/>
  <c r="EO105" i="7"/>
  <c r="BS105" i="7"/>
  <c r="EF98" i="7"/>
  <c r="BM91" i="7"/>
  <c r="DN108" i="7"/>
  <c r="BB108" i="7"/>
  <c r="EJ107" i="7"/>
  <c r="BX107" i="7"/>
  <c r="L107" i="7"/>
  <c r="CT106" i="7"/>
  <c r="AH106" i="7"/>
  <c r="DP105" i="7"/>
  <c r="EO102" i="7"/>
  <c r="U96" i="7"/>
  <c r="AN82" i="7"/>
  <c r="CO108" i="7"/>
  <c r="AC108" i="7"/>
  <c r="DK107" i="7"/>
  <c r="AY107" i="7"/>
  <c r="EG106" i="7"/>
  <c r="BU106" i="7"/>
  <c r="I106" i="7"/>
  <c r="CQ105" i="7"/>
  <c r="BH100" i="7"/>
  <c r="CH93" i="7"/>
  <c r="C2" i="7"/>
  <c r="A2" i="7" s="1"/>
  <c r="Y3" i="7"/>
  <c r="AR4" i="7"/>
  <c r="BL5" i="7"/>
  <c r="CE6" i="7"/>
  <c r="EQ6" i="7"/>
  <c r="BI7" i="7"/>
  <c r="DU7" i="7"/>
  <c r="AM8" i="7"/>
  <c r="CY8" i="7"/>
  <c r="Q9" i="7"/>
  <c r="AE2" i="7"/>
  <c r="AX3" i="7"/>
  <c r="BR4" i="7"/>
  <c r="CO5" i="7"/>
  <c r="CO6" i="7"/>
  <c r="G7" i="7"/>
  <c r="BS7" i="7"/>
  <c r="EE7" i="7"/>
  <c r="AW8" i="7"/>
  <c r="DI8" i="7"/>
  <c r="AA9" i="7"/>
  <c r="CR2" i="7"/>
  <c r="DL3" i="7"/>
  <c r="EI4" i="7"/>
  <c r="H6" i="7"/>
  <c r="DN6" i="7"/>
  <c r="AF7" i="7"/>
  <c r="CR7" i="7"/>
  <c r="J8" i="7"/>
  <c r="BV8" i="7"/>
  <c r="EH8" i="7"/>
  <c r="AZ9" i="7"/>
  <c r="L3" i="7"/>
  <c r="CI2" i="7"/>
  <c r="DB3" i="7"/>
  <c r="DV4" i="7"/>
  <c r="ES5" i="7"/>
  <c r="DJ6" i="7"/>
  <c r="AB7" i="7"/>
  <c r="CN7" i="7"/>
  <c r="F8" i="7"/>
  <c r="BR8" i="7"/>
  <c r="ED8" i="7"/>
  <c r="AV9" i="7"/>
  <c r="BG4" i="7"/>
  <c r="CJ6" i="7"/>
  <c r="BN7" i="7"/>
  <c r="AR8" i="7"/>
  <c r="V9" i="7"/>
  <c r="DB9" i="7"/>
  <c r="T10" i="7"/>
  <c r="CF10" i="7"/>
  <c r="S4" i="7"/>
  <c r="BF6" i="7"/>
  <c r="AY7" i="7"/>
  <c r="AC8" i="7"/>
  <c r="G9" i="7"/>
  <c r="CU9" i="7"/>
  <c r="M10" i="7"/>
  <c r="BY10" i="7"/>
  <c r="EK10" i="7"/>
  <c r="BC11" i="7"/>
  <c r="BK2" i="7"/>
  <c r="E5" i="7"/>
  <c r="DT6" i="7"/>
  <c r="CX7" i="7"/>
  <c r="CB8" i="7"/>
  <c r="BF9" i="7"/>
  <c r="DT9" i="7"/>
  <c r="AL10" i="7"/>
  <c r="AJ3" i="7"/>
  <c r="CR5" i="7"/>
  <c r="I7" i="7"/>
  <c r="EG7" i="7"/>
  <c r="DK8" i="7"/>
  <c r="BY9" i="7"/>
  <c r="EK9" i="7"/>
  <c r="BC10" i="7"/>
  <c r="EE2" i="7"/>
  <c r="BD5" i="7"/>
  <c r="EN6" i="7"/>
  <c r="DR7" i="7"/>
  <c r="CV8" i="7"/>
  <c r="BR9" i="7"/>
  <c r="AW3" i="7"/>
  <c r="CX5" i="7"/>
  <c r="K7" i="7"/>
  <c r="EI7" i="7"/>
  <c r="DM8" i="7"/>
  <c r="D3" i="7"/>
  <c r="BY5" i="7"/>
  <c r="EU6" i="7"/>
  <c r="DY7" i="7"/>
  <c r="DC8" i="7"/>
  <c r="BU9" i="7"/>
  <c r="BL9" i="7"/>
  <c r="BL10" i="7"/>
  <c r="EU10" i="7"/>
  <c r="BV11" i="7"/>
  <c r="EM11" i="7"/>
  <c r="BE12" i="7"/>
  <c r="DQ12" i="7"/>
  <c r="AI13" i="7"/>
  <c r="CU13" i="7"/>
  <c r="M14" i="7"/>
  <c r="BF3" i="7"/>
  <c r="EE9" i="7"/>
  <c r="DB10" i="7"/>
  <c r="AC11" i="7"/>
  <c r="CX11" i="7"/>
  <c r="R12" i="7"/>
  <c r="CD12" i="7"/>
  <c r="EP12" i="7"/>
  <c r="BH13" i="7"/>
  <c r="DT13" i="7"/>
  <c r="AL14" i="7"/>
  <c r="H8" i="7"/>
  <c r="AH10" i="7"/>
  <c r="EE10" i="7"/>
  <c r="AT109" i="7"/>
  <c r="BT109" i="7"/>
  <c r="CT109" i="7"/>
  <c r="EE112" i="7"/>
  <c r="K113" i="7"/>
  <c r="BL114" i="7"/>
  <c r="EC112" i="7"/>
  <c r="CQ107" i="7"/>
  <c r="CY114" i="7"/>
  <c r="D116" i="7"/>
  <c r="E90" i="7"/>
  <c r="V105" i="7"/>
  <c r="CW100" i="7"/>
  <c r="AJ96" i="7"/>
  <c r="DJ90" i="7"/>
  <c r="BF105" i="7"/>
  <c r="ER100" i="7"/>
  <c r="BY96" i="7"/>
  <c r="BJ106" i="7"/>
  <c r="BZ107" i="7"/>
  <c r="CQ108" i="7"/>
  <c r="M107" i="7"/>
  <c r="CU106" i="7"/>
  <c r="AI106" i="7"/>
  <c r="DQ105" i="7"/>
  <c r="Z103" i="7"/>
  <c r="AZ96" i="7"/>
  <c r="O83" i="7"/>
  <c r="CP108" i="7"/>
  <c r="AD108" i="7"/>
  <c r="DL107" i="7"/>
  <c r="AZ107" i="7"/>
  <c r="EH106" i="7"/>
  <c r="BV106" i="7"/>
  <c r="J106" i="7"/>
  <c r="CR105" i="7"/>
  <c r="BI100" i="7"/>
  <c r="CI93" i="7"/>
  <c r="EC108" i="7"/>
  <c r="BQ108" i="7"/>
  <c r="E108" i="7"/>
  <c r="CM107" i="7"/>
  <c r="AA107" i="7"/>
  <c r="DI106" i="7"/>
  <c r="AW106" i="7"/>
  <c r="EE105" i="7"/>
  <c r="CV104" i="7"/>
  <c r="DV97" i="7"/>
  <c r="DI88" i="7"/>
  <c r="BN2" i="7"/>
  <c r="CK3" i="7"/>
  <c r="DD4" i="7"/>
  <c r="DX5" i="7"/>
  <c r="DC6" i="7"/>
  <c r="U7" i="7"/>
  <c r="CG7" i="7"/>
  <c r="ES7" i="7"/>
  <c r="BK8" i="7"/>
  <c r="DW8" i="7"/>
  <c r="AO9" i="7"/>
  <c r="CQ2" i="7"/>
  <c r="DJ3" i="7"/>
  <c r="ED4" i="7"/>
  <c r="G6" i="7"/>
  <c r="A6" i="7" s="1"/>
  <c r="DM6" i="7"/>
  <c r="AE7" i="7"/>
  <c r="CQ7" i="7"/>
  <c r="I8" i="7"/>
  <c r="BU8" i="7"/>
  <c r="EG8" i="7"/>
  <c r="AY9" i="7"/>
  <c r="J3" i="7"/>
  <c r="AD4" i="7"/>
  <c r="BA5" i="7"/>
  <c r="BT6" i="7"/>
  <c r="EL6" i="7"/>
  <c r="BD7" i="7"/>
  <c r="DP7" i="7"/>
  <c r="AH8" i="7"/>
  <c r="CT8" i="7"/>
  <c r="L9" i="7"/>
  <c r="BD2" i="7"/>
  <c r="BX3" i="7"/>
  <c r="EU2" i="7"/>
  <c r="T4" i="7"/>
  <c r="AN5" i="7"/>
  <c r="BK6" i="7"/>
  <c r="EH6" i="7"/>
  <c r="AZ7" i="7"/>
  <c r="DL7" i="7"/>
  <c r="AD8" i="7"/>
  <c r="CP8" i="7"/>
  <c r="H9" i="7"/>
  <c r="CZ2" i="7"/>
  <c r="AK5" i="7"/>
  <c r="EF6" i="7"/>
  <c r="DJ7" i="7"/>
  <c r="CN8" i="7"/>
  <c r="BN9" i="7"/>
  <c r="DZ9" i="7"/>
  <c r="AR10" i="7"/>
  <c r="BF2" i="7"/>
  <c r="EQ4" i="7"/>
  <c r="DQ6" i="7"/>
  <c r="CU7" i="7"/>
  <c r="BY8" i="7"/>
  <c r="BC9" i="7"/>
  <c r="DS9" i="7"/>
  <c r="AK10" i="7"/>
  <c r="CW10" i="7"/>
  <c r="O11" i="7"/>
  <c r="CA11" i="7"/>
  <c r="CD3" i="7"/>
  <c r="EC5" i="7"/>
  <c r="V7" i="7"/>
  <c r="ET7" i="7"/>
  <c r="DX8" i="7"/>
  <c r="CF9" i="7"/>
  <c r="ER9" i="7"/>
  <c r="BJ10" i="7"/>
  <c r="AI4" i="7"/>
  <c r="BV6" i="7"/>
  <c r="BE7" i="7"/>
  <c r="AI8" i="7"/>
  <c r="M9" i="7"/>
  <c r="CW9" i="7"/>
  <c r="O10" i="7"/>
  <c r="CA10" i="7"/>
  <c r="EO3" i="7"/>
  <c r="AH6" i="7"/>
  <c r="AP7" i="7"/>
  <c r="T8" i="7"/>
  <c r="ER8" i="7"/>
  <c r="CP9" i="7"/>
  <c r="AL4" i="7"/>
  <c r="CB6" i="7"/>
  <c r="BG7" i="7"/>
  <c r="AK8" i="7"/>
  <c r="O9" i="7"/>
  <c r="L4" i="7"/>
  <c r="BC6" i="7"/>
  <c r="AW7" i="7"/>
  <c r="AA8" i="7"/>
  <c r="E9" i="7"/>
  <c r="EP2" i="7"/>
  <c r="ED9" i="7"/>
  <c r="DA10" i="7"/>
  <c r="AB11" i="7"/>
  <c r="CW11" i="7"/>
  <c r="Q12" i="7"/>
  <c r="CC12" i="7"/>
  <c r="EO12" i="7"/>
  <c r="BG13" i="7"/>
  <c r="DS13" i="7"/>
  <c r="AK14" i="7"/>
  <c r="EL7" i="7"/>
  <c r="AG10" i="7"/>
  <c r="ED10" i="7"/>
  <c r="BE11" i="7"/>
  <c r="DX11" i="7"/>
  <c r="AP12" i="7"/>
  <c r="DB12" i="7"/>
  <c r="T13" i="7"/>
  <c r="CF13" i="7"/>
  <c r="ER13" i="7"/>
  <c r="BJ14" i="7"/>
  <c r="CY9" i="7"/>
  <c r="CD10" i="7"/>
  <c r="L11" i="7"/>
  <c r="CG11" i="7"/>
  <c r="EC111" i="7"/>
  <c r="BN112" i="7"/>
  <c r="BN103" i="7"/>
  <c r="DC103" i="7"/>
  <c r="EL107" i="7"/>
  <c r="AQ106" i="7"/>
  <c r="BY86" i="7"/>
  <c r="BH107" i="7"/>
  <c r="CZ105" i="7"/>
  <c r="BY108" i="7"/>
  <c r="DQ106" i="7"/>
  <c r="CZ98" i="7"/>
  <c r="CH4" i="7"/>
  <c r="BY7" i="7"/>
  <c r="AG9" i="7"/>
  <c r="ED5" i="7"/>
  <c r="EU7" i="7"/>
  <c r="EH2" i="7"/>
  <c r="ED6" i="7"/>
  <c r="CL8" i="7"/>
  <c r="DX2" i="7"/>
  <c r="DZ6" i="7"/>
  <c r="CH8" i="7"/>
  <c r="DP6" i="7"/>
  <c r="DR9" i="7"/>
  <c r="DA6" i="7"/>
  <c r="DK9" i="7"/>
  <c r="BS11" i="7"/>
  <c r="ED7" i="7"/>
  <c r="BB10" i="7"/>
  <c r="S8" i="7"/>
  <c r="BS10" i="7"/>
  <c r="D8" i="7"/>
  <c r="AM6" i="7"/>
  <c r="DQ3" i="7"/>
  <c r="EI8" i="7"/>
  <c r="S11" i="7"/>
  <c r="EG12" i="7"/>
  <c r="N7" i="7"/>
  <c r="DP11" i="7"/>
  <c r="BX13" i="7"/>
  <c r="BN10" i="7"/>
  <c r="DQ11" i="7"/>
  <c r="AI12" i="7"/>
  <c r="CU12" i="7"/>
  <c r="M13" i="7"/>
  <c r="BY13" i="7"/>
  <c r="EK13" i="7"/>
  <c r="BC14" i="7"/>
  <c r="CA9" i="7"/>
  <c r="BO10" i="7"/>
  <c r="D11" i="7"/>
  <c r="BY11" i="7"/>
  <c r="EP11" i="7"/>
  <c r="BH12" i="7"/>
  <c r="DT12" i="7"/>
  <c r="AL13" i="7"/>
  <c r="CX13" i="7"/>
  <c r="P14" i="7"/>
  <c r="AT4" i="7"/>
  <c r="EL9" i="7"/>
  <c r="DF10" i="7"/>
  <c r="AG11" i="7"/>
  <c r="DB11" i="7"/>
  <c r="U12" i="7"/>
  <c r="CG12" i="7"/>
  <c r="ES12" i="7"/>
  <c r="BK13" i="7"/>
  <c r="DW13" i="7"/>
  <c r="AO14" i="7"/>
  <c r="DF7" i="7"/>
  <c r="AA10" i="7"/>
  <c r="EA10" i="7"/>
  <c r="BB11" i="7"/>
  <c r="DV11" i="7"/>
  <c r="AN12" i="7"/>
  <c r="CZ12" i="7"/>
  <c r="R13" i="7"/>
  <c r="CD13" i="7"/>
  <c r="EP13" i="7"/>
  <c r="BF10" i="7"/>
  <c r="BC12" i="7"/>
  <c r="K14" i="7"/>
  <c r="DN14" i="7"/>
  <c r="AF15" i="7"/>
  <c r="CR15" i="7"/>
  <c r="J16" i="7"/>
  <c r="BV16" i="7"/>
  <c r="EH16" i="7"/>
  <c r="AZ17" i="7"/>
  <c r="DL17" i="7"/>
  <c r="F11" i="7"/>
  <c r="DV12" i="7"/>
  <c r="BN14" i="7"/>
  <c r="EE14" i="7"/>
  <c r="AW15" i="7"/>
  <c r="DI15" i="7"/>
  <c r="AA16" i="7"/>
  <c r="CM16" i="7"/>
  <c r="E17" i="7"/>
  <c r="BQ17" i="7"/>
  <c r="EC17" i="7"/>
  <c r="CC11" i="7"/>
  <c r="AO13" i="7"/>
  <c r="CJ14" i="7"/>
  <c r="EV14" i="7"/>
  <c r="BN15" i="7"/>
  <c r="DZ15" i="7"/>
  <c r="AR16" i="7"/>
  <c r="DD16" i="7"/>
  <c r="V17" i="7"/>
  <c r="CH17" i="7"/>
  <c r="Y10" i="7"/>
  <c r="AL12" i="7"/>
  <c r="EN13" i="7"/>
  <c r="DI14" i="7"/>
  <c r="AA15" i="7"/>
  <c r="CM15" i="7"/>
  <c r="E16" i="7"/>
  <c r="BQ16" i="7"/>
  <c r="EC16" i="7"/>
  <c r="AU17" i="7"/>
  <c r="DG17" i="7"/>
  <c r="Q11" i="7"/>
  <c r="EE12" i="7"/>
  <c r="BV14" i="7"/>
  <c r="EH14" i="7"/>
  <c r="AZ15" i="7"/>
  <c r="DL15" i="7"/>
  <c r="AD16" i="7"/>
  <c r="CP16" i="7"/>
  <c r="H17" i="7"/>
  <c r="CU10" i="7"/>
  <c r="BZ12" i="7"/>
  <c r="AH14" i="7"/>
  <c r="DS14" i="7"/>
  <c r="AK15" i="7"/>
  <c r="CW15" i="7"/>
  <c r="O16" i="7"/>
  <c r="CA16" i="7"/>
  <c r="EM16" i="7"/>
  <c r="BE17" i="7"/>
  <c r="BR11" i="7"/>
  <c r="AF13" i="7"/>
  <c r="CG14" i="7"/>
  <c r="ES14" i="7"/>
  <c r="BK15" i="7"/>
  <c r="DW15" i="7"/>
  <c r="AO16" i="7"/>
  <c r="DA16" i="7"/>
  <c r="S17" i="7"/>
  <c r="CH15" i="7"/>
  <c r="DH17" i="7"/>
  <c r="AJ18" i="7"/>
  <c r="CV18" i="7"/>
  <c r="N19" i="7"/>
  <c r="BZ19" i="7"/>
  <c r="EL19" i="7"/>
  <c r="BD20" i="7"/>
  <c r="DP20" i="7"/>
  <c r="AH21" i="7"/>
  <c r="CT21" i="7"/>
  <c r="CB16" i="7"/>
  <c r="EJ17" i="7"/>
  <c r="BB18" i="7"/>
  <c r="DG12" i="7"/>
  <c r="AX17" i="7"/>
  <c r="G18" i="7"/>
  <c r="BS18" i="7"/>
  <c r="DO110" i="7"/>
  <c r="EM106" i="7"/>
  <c r="DC115" i="7"/>
  <c r="AM97" i="7"/>
  <c r="CH97" i="7"/>
  <c r="BA96" i="7"/>
  <c r="EG105" i="7"/>
  <c r="DF108" i="7"/>
  <c r="D107" i="7"/>
  <c r="Q102" i="7"/>
  <c r="U108" i="7"/>
  <c r="BM106" i="7"/>
  <c r="DC92" i="7"/>
  <c r="CH5" i="7"/>
  <c r="EC7" i="7"/>
  <c r="AX2" i="7"/>
  <c r="CW6" i="7"/>
  <c r="BE8" i="7"/>
  <c r="EH3" i="7"/>
  <c r="AN7" i="7"/>
  <c r="EP8" i="7"/>
  <c r="DY3" i="7"/>
  <c r="AJ7" i="7"/>
  <c r="EL8" i="7"/>
  <c r="CD7" i="7"/>
  <c r="AB10" i="7"/>
  <c r="BO7" i="7"/>
  <c r="U10" i="7"/>
  <c r="DR2" i="7"/>
  <c r="CR8" i="7"/>
  <c r="CL3" i="7"/>
  <c r="EA8" i="7"/>
  <c r="AO3" i="7"/>
  <c r="DL8" i="7"/>
  <c r="AA7" i="7"/>
  <c r="DN5" i="7"/>
  <c r="CC9" i="7"/>
  <c r="CE11" i="7"/>
  <c r="AQ13" i="7"/>
  <c r="EU9" i="7"/>
  <c r="Z12" i="7"/>
  <c r="EB13" i="7"/>
  <c r="EN10" i="7"/>
  <c r="DY11" i="7"/>
  <c r="AQ12" i="7"/>
  <c r="DC12" i="7"/>
  <c r="U13" i="7"/>
  <c r="CG13" i="7"/>
  <c r="ES13" i="7"/>
  <c r="BK14" i="7"/>
  <c r="CZ9" i="7"/>
  <c r="CE10" i="7"/>
  <c r="M11" i="7"/>
  <c r="CH11" i="7"/>
  <c r="D12" i="7"/>
  <c r="BP12" i="7"/>
  <c r="EB12" i="7"/>
  <c r="AT13" i="7"/>
  <c r="DF13" i="7"/>
  <c r="X14" i="7"/>
  <c r="CF6" i="7"/>
  <c r="H10" i="7"/>
  <c r="DO10" i="7"/>
  <c r="AP11" i="7"/>
  <c r="DK11" i="7"/>
  <c r="AC12" i="7"/>
  <c r="CO12" i="7"/>
  <c r="G13" i="7"/>
  <c r="BS13" i="7"/>
  <c r="EE13" i="7"/>
  <c r="AW14" i="7"/>
  <c r="CJ8" i="7"/>
  <c r="AQ10" i="7"/>
  <c r="EJ10" i="7"/>
  <c r="BL11" i="7"/>
  <c r="ED11" i="7"/>
  <c r="AV12" i="7"/>
  <c r="DH12" i="7"/>
  <c r="Z13" i="7"/>
  <c r="CL13" i="7"/>
  <c r="D14" i="7"/>
  <c r="DH10" i="7"/>
  <c r="CI12" i="7"/>
  <c r="AP14" i="7"/>
  <c r="DV14" i="7"/>
  <c r="AN15" i="7"/>
  <c r="CZ15" i="7"/>
  <c r="R16" i="7"/>
  <c r="CD16" i="7"/>
  <c r="EP16" i="7"/>
  <c r="BH17" i="7"/>
  <c r="DT17" i="7"/>
  <c r="AQ11" i="7"/>
  <c r="H13" i="7"/>
  <c r="CA14" i="7"/>
  <c r="EM14" i="7"/>
  <c r="BE15" i="7"/>
  <c r="DQ15" i="7"/>
  <c r="AI16" i="7"/>
  <c r="CU16" i="7"/>
  <c r="M17" i="7"/>
  <c r="BY17" i="7"/>
  <c r="DL6" i="7"/>
  <c r="DM11" i="7"/>
  <c r="BU13" i="7"/>
  <c r="CR14" i="7"/>
  <c r="J15" i="7"/>
  <c r="BV15" i="7"/>
  <c r="EH15" i="7"/>
  <c r="AZ16" i="7"/>
  <c r="DL16" i="7"/>
  <c r="AD17" i="7"/>
  <c r="CP17" i="7"/>
  <c r="CJ10" i="7"/>
  <c r="BR12" i="7"/>
  <c r="Z14" i="7"/>
  <c r="DQ14" i="7"/>
  <c r="AI15" i="7"/>
  <c r="CU15" i="7"/>
  <c r="M16" i="7"/>
  <c r="BY16" i="7"/>
  <c r="EK16" i="7"/>
  <c r="BC17" i="7"/>
  <c r="DO17" i="7"/>
  <c r="BA11" i="7"/>
  <c r="Q13" i="7"/>
  <c r="CD14" i="7"/>
  <c r="EP14" i="7"/>
  <c r="BH15" i="7"/>
  <c r="DT15" i="7"/>
  <c r="AL16" i="7"/>
  <c r="CX16" i="7"/>
  <c r="P17" i="7"/>
  <c r="EH10" i="7"/>
  <c r="DF12" i="7"/>
  <c r="AZ14" i="7"/>
  <c r="EA14" i="7"/>
  <c r="AS15" i="7"/>
  <c r="DE15" i="7"/>
  <c r="W16" i="7"/>
  <c r="CI16" i="7"/>
  <c r="EU16" i="7"/>
  <c r="CM4" i="7"/>
  <c r="DC11" i="7"/>
  <c r="BL13" i="7"/>
  <c r="CO14" i="7"/>
  <c r="G15" i="7"/>
  <c r="BS15" i="7"/>
  <c r="EE15" i="7"/>
  <c r="AW16" i="7"/>
  <c r="DI16" i="7"/>
  <c r="AA17" i="7"/>
  <c r="ET15" i="7"/>
  <c r="DX17" i="7"/>
  <c r="AR18" i="7"/>
  <c r="DD18" i="7"/>
  <c r="V19" i="7"/>
  <c r="CH19" i="7"/>
  <c r="ET19" i="7"/>
  <c r="BL20" i="7"/>
  <c r="DX20" i="7"/>
  <c r="AP21" i="7"/>
  <c r="CX10" i="7"/>
  <c r="EN16" i="7"/>
  <c r="ER17" i="7"/>
  <c r="BJ18" i="7"/>
  <c r="BF14" i="7"/>
  <c r="BO17" i="7"/>
  <c r="O18" i="7"/>
  <c r="CA18" i="7"/>
  <c r="DW106" i="7"/>
  <c r="EE111" i="7"/>
  <c r="AQ115" i="7"/>
  <c r="EO98" i="7"/>
  <c r="AP99" i="7"/>
  <c r="R83" i="7"/>
  <c r="DY105" i="7"/>
  <c r="CX108" i="7"/>
  <c r="EP106" i="7"/>
  <c r="AM101" i="7"/>
  <c r="M108" i="7"/>
  <c r="BE106" i="7"/>
  <c r="EU90" i="7"/>
  <c r="DE5" i="7"/>
  <c r="EK7" i="7"/>
  <c r="BT2" i="7"/>
  <c r="DE6" i="7"/>
  <c r="BM8" i="7"/>
  <c r="K4" i="7"/>
  <c r="AV7" i="7"/>
  <c r="D9" i="7"/>
  <c r="ER3" i="7"/>
  <c r="AR7" i="7"/>
  <c r="ET8" i="7"/>
  <c r="CT7" i="7"/>
  <c r="AJ10" i="7"/>
  <c r="CE7" i="7"/>
  <c r="AC10" i="7"/>
  <c r="Z3" i="7"/>
  <c r="DH8" i="7"/>
  <c r="EJ3" i="7"/>
  <c r="EQ8" i="7"/>
  <c r="CV3" i="7"/>
  <c r="EB8" i="7"/>
  <c r="AQ7" i="7"/>
  <c r="J6" i="7"/>
  <c r="CK9" i="7"/>
  <c r="CN11" i="7"/>
  <c r="AY13" i="7"/>
  <c r="Q10" i="7"/>
  <c r="AH12" i="7"/>
  <c r="EJ13" i="7"/>
  <c r="C11" i="7"/>
  <c r="EG11" i="7"/>
  <c r="AY12" i="7"/>
  <c r="DK12" i="7"/>
  <c r="AC13" i="7"/>
  <c r="CO13" i="7"/>
  <c r="G14" i="7"/>
  <c r="BS14" i="7"/>
  <c r="DQ9" i="7"/>
  <c r="CS10" i="7"/>
  <c r="V11" i="7"/>
  <c r="CR11" i="7"/>
  <c r="L12" i="7"/>
  <c r="BX12" i="7"/>
  <c r="EJ12" i="7"/>
  <c r="BB13" i="7"/>
  <c r="DN13" i="7"/>
  <c r="AF14" i="7"/>
  <c r="BJ7" i="7"/>
  <c r="X10" i="7"/>
  <c r="DX10" i="7"/>
  <c r="AY11" i="7"/>
  <c r="DS11" i="7"/>
  <c r="AK12" i="7"/>
  <c r="CW12" i="7"/>
  <c r="O13" i="7"/>
  <c r="CA13" i="7"/>
  <c r="EM13" i="7"/>
  <c r="BE14" i="7"/>
  <c r="BK9" i="7"/>
  <c r="BG10" i="7"/>
  <c r="ET10" i="7"/>
  <c r="BU11" i="7"/>
  <c r="EL11" i="7"/>
  <c r="BD12" i="7"/>
  <c r="DP12" i="7"/>
  <c r="AH13" i="7"/>
  <c r="CT13" i="7"/>
  <c r="L14" i="7"/>
  <c r="ER10" i="7"/>
  <c r="DO12" i="7"/>
  <c r="BH14" i="7"/>
  <c r="ED14" i="7"/>
  <c r="AV15" i="7"/>
  <c r="DH15" i="7"/>
  <c r="Z16" i="7"/>
  <c r="CL16" i="7"/>
  <c r="D17" i="7"/>
  <c r="BP17" i="7"/>
  <c r="EB17" i="7"/>
  <c r="CB11" i="7"/>
  <c r="AN13" i="7"/>
  <c r="CI14" i="7"/>
  <c r="EU14" i="7"/>
  <c r="BM15" i="7"/>
  <c r="DY15" i="7"/>
  <c r="AQ16" i="7"/>
  <c r="DC16" i="7"/>
  <c r="U17" i="7"/>
  <c r="CG17" i="7"/>
  <c r="CJ9" i="7"/>
  <c r="ES11" i="7"/>
  <c r="DA13" i="7"/>
  <c r="CZ14" i="7"/>
  <c r="R15" i="7"/>
  <c r="CD15" i="7"/>
  <c r="EP15" i="7"/>
  <c r="BH16" i="7"/>
  <c r="DT16" i="7"/>
  <c r="AL17" i="7"/>
  <c r="CX17" i="7"/>
  <c r="DY10" i="7"/>
  <c r="CX12" i="7"/>
  <c r="AX14" i="7"/>
  <c r="DY14" i="7"/>
  <c r="AQ15" i="7"/>
  <c r="DC15" i="7"/>
  <c r="U16" i="7"/>
  <c r="CG16" i="7"/>
  <c r="ES16" i="7"/>
  <c r="BK17" i="7"/>
  <c r="DW17" i="7"/>
  <c r="CL11" i="7"/>
  <c r="AW13" i="7"/>
  <c r="CL14" i="7"/>
  <c r="D15" i="7"/>
  <c r="BP15" i="7"/>
  <c r="EB15" i="7"/>
  <c r="AT16" i="7"/>
  <c r="DF16" i="7"/>
  <c r="X17" i="7"/>
  <c r="Y11" i="7"/>
  <c r="EL12" i="7"/>
  <c r="BW14" i="7"/>
  <c r="EI14" i="7"/>
  <c r="BA15" i="7"/>
  <c r="DM15" i="7"/>
  <c r="AE16" i="7"/>
  <c r="CQ16" i="7"/>
  <c r="I17" i="7"/>
  <c r="AH9" i="7"/>
  <c r="EJ11" i="7"/>
  <c r="CR13" i="7"/>
  <c r="CW14" i="7"/>
  <c r="O15" i="7"/>
  <c r="CA15" i="7"/>
  <c r="EM15" i="7"/>
  <c r="BE16" i="7"/>
  <c r="DQ16" i="7"/>
  <c r="AI17" i="7"/>
  <c r="BL16" i="7"/>
  <c r="EH17" i="7"/>
  <c r="AZ18" i="7"/>
  <c r="DL18" i="7"/>
  <c r="AD19" i="7"/>
  <c r="CP19" i="7"/>
  <c r="H20" i="7"/>
  <c r="BT20" i="7"/>
  <c r="EF20" i="7"/>
  <c r="AX21" i="7"/>
  <c r="CA12" i="7"/>
  <c r="AV17" i="7"/>
  <c r="F18" i="7"/>
  <c r="BR18" i="7"/>
  <c r="EB14" i="7"/>
  <c r="CE17" i="7"/>
  <c r="W18" i="7"/>
  <c r="CI18" i="7"/>
  <c r="ET77" i="7"/>
  <c r="AB112" i="7"/>
  <c r="EB116" i="7"/>
  <c r="DT92" i="7"/>
  <c r="O93" i="7"/>
  <c r="AC107" i="7"/>
  <c r="EB104" i="7"/>
  <c r="AT108" i="7"/>
  <c r="CL106" i="7"/>
  <c r="AQ95" i="7"/>
  <c r="DC107" i="7"/>
  <c r="EU105" i="7"/>
  <c r="R2" i="7"/>
  <c r="CM6" i="7"/>
  <c r="AU8" i="7"/>
  <c r="BU3" i="7"/>
  <c r="O7" i="7"/>
  <c r="DQ8" i="7"/>
  <c r="H5" i="7"/>
  <c r="CZ7" i="7"/>
  <c r="BH9" i="7"/>
  <c r="ER4" i="7"/>
  <c r="CV7" i="7"/>
  <c r="BD9" i="7"/>
  <c r="BH8" i="7"/>
  <c r="CN10" i="7"/>
  <c r="AS8" i="7"/>
  <c r="CG10" i="7"/>
  <c r="AT5" i="7"/>
  <c r="BP9" i="7"/>
  <c r="EK5" i="7"/>
  <c r="CG9" i="7"/>
  <c r="CW5" i="7"/>
  <c r="BZ9" i="7"/>
  <c r="E8" i="7"/>
  <c r="Q7" i="7"/>
  <c r="CR9" i="7"/>
  <c r="EU11" i="7"/>
  <c r="DC13" i="7"/>
  <c r="DK10" i="7"/>
  <c r="CL12" i="7"/>
  <c r="AT14" i="7"/>
  <c r="AN11" i="7"/>
  <c r="EO11" i="7"/>
  <c r="BG12" i="7"/>
  <c r="DS12" i="7"/>
  <c r="AK13" i="7"/>
  <c r="CW13" i="7"/>
  <c r="O14" i="7"/>
  <c r="D4" i="7"/>
  <c r="EG9" i="7"/>
  <c r="DD10" i="7"/>
  <c r="AF11" i="7"/>
  <c r="DA11" i="7"/>
  <c r="T12" i="7"/>
  <c r="CF12" i="7"/>
  <c r="ER12" i="7"/>
  <c r="BJ13" i="7"/>
  <c r="DV13" i="7"/>
  <c r="AN14" i="7"/>
  <c r="AN8" i="7"/>
  <c r="AN10" i="7"/>
  <c r="EG10" i="7"/>
  <c r="BH11" i="7"/>
  <c r="EA11" i="7"/>
  <c r="AS12" i="7"/>
  <c r="DE12" i="7"/>
  <c r="W13" i="7"/>
  <c r="CI13" i="7"/>
  <c r="EU13" i="7"/>
  <c r="BM14" i="7"/>
  <c r="CQ9" i="7"/>
  <c r="BW10" i="7"/>
  <c r="I11" i="7"/>
  <c r="CD11" i="7"/>
  <c r="ET11" i="7"/>
  <c r="BL12" i="7"/>
  <c r="DX12" i="7"/>
  <c r="AP13" i="7"/>
  <c r="DB13" i="7"/>
  <c r="T14" i="7"/>
  <c r="AI11" i="7"/>
  <c r="EU12" i="7"/>
  <c r="BZ14" i="7"/>
  <c r="EL14" i="7"/>
  <c r="BD15" i="7"/>
  <c r="DP15" i="7"/>
  <c r="AH16" i="7"/>
  <c r="CT16" i="7"/>
  <c r="L17" i="7"/>
  <c r="BX17" i="7"/>
  <c r="CV6" i="7"/>
  <c r="DL11" i="7"/>
  <c r="BT13" i="7"/>
  <c r="CQ14" i="7"/>
  <c r="I15" i="7"/>
  <c r="BU15" i="7"/>
  <c r="EG15" i="7"/>
  <c r="AY16" i="7"/>
  <c r="DK16" i="7"/>
  <c r="AC17" i="7"/>
  <c r="CO17" i="7"/>
  <c r="J10" i="7"/>
  <c r="AE12" i="7"/>
  <c r="EG13" i="7"/>
  <c r="DH14" i="7"/>
  <c r="Z15" i="7"/>
  <c r="CL15" i="7"/>
  <c r="D16" i="7"/>
  <c r="BP16" i="7"/>
  <c r="EB16" i="7"/>
  <c r="AT17" i="7"/>
  <c r="DF17" i="7"/>
  <c r="P11" i="7"/>
  <c r="ED12" i="7"/>
  <c r="BP14" i="7"/>
  <c r="EG14" i="7"/>
  <c r="AY15" i="7"/>
  <c r="DK15" i="7"/>
  <c r="AC16" i="7"/>
  <c r="CO16" i="7"/>
  <c r="G17" i="7"/>
  <c r="BS17" i="7"/>
  <c r="CP7" i="7"/>
  <c r="DU11" i="7"/>
  <c r="CC13" i="7"/>
  <c r="CT14" i="7"/>
  <c r="L15" i="7"/>
  <c r="BX15" i="7"/>
  <c r="EJ15" i="7"/>
  <c r="BB16" i="7"/>
  <c r="DN16" i="7"/>
  <c r="AF17" i="7"/>
  <c r="BI11" i="7"/>
  <c r="X13" i="7"/>
  <c r="CE14" i="7"/>
  <c r="EQ14" i="7"/>
  <c r="BI15" i="7"/>
  <c r="DU15" i="7"/>
  <c r="AM16" i="7"/>
  <c r="CY16" i="7"/>
  <c r="Q17" i="7"/>
  <c r="EM9" i="7"/>
  <c r="V12" i="7"/>
  <c r="DX13" i="7"/>
  <c r="DE14" i="7"/>
  <c r="W15" i="7"/>
  <c r="CI15" i="7"/>
  <c r="EU15" i="7"/>
  <c r="BM16" i="7"/>
  <c r="DY16" i="7"/>
  <c r="DX9" i="7"/>
  <c r="DX16" i="7"/>
  <c r="EP17" i="7"/>
  <c r="BH18" i="7"/>
  <c r="DT18" i="7"/>
  <c r="AL19" i="7"/>
  <c r="CX19" i="7"/>
  <c r="P20" i="7"/>
  <c r="CB20" i="7"/>
  <c r="EN20" i="7"/>
  <c r="BF21" i="7"/>
  <c r="AI14" i="7"/>
  <c r="BN17" i="7"/>
  <c r="N18" i="7"/>
  <c r="BZ18" i="7"/>
  <c r="AT15" i="7"/>
  <c r="CU17" i="7"/>
  <c r="AE18" i="7"/>
  <c r="CQ18" i="7"/>
  <c r="CZ107" i="7"/>
  <c r="AD113" i="7"/>
  <c r="BP116" i="7"/>
  <c r="CB94" i="7"/>
  <c r="DQ94" i="7"/>
  <c r="U107" i="7"/>
  <c r="D104" i="7"/>
  <c r="AL108" i="7"/>
  <c r="CD106" i="7"/>
  <c r="BM94" i="7"/>
  <c r="CU107" i="7"/>
  <c r="EM105" i="7"/>
  <c r="AU2" i="7"/>
  <c r="CU6" i="7"/>
  <c r="BC8" i="7"/>
  <c r="CN3" i="7"/>
  <c r="W7" i="7"/>
  <c r="DY8" i="7"/>
  <c r="AD5" i="7"/>
  <c r="DH7" i="7"/>
  <c r="AH2" i="7"/>
  <c r="U5" i="7"/>
  <c r="DD7" i="7"/>
  <c r="AN2" i="7"/>
  <c r="BX8" i="7"/>
  <c r="CV10" i="7"/>
  <c r="BI8" i="7"/>
  <c r="CO10" i="7"/>
  <c r="CJ5" i="7"/>
  <c r="BX9" i="7"/>
  <c r="AF6" i="7"/>
  <c r="CO9" i="7"/>
  <c r="EL5" i="7"/>
  <c r="CH9" i="7"/>
  <c r="U8" i="7"/>
  <c r="AG7" i="7"/>
  <c r="DN9" i="7"/>
  <c r="I12" i="7"/>
  <c r="DK13" i="7"/>
  <c r="DT10" i="7"/>
  <c r="CT12" i="7"/>
  <c r="BB14" i="7"/>
  <c r="BF11" i="7"/>
  <c r="C12" i="7"/>
  <c r="BO12" i="7"/>
  <c r="EA12" i="7"/>
  <c r="AS13" i="7"/>
  <c r="DE13" i="7"/>
  <c r="W14" i="7"/>
  <c r="AU6" i="7"/>
  <c r="C10" i="7"/>
  <c r="DN10" i="7"/>
  <c r="AO11" i="7"/>
  <c r="DJ11" i="7"/>
  <c r="AB12" i="7"/>
  <c r="CN12" i="7"/>
  <c r="F13" i="7"/>
  <c r="BR13" i="7"/>
  <c r="ED13" i="7"/>
  <c r="AV14" i="7"/>
  <c r="R9" i="7"/>
  <c r="BD10" i="7"/>
  <c r="EP10" i="7"/>
  <c r="BQ11" i="7"/>
  <c r="EI11" i="7"/>
  <c r="BA12" i="7"/>
  <c r="DM12" i="7"/>
  <c r="AE13" i="7"/>
  <c r="CQ13" i="7"/>
  <c r="I14" i="7"/>
  <c r="BU14" i="7"/>
  <c r="DI9" i="7"/>
  <c r="CL10" i="7"/>
  <c r="R11" i="7"/>
  <c r="CM11" i="7"/>
  <c r="H12" i="7"/>
  <c r="BT12" i="7"/>
  <c r="EF12" i="7"/>
  <c r="AX13" i="7"/>
  <c r="DJ13" i="7"/>
  <c r="AB14" i="7"/>
  <c r="BT11" i="7"/>
  <c r="AG13" i="7"/>
  <c r="CH14" i="7"/>
  <c r="ET14" i="7"/>
  <c r="BL15" i="7"/>
  <c r="DX15" i="7"/>
  <c r="AP16" i="7"/>
  <c r="DB16" i="7"/>
  <c r="T17" i="7"/>
  <c r="CF17" i="7"/>
  <c r="CI9" i="7"/>
  <c r="ER11" i="7"/>
  <c r="CZ13" i="7"/>
  <c r="CY14" i="7"/>
  <c r="Q15" i="7"/>
  <c r="CC15" i="7"/>
  <c r="EO15" i="7"/>
  <c r="BG16" i="7"/>
  <c r="DS16" i="7"/>
  <c r="AK17" i="7"/>
  <c r="CW17" i="7"/>
  <c r="BV10" i="7"/>
  <c r="BK12" i="7"/>
  <c r="S14" i="7"/>
  <c r="DP14" i="7"/>
  <c r="AH15" i="7"/>
  <c r="CT15" i="7"/>
  <c r="L16" i="7"/>
  <c r="BX16" i="7"/>
  <c r="EJ16" i="7"/>
  <c r="BB17" i="7"/>
  <c r="DN17" i="7"/>
  <c r="AZ11" i="7"/>
  <c r="P13" i="7"/>
  <c r="CC14" i="7"/>
  <c r="EO14" i="7"/>
  <c r="BG15" i="7"/>
  <c r="DS15" i="7"/>
  <c r="AK16" i="7"/>
  <c r="CW16" i="7"/>
  <c r="O17" i="7"/>
  <c r="CA17" i="7"/>
  <c r="DH9" i="7"/>
  <c r="G12" i="7"/>
  <c r="DI13" i="7"/>
  <c r="DB14" i="7"/>
  <c r="T15" i="7"/>
  <c r="CF15" i="7"/>
  <c r="ER15" i="7"/>
  <c r="BJ16" i="7"/>
  <c r="DV16" i="7"/>
  <c r="AN17" i="7"/>
  <c r="CT11" i="7"/>
  <c r="BD13" i="7"/>
  <c r="CM14" i="7"/>
  <c r="E15" i="7"/>
  <c r="BQ15" i="7"/>
  <c r="EC15" i="7"/>
  <c r="AU16" i="7"/>
  <c r="DG16" i="7"/>
  <c r="Y17" i="7"/>
  <c r="BE10" i="7"/>
  <c r="BB12" i="7"/>
  <c r="J14" i="7"/>
  <c r="DM14" i="7"/>
  <c r="AE15" i="7"/>
  <c r="CQ15" i="7"/>
  <c r="I16" i="7"/>
  <c r="BU16" i="7"/>
  <c r="EG16" i="7"/>
  <c r="O12" i="7"/>
  <c r="AP17" i="7"/>
  <c r="D18" i="7"/>
  <c r="BP18" i="7"/>
  <c r="EB18" i="7"/>
  <c r="AT19" i="7"/>
  <c r="DF19" i="7"/>
  <c r="X20" i="7"/>
  <c r="CJ20" i="7"/>
  <c r="EV20" i="7"/>
  <c r="BN21" i="7"/>
  <c r="DT14" i="7"/>
  <c r="CD17" i="7"/>
  <c r="V18" i="7"/>
  <c r="CH18" i="7"/>
  <c r="DF15" i="7"/>
  <c r="DK17" i="7"/>
  <c r="AM18" i="7"/>
  <c r="CY18" i="7"/>
  <c r="DH102" i="7"/>
  <c r="BS116" i="7"/>
  <c r="AY77" i="7"/>
  <c r="BL78" i="7"/>
  <c r="AN107" i="7"/>
  <c r="DK106" i="7"/>
  <c r="H98" i="7"/>
  <c r="EB107" i="7"/>
  <c r="Z106" i="7"/>
  <c r="DX78" i="7"/>
  <c r="AQ107" i="7"/>
  <c r="CH105" i="7"/>
  <c r="AR3" i="7"/>
  <c r="E7" i="7"/>
  <c r="DG8" i="7"/>
  <c r="CN4" i="7"/>
  <c r="CA7" i="7"/>
  <c r="AI9" i="7"/>
  <c r="AE6" i="7"/>
  <c r="R8" i="7"/>
  <c r="AH3" i="7"/>
  <c r="R6" i="7"/>
  <c r="N8" i="7"/>
  <c r="CV4" i="7"/>
  <c r="AL9" i="7"/>
  <c r="BH4" i="7"/>
  <c r="W9" i="7"/>
  <c r="ES10" i="7"/>
  <c r="EJ6" i="7"/>
  <c r="EB9" i="7"/>
  <c r="Y7" i="7"/>
  <c r="ES9" i="7"/>
  <c r="J7" i="7"/>
  <c r="DA3" i="7"/>
  <c r="EC8" i="7"/>
  <c r="EO7" i="7"/>
  <c r="CB10" i="7"/>
  <c r="BM12" i="7"/>
  <c r="U14" i="7"/>
  <c r="AL11" i="7"/>
  <c r="D13" i="7"/>
  <c r="EF8" i="7"/>
  <c r="BO11" i="7"/>
  <c r="K12" i="7"/>
  <c r="BW12" i="7"/>
  <c r="EI12" i="7"/>
  <c r="BA13" i="7"/>
  <c r="DM13" i="7"/>
  <c r="AE14" i="7"/>
  <c r="AT7" i="7"/>
  <c r="S10" i="7"/>
  <c r="DW10" i="7"/>
  <c r="AX11" i="7"/>
  <c r="DR11" i="7"/>
  <c r="AJ12" i="7"/>
  <c r="CV12" i="7"/>
  <c r="N13" i="7"/>
  <c r="BZ13" i="7"/>
  <c r="EL13" i="7"/>
  <c r="BD14" i="7"/>
  <c r="CB9" i="7"/>
  <c r="BT10" i="7"/>
  <c r="E11" i="7"/>
  <c r="BZ11" i="7"/>
  <c r="EQ11" i="7"/>
  <c r="BI12" i="7"/>
  <c r="DU12" i="7"/>
  <c r="AM13" i="7"/>
  <c r="CY13" i="7"/>
  <c r="Q14" i="7"/>
  <c r="CL2" i="7"/>
  <c r="DY9" i="7"/>
  <c r="CZ10" i="7"/>
  <c r="AA11" i="7"/>
  <c r="CV11" i="7"/>
  <c r="P12" i="7"/>
  <c r="CB12" i="7"/>
  <c r="EN12" i="7"/>
  <c r="BF13" i="7"/>
  <c r="DR13" i="7"/>
  <c r="EB4" i="7"/>
  <c r="DD11" i="7"/>
  <c r="BM13" i="7"/>
  <c r="CP14" i="7"/>
  <c r="H15" i="7"/>
  <c r="BT15" i="7"/>
  <c r="EF15" i="7"/>
  <c r="AX16" i="7"/>
  <c r="DJ16" i="7"/>
  <c r="AB17" i="7"/>
  <c r="CN17" i="7"/>
  <c r="I10" i="7"/>
  <c r="AD12" i="7"/>
  <c r="EF13" i="7"/>
  <c r="DG14" i="7"/>
  <c r="Y15" i="7"/>
  <c r="CK15" i="7"/>
  <c r="C16" i="7"/>
  <c r="BO16" i="7"/>
  <c r="EA16" i="7"/>
  <c r="AS17" i="7"/>
  <c r="DE17" i="7"/>
  <c r="DQ10" i="7"/>
  <c r="CQ12" i="7"/>
  <c r="AR14" i="7"/>
  <c r="DX14" i="7"/>
  <c r="AP15" i="7"/>
  <c r="DB15" i="7"/>
  <c r="T16" i="7"/>
  <c r="CF16" i="7"/>
  <c r="ER16" i="7"/>
  <c r="BJ17" i="7"/>
  <c r="DV17" i="7"/>
  <c r="CK11" i="7"/>
  <c r="AV13" i="7"/>
  <c r="CK14" i="7"/>
  <c r="C15" i="7"/>
  <c r="BO15" i="7"/>
  <c r="EA15" i="7"/>
  <c r="AS16" i="7"/>
  <c r="DE16" i="7"/>
  <c r="W17" i="7"/>
  <c r="CI17" i="7"/>
  <c r="Z10" i="7"/>
  <c r="AM12" i="7"/>
  <c r="EO13" i="7"/>
  <c r="DJ14" i="7"/>
  <c r="AB15" i="7"/>
  <c r="CN15" i="7"/>
  <c r="F16" i="7"/>
  <c r="BR16" i="7"/>
  <c r="ED16" i="7"/>
  <c r="BD8" i="7"/>
  <c r="EB11" i="7"/>
  <c r="CJ13" i="7"/>
  <c r="CU14" i="7"/>
  <c r="M15" i="7"/>
  <c r="BY15" i="7"/>
  <c r="EK15" i="7"/>
  <c r="BC16" i="7"/>
  <c r="DO16" i="7"/>
  <c r="AG17" i="7"/>
  <c r="DG10" i="7"/>
  <c r="CH12" i="7"/>
  <c r="AJ14" i="7"/>
  <c r="DU14" i="7"/>
  <c r="AM15" i="7"/>
  <c r="CY15" i="7"/>
  <c r="Q16" i="7"/>
  <c r="CC16" i="7"/>
  <c r="EO16" i="7"/>
  <c r="DQ13" i="7"/>
  <c r="BL17" i="7"/>
  <c r="L18" i="7"/>
  <c r="BX18" i="7"/>
  <c r="EJ18" i="7"/>
  <c r="BB19" i="7"/>
  <c r="DN19" i="7"/>
  <c r="AF20" i="7"/>
  <c r="CR20" i="7"/>
  <c r="J21" i="7"/>
  <c r="BV21" i="7"/>
  <c r="AL15" i="7"/>
  <c r="CT17" i="7"/>
  <c r="AD18" i="7"/>
  <c r="CP18" i="7"/>
  <c r="X16" i="7"/>
  <c r="EA17" i="7"/>
  <c r="AU18" i="7"/>
  <c r="DG18" i="7"/>
  <c r="EU101" i="7"/>
  <c r="BP107" i="7"/>
  <c r="CD99" i="7"/>
  <c r="DH5" i="7"/>
  <c r="CD8" i="7"/>
  <c r="CZ6" i="7"/>
  <c r="BK11" i="7"/>
  <c r="BK10" i="7"/>
  <c r="DS8" i="7"/>
  <c r="DH11" i="7"/>
  <c r="AA12" i="7"/>
  <c r="EC13" i="7"/>
  <c r="EO10" i="7"/>
  <c r="DL12" i="7"/>
  <c r="BT14" i="7"/>
  <c r="CS11" i="7"/>
  <c r="BC13" i="7"/>
  <c r="K10" i="7"/>
  <c r="AF12" i="7"/>
  <c r="EH13" i="7"/>
  <c r="DF14" i="7"/>
  <c r="BN16" i="7"/>
  <c r="DP10" i="7"/>
  <c r="AO15" i="7"/>
  <c r="EQ16" i="7"/>
  <c r="I13" i="7"/>
  <c r="DR15" i="7"/>
  <c r="BZ17" i="7"/>
  <c r="DA14" i="7"/>
  <c r="BI16" i="7"/>
  <c r="DZ10" i="7"/>
  <c r="AR15" i="7"/>
  <c r="ET16" i="7"/>
  <c r="DK14" i="7"/>
  <c r="BS16" i="7"/>
  <c r="ET12" i="7"/>
  <c r="DO15" i="7"/>
  <c r="V15" i="7"/>
  <c r="F19" i="7"/>
  <c r="DH20" i="7"/>
  <c r="DZ17" i="7"/>
  <c r="ES17" i="7"/>
  <c r="I19" i="7"/>
  <c r="BU19" i="7"/>
  <c r="BB15" i="7"/>
  <c r="CZ17" i="7"/>
  <c r="AF18" i="7"/>
  <c r="CR18" i="7"/>
  <c r="J19" i="7"/>
  <c r="BV19" i="7"/>
  <c r="EH19" i="7"/>
  <c r="AZ20" i="7"/>
  <c r="DL20" i="7"/>
  <c r="AD21" i="7"/>
  <c r="CP21" i="7"/>
  <c r="BD16" i="7"/>
  <c r="EG17" i="7"/>
  <c r="AY18" i="7"/>
  <c r="DK18" i="7"/>
  <c r="AC19" i="7"/>
  <c r="CO19" i="7"/>
  <c r="G20" i="7"/>
  <c r="BJ11" i="7"/>
  <c r="AP18" i="7"/>
  <c r="AJ19" i="7"/>
  <c r="EV19" i="7"/>
  <c r="CT20" i="7"/>
  <c r="AG21" i="7"/>
  <c r="DJ21" i="7"/>
  <c r="AB22" i="7"/>
  <c r="CN22" i="7"/>
  <c r="F23" i="7"/>
  <c r="BR23" i="7"/>
  <c r="ED23" i="7"/>
  <c r="AV24" i="7"/>
  <c r="DH24" i="7"/>
  <c r="Z25" i="7"/>
  <c r="CL25" i="7"/>
  <c r="D26" i="7"/>
  <c r="BP26" i="7"/>
  <c r="EB26" i="7"/>
  <c r="AT27" i="7"/>
  <c r="DF27" i="7"/>
  <c r="X28" i="7"/>
  <c r="EV17" i="7"/>
  <c r="G19" i="7"/>
  <c r="DX19" i="7"/>
  <c r="BZ20" i="7"/>
  <c r="M21" i="7"/>
  <c r="CU21" i="7"/>
  <c r="M22" i="7"/>
  <c r="BY22" i="7"/>
  <c r="Z18" i="7"/>
  <c r="X19" i="7"/>
  <c r="EM19" i="7"/>
  <c r="CL20" i="7"/>
  <c r="I18" i="7"/>
  <c r="K19" i="7"/>
  <c r="J18" i="7"/>
  <c r="L19" i="7"/>
  <c r="EB19" i="7"/>
  <c r="CD20" i="7"/>
  <c r="Q21" i="7"/>
  <c r="CX21" i="7"/>
  <c r="P22" i="7"/>
  <c r="CB22" i="7"/>
  <c r="EN22" i="7"/>
  <c r="BF23" i="7"/>
  <c r="DR23" i="7"/>
  <c r="AJ24" i="7"/>
  <c r="CV24" i="7"/>
  <c r="N25" i="7"/>
  <c r="BZ25" i="7"/>
  <c r="EL25" i="7"/>
  <c r="BD26" i="7"/>
  <c r="DP26" i="7"/>
  <c r="AH27" i="7"/>
  <c r="CT27" i="7"/>
  <c r="L28" i="7"/>
  <c r="BV17" i="7"/>
  <c r="DQ18" i="7"/>
  <c r="CU19" i="7"/>
  <c r="AY20" i="7"/>
  <c r="EI20" i="7"/>
  <c r="BW21" i="7"/>
  <c r="EO21" i="7"/>
  <c r="BG22" i="7"/>
  <c r="DS22" i="7"/>
  <c r="AK23" i="7"/>
  <c r="CW23" i="7"/>
  <c r="O24" i="7"/>
  <c r="CA24" i="7"/>
  <c r="EM24" i="7"/>
  <c r="BE25" i="7"/>
  <c r="DQ25" i="7"/>
  <c r="AI26" i="7"/>
  <c r="ED18" i="7"/>
  <c r="DV20" i="7"/>
  <c r="EE21" i="7"/>
  <c r="DB22" i="7"/>
  <c r="BG23" i="7"/>
  <c r="K24" i="7"/>
  <c r="DJ24" i="7"/>
  <c r="BO25" i="7"/>
  <c r="R26" i="7"/>
  <c r="DI26" i="7"/>
  <c r="AV27" i="7"/>
  <c r="EC27" i="7"/>
  <c r="BI28" i="7"/>
  <c r="DU28" i="7"/>
  <c r="AM29" i="7"/>
  <c r="CY29" i="7"/>
  <c r="Q30" i="7"/>
  <c r="CC30" i="7"/>
  <c r="EO30" i="7"/>
  <c r="BG31" i="7"/>
  <c r="DS31" i="7"/>
  <c r="AK32" i="7"/>
  <c r="CW32" i="7"/>
  <c r="EA19" i="7"/>
  <c r="AO21" i="7"/>
  <c r="AH22" i="7"/>
  <c r="EP22" i="7"/>
  <c r="CU23" i="7"/>
  <c r="AY24" i="7"/>
  <c r="D25" i="7"/>
  <c r="DC25" i="7"/>
  <c r="BF26" i="7"/>
  <c r="EP26" i="7"/>
  <c r="CC27" i="7"/>
  <c r="EH107" i="7"/>
  <c r="DV106" i="7"/>
  <c r="R106" i="7"/>
  <c r="BN3" i="7"/>
  <c r="CI7" i="7"/>
  <c r="BE3" i="7"/>
  <c r="BB9" i="7"/>
  <c r="F7" i="7"/>
  <c r="Z7" i="7"/>
  <c r="CM10" i="7"/>
  <c r="L13" i="7"/>
  <c r="CE12" i="7"/>
  <c r="AM14" i="7"/>
  <c r="BG11" i="7"/>
  <c r="V13" i="7"/>
  <c r="DA9" i="7"/>
  <c r="E12" i="7"/>
  <c r="DG13" i="7"/>
  <c r="DI10" i="7"/>
  <c r="CJ12" i="7"/>
  <c r="AX9" i="7"/>
  <c r="P15" i="7"/>
  <c r="DR16" i="7"/>
  <c r="BJ12" i="7"/>
  <c r="CS15" i="7"/>
  <c r="BA17" i="7"/>
  <c r="BO14" i="7"/>
  <c r="AB16" i="7"/>
  <c r="BZ7" i="7"/>
  <c r="K15" i="7"/>
  <c r="DM16" i="7"/>
  <c r="BS12" i="7"/>
  <c r="CV15" i="7"/>
  <c r="DW9" i="7"/>
  <c r="U15" i="7"/>
  <c r="DW16" i="7"/>
  <c r="BG14" i="7"/>
  <c r="Y16" i="7"/>
  <c r="CB17" i="7"/>
  <c r="BJ19" i="7"/>
  <c r="R21" i="7"/>
  <c r="AL18" i="7"/>
  <c r="BC18" i="7"/>
  <c r="Q19" i="7"/>
  <c r="CC19" i="7"/>
  <c r="DN15" i="7"/>
  <c r="DP17" i="7"/>
  <c r="AN18" i="7"/>
  <c r="CZ18" i="7"/>
  <c r="R19" i="7"/>
  <c r="CD19" i="7"/>
  <c r="EP19" i="7"/>
  <c r="BH20" i="7"/>
  <c r="DT20" i="7"/>
  <c r="AL21" i="7"/>
  <c r="BT8" i="7"/>
  <c r="DP16" i="7"/>
  <c r="EO17" i="7"/>
  <c r="BG18" i="7"/>
  <c r="DS18" i="7"/>
  <c r="AK19" i="7"/>
  <c r="CW19" i="7"/>
  <c r="O20" i="7"/>
  <c r="DL14" i="7"/>
  <c r="BM18" i="7"/>
  <c r="AZ19" i="7"/>
  <c r="N20" i="7"/>
  <c r="DE20" i="7"/>
  <c r="AR21" i="7"/>
  <c r="DR21" i="7"/>
  <c r="AJ22" i="7"/>
  <c r="CV22" i="7"/>
  <c r="N23" i="7"/>
  <c r="BZ23" i="7"/>
  <c r="EL23" i="7"/>
  <c r="BD24" i="7"/>
  <c r="DP24" i="7"/>
  <c r="AH25" i="7"/>
  <c r="CT25" i="7"/>
  <c r="L26" i="7"/>
  <c r="BX26" i="7"/>
  <c r="EJ26" i="7"/>
  <c r="BB27" i="7"/>
  <c r="DN27" i="7"/>
  <c r="AF28" i="7"/>
  <c r="Y18" i="7"/>
  <c r="W19" i="7"/>
  <c r="EJ19" i="7"/>
  <c r="CK20" i="7"/>
  <c r="X21" i="7"/>
  <c r="DC21" i="7"/>
  <c r="U22" i="7"/>
  <c r="AU12" i="7"/>
  <c r="AW18" i="7"/>
  <c r="AN19" i="7"/>
  <c r="E20" i="7"/>
  <c r="CW20" i="7"/>
  <c r="AC18" i="7"/>
  <c r="AA19" i="7"/>
  <c r="AG18" i="7"/>
  <c r="AB19" i="7"/>
  <c r="EO19" i="7"/>
  <c r="CO20" i="7"/>
  <c r="AB21" i="7"/>
  <c r="DF21" i="7"/>
  <c r="X22" i="7"/>
  <c r="CJ22" i="7"/>
  <c r="EV22" i="7"/>
  <c r="BN23" i="7"/>
  <c r="DZ23" i="7"/>
  <c r="AR24" i="7"/>
  <c r="DD24" i="7"/>
  <c r="V25" i="7"/>
  <c r="CH25" i="7"/>
  <c r="ET25" i="7"/>
  <c r="BL26" i="7"/>
  <c r="DX26" i="7"/>
  <c r="AP27" i="7"/>
  <c r="DB27" i="7"/>
  <c r="T28" i="7"/>
  <c r="DQ17" i="7"/>
  <c r="EG18" i="7"/>
  <c r="DH19" i="7"/>
  <c r="BM20" i="7"/>
  <c r="ET20" i="7"/>
  <c r="CG21" i="7"/>
  <c r="C22" i="7"/>
  <c r="BO22" i="7"/>
  <c r="EA22" i="7"/>
  <c r="AS23" i="7"/>
  <c r="DE23" i="7"/>
  <c r="W24" i="7"/>
  <c r="CI24" i="7"/>
  <c r="EU24" i="7"/>
  <c r="BM25" i="7"/>
  <c r="DY25" i="7"/>
  <c r="AQ26" i="7"/>
  <c r="AU19" i="7"/>
  <c r="EQ20" i="7"/>
  <c r="EU21" i="7"/>
  <c r="DO22" i="7"/>
  <c r="BT23" i="7"/>
  <c r="Y24" i="7"/>
  <c r="DV24" i="7"/>
  <c r="CA25" i="7"/>
  <c r="AE26" i="7"/>
  <c r="DS26" i="7"/>
  <c r="BG27" i="7"/>
  <c r="EN27" i="7"/>
  <c r="BQ28" i="7"/>
  <c r="EC28" i="7"/>
  <c r="AU29" i="7"/>
  <c r="DG29" i="7"/>
  <c r="Y30" i="7"/>
  <c r="CK30" i="7"/>
  <c r="C31" i="7"/>
  <c r="BO31" i="7"/>
  <c r="EA31" i="7"/>
  <c r="AS32" i="7"/>
  <c r="DE32" i="7"/>
  <c r="K20" i="7"/>
  <c r="BK21" i="7"/>
  <c r="AX22" i="7"/>
  <c r="I23" i="7"/>
  <c r="DH23" i="7"/>
  <c r="BM24" i="7"/>
  <c r="P25" i="7"/>
  <c r="DO25" i="7"/>
  <c r="BS26" i="7"/>
  <c r="G27" i="7"/>
  <c r="CN27" i="7"/>
  <c r="BE107" i="7"/>
  <c r="BD108" i="7"/>
  <c r="DH105" i="7"/>
  <c r="BO4" i="7"/>
  <c r="EM7" i="7"/>
  <c r="DB2" i="7"/>
  <c r="DJ9" i="7"/>
  <c r="DN7" i="7"/>
  <c r="EH7" i="7"/>
  <c r="J11" i="7"/>
  <c r="BP13" i="7"/>
  <c r="CM12" i="7"/>
  <c r="AU14" i="7"/>
  <c r="BP11" i="7"/>
  <c r="AD13" i="7"/>
  <c r="DV9" i="7"/>
  <c r="M12" i="7"/>
  <c r="DO13" i="7"/>
  <c r="DR10" i="7"/>
  <c r="CR12" i="7"/>
  <c r="EN9" i="7"/>
  <c r="X15" i="7"/>
  <c r="DZ16" i="7"/>
  <c r="CP12" i="7"/>
  <c r="DA15" i="7"/>
  <c r="BI17" i="7"/>
  <c r="CB14" i="7"/>
  <c r="AJ16" i="7"/>
  <c r="DG9" i="7"/>
  <c r="S15" i="7"/>
  <c r="DU16" i="7"/>
  <c r="CY12" i="7"/>
  <c r="DD15" i="7"/>
  <c r="AO10" i="7"/>
  <c r="AC15" i="7"/>
  <c r="EE16" i="7"/>
  <c r="BY14" i="7"/>
  <c r="AG16" i="7"/>
  <c r="CR17" i="7"/>
  <c r="BR19" i="7"/>
  <c r="Z21" i="7"/>
  <c r="AT18" i="7"/>
  <c r="BK18" i="7"/>
  <c r="Y19" i="7"/>
  <c r="CK19" i="7"/>
  <c r="AF16" i="7"/>
  <c r="ED17" i="7"/>
  <c r="AV18" i="7"/>
  <c r="DH18" i="7"/>
  <c r="Z19" i="7"/>
  <c r="CL19" i="7"/>
  <c r="D20" i="7"/>
  <c r="BP20" i="7"/>
  <c r="EB20" i="7"/>
  <c r="AT21" i="7"/>
  <c r="EC11" i="7"/>
  <c r="AH17" i="7"/>
  <c r="C18" i="7"/>
  <c r="BO18" i="7"/>
  <c r="EA18" i="7"/>
  <c r="AS19" i="7"/>
  <c r="DE19" i="7"/>
  <c r="W20" i="7"/>
  <c r="ED15" i="7"/>
  <c r="CG18" i="7"/>
  <c r="BP19" i="7"/>
  <c r="AA20" i="7"/>
  <c r="DO20" i="7"/>
  <c r="BC21" i="7"/>
  <c r="DZ21" i="7"/>
  <c r="AR22" i="7"/>
  <c r="DD22" i="7"/>
  <c r="V23" i="7"/>
  <c r="CH23" i="7"/>
  <c r="ET23" i="7"/>
  <c r="BL24" i="7"/>
  <c r="DX24" i="7"/>
  <c r="AP25" i="7"/>
  <c r="DB25" i="7"/>
  <c r="T26" i="7"/>
  <c r="CF26" i="7"/>
  <c r="ER26" i="7"/>
  <c r="BJ27" i="7"/>
  <c r="DV27" i="7"/>
  <c r="CU11" i="7"/>
  <c r="AS18" i="7"/>
  <c r="AM19" i="7"/>
  <c r="C20" i="7"/>
  <c r="CU20" i="7"/>
  <c r="AI21" i="7"/>
  <c r="DK21" i="7"/>
  <c r="AC22" i="7"/>
  <c r="F15" i="7"/>
  <c r="BQ18" i="7"/>
  <c r="BD19" i="7"/>
  <c r="R20" i="7"/>
  <c r="Y13" i="7"/>
  <c r="AX18" i="7"/>
  <c r="BE13" i="7"/>
  <c r="BA18" i="7"/>
  <c r="AR19" i="7"/>
  <c r="I20" i="7"/>
  <c r="CY20" i="7"/>
  <c r="AM21" i="7"/>
  <c r="DN21" i="7"/>
  <c r="AF22" i="7"/>
  <c r="CR22" i="7"/>
  <c r="J23" i="7"/>
  <c r="BV23" i="7"/>
  <c r="EH23" i="7"/>
  <c r="AZ24" i="7"/>
  <c r="DL24" i="7"/>
  <c r="AD25" i="7"/>
  <c r="CP25" i="7"/>
  <c r="H26" i="7"/>
  <c r="BT26" i="7"/>
  <c r="EF26" i="7"/>
  <c r="AX27" i="7"/>
  <c r="DJ27" i="7"/>
  <c r="AB28" i="7"/>
  <c r="EQ17" i="7"/>
  <c r="C19" i="7"/>
  <c r="DT19" i="7"/>
  <c r="BW20" i="7"/>
  <c r="K21" i="7"/>
  <c r="CR21" i="7"/>
  <c r="K22" i="7"/>
  <c r="BW22" i="7"/>
  <c r="EI22" i="7"/>
  <c r="BA23" i="7"/>
  <c r="DM23" i="7"/>
  <c r="AE24" i="7"/>
  <c r="CQ24" i="7"/>
  <c r="I25" i="7"/>
  <c r="BU25" i="7"/>
  <c r="EG25" i="7"/>
  <c r="AY26" i="7"/>
  <c r="CM19" i="7"/>
  <c r="S21" i="7"/>
  <c r="Q22" i="7"/>
  <c r="EC22" i="7"/>
  <c r="CF23" i="7"/>
  <c r="AK24" i="7"/>
  <c r="EI24" i="7"/>
  <c r="CN25" i="7"/>
  <c r="AS26" i="7"/>
  <c r="ED26" i="7"/>
  <c r="BQ27" i="7"/>
  <c r="E28" i="7"/>
  <c r="BY28" i="7"/>
  <c r="EK28" i="7"/>
  <c r="BC29" i="7"/>
  <c r="DO29" i="7"/>
  <c r="AG30" i="7"/>
  <c r="CS30" i="7"/>
  <c r="K31" i="7"/>
  <c r="BW31" i="7"/>
  <c r="EI31" i="7"/>
  <c r="BA32" i="7"/>
  <c r="BR15" i="7"/>
  <c r="AW20" i="7"/>
  <c r="CF21" i="7"/>
  <c r="BN22" i="7"/>
  <c r="W23" i="7"/>
  <c r="DT23" i="7"/>
  <c r="BY24" i="7"/>
  <c r="AC25" i="7"/>
  <c r="EB25" i="7"/>
  <c r="AS115" i="7"/>
  <c r="DC106" i="7"/>
  <c r="EV70" i="7"/>
  <c r="M7" i="7"/>
  <c r="AQ9" i="7"/>
  <c r="AN6" i="7"/>
  <c r="CX4" i="7"/>
  <c r="EJ9" i="7"/>
  <c r="EP3" i="7"/>
  <c r="BU12" i="7"/>
  <c r="BT9" i="7"/>
  <c r="EQ12" i="7"/>
  <c r="X8" i="7"/>
  <c r="DZ11" i="7"/>
  <c r="CH13" i="7"/>
  <c r="CH10" i="7"/>
  <c r="BQ12" i="7"/>
  <c r="Y14" i="7"/>
  <c r="AJ11" i="7"/>
  <c r="EV12" i="7"/>
  <c r="EK11" i="7"/>
  <c r="CB15" i="7"/>
  <c r="AJ17" i="7"/>
  <c r="R14" i="7"/>
  <c r="K16" i="7"/>
  <c r="DM17" i="7"/>
  <c r="EF14" i="7"/>
  <c r="CN16" i="7"/>
  <c r="DT11" i="7"/>
  <c r="BW15" i="7"/>
  <c r="AE17" i="7"/>
  <c r="AA14" i="7"/>
  <c r="N16" i="7"/>
  <c r="N12" i="7"/>
  <c r="CG15" i="7"/>
  <c r="AO17" i="7"/>
  <c r="EC14" i="7"/>
  <c r="CK16" i="7"/>
  <c r="T18" i="7"/>
  <c r="DV19" i="7"/>
  <c r="CD21" i="7"/>
  <c r="CX18" i="7"/>
  <c r="DO18" i="7"/>
  <c r="AG19" i="7"/>
  <c r="CS19" i="7"/>
  <c r="CR16" i="7"/>
  <c r="EL17" i="7"/>
  <c r="BD18" i="7"/>
  <c r="DP18" i="7"/>
  <c r="AH19" i="7"/>
  <c r="CT19" i="7"/>
  <c r="L20" i="7"/>
  <c r="BX20" i="7"/>
  <c r="EJ20" i="7"/>
  <c r="BB21" i="7"/>
  <c r="CK13" i="7"/>
  <c r="BG17" i="7"/>
  <c r="K18" i="7"/>
  <c r="BW18" i="7"/>
  <c r="EI18" i="7"/>
  <c r="BA19" i="7"/>
  <c r="DM19" i="7"/>
  <c r="AE20" i="7"/>
  <c r="R17" i="7"/>
  <c r="DB18" i="7"/>
  <c r="CF19" i="7"/>
  <c r="AO20" i="7"/>
  <c r="DZ20" i="7"/>
  <c r="BM21" i="7"/>
  <c r="EH21" i="7"/>
  <c r="AZ22" i="7"/>
  <c r="DL22" i="7"/>
  <c r="AD23" i="7"/>
  <c r="CP23" i="7"/>
  <c r="H24" i="7"/>
  <c r="BT24" i="7"/>
  <c r="EF24" i="7"/>
  <c r="AX25" i="7"/>
  <c r="DJ25" i="7"/>
  <c r="AB26" i="7"/>
  <c r="CN26" i="7"/>
  <c r="F27" i="7"/>
  <c r="BR27" i="7"/>
  <c r="ED27" i="7"/>
  <c r="ER14" i="7"/>
  <c r="BN18" i="7"/>
  <c r="BC19" i="7"/>
  <c r="Q20" i="7"/>
  <c r="DF20" i="7"/>
  <c r="AS21" i="7"/>
  <c r="DS21" i="7"/>
  <c r="AK22" i="7"/>
  <c r="AN16" i="7"/>
  <c r="CL18" i="7"/>
  <c r="BT19" i="7"/>
  <c r="AD20" i="7"/>
  <c r="AD15" i="7"/>
  <c r="BU18" i="7"/>
  <c r="BJ15" i="7"/>
  <c r="BV18" i="7"/>
  <c r="BH19" i="7"/>
  <c r="U20" i="7"/>
  <c r="DJ20" i="7"/>
  <c r="AW21" i="7"/>
  <c r="DV21" i="7"/>
  <c r="AN22" i="7"/>
  <c r="CZ22" i="7"/>
  <c r="R23" i="7"/>
  <c r="CD23" i="7"/>
  <c r="EP23" i="7"/>
  <c r="BH24" i="7"/>
  <c r="DT24" i="7"/>
  <c r="AL25" i="7"/>
  <c r="CX25" i="7"/>
  <c r="P26" i="7"/>
  <c r="CB26" i="7"/>
  <c r="EN26" i="7"/>
  <c r="BF27" i="7"/>
  <c r="DR27" i="7"/>
  <c r="AJ28" i="7"/>
  <c r="R18" i="7"/>
  <c r="S19" i="7"/>
  <c r="EG19" i="7"/>
  <c r="CH20" i="7"/>
  <c r="U21" i="7"/>
  <c r="DA21" i="7"/>
  <c r="S22" i="7"/>
  <c r="CE22" i="7"/>
  <c r="EQ22" i="7"/>
  <c r="BI23" i="7"/>
  <c r="DU23" i="7"/>
  <c r="AM24" i="7"/>
  <c r="CY24" i="7"/>
  <c r="Q25" i="7"/>
  <c r="CC25" i="7"/>
  <c r="EO25" i="7"/>
  <c r="BG26" i="7"/>
  <c r="DS19" i="7"/>
  <c r="AN21" i="7"/>
  <c r="AG22" i="7"/>
  <c r="EO22" i="7"/>
  <c r="CS23" i="7"/>
  <c r="AX24" i="7"/>
  <c r="C25" i="7"/>
  <c r="CZ25" i="7"/>
  <c r="BE26" i="7"/>
  <c r="EO26" i="7"/>
  <c r="CB27" i="7"/>
  <c r="O28" i="7"/>
  <c r="CG28" i="7"/>
  <c r="ES28" i="7"/>
  <c r="BK29" i="7"/>
  <c r="DW29" i="7"/>
  <c r="AO30" i="7"/>
  <c r="DA30" i="7"/>
  <c r="S31" i="7"/>
  <c r="CE31" i="7"/>
  <c r="EQ31" i="7"/>
  <c r="BI32" i="7"/>
  <c r="EM17" i="7"/>
  <c r="CC20" i="7"/>
  <c r="CZ21" i="7"/>
  <c r="CD22" i="7"/>
  <c r="AI23" i="7"/>
  <c r="EG23" i="7"/>
  <c r="CL24" i="7"/>
  <c r="AQ25" i="7"/>
  <c r="EN25" i="7"/>
  <c r="CO26" i="7"/>
  <c r="AB27" i="7"/>
  <c r="DI27" i="7"/>
  <c r="ES113" i="7"/>
  <c r="AY106" i="7"/>
  <c r="CG108" i="7"/>
  <c r="BQ7" i="7"/>
  <c r="DO2" i="7"/>
  <c r="DR6" i="7"/>
  <c r="CK6" i="7"/>
  <c r="AT10" i="7"/>
  <c r="EN5" i="7"/>
  <c r="DY12" i="7"/>
  <c r="AX10" i="7"/>
  <c r="E13" i="7"/>
  <c r="EV8" i="7"/>
  <c r="EH11" i="7"/>
  <c r="CP13" i="7"/>
  <c r="CT10" i="7"/>
  <c r="BY12" i="7"/>
  <c r="AG14" i="7"/>
  <c r="AS11" i="7"/>
  <c r="J13" i="7"/>
  <c r="W12" i="7"/>
  <c r="CJ15" i="7"/>
  <c r="AR17" i="7"/>
  <c r="AQ14" i="7"/>
  <c r="S16" i="7"/>
  <c r="DU17" i="7"/>
  <c r="EN14" i="7"/>
  <c r="CV16" i="7"/>
  <c r="F12" i="7"/>
  <c r="CE15" i="7"/>
  <c r="AM17" i="7"/>
  <c r="AY14" i="7"/>
  <c r="V16" i="7"/>
  <c r="AT12" i="7"/>
  <c r="CO15" i="7"/>
  <c r="AW17" i="7"/>
  <c r="EK14" i="7"/>
  <c r="CS16" i="7"/>
  <c r="AB18" i="7"/>
  <c r="ED19" i="7"/>
  <c r="CL21" i="7"/>
  <c r="EI10" i="7"/>
  <c r="DW18" i="7"/>
  <c r="AO19" i="7"/>
  <c r="Z11" i="7"/>
  <c r="J17" i="7"/>
  <c r="ET17" i="7"/>
  <c r="BL18" i="7"/>
  <c r="DX18" i="7"/>
  <c r="AP19" i="7"/>
  <c r="DB19" i="7"/>
  <c r="T20" i="7"/>
  <c r="CF20" i="7"/>
  <c r="ER20" i="7"/>
  <c r="BJ21" i="7"/>
  <c r="CV14" i="7"/>
  <c r="BW17" i="7"/>
  <c r="S18" i="7"/>
  <c r="CE18" i="7"/>
  <c r="EQ18" i="7"/>
  <c r="BI19" i="7"/>
  <c r="DU19" i="7"/>
  <c r="AM20" i="7"/>
  <c r="CC17" i="7"/>
  <c r="DR18" i="7"/>
  <c r="CV19" i="7"/>
  <c r="BA20" i="7"/>
  <c r="EK20" i="7"/>
  <c r="BX21" i="7"/>
  <c r="EP21" i="7"/>
  <c r="BH22" i="7"/>
  <c r="DT22" i="7"/>
  <c r="AL23" i="7"/>
  <c r="CX23" i="7"/>
  <c r="P24" i="7"/>
  <c r="CB24" i="7"/>
  <c r="EN24" i="7"/>
  <c r="BF25" i="7"/>
  <c r="DR25" i="7"/>
  <c r="AJ26" i="7"/>
  <c r="CV26" i="7"/>
  <c r="N27" i="7"/>
  <c r="BZ27" i="7"/>
  <c r="EL27" i="7"/>
  <c r="H16" i="7"/>
  <c r="CK18" i="7"/>
  <c r="BS19" i="7"/>
  <c r="AC20" i="7"/>
  <c r="DQ20" i="7"/>
  <c r="BD21" i="7"/>
  <c r="EA21" i="7"/>
  <c r="AS22" i="7"/>
  <c r="AQ17" i="7"/>
  <c r="DF18" i="7"/>
  <c r="CJ19" i="7"/>
  <c r="AQ20" i="7"/>
  <c r="AV16" i="7"/>
  <c r="CO18" i="7"/>
  <c r="BT16" i="7"/>
  <c r="CS18" i="7"/>
  <c r="BX19" i="7"/>
  <c r="AH20" i="7"/>
  <c r="DU20" i="7"/>
  <c r="BH21" i="7"/>
  <c r="ED21" i="7"/>
  <c r="AV22" i="7"/>
  <c r="DH22" i="7"/>
  <c r="Z23" i="7"/>
  <c r="CL23" i="7"/>
  <c r="D24" i="7"/>
  <c r="BP24" i="7"/>
  <c r="EB24" i="7"/>
  <c r="AT25" i="7"/>
  <c r="DF25" i="7"/>
  <c r="X26" i="7"/>
  <c r="CJ26" i="7"/>
  <c r="EV26" i="7"/>
  <c r="BN27" i="7"/>
  <c r="DZ27" i="7"/>
  <c r="AP10" i="7"/>
  <c r="AO18" i="7"/>
  <c r="AI19" i="7"/>
  <c r="EU19" i="7"/>
  <c r="CS20" i="7"/>
  <c r="AF21" i="7"/>
  <c r="DI21" i="7"/>
  <c r="AA22" i="7"/>
  <c r="CM22" i="7"/>
  <c r="E23" i="7"/>
  <c r="BQ23" i="7"/>
  <c r="EC23" i="7"/>
  <c r="AU24" i="7"/>
  <c r="DG24" i="7"/>
  <c r="Y25" i="7"/>
  <c r="CK25" i="7"/>
  <c r="C26" i="7"/>
  <c r="BO26" i="7"/>
  <c r="J20" i="7"/>
  <c r="BI21" i="7"/>
  <c r="AW22" i="7"/>
  <c r="H23" i="7"/>
  <c r="DG23" i="7"/>
  <c r="BJ24" i="7"/>
  <c r="O25" i="7"/>
  <c r="DM25" i="7"/>
  <c r="BR26" i="7"/>
  <c r="E27" i="7"/>
  <c r="CM27" i="7"/>
  <c r="Z28" i="7"/>
  <c r="CO28" i="7"/>
  <c r="G29" i="7"/>
  <c r="BS29" i="7"/>
  <c r="EE29" i="7"/>
  <c r="AW30" i="7"/>
  <c r="DI30" i="7"/>
  <c r="AA31" i="7"/>
  <c r="CM31" i="7"/>
  <c r="E32" i="7"/>
  <c r="BQ32" i="7"/>
  <c r="BY18" i="7"/>
  <c r="DB20" i="7"/>
  <c r="DP21" i="7"/>
  <c r="CQ22" i="7"/>
  <c r="AV23" i="7"/>
  <c r="EU23" i="7"/>
  <c r="CX24" i="7"/>
  <c r="BC25" i="7"/>
  <c r="G26" i="7"/>
  <c r="CY26" i="7"/>
  <c r="AM27" i="7"/>
  <c r="Y84" i="7"/>
  <c r="AD97" i="7"/>
  <c r="AI107" i="7"/>
  <c r="DO8" i="7"/>
  <c r="AX6" i="7"/>
  <c r="V8" i="7"/>
  <c r="AM9" i="7"/>
  <c r="AO7" i="7"/>
  <c r="ES8" i="7"/>
  <c r="AC14" i="7"/>
  <c r="BX11" i="7"/>
  <c r="BI13" i="7"/>
  <c r="AI10" i="7"/>
  <c r="AR12" i="7"/>
  <c r="ET13" i="7"/>
  <c r="N11" i="7"/>
  <c r="EC12" i="7"/>
  <c r="X5" i="7"/>
  <c r="DE11" i="7"/>
  <c r="BN13" i="7"/>
  <c r="CS13" i="7"/>
  <c r="EN15" i="7"/>
  <c r="CV17" i="7"/>
  <c r="DO14" i="7"/>
  <c r="BW16" i="7"/>
  <c r="H11" i="7"/>
  <c r="AX15" i="7"/>
  <c r="F17" i="7"/>
  <c r="CB13" i="7"/>
  <c r="EI15" i="7"/>
  <c r="CQ17" i="7"/>
  <c r="DR14" i="7"/>
  <c r="BZ16" i="7"/>
  <c r="DP13" i="7"/>
  <c r="ES15" i="7"/>
  <c r="EQ10" i="7"/>
  <c r="AU15" i="7"/>
  <c r="C17" i="7"/>
  <c r="CF18" i="7"/>
  <c r="AN20" i="7"/>
  <c r="CX15" i="7"/>
  <c r="CJ16" i="7"/>
  <c r="EE18" i="7"/>
  <c r="AW19" i="7"/>
  <c r="EM12" i="7"/>
  <c r="AY17" i="7"/>
  <c r="H18" i="7"/>
  <c r="BT18" i="7"/>
  <c r="EF18" i="7"/>
  <c r="AX19" i="7"/>
  <c r="DJ19" i="7"/>
  <c r="AB20" i="7"/>
  <c r="CN20" i="7"/>
  <c r="F21" i="7"/>
  <c r="BR21" i="7"/>
  <c r="N15" i="7"/>
  <c r="CM17" i="7"/>
  <c r="AA18" i="7"/>
  <c r="CM18" i="7"/>
  <c r="E19" i="7"/>
  <c r="BQ19" i="7"/>
  <c r="EC19" i="7"/>
  <c r="AU20" i="7"/>
  <c r="DR17" i="7"/>
  <c r="EH18" i="7"/>
  <c r="DI19" i="7"/>
  <c r="BN20" i="7"/>
  <c r="EU20" i="7"/>
  <c r="CI21" i="7"/>
  <c r="D22" i="7"/>
  <c r="BP22" i="7"/>
  <c r="EB22" i="7"/>
  <c r="AT23" i="7"/>
  <c r="DF23" i="7"/>
  <c r="X24" i="7"/>
  <c r="CJ24" i="7"/>
  <c r="EV24" i="7"/>
  <c r="BN25" i="7"/>
  <c r="DZ25" i="7"/>
  <c r="AR26" i="7"/>
  <c r="DD26" i="7"/>
  <c r="V27" i="7"/>
  <c r="CH27" i="7"/>
  <c r="ET27" i="7"/>
  <c r="Z17" i="7"/>
  <c r="DE18" i="7"/>
  <c r="CI19" i="7"/>
  <c r="AP20" i="7"/>
  <c r="EA20" i="7"/>
  <c r="BO21" i="7"/>
  <c r="EI21" i="7"/>
  <c r="BA22" i="7"/>
  <c r="CL17" i="7"/>
  <c r="DV18" i="7"/>
  <c r="CZ19" i="7"/>
  <c r="BE20" i="7"/>
  <c r="BD17" i="7"/>
  <c r="DI18" i="7"/>
  <c r="BF17" i="7"/>
  <c r="DJ18" i="7"/>
  <c r="CN19" i="7"/>
  <c r="AT20" i="7"/>
  <c r="EE20" i="7"/>
  <c r="BS21" i="7"/>
  <c r="EL21" i="7"/>
  <c r="BD22" i="7"/>
  <c r="DP22" i="7"/>
  <c r="AH23" i="7"/>
  <c r="CT23" i="7"/>
  <c r="L24" i="7"/>
  <c r="BX24" i="7"/>
  <c r="EJ24" i="7"/>
  <c r="BB25" i="7"/>
  <c r="DN25" i="7"/>
  <c r="AF26" i="7"/>
  <c r="CR26" i="7"/>
  <c r="J27" i="7"/>
  <c r="BV27" i="7"/>
  <c r="EH27" i="7"/>
  <c r="CN14" i="7"/>
  <c r="BI18" i="7"/>
  <c r="AY19" i="7"/>
  <c r="M20" i="7"/>
  <c r="DC20" i="7"/>
  <c r="AQ21" i="7"/>
  <c r="DQ21" i="7"/>
  <c r="AI22" i="7"/>
  <c r="CU22" i="7"/>
  <c r="M23" i="7"/>
  <c r="BY23" i="7"/>
  <c r="EK23" i="7"/>
  <c r="BC24" i="7"/>
  <c r="DO24" i="7"/>
  <c r="AG25" i="7"/>
  <c r="CS25" i="7"/>
  <c r="K26" i="7"/>
  <c r="CF14" i="7"/>
  <c r="AS20" i="7"/>
  <c r="CE21" i="7"/>
  <c r="BM22" i="7"/>
  <c r="T23" i="7"/>
  <c r="DS23" i="7"/>
  <c r="BW24" i="7"/>
  <c r="AB25" i="7"/>
  <c r="EA25" i="7"/>
  <c r="CC26" i="7"/>
  <c r="P27" i="7"/>
  <c r="CW27" i="7"/>
  <c r="AK28" i="7"/>
  <c r="CW28" i="7"/>
  <c r="O29" i="7"/>
  <c r="CA29" i="7"/>
  <c r="EM29" i="7"/>
  <c r="BE30" i="7"/>
  <c r="DQ30" i="7"/>
  <c r="AI31" i="7"/>
  <c r="CU31" i="7"/>
  <c r="M32" i="7"/>
  <c r="BY32" i="7"/>
  <c r="ES18" i="7"/>
  <c r="DW20" i="7"/>
  <c r="EF21" i="7"/>
  <c r="DE22" i="7"/>
  <c r="BH23" i="7"/>
  <c r="M24" i="7"/>
  <c r="DK24" i="7"/>
  <c r="BP25" i="7"/>
  <c r="U26" i="7"/>
  <c r="DJ26" i="7"/>
  <c r="AW27" i="7"/>
  <c r="AL85" i="7"/>
  <c r="DT107" i="7"/>
  <c r="BN105" i="7"/>
  <c r="DK4" i="7"/>
  <c r="Z8" i="7"/>
  <c r="EL4" i="7"/>
  <c r="G11" i="7"/>
  <c r="G10" i="7"/>
  <c r="K8" i="7"/>
  <c r="AV11" i="7"/>
  <c r="S12" i="7"/>
  <c r="DU13" i="7"/>
  <c r="EF10" i="7"/>
  <c r="DD12" i="7"/>
  <c r="BL14" i="7"/>
  <c r="CJ11" i="7"/>
  <c r="AU13" i="7"/>
  <c r="EO9" i="7"/>
  <c r="X12" i="7"/>
  <c r="DZ13" i="7"/>
  <c r="CX14" i="7"/>
  <c r="BF16" i="7"/>
  <c r="BU10" i="7"/>
  <c r="AG15" i="7"/>
  <c r="EI16" i="7"/>
  <c r="DW12" i="7"/>
  <c r="DJ15" i="7"/>
  <c r="BR17" i="7"/>
  <c r="CS14" i="7"/>
  <c r="BA16" i="7"/>
  <c r="CK10" i="7"/>
  <c r="AJ15" i="7"/>
  <c r="EL16" i="7"/>
  <c r="DC14" i="7"/>
  <c r="BK16" i="7"/>
  <c r="DN12" i="7"/>
  <c r="DG15" i="7"/>
  <c r="DD14" i="7"/>
  <c r="ER18" i="7"/>
  <c r="CZ20" i="7"/>
  <c r="DJ17" i="7"/>
  <c r="EK17" i="7"/>
  <c r="EU18" i="7"/>
  <c r="BM19" i="7"/>
  <c r="EJ14" i="7"/>
  <c r="CJ17" i="7"/>
  <c r="X18" i="7"/>
  <c r="CJ18" i="7"/>
  <c r="EV18" i="7"/>
  <c r="BN19" i="7"/>
  <c r="DZ19" i="7"/>
  <c r="AR20" i="7"/>
  <c r="DD20" i="7"/>
  <c r="V21" i="7"/>
  <c r="CH21" i="7"/>
  <c r="EL15" i="7"/>
  <c r="DS17" i="7"/>
  <c r="AQ18" i="7"/>
  <c r="DC18" i="7"/>
  <c r="U19" i="7"/>
  <c r="CG19" i="7"/>
  <c r="ES19" i="7"/>
  <c r="BK20" i="7"/>
  <c r="U18" i="7"/>
  <c r="T19" i="7"/>
  <c r="EI19" i="7"/>
  <c r="CI20" i="7"/>
  <c r="W21" i="7"/>
  <c r="DB21" i="7"/>
  <c r="T22" i="7"/>
  <c r="CF22" i="7"/>
  <c r="ER22" i="7"/>
  <c r="BJ23" i="7"/>
  <c r="DV23" i="7"/>
  <c r="AN24" i="7"/>
  <c r="CZ24" i="7"/>
  <c r="R25" i="7"/>
  <c r="CD25" i="7"/>
  <c r="EP25" i="7"/>
  <c r="BH26" i="7"/>
  <c r="DT26" i="7"/>
  <c r="AL27" i="7"/>
  <c r="CX27" i="7"/>
  <c r="P28" i="7"/>
  <c r="DY17" i="7"/>
  <c r="EK18" i="7"/>
  <c r="DK19" i="7"/>
  <c r="BO20" i="7"/>
  <c r="C21" i="7"/>
  <c r="CJ21" i="7"/>
  <c r="E22" i="7"/>
  <c r="BQ22" i="7"/>
  <c r="E18" i="7"/>
  <c r="H19" i="7"/>
  <c r="DY19" i="7"/>
  <c r="CA20" i="7"/>
  <c r="EF17" i="7"/>
  <c r="EO18" i="7"/>
  <c r="EI17" i="7"/>
  <c r="EP18" i="7"/>
  <c r="DP19" i="7"/>
  <c r="BS20" i="7"/>
  <c r="G21" i="7"/>
  <c r="CN21" i="7"/>
  <c r="H22" i="7"/>
  <c r="BT22" i="7"/>
  <c r="EF22" i="7"/>
  <c r="AX23" i="7"/>
  <c r="DJ23" i="7"/>
  <c r="AB24" i="7"/>
  <c r="CN24" i="7"/>
  <c r="F25" i="7"/>
  <c r="BR25" i="7"/>
  <c r="ED25" i="7"/>
  <c r="AV26" i="7"/>
  <c r="DH26" i="7"/>
  <c r="Z27" i="7"/>
  <c r="CL27" i="7"/>
  <c r="D28" i="7"/>
  <c r="EF16" i="7"/>
  <c r="DA18" i="7"/>
  <c r="CE19" i="7"/>
  <c r="AL20" i="7"/>
  <c r="DY20" i="7"/>
  <c r="BL21" i="7"/>
  <c r="EG21" i="7"/>
  <c r="AY22" i="7"/>
  <c r="DK22" i="7"/>
  <c r="AC23" i="7"/>
  <c r="CO23" i="7"/>
  <c r="G24" i="7"/>
  <c r="BS24" i="7"/>
  <c r="EE24" i="7"/>
  <c r="AW25" i="7"/>
  <c r="DI25" i="7"/>
  <c r="AA26" i="7"/>
  <c r="BF18" i="7"/>
  <c r="DA20" i="7"/>
  <c r="DO21" i="7"/>
  <c r="CP22" i="7"/>
  <c r="AU23" i="7"/>
  <c r="ER23" i="7"/>
  <c r="CW24" i="7"/>
  <c r="BA25" i="7"/>
  <c r="F26" i="7"/>
  <c r="CX26" i="7"/>
  <c r="AK27" i="7"/>
  <c r="DS27" i="7"/>
  <c r="BA28" i="7"/>
  <c r="DM28" i="7"/>
  <c r="AE29" i="7"/>
  <c r="CQ29" i="7"/>
  <c r="I30" i="7"/>
  <c r="BU30" i="7"/>
  <c r="EG30" i="7"/>
  <c r="AY31" i="7"/>
  <c r="DK31" i="7"/>
  <c r="AC32" i="7"/>
  <c r="CO32" i="7"/>
  <c r="CQ19" i="7"/>
  <c r="T21" i="7"/>
  <c r="R22" i="7"/>
  <c r="ED22" i="7"/>
  <c r="CI23" i="7"/>
  <c r="AL24" i="7"/>
  <c r="EK24" i="7"/>
  <c r="CO25" i="7"/>
  <c r="AT26" i="7"/>
  <c r="EE26" i="7"/>
  <c r="BS27" i="7"/>
  <c r="C8" i="7"/>
  <c r="X11" i="7"/>
  <c r="DW14" i="7"/>
  <c r="DZ14" i="7"/>
  <c r="AV20" i="7"/>
  <c r="CB18" i="7"/>
  <c r="BZ15" i="7"/>
  <c r="EU17" i="7"/>
  <c r="EJ22" i="7"/>
  <c r="AZ26" i="7"/>
  <c r="BB20" i="7"/>
  <c r="BQ20" i="7"/>
  <c r="CC21" i="7"/>
  <c r="ER24" i="7"/>
  <c r="DV15" i="7"/>
  <c r="DC22" i="7"/>
  <c r="S26" i="7"/>
  <c r="AN25" i="7"/>
  <c r="CI29" i="7"/>
  <c r="AV19" i="7"/>
  <c r="AG26" i="7"/>
  <c r="EO27" i="7"/>
  <c r="BR28" i="7"/>
  <c r="ED28" i="7"/>
  <c r="AV29" i="7"/>
  <c r="DH29" i="7"/>
  <c r="Z30" i="7"/>
  <c r="CL30" i="7"/>
  <c r="D31" i="7"/>
  <c r="BP31" i="7"/>
  <c r="EB31" i="7"/>
  <c r="S20" i="7"/>
  <c r="BP21" i="7"/>
  <c r="BB22" i="7"/>
  <c r="K23" i="7"/>
  <c r="DI23" i="7"/>
  <c r="BN24" i="7"/>
  <c r="S25" i="7"/>
  <c r="DP25" i="7"/>
  <c r="BU26" i="7"/>
  <c r="H27" i="7"/>
  <c r="CO27" i="7"/>
  <c r="AC28" i="7"/>
  <c r="CQ28" i="7"/>
  <c r="I29" i="7"/>
  <c r="BU29" i="7"/>
  <c r="EG29" i="7"/>
  <c r="AY30" i="7"/>
  <c r="DK30" i="7"/>
  <c r="AC31" i="7"/>
  <c r="CO31" i="7"/>
  <c r="G32" i="7"/>
  <c r="DA19" i="7"/>
  <c r="AA21" i="7"/>
  <c r="W22" i="7"/>
  <c r="EG22" i="7"/>
  <c r="CK23" i="7"/>
  <c r="AP24" i="7"/>
  <c r="EO24" i="7"/>
  <c r="CR25" i="7"/>
  <c r="AW26" i="7"/>
  <c r="EH26" i="7"/>
  <c r="BU27" i="7"/>
  <c r="I28" i="7"/>
  <c r="CB28" i="7"/>
  <c r="EN28" i="7"/>
  <c r="BF29" i="7"/>
  <c r="DR29" i="7"/>
  <c r="AJ30" i="7"/>
  <c r="CV30" i="7"/>
  <c r="N31" i="7"/>
  <c r="BZ31" i="7"/>
  <c r="EN19" i="7"/>
  <c r="AY21" i="7"/>
  <c r="AO22" i="7"/>
  <c r="EU22" i="7"/>
  <c r="CZ23" i="7"/>
  <c r="BE24" i="7"/>
  <c r="H25" i="7"/>
  <c r="DG25" i="7"/>
  <c r="BK26" i="7"/>
  <c r="ET26" i="7"/>
  <c r="CG27" i="7"/>
  <c r="U28" i="7"/>
  <c r="CK28" i="7"/>
  <c r="C29" i="7"/>
  <c r="BO29" i="7"/>
  <c r="EA29" i="7"/>
  <c r="AS30" i="7"/>
  <c r="DE30" i="7"/>
  <c r="W31" i="7"/>
  <c r="CI31" i="7"/>
  <c r="C14" i="7"/>
  <c r="AK20" i="7"/>
  <c r="CB21" i="7"/>
  <c r="BK22" i="7"/>
  <c r="S23" i="7"/>
  <c r="DQ23" i="7"/>
  <c r="BV24" i="7"/>
  <c r="AA25" i="7"/>
  <c r="DX25" i="7"/>
  <c r="CA26" i="7"/>
  <c r="O27" i="7"/>
  <c r="CV27" i="7"/>
  <c r="AI28" i="7"/>
  <c r="CV28" i="7"/>
  <c r="N29" i="7"/>
  <c r="BZ29" i="7"/>
  <c r="EL29" i="7"/>
  <c r="BD30" i="7"/>
  <c r="DP30" i="7"/>
  <c r="AH31" i="7"/>
  <c r="CT31" i="7"/>
  <c r="CA19" i="7"/>
  <c r="CC23" i="7"/>
  <c r="AO26" i="7"/>
  <c r="BW28" i="7"/>
  <c r="AE30" i="7"/>
  <c r="DQ31" i="7"/>
  <c r="BK32" i="7"/>
  <c r="EC32" i="7"/>
  <c r="AU33" i="7"/>
  <c r="DG33" i="7"/>
  <c r="CQ20" i="7"/>
  <c r="EO23" i="7"/>
  <c r="CU26" i="7"/>
  <c r="DK28" i="7"/>
  <c r="BS30" i="7"/>
  <c r="EO31" i="7"/>
  <c r="BV32" i="7"/>
  <c r="EM32" i="7"/>
  <c r="BE33" i="7"/>
  <c r="DQ33" i="7"/>
  <c r="AI34" i="7"/>
  <c r="CU34" i="7"/>
  <c r="M35" i="7"/>
  <c r="BY35" i="7"/>
  <c r="EK35" i="7"/>
  <c r="BC36" i="7"/>
  <c r="DO36" i="7"/>
  <c r="AG37" i="7"/>
  <c r="CS37" i="7"/>
  <c r="K38" i="7"/>
  <c r="BW38" i="7"/>
  <c r="EQ19" i="7"/>
  <c r="DA23" i="7"/>
  <c r="BM26" i="7"/>
  <c r="CL28" i="7"/>
  <c r="AT30" i="7"/>
  <c r="DY31" i="7"/>
  <c r="BN32" i="7"/>
  <c r="EF32" i="7"/>
  <c r="AX33" i="7"/>
  <c r="DJ33" i="7"/>
  <c r="AB34" i="7"/>
  <c r="CN34" i="7"/>
  <c r="F35" i="7"/>
  <c r="BR35" i="7"/>
  <c r="ED35" i="7"/>
  <c r="AV36" i="7"/>
  <c r="DH36" i="7"/>
  <c r="Z37" i="7"/>
  <c r="CL37" i="7"/>
  <c r="D38" i="7"/>
  <c r="BP38" i="7"/>
  <c r="EB38" i="7"/>
  <c r="D23" i="7"/>
  <c r="DK25" i="7"/>
  <c r="W28" i="7"/>
  <c r="EC29" i="7"/>
  <c r="CK31" i="7"/>
  <c r="DF101" i="7"/>
  <c r="BH3" i="7"/>
  <c r="EK12" i="7"/>
  <c r="CE16" i="7"/>
  <c r="CH16" i="7"/>
  <c r="P16" i="7"/>
  <c r="EN18" i="7"/>
  <c r="DC17" i="7"/>
  <c r="D19" i="7"/>
  <c r="BB23" i="7"/>
  <c r="DL26" i="7"/>
  <c r="EL20" i="7"/>
  <c r="CS17" i="7"/>
  <c r="ET21" i="7"/>
  <c r="BJ25" i="7"/>
  <c r="CD18" i="7"/>
  <c r="U23" i="7"/>
  <c r="DI17" i="7"/>
  <c r="EM25" i="7"/>
  <c r="EU29" i="7"/>
  <c r="ES20" i="7"/>
  <c r="CD26" i="7"/>
  <c r="F28" i="7"/>
  <c r="BZ28" i="7"/>
  <c r="EL28" i="7"/>
  <c r="BD29" i="7"/>
  <c r="DP29" i="7"/>
  <c r="AH30" i="7"/>
  <c r="CT30" i="7"/>
  <c r="L31" i="7"/>
  <c r="BX31" i="7"/>
  <c r="CP15" i="7"/>
  <c r="AX20" i="7"/>
  <c r="CK21" i="7"/>
  <c r="BR22" i="7"/>
  <c r="X23" i="7"/>
  <c r="DW23" i="7"/>
  <c r="BZ24" i="7"/>
  <c r="AE25" i="7"/>
  <c r="EC25" i="7"/>
  <c r="CE26" i="7"/>
  <c r="S27" i="7"/>
  <c r="CZ27" i="7"/>
  <c r="AM28" i="7"/>
  <c r="CY28" i="7"/>
  <c r="Q29" i="7"/>
  <c r="CC29" i="7"/>
  <c r="EO29" i="7"/>
  <c r="BG30" i="7"/>
  <c r="DS30" i="7"/>
  <c r="AK31" i="7"/>
  <c r="CW31" i="7"/>
  <c r="O32" i="7"/>
  <c r="EF19" i="7"/>
  <c r="AV21" i="7"/>
  <c r="AM22" i="7"/>
  <c r="ET22" i="7"/>
  <c r="CY23" i="7"/>
  <c r="BB24" i="7"/>
  <c r="G25" i="7"/>
  <c r="DE25" i="7"/>
  <c r="BJ26" i="7"/>
  <c r="ES26" i="7"/>
  <c r="CF27" i="7"/>
  <c r="S28" i="7"/>
  <c r="CJ28" i="7"/>
  <c r="EV28" i="7"/>
  <c r="BN29" i="7"/>
  <c r="DZ29" i="7"/>
  <c r="AR30" i="7"/>
  <c r="DD30" i="7"/>
  <c r="V31" i="7"/>
  <c r="CH31" i="7"/>
  <c r="Y20" i="7"/>
  <c r="BT21" i="7"/>
  <c r="BE22" i="7"/>
  <c r="O23" i="7"/>
  <c r="DL23" i="7"/>
  <c r="BQ24" i="7"/>
  <c r="U25" i="7"/>
  <c r="DT25" i="7"/>
  <c r="BW26" i="7"/>
  <c r="K27" i="7"/>
  <c r="CR27" i="7"/>
  <c r="AE28" i="7"/>
  <c r="CS28" i="7"/>
  <c r="K29" i="7"/>
  <c r="BW29" i="7"/>
  <c r="EI29" i="7"/>
  <c r="BA30" i="7"/>
  <c r="DM30" i="7"/>
  <c r="AE31" i="7"/>
  <c r="CQ31" i="7"/>
  <c r="DB17" i="7"/>
  <c r="BU20" i="7"/>
  <c r="CW21" i="7"/>
  <c r="CA22" i="7"/>
  <c r="AF23" i="7"/>
  <c r="EE23" i="7"/>
  <c r="CH24" i="7"/>
  <c r="AM25" i="7"/>
  <c r="EK25" i="7"/>
  <c r="CL26" i="7"/>
  <c r="Y27" i="7"/>
  <c r="DG27" i="7"/>
  <c r="AR28" i="7"/>
  <c r="DD28" i="7"/>
  <c r="V29" i="7"/>
  <c r="CH29" i="7"/>
  <c r="ET29" i="7"/>
  <c r="BL30" i="7"/>
  <c r="DX30" i="7"/>
  <c r="AP31" i="7"/>
  <c r="DB31" i="7"/>
  <c r="BR20" i="7"/>
  <c r="EB23" i="7"/>
  <c r="CK26" i="7"/>
  <c r="DC28" i="7"/>
  <c r="BK30" i="7"/>
  <c r="EL31" i="7"/>
  <c r="BT32" i="7"/>
  <c r="EK32" i="7"/>
  <c r="BC33" i="7"/>
  <c r="DO33" i="7"/>
  <c r="AJ21" i="7"/>
  <c r="AT24" i="7"/>
  <c r="EL26" i="7"/>
  <c r="EQ28" i="7"/>
  <c r="CY30" i="7"/>
  <c r="H32" i="7"/>
  <c r="CE32" i="7"/>
  <c r="EU32" i="7"/>
  <c r="BM33" i="7"/>
  <c r="DY33" i="7"/>
  <c r="AQ34" i="7"/>
  <c r="DC34" i="7"/>
  <c r="U35" i="7"/>
  <c r="CG35" i="7"/>
  <c r="ES35" i="7"/>
  <c r="BK36" i="7"/>
  <c r="DW36" i="7"/>
  <c r="AO37" i="7"/>
  <c r="DA37" i="7"/>
  <c r="S38" i="7"/>
  <c r="CE38" i="7"/>
  <c r="DM20" i="7"/>
  <c r="F24" i="7"/>
  <c r="DE26" i="7"/>
  <c r="DR28" i="7"/>
  <c r="BZ30" i="7"/>
  <c r="ER31" i="7"/>
  <c r="BW32" i="7"/>
  <c r="EN32" i="7"/>
  <c r="BF33" i="7"/>
  <c r="DR33" i="7"/>
  <c r="AJ34" i="7"/>
  <c r="CV34" i="7"/>
  <c r="N35" i="7"/>
  <c r="BZ35" i="7"/>
  <c r="EL35" i="7"/>
  <c r="BD36" i="7"/>
  <c r="DP36" i="7"/>
  <c r="AH37" i="7"/>
  <c r="CT37" i="7"/>
  <c r="L38" i="7"/>
  <c r="BX38" i="7"/>
  <c r="DN18" i="7"/>
  <c r="BD23" i="7"/>
  <c r="O26" i="7"/>
  <c r="BG28" i="7"/>
  <c r="AV89" i="7"/>
  <c r="DF5" i="7"/>
  <c r="EB6" i="7"/>
  <c r="AR11" i="7"/>
  <c r="EV13" i="7"/>
  <c r="EV16" i="7"/>
  <c r="BF19" i="7"/>
  <c r="AI18" i="7"/>
  <c r="DW19" i="7"/>
  <c r="DN23" i="7"/>
  <c r="AD27" i="7"/>
  <c r="BY21" i="7"/>
  <c r="DY18" i="7"/>
  <c r="BL22" i="7"/>
  <c r="DV25" i="7"/>
  <c r="BO19" i="7"/>
  <c r="CG23" i="7"/>
  <c r="BV20" i="7"/>
  <c r="CM26" i="7"/>
  <c r="BM30" i="7"/>
  <c r="EV21" i="7"/>
  <c r="DU26" i="7"/>
  <c r="Q28" i="7"/>
  <c r="CH28" i="7"/>
  <c r="ET28" i="7"/>
  <c r="BL29" i="7"/>
  <c r="DX29" i="7"/>
  <c r="AP30" i="7"/>
  <c r="DB30" i="7"/>
  <c r="T31" i="7"/>
  <c r="CF31" i="7"/>
  <c r="EN17" i="7"/>
  <c r="CE20" i="7"/>
  <c r="DD21" i="7"/>
  <c r="CG22" i="7"/>
  <c r="AJ23" i="7"/>
  <c r="EI23" i="7"/>
  <c r="CM24" i="7"/>
  <c r="AR25" i="7"/>
  <c r="EQ25" i="7"/>
  <c r="CP26" i="7"/>
  <c r="AC27" i="7"/>
  <c r="DK27" i="7"/>
  <c r="AU28" i="7"/>
  <c r="DG28" i="7"/>
  <c r="Y29" i="7"/>
  <c r="CK29" i="7"/>
  <c r="C30" i="7"/>
  <c r="BO30" i="7"/>
  <c r="EA30" i="7"/>
  <c r="AS31" i="7"/>
  <c r="DE31" i="7"/>
  <c r="W32" i="7"/>
  <c r="V20" i="7"/>
  <c r="BQ21" i="7"/>
  <c r="BC22" i="7"/>
  <c r="L23" i="7"/>
  <c r="DK23" i="7"/>
  <c r="BO24" i="7"/>
  <c r="T25" i="7"/>
  <c r="DS25" i="7"/>
  <c r="BV26" i="7"/>
  <c r="I27" i="7"/>
  <c r="CQ27" i="7"/>
  <c r="AD28" i="7"/>
  <c r="CR28" i="7"/>
  <c r="J29" i="7"/>
  <c r="BV29" i="7"/>
  <c r="EH29" i="7"/>
  <c r="AZ30" i="7"/>
  <c r="DL30" i="7"/>
  <c r="AD31" i="7"/>
  <c r="DH16" i="7"/>
  <c r="BI20" i="7"/>
  <c r="CO21" i="7"/>
  <c r="BU22" i="7"/>
  <c r="AA23" i="7"/>
  <c r="DY23" i="7"/>
  <c r="CD24" i="7"/>
  <c r="AI25" i="7"/>
  <c r="EF25" i="7"/>
  <c r="CH26" i="7"/>
  <c r="U27" i="7"/>
  <c r="DC27" i="7"/>
  <c r="AO28" i="7"/>
  <c r="DA28" i="7"/>
  <c r="S29" i="7"/>
  <c r="CE29" i="7"/>
  <c r="EQ29" i="7"/>
  <c r="BI30" i="7"/>
  <c r="DU30" i="7"/>
  <c r="AM31" i="7"/>
  <c r="CY31" i="7"/>
  <c r="BE18" i="7"/>
  <c r="CX20" i="7"/>
  <c r="DM21" i="7"/>
  <c r="CO22" i="7"/>
  <c r="AR23" i="7"/>
  <c r="EQ23" i="7"/>
  <c r="CU24" i="7"/>
  <c r="AZ25" i="7"/>
  <c r="E26" i="7"/>
  <c r="CW26" i="7"/>
  <c r="AJ27" i="7"/>
  <c r="DQ27" i="7"/>
  <c r="AZ28" i="7"/>
  <c r="DL28" i="7"/>
  <c r="AD29" i="7"/>
  <c r="CP29" i="7"/>
  <c r="H30" i="7"/>
  <c r="BT30" i="7"/>
  <c r="EF30" i="7"/>
  <c r="AX31" i="7"/>
  <c r="DJ31" i="7"/>
  <c r="O21" i="7"/>
  <c r="AH24" i="7"/>
  <c r="EA26" i="7"/>
  <c r="EI28" i="7"/>
  <c r="CQ30" i="7"/>
  <c r="D32" i="7"/>
  <c r="CC32" i="7"/>
  <c r="ES32" i="7"/>
  <c r="BK33" i="7"/>
  <c r="DW33" i="7"/>
  <c r="DL21" i="7"/>
  <c r="CT24" i="7"/>
  <c r="AI27" i="7"/>
  <c r="AC29" i="7"/>
  <c r="EE30" i="7"/>
  <c r="R32" i="7"/>
  <c r="CN32" i="7"/>
  <c r="I33" i="7"/>
  <c r="BU33" i="7"/>
  <c r="EG33" i="7"/>
  <c r="AY34" i="7"/>
  <c r="DK34" i="7"/>
  <c r="AC35" i="7"/>
  <c r="CO35" i="7"/>
  <c r="G36" i="7"/>
  <c r="BS36" i="7"/>
  <c r="EE36" i="7"/>
  <c r="AW37" i="7"/>
  <c r="DI37" i="7"/>
  <c r="AA38" i="7"/>
  <c r="CM38" i="7"/>
  <c r="AZ21" i="7"/>
  <c r="BF24" i="7"/>
  <c r="EU26" i="7"/>
  <c r="D29" i="7"/>
  <c r="DF30" i="7"/>
  <c r="I32" i="7"/>
  <c r="CF32" i="7"/>
  <c r="EV32" i="7"/>
  <c r="BN33" i="7"/>
  <c r="DZ33" i="7"/>
  <c r="AR34" i="7"/>
  <c r="DD34" i="7"/>
  <c r="V35" i="7"/>
  <c r="CH35" i="7"/>
  <c r="ET35" i="7"/>
  <c r="BL36" i="7"/>
  <c r="DX36" i="7"/>
  <c r="AP37" i="7"/>
  <c r="DB37" i="7"/>
  <c r="T38" i="7"/>
  <c r="CF38" i="7"/>
  <c r="ER19" i="7"/>
  <c r="DC23" i="7"/>
  <c r="BN26" i="7"/>
  <c r="CM28" i="7"/>
  <c r="AU30" i="7"/>
  <c r="DY106" i="7"/>
  <c r="DI11" i="7"/>
  <c r="DN11" i="7"/>
  <c r="BF15" i="7"/>
  <c r="G16" i="7"/>
  <c r="EM18" i="7"/>
  <c r="DR19" i="7"/>
  <c r="CU18" i="7"/>
  <c r="BY20" i="7"/>
  <c r="AF24" i="7"/>
  <c r="CP27" i="7"/>
  <c r="EQ21" i="7"/>
  <c r="DA17" i="7"/>
  <c r="DX22" i="7"/>
  <c r="AN26" i="7"/>
  <c r="Z20" i="7"/>
  <c r="ES23" i="7"/>
  <c r="CY21" i="7"/>
  <c r="AA27" i="7"/>
  <c r="DY30" i="7"/>
  <c r="DQ22" i="7"/>
  <c r="Q27" i="7"/>
  <c r="AA28" i="7"/>
  <c r="CP28" i="7"/>
  <c r="H29" i="7"/>
  <c r="BT29" i="7"/>
  <c r="EF29" i="7"/>
  <c r="AX30" i="7"/>
  <c r="DJ30" i="7"/>
  <c r="AB31" i="7"/>
  <c r="CN31" i="7"/>
  <c r="CC18" i="7"/>
  <c r="DG20" i="7"/>
  <c r="DT21" i="7"/>
  <c r="CS22" i="7"/>
  <c r="AW23" i="7"/>
  <c r="EV23" i="7"/>
  <c r="DA24" i="7"/>
  <c r="BD25" i="7"/>
  <c r="I26" i="7"/>
  <c r="DA26" i="7"/>
  <c r="AN27" i="7"/>
  <c r="DU27" i="7"/>
  <c r="BC28" i="7"/>
  <c r="DO28" i="7"/>
  <c r="AG29" i="7"/>
  <c r="CS29" i="7"/>
  <c r="K30" i="7"/>
  <c r="BW30" i="7"/>
  <c r="EI30" i="7"/>
  <c r="BA31" i="7"/>
  <c r="DM31" i="7"/>
  <c r="CZ16" i="7"/>
  <c r="BF20" i="7"/>
  <c r="CM21" i="7"/>
  <c r="BS22" i="7"/>
  <c r="Y23" i="7"/>
  <c r="DX23" i="7"/>
  <c r="CC24" i="7"/>
  <c r="AF25" i="7"/>
  <c r="EE25" i="7"/>
  <c r="CG26" i="7"/>
  <c r="T27" i="7"/>
  <c r="DA27" i="7"/>
  <c r="AN28" i="7"/>
  <c r="CZ28" i="7"/>
  <c r="R29" i="7"/>
  <c r="CD29" i="7"/>
  <c r="EP29" i="7"/>
  <c r="BH30" i="7"/>
  <c r="DT30" i="7"/>
  <c r="AL31" i="7"/>
  <c r="Q18" i="7"/>
  <c r="CM20" i="7"/>
  <c r="DG21" i="7"/>
  <c r="CI22" i="7"/>
  <c r="AN23" i="7"/>
  <c r="EM23" i="7"/>
  <c r="CP24" i="7"/>
  <c r="AU25" i="7"/>
  <c r="ES25" i="7"/>
  <c r="CS26" i="7"/>
  <c r="AF27" i="7"/>
  <c r="DM27" i="7"/>
  <c r="AW28" i="7"/>
  <c r="DI28" i="7"/>
  <c r="AA29" i="7"/>
  <c r="CM29" i="7"/>
  <c r="E30" i="7"/>
  <c r="BQ30" i="7"/>
  <c r="EC30" i="7"/>
  <c r="AU31" i="7"/>
  <c r="DG31" i="7"/>
  <c r="EC18" i="7"/>
  <c r="DS20" i="7"/>
  <c r="EC21" i="7"/>
  <c r="DA22" i="7"/>
  <c r="BE23" i="7"/>
  <c r="J24" i="7"/>
  <c r="DI24" i="7"/>
  <c r="BL25" i="7"/>
  <c r="Q26" i="7"/>
  <c r="DG26" i="7"/>
  <c r="AU27" i="7"/>
  <c r="EB27" i="7"/>
  <c r="BH28" i="7"/>
  <c r="DT28" i="7"/>
  <c r="AL29" i="7"/>
  <c r="CX29" i="7"/>
  <c r="P30" i="7"/>
  <c r="CB30" i="7"/>
  <c r="EN30" i="7"/>
  <c r="BF31" i="7"/>
  <c r="DR31" i="7"/>
  <c r="CV21" i="7"/>
  <c r="CG24" i="7"/>
  <c r="X27" i="7"/>
  <c r="U29" i="7"/>
  <c r="DW30" i="7"/>
  <c r="P32" i="7"/>
  <c r="CL32" i="7"/>
  <c r="G33" i="7"/>
  <c r="BS33" i="7"/>
  <c r="EE33" i="7"/>
  <c r="AD22" i="7"/>
  <c r="ES24" i="7"/>
  <c r="BY27" i="7"/>
  <c r="BI29" i="7"/>
  <c r="Q31" i="7"/>
  <c r="AB32" i="7"/>
  <c r="CX32" i="7"/>
  <c r="Q33" i="7"/>
  <c r="CC33" i="7"/>
  <c r="EO33" i="7"/>
  <c r="BG34" i="7"/>
  <c r="DS34" i="7"/>
  <c r="AK35" i="7"/>
  <c r="CW35" i="7"/>
  <c r="O36" i="7"/>
  <c r="CA36" i="7"/>
  <c r="EM36" i="7"/>
  <c r="BE37" i="7"/>
  <c r="DQ37" i="7"/>
  <c r="AI38" i="7"/>
  <c r="CU38" i="7"/>
  <c r="DX21" i="7"/>
  <c r="DE24" i="7"/>
  <c r="AR27" i="7"/>
  <c r="AJ29" i="7"/>
  <c r="EL30" i="7"/>
  <c r="S32" i="7"/>
  <c r="CP32" i="7"/>
  <c r="J33" i="7"/>
  <c r="BV33" i="7"/>
  <c r="EH33" i="7"/>
  <c r="AZ34" i="7"/>
  <c r="DL34" i="7"/>
  <c r="AD35" i="7"/>
  <c r="CP35" i="7"/>
  <c r="H36" i="7"/>
  <c r="BT36" i="7"/>
  <c r="EF36" i="7"/>
  <c r="AX37" i="7"/>
  <c r="DJ37" i="7"/>
  <c r="AB38" i="7"/>
  <c r="CN38" i="7"/>
  <c r="DR20" i="7"/>
  <c r="I24" i="7"/>
  <c r="DF26" i="7"/>
  <c r="DS28" i="7"/>
  <c r="Y9" i="7"/>
  <c r="BQ13" i="7"/>
  <c r="BV13" i="7"/>
  <c r="N17" i="7"/>
  <c r="AH11" i="7"/>
  <c r="BE19" i="7"/>
  <c r="AJ20" i="7"/>
  <c r="M19" i="7"/>
  <c r="L21" i="7"/>
  <c r="CR24" i="7"/>
  <c r="H28" i="7"/>
  <c r="BI22" i="7"/>
  <c r="DZ18" i="7"/>
  <c r="AP23" i="7"/>
  <c r="CZ26" i="7"/>
  <c r="DN20" i="7"/>
  <c r="BK24" i="7"/>
  <c r="CC22" i="7"/>
  <c r="DH27" i="7"/>
  <c r="AQ31" i="7"/>
  <c r="BU23" i="7"/>
  <c r="BH27" i="7"/>
  <c r="AL28" i="7"/>
  <c r="CX28" i="7"/>
  <c r="P29" i="7"/>
  <c r="CB29" i="7"/>
  <c r="EN29" i="7"/>
  <c r="BF30" i="7"/>
  <c r="DR30" i="7"/>
  <c r="AJ31" i="7"/>
  <c r="CV31" i="7"/>
  <c r="ET18" i="7"/>
  <c r="EC20" i="7"/>
  <c r="EJ21" i="7"/>
  <c r="DF22" i="7"/>
  <c r="BK23" i="7"/>
  <c r="N24" i="7"/>
  <c r="DM24" i="7"/>
  <c r="BQ25" i="7"/>
  <c r="V26" i="7"/>
  <c r="DK26" i="7"/>
  <c r="AY27" i="7"/>
  <c r="EF27" i="7"/>
  <c r="BK28" i="7"/>
  <c r="DW28" i="7"/>
  <c r="AO29" i="7"/>
  <c r="DA29" i="7"/>
  <c r="S30" i="7"/>
  <c r="CE30" i="7"/>
  <c r="EQ30" i="7"/>
  <c r="BI31" i="7"/>
  <c r="DU31" i="7"/>
  <c r="M18" i="7"/>
  <c r="CG20" i="7"/>
  <c r="DE21" i="7"/>
  <c r="CH22" i="7"/>
  <c r="AM23" i="7"/>
  <c r="EJ23" i="7"/>
  <c r="CO24" i="7"/>
  <c r="AS25" i="7"/>
  <c r="ER25" i="7"/>
  <c r="CQ26" i="7"/>
  <c r="AE27" i="7"/>
  <c r="DL27" i="7"/>
  <c r="AV28" i="7"/>
  <c r="DH28" i="7"/>
  <c r="Z29" i="7"/>
  <c r="CL29" i="7"/>
  <c r="D30" i="7"/>
  <c r="BP30" i="7"/>
  <c r="EB30" i="7"/>
  <c r="AT31" i="7"/>
  <c r="CW18" i="7"/>
  <c r="DK20" i="7"/>
  <c r="DW21" i="7"/>
  <c r="CW22" i="7"/>
  <c r="AZ23" i="7"/>
  <c r="E24" i="7"/>
  <c r="DC24" i="7"/>
  <c r="BH25" i="7"/>
  <c r="M26" i="7"/>
  <c r="DC26" i="7"/>
  <c r="AQ27" i="7"/>
  <c r="DX27" i="7"/>
  <c r="BE28" i="7"/>
  <c r="DQ28" i="7"/>
  <c r="AI29" i="7"/>
  <c r="CU29" i="7"/>
  <c r="M30" i="7"/>
  <c r="BY30" i="7"/>
  <c r="EK30" i="7"/>
  <c r="BC31" i="7"/>
  <c r="DO31" i="7"/>
  <c r="AQ19" i="7"/>
  <c r="EO20" i="7"/>
  <c r="ES21" i="7"/>
  <c r="DN22" i="7"/>
  <c r="BS23" i="7"/>
  <c r="V24" i="7"/>
  <c r="DU24" i="7"/>
  <c r="BY25" i="7"/>
  <c r="AD26" i="7"/>
  <c r="DR26" i="7"/>
  <c r="BE27" i="7"/>
  <c r="EM27" i="7"/>
  <c r="BP28" i="7"/>
  <c r="EB28" i="7"/>
  <c r="AT29" i="7"/>
  <c r="DF29" i="7"/>
  <c r="X30" i="7"/>
  <c r="CJ30" i="7"/>
  <c r="EV30" i="7"/>
  <c r="BN31" i="7"/>
  <c r="DZ31" i="7"/>
  <c r="N22" i="7"/>
  <c r="EG24" i="7"/>
  <c r="BO27" i="7"/>
  <c r="BA29" i="7"/>
  <c r="I31" i="7"/>
  <c r="Z32" i="7"/>
  <c r="CU32" i="7"/>
  <c r="O33" i="7"/>
  <c r="CA33" i="7"/>
  <c r="EM33" i="7"/>
  <c r="CL22" i="7"/>
  <c r="AY25" i="7"/>
  <c r="DP27" i="7"/>
  <c r="CO29" i="7"/>
  <c r="AW31" i="7"/>
  <c r="AL32" i="7"/>
  <c r="DG32" i="7"/>
  <c r="Y33" i="7"/>
  <c r="CK33" i="7"/>
  <c r="C34" i="7"/>
  <c r="BO34" i="7"/>
  <c r="EA34" i="7"/>
  <c r="AS35" i="7"/>
  <c r="DE35" i="7"/>
  <c r="W36" i="7"/>
  <c r="CI36" i="7"/>
  <c r="EU36" i="7"/>
  <c r="BM37" i="7"/>
  <c r="DY37" i="7"/>
  <c r="AQ38" i="7"/>
  <c r="DC38" i="7"/>
  <c r="AP22" i="7"/>
  <c r="K25" i="7"/>
  <c r="CI27" i="7"/>
  <c r="BP29" i="7"/>
  <c r="X31" i="7"/>
  <c r="AD32" i="7"/>
  <c r="CY32" i="7"/>
  <c r="R33" i="7"/>
  <c r="CD33" i="7"/>
  <c r="EP33" i="7"/>
  <c r="BH34" i="7"/>
  <c r="DT34" i="7"/>
  <c r="AL35" i="7"/>
  <c r="CX35" i="7"/>
  <c r="P36" i="7"/>
  <c r="CB36" i="7"/>
  <c r="EN36" i="7"/>
  <c r="BF37" i="7"/>
  <c r="DR37" i="7"/>
  <c r="AJ38" i="7"/>
  <c r="CV38" i="7"/>
  <c r="BE21" i="7"/>
  <c r="BG24" i="7"/>
  <c r="C27" i="7"/>
  <c r="E29" i="7"/>
  <c r="DG30" i="7"/>
  <c r="DC9" i="7"/>
  <c r="H14" i="7"/>
  <c r="DD17" i="7"/>
  <c r="CY17" i="7"/>
  <c r="CN18" i="7"/>
  <c r="P18" i="7"/>
  <c r="BZ21" i="7"/>
  <c r="BC20" i="7"/>
  <c r="BX22" i="7"/>
  <c r="EH25" i="7"/>
  <c r="CY19" i="7"/>
  <c r="DL19" i="7"/>
  <c r="EP20" i="7"/>
  <c r="CF24" i="7"/>
  <c r="EP27" i="7"/>
  <c r="AQ22" i="7"/>
  <c r="DA25" i="7"/>
  <c r="CK24" i="7"/>
  <c r="W29" i="7"/>
  <c r="CG32" i="7"/>
  <c r="CB25" i="7"/>
  <c r="EE27" i="7"/>
  <c r="BJ28" i="7"/>
  <c r="DV28" i="7"/>
  <c r="AN29" i="7"/>
  <c r="CZ29" i="7"/>
  <c r="R30" i="7"/>
  <c r="CD30" i="7"/>
  <c r="EP30" i="7"/>
  <c r="BH31" i="7"/>
  <c r="DT31" i="7"/>
  <c r="EE19" i="7"/>
  <c r="AU21" i="7"/>
  <c r="AL22" i="7"/>
  <c r="ES22" i="7"/>
  <c r="CV23" i="7"/>
  <c r="BA24" i="7"/>
  <c r="E25" i="7"/>
  <c r="DD25" i="7"/>
  <c r="BI26" i="7"/>
  <c r="EQ26" i="7"/>
  <c r="CE27" i="7"/>
  <c r="R28" i="7"/>
  <c r="CI28" i="7"/>
  <c r="EU28" i="7"/>
  <c r="BM29" i="7"/>
  <c r="DY29" i="7"/>
  <c r="AQ30" i="7"/>
  <c r="DC30" i="7"/>
  <c r="U31" i="7"/>
  <c r="CG31" i="7"/>
  <c r="ES31" i="7"/>
  <c r="BK19" i="7"/>
  <c r="E21" i="7"/>
  <c r="G22" i="7"/>
  <c r="DU22" i="7"/>
  <c r="BX23" i="7"/>
  <c r="AC24" i="7"/>
  <c r="EA24" i="7"/>
  <c r="CF25" i="7"/>
  <c r="AK26" i="7"/>
  <c r="DW26" i="7"/>
  <c r="BK27" i="7"/>
  <c r="ER27" i="7"/>
  <c r="BT28" i="7"/>
  <c r="EF28" i="7"/>
  <c r="AX29" i="7"/>
  <c r="DJ29" i="7"/>
  <c r="AB30" i="7"/>
  <c r="CN30" i="7"/>
  <c r="F31" i="7"/>
  <c r="BR31" i="7"/>
  <c r="DD19" i="7"/>
  <c r="AC21" i="7"/>
  <c r="Y22" i="7"/>
  <c r="EH22" i="7"/>
  <c r="CM23" i="7"/>
  <c r="AQ24" i="7"/>
  <c r="EP24" i="7"/>
  <c r="CU25" i="7"/>
  <c r="AX26" i="7"/>
  <c r="EI26" i="7"/>
  <c r="BW27" i="7"/>
  <c r="J28" i="7"/>
  <c r="CC28" i="7"/>
  <c r="EO28" i="7"/>
  <c r="BG29" i="7"/>
  <c r="DS29" i="7"/>
  <c r="AK30" i="7"/>
  <c r="CW30" i="7"/>
  <c r="O31" i="7"/>
  <c r="CA31" i="7"/>
  <c r="EM31" i="7"/>
  <c r="F20" i="7"/>
  <c r="BG21" i="7"/>
  <c r="AU22" i="7"/>
  <c r="G23" i="7"/>
  <c r="DD23" i="7"/>
  <c r="BI24" i="7"/>
  <c r="M25" i="7"/>
  <c r="DL25" i="7"/>
  <c r="BQ26" i="7"/>
  <c r="D27" i="7"/>
  <c r="CK27" i="7"/>
  <c r="Y28" i="7"/>
  <c r="CN28" i="7"/>
  <c r="F29" i="7"/>
  <c r="BR29" i="7"/>
  <c r="ED29" i="7"/>
  <c r="AV30" i="7"/>
  <c r="DH30" i="7"/>
  <c r="Z31" i="7"/>
  <c r="CL31" i="7"/>
  <c r="BU17" i="7"/>
  <c r="AE23" i="7"/>
  <c r="EJ25" i="7"/>
  <c r="AQ28" i="7"/>
  <c r="ES29" i="7"/>
  <c r="CX31" i="7"/>
  <c r="BB32" i="7"/>
  <c r="DU32" i="7"/>
  <c r="AM33" i="7"/>
  <c r="CY33" i="7"/>
  <c r="DO19" i="7"/>
  <c r="CQ23" i="7"/>
  <c r="BB26" i="7"/>
  <c r="CE28" i="7"/>
  <c r="AM30" i="7"/>
  <c r="DX31" i="7"/>
  <c r="BM32" i="7"/>
  <c r="EE32" i="7"/>
  <c r="AW33" i="7"/>
  <c r="DI33" i="7"/>
  <c r="AA34" i="7"/>
  <c r="CM34" i="7"/>
  <c r="E35" i="7"/>
  <c r="BQ35" i="7"/>
  <c r="EC35" i="7"/>
  <c r="AU36" i="7"/>
  <c r="DG36" i="7"/>
  <c r="Y37" i="7"/>
  <c r="CK37" i="7"/>
  <c r="C38" i="7"/>
  <c r="BO38" i="7"/>
  <c r="DM18" i="7"/>
  <c r="BC23" i="7"/>
  <c r="N26" i="7"/>
  <c r="BF28" i="7"/>
  <c r="N30" i="7"/>
  <c r="DF31" i="7"/>
  <c r="BE32" i="7"/>
  <c r="DX32" i="7"/>
  <c r="AP33" i="7"/>
  <c r="DB33" i="7"/>
  <c r="T34" i="7"/>
  <c r="CF34" i="7"/>
  <c r="ER34" i="7"/>
  <c r="BJ35" i="7"/>
  <c r="DV35" i="7"/>
  <c r="AN36" i="7"/>
  <c r="CZ36" i="7"/>
  <c r="R37" i="7"/>
  <c r="CD37" i="7"/>
  <c r="EP37" i="7"/>
  <c r="BH38" i="7"/>
  <c r="DT38" i="7"/>
  <c r="CY22" i="7"/>
  <c r="BK25" i="7"/>
  <c r="EA27" i="7"/>
  <c r="CW29" i="7"/>
  <c r="EQ15" i="7"/>
  <c r="EK19" i="7"/>
  <c r="EL18" i="7"/>
  <c r="DY21" i="7"/>
  <c r="U32" i="7"/>
  <c r="DN28" i="7"/>
  <c r="BV30" i="7"/>
  <c r="CR19" i="7"/>
  <c r="CJ23" i="7"/>
  <c r="AU26" i="7"/>
  <c r="CA28" i="7"/>
  <c r="AI30" i="7"/>
  <c r="EK31" i="7"/>
  <c r="DG22" i="7"/>
  <c r="BS25" i="7"/>
  <c r="EG27" i="7"/>
  <c r="DB29" i="7"/>
  <c r="BJ31" i="7"/>
  <c r="DV22" i="7"/>
  <c r="CG25" i="7"/>
  <c r="ES27" i="7"/>
  <c r="DK29" i="7"/>
  <c r="BS31" i="7"/>
  <c r="AE22" i="7"/>
  <c r="ET24" i="7"/>
  <c r="CA27" i="7"/>
  <c r="BJ29" i="7"/>
  <c r="R31" i="7"/>
  <c r="CJ25" i="7"/>
  <c r="AR32" i="7"/>
  <c r="AK18" i="7"/>
  <c r="G30" i="7"/>
  <c r="AO33" i="7"/>
  <c r="EQ34" i="7"/>
  <c r="CY36" i="7"/>
  <c r="BG38" i="7"/>
  <c r="V28" i="7"/>
  <c r="DP32" i="7"/>
  <c r="BX34" i="7"/>
  <c r="AF36" i="7"/>
  <c r="EH37" i="7"/>
  <c r="L25" i="7"/>
  <c r="Y31" i="7"/>
  <c r="AN32" i="7"/>
  <c r="DI32" i="7"/>
  <c r="AA33" i="7"/>
  <c r="CM33" i="7"/>
  <c r="E34" i="7"/>
  <c r="BQ34" i="7"/>
  <c r="EC34" i="7"/>
  <c r="AU35" i="7"/>
  <c r="DG35" i="7"/>
  <c r="Y36" i="7"/>
  <c r="CK36" i="7"/>
  <c r="C37" i="7"/>
  <c r="BO37" i="7"/>
  <c r="EA37" i="7"/>
  <c r="AS38" i="7"/>
  <c r="DE38" i="7"/>
  <c r="J22" i="7"/>
  <c r="ED24" i="7"/>
  <c r="BM27" i="7"/>
  <c r="AZ29" i="7"/>
  <c r="H31" i="7"/>
  <c r="Y32" i="7"/>
  <c r="CT32" i="7"/>
  <c r="N33" i="7"/>
  <c r="BZ33" i="7"/>
  <c r="EL33" i="7"/>
  <c r="BD34" i="7"/>
  <c r="DP34" i="7"/>
  <c r="AH35" i="7"/>
  <c r="CT35" i="7"/>
  <c r="L36" i="7"/>
  <c r="BX36" i="7"/>
  <c r="EJ36" i="7"/>
  <c r="BB37" i="7"/>
  <c r="DN37" i="7"/>
  <c r="AF38" i="7"/>
  <c r="CR38" i="7"/>
  <c r="BO23" i="7"/>
  <c r="BY29" i="7"/>
  <c r="CD32" i="7"/>
  <c r="DD33" i="7"/>
  <c r="CS34" i="7"/>
  <c r="BW35" i="7"/>
  <c r="BA36" i="7"/>
  <c r="AE37" i="7"/>
  <c r="I38" i="7"/>
  <c r="ED38" i="7"/>
  <c r="AV39" i="7"/>
  <c r="DH39" i="7"/>
  <c r="Z40" i="7"/>
  <c r="CL40" i="7"/>
  <c r="D41" i="7"/>
  <c r="BP41" i="7"/>
  <c r="EB41" i="7"/>
  <c r="AT42" i="7"/>
  <c r="DF42" i="7"/>
  <c r="X43" i="7"/>
  <c r="CJ43" i="7"/>
  <c r="BU21" i="7"/>
  <c r="BO28" i="7"/>
  <c r="AJ32" i="7"/>
  <c r="BP33" i="7"/>
  <c r="BN34" i="7"/>
  <c r="AR35" i="7"/>
  <c r="V36" i="7"/>
  <c r="ET36" i="7"/>
  <c r="DX37" i="7"/>
  <c r="DB38" i="7"/>
  <c r="AG39" i="7"/>
  <c r="CS39" i="7"/>
  <c r="K40" i="7"/>
  <c r="BW40" i="7"/>
  <c r="EI40" i="7"/>
  <c r="BA41" i="7"/>
  <c r="DM41" i="7"/>
  <c r="AE42" i="7"/>
  <c r="CQ42" i="7"/>
  <c r="I43" i="7"/>
  <c r="BU43" i="7"/>
  <c r="EG43" i="7"/>
  <c r="M27" i="7"/>
  <c r="DV31" i="7"/>
  <c r="AB33" i="7"/>
  <c r="AL34" i="7"/>
  <c r="P35" i="7"/>
  <c r="EN35" i="7"/>
  <c r="DR36" i="7"/>
  <c r="CV37" i="7"/>
  <c r="BZ38" i="7"/>
  <c r="R39" i="7"/>
  <c r="CD39" i="7"/>
  <c r="EP39" i="7"/>
  <c r="BH40" i="7"/>
  <c r="DT40" i="7"/>
  <c r="AL41" i="7"/>
  <c r="CX41" i="7"/>
  <c r="P42" i="7"/>
  <c r="CB42" i="7"/>
  <c r="EN42" i="7"/>
  <c r="BF43" i="7"/>
  <c r="DR43" i="7"/>
  <c r="CS24" i="7"/>
  <c r="BB30" i="7"/>
  <c r="DK32" i="7"/>
  <c r="EF33" i="7"/>
  <c r="DO34" i="7"/>
  <c r="CS35" i="7"/>
  <c r="BW36" i="7"/>
  <c r="BA37" i="7"/>
  <c r="AE38" i="7"/>
  <c r="EO38" i="7"/>
  <c r="BG39" i="7"/>
  <c r="DS39" i="7"/>
  <c r="AK40" i="7"/>
  <c r="CW40" i="7"/>
  <c r="O41" i="7"/>
  <c r="CA41" i="7"/>
  <c r="EM41" i="7"/>
  <c r="BE42" i="7"/>
  <c r="DQ42" i="7"/>
  <c r="AI43" i="7"/>
  <c r="CU43" i="7"/>
  <c r="EK22" i="7"/>
  <c r="AR29" i="7"/>
  <c r="BR32" i="7"/>
  <c r="CR33" i="7"/>
  <c r="CK34" i="7"/>
  <c r="BO35" i="7"/>
  <c r="AS36" i="7"/>
  <c r="W37" i="7"/>
  <c r="EU37" i="7"/>
  <c r="DY38" i="7"/>
  <c r="AR39" i="7"/>
  <c r="DD39" i="7"/>
  <c r="V40" i="7"/>
  <c r="CH40" i="7"/>
  <c r="ET40" i="7"/>
  <c r="BL41" i="7"/>
  <c r="DX41" i="7"/>
  <c r="AP42" i="7"/>
  <c r="DB42" i="7"/>
  <c r="T43" i="7"/>
  <c r="CF43" i="7"/>
  <c r="AH18" i="7"/>
  <c r="CS27" i="7"/>
  <c r="EV31" i="7"/>
  <c r="AN33" i="7"/>
  <c r="AU34" i="7"/>
  <c r="Y35" i="7"/>
  <c r="C36" i="7"/>
  <c r="EA36" i="7"/>
  <c r="DE37" i="7"/>
  <c r="CI38" i="7"/>
  <c r="W39" i="7"/>
  <c r="CI39" i="7"/>
  <c r="EU39" i="7"/>
  <c r="BM40" i="7"/>
  <c r="DY40" i="7"/>
  <c r="AQ41" i="7"/>
  <c r="DC41" i="7"/>
  <c r="U42" i="7"/>
  <c r="CG42" i="7"/>
  <c r="ES42" i="7"/>
  <c r="BK43" i="7"/>
  <c r="DW43" i="7"/>
  <c r="DS32" i="7"/>
  <c r="CD36" i="7"/>
  <c r="BJ39" i="7"/>
  <c r="R41" i="7"/>
  <c r="DT42" i="7"/>
  <c r="P44" i="7"/>
  <c r="CB44" i="7"/>
  <c r="EN44" i="7"/>
  <c r="BF45" i="7"/>
  <c r="DR45" i="7"/>
  <c r="AJ46" i="7"/>
  <c r="CV46" i="7"/>
  <c r="N47" i="7"/>
  <c r="BZ47" i="7"/>
  <c r="EL47" i="7"/>
  <c r="BD48" i="7"/>
  <c r="DP48" i="7"/>
  <c r="AH49" i="7"/>
  <c r="CT49" i="7"/>
  <c r="L50" i="7"/>
  <c r="BX50" i="7"/>
  <c r="DJ28" i="7"/>
  <c r="AZ35" i="7"/>
  <c r="DJ38" i="7"/>
  <c r="CA40" i="7"/>
  <c r="AI42" i="7"/>
  <c r="EK43" i="7"/>
  <c r="BE44" i="7"/>
  <c r="DQ44" i="7"/>
  <c r="AI45" i="7"/>
  <c r="CU45" i="7"/>
  <c r="M46" i="7"/>
  <c r="BY46" i="7"/>
  <c r="EK46" i="7"/>
  <c r="BC47" i="7"/>
  <c r="DO47" i="7"/>
  <c r="AG48" i="7"/>
  <c r="CS48" i="7"/>
  <c r="K49" i="7"/>
  <c r="BW49" i="7"/>
  <c r="EI49" i="7"/>
  <c r="BA50" i="7"/>
  <c r="Z22" i="7"/>
  <c r="BZ34" i="7"/>
  <c r="EJ37" i="7"/>
  <c r="P40" i="7"/>
  <c r="DR41" i="7"/>
  <c r="BZ43" i="7"/>
  <c r="AP44" i="7"/>
  <c r="DB44" i="7"/>
  <c r="T45" i="7"/>
  <c r="CF45" i="7"/>
  <c r="ER45" i="7"/>
  <c r="BJ46" i="7"/>
  <c r="DV46" i="7"/>
  <c r="AN47" i="7"/>
  <c r="CZ47" i="7"/>
  <c r="R48" i="7"/>
  <c r="CD48" i="7"/>
  <c r="EP48" i="7"/>
  <c r="BH49" i="7"/>
  <c r="DT49" i="7"/>
  <c r="AL50" i="7"/>
  <c r="CX50" i="7"/>
  <c r="CV33" i="7"/>
  <c r="X37" i="7"/>
  <c r="DE39" i="7"/>
  <c r="BM41" i="7"/>
  <c r="U43" i="7"/>
  <c r="AA44" i="7"/>
  <c r="CM44" i="7"/>
  <c r="E45" i="7"/>
  <c r="BQ45" i="7"/>
  <c r="EC45" i="7"/>
  <c r="AU46" i="7"/>
  <c r="DG46" i="7"/>
  <c r="Y47" i="7"/>
  <c r="CK47" i="7"/>
  <c r="C48" i="7"/>
  <c r="BO48" i="7"/>
  <c r="EA48" i="7"/>
  <c r="AS49" i="7"/>
  <c r="DE49" i="7"/>
  <c r="W50" i="7"/>
  <c r="CI50" i="7"/>
  <c r="CR31" i="7"/>
  <c r="EF35" i="7"/>
  <c r="N39" i="7"/>
  <c r="DP40" i="7"/>
  <c r="BX42" i="7"/>
  <c r="D44" i="7"/>
  <c r="BP44" i="7"/>
  <c r="EB44" i="7"/>
  <c r="AT45" i="7"/>
  <c r="DF45" i="7"/>
  <c r="X46" i="7"/>
  <c r="CJ46" i="7"/>
  <c r="EV46" i="7"/>
  <c r="BN47" i="7"/>
  <c r="DZ47" i="7"/>
  <c r="AR48" i="7"/>
  <c r="DD48" i="7"/>
  <c r="V49" i="7"/>
  <c r="CH49" i="7"/>
  <c r="ET49" i="7"/>
  <c r="BL50" i="7"/>
  <c r="DS24" i="7"/>
  <c r="DR34" i="7"/>
  <c r="AH38" i="7"/>
  <c r="AM40" i="7"/>
  <c r="EO41" i="7"/>
  <c r="CW43" i="7"/>
  <c r="AU44" i="7"/>
  <c r="DG44" i="7"/>
  <c r="Y45" i="7"/>
  <c r="CK45" i="7"/>
  <c r="C46" i="7"/>
  <c r="BO46" i="7"/>
  <c r="EA46" i="7"/>
  <c r="AS47" i="7"/>
  <c r="DE47" i="7"/>
  <c r="W48" i="7"/>
  <c r="CI48" i="7"/>
  <c r="EU48" i="7"/>
  <c r="BM49" i="7"/>
  <c r="DY49" i="7"/>
  <c r="AQ50" i="7"/>
  <c r="DC50" i="7"/>
  <c r="AF40" i="7"/>
  <c r="DF44" i="7"/>
  <c r="BN46" i="7"/>
  <c r="V48" i="7"/>
  <c r="DX49" i="7"/>
  <c r="DV6" i="7"/>
  <c r="BC15" i="7"/>
  <c r="CS21" i="7"/>
  <c r="DC19" i="7"/>
  <c r="DW24" i="7"/>
  <c r="Z24" i="7"/>
  <c r="X29" i="7"/>
  <c r="DZ30" i="7"/>
  <c r="D21" i="7"/>
  <c r="AA24" i="7"/>
  <c r="DV26" i="7"/>
  <c r="EE28" i="7"/>
  <c r="CM30" i="7"/>
  <c r="CT18" i="7"/>
  <c r="AY23" i="7"/>
  <c r="J26" i="7"/>
  <c r="BD28" i="7"/>
  <c r="L30" i="7"/>
  <c r="P19" i="7"/>
  <c r="BM23" i="7"/>
  <c r="Y26" i="7"/>
  <c r="BM28" i="7"/>
  <c r="U30" i="7"/>
  <c r="DW31" i="7"/>
  <c r="DZ22" i="7"/>
  <c r="CM25" i="7"/>
  <c r="C28" i="7"/>
  <c r="DN29" i="7"/>
  <c r="BV31" i="7"/>
  <c r="DE27" i="7"/>
  <c r="DD32" i="7"/>
  <c r="EL22" i="7"/>
  <c r="CC31" i="7"/>
  <c r="CS33" i="7"/>
  <c r="BA35" i="7"/>
  <c r="I37" i="7"/>
  <c r="DK38" i="7"/>
  <c r="CV29" i="7"/>
  <c r="Z33" i="7"/>
  <c r="EB34" i="7"/>
  <c r="CJ36" i="7"/>
  <c r="AR38" i="7"/>
  <c r="AS27" i="7"/>
  <c r="BE31" i="7"/>
  <c r="AW32" i="7"/>
  <c r="DQ32" i="7"/>
  <c r="AI33" i="7"/>
  <c r="CU33" i="7"/>
  <c r="M34" i="7"/>
  <c r="BY34" i="7"/>
  <c r="EK34" i="7"/>
  <c r="BC35" i="7"/>
  <c r="DO35" i="7"/>
  <c r="AG36" i="7"/>
  <c r="CS36" i="7"/>
  <c r="K37" i="7"/>
  <c r="BW37" i="7"/>
  <c r="EI37" i="7"/>
  <c r="BA38" i="7"/>
  <c r="DM38" i="7"/>
  <c r="BV22" i="7"/>
  <c r="AJ25" i="7"/>
  <c r="DD27" i="7"/>
  <c r="CF29" i="7"/>
  <c r="AN31" i="7"/>
  <c r="AH32" i="7"/>
  <c r="DC32" i="7"/>
  <c r="V33" i="7"/>
  <c r="CH33" i="7"/>
  <c r="ET33" i="7"/>
  <c r="BL34" i="7"/>
  <c r="DX34" i="7"/>
  <c r="AP35" i="7"/>
  <c r="DB35" i="7"/>
  <c r="T36" i="7"/>
  <c r="CF36" i="7"/>
  <c r="ER36" i="7"/>
  <c r="BJ37" i="7"/>
  <c r="DV37" i="7"/>
  <c r="AN38" i="7"/>
  <c r="CZ38" i="7"/>
  <c r="AS24" i="7"/>
  <c r="V30" i="7"/>
  <c r="DB32" i="7"/>
  <c r="DX33" i="7"/>
  <c r="DI34" i="7"/>
  <c r="CM35" i="7"/>
  <c r="BQ36" i="7"/>
  <c r="AU37" i="7"/>
  <c r="Y38" i="7"/>
  <c r="EL38" i="7"/>
  <c r="BD39" i="7"/>
  <c r="DP39" i="7"/>
  <c r="AH40" i="7"/>
  <c r="CT40" i="7"/>
  <c r="L41" i="7"/>
  <c r="BX41" i="7"/>
  <c r="EJ41" i="7"/>
  <c r="BB42" i="7"/>
  <c r="DN42" i="7"/>
  <c r="AF43" i="7"/>
  <c r="CR43" i="7"/>
  <c r="CK22" i="7"/>
  <c r="L29" i="7"/>
  <c r="BH32" i="7"/>
  <c r="CJ33" i="7"/>
  <c r="CD34" i="7"/>
  <c r="BH35" i="7"/>
  <c r="AL36" i="7"/>
  <c r="P37" i="7"/>
  <c r="EN37" i="7"/>
  <c r="DR38" i="7"/>
  <c r="AO39" i="7"/>
  <c r="DA39" i="7"/>
  <c r="S40" i="7"/>
  <c r="CE40" i="7"/>
  <c r="EQ40" i="7"/>
  <c r="BI41" i="7"/>
  <c r="DU41" i="7"/>
  <c r="AM42" i="7"/>
  <c r="CY42" i="7"/>
  <c r="Q43" i="7"/>
  <c r="CC43" i="7"/>
  <c r="DG19" i="7"/>
  <c r="EJ27" i="7"/>
  <c r="L32" i="7"/>
  <c r="AV33" i="7"/>
  <c r="BB34" i="7"/>
  <c r="AF35" i="7"/>
  <c r="J36" i="7"/>
  <c r="EH36" i="7"/>
  <c r="DL37" i="7"/>
  <c r="CP38" i="7"/>
  <c r="Z39" i="7"/>
  <c r="CL39" i="7"/>
  <c r="D40" i="7"/>
  <c r="BP40" i="7"/>
  <c r="EB40" i="7"/>
  <c r="AT41" i="7"/>
  <c r="DF41" i="7"/>
  <c r="X42" i="7"/>
  <c r="CJ42" i="7"/>
  <c r="EV42" i="7"/>
  <c r="BN43" i="7"/>
  <c r="DZ43" i="7"/>
  <c r="BX25" i="7"/>
  <c r="ED30" i="7"/>
  <c r="EH32" i="7"/>
  <c r="G34" i="7"/>
  <c r="EE34" i="7"/>
  <c r="DI35" i="7"/>
  <c r="CM36" i="7"/>
  <c r="BQ37" i="7"/>
  <c r="AU38" i="7"/>
  <c r="C39" i="7"/>
  <c r="BO39" i="7"/>
  <c r="EA39" i="7"/>
  <c r="AS40" i="7"/>
  <c r="DE40" i="7"/>
  <c r="W41" i="7"/>
  <c r="CI41" i="7"/>
  <c r="EU41" i="7"/>
  <c r="BM42" i="7"/>
  <c r="DY42" i="7"/>
  <c r="AQ43" i="7"/>
  <c r="DC43" i="7"/>
  <c r="DP23" i="7"/>
  <c r="DT29" i="7"/>
  <c r="CR32" i="7"/>
  <c r="DM33" i="7"/>
  <c r="DA34" i="7"/>
  <c r="CE35" i="7"/>
  <c r="BI36" i="7"/>
  <c r="AM37" i="7"/>
  <c r="Q38" i="7"/>
  <c r="EH38" i="7"/>
  <c r="AZ39" i="7"/>
  <c r="DL39" i="7"/>
  <c r="AD40" i="7"/>
  <c r="CP40" i="7"/>
  <c r="H41" i="7"/>
  <c r="BT41" i="7"/>
  <c r="EF41" i="7"/>
  <c r="AX42" i="7"/>
  <c r="DJ42" i="7"/>
  <c r="AB43" i="7"/>
  <c r="CN43" i="7"/>
  <c r="EM20" i="7"/>
  <c r="AX28" i="7"/>
  <c r="AF32" i="7"/>
  <c r="BI33" i="7"/>
  <c r="BK34" i="7"/>
  <c r="AO35" i="7"/>
  <c r="S36" i="7"/>
  <c r="EQ36" i="7"/>
  <c r="DU37" i="7"/>
  <c r="CY38" i="7"/>
  <c r="AE39" i="7"/>
  <c r="CQ39" i="7"/>
  <c r="I40" i="7"/>
  <c r="BU40" i="7"/>
  <c r="EG40" i="7"/>
  <c r="AY41" i="7"/>
  <c r="DK41" i="7"/>
  <c r="AC42" i="7"/>
  <c r="CO42" i="7"/>
  <c r="G43" i="7"/>
  <c r="BS43" i="7"/>
  <c r="EE43" i="7"/>
  <c r="BH33" i="7"/>
  <c r="EP36" i="7"/>
  <c r="CP39" i="7"/>
  <c r="AX41" i="7"/>
  <c r="F43" i="7"/>
  <c r="X44" i="7"/>
  <c r="CJ44" i="7"/>
  <c r="EV44" i="7"/>
  <c r="BN45" i="7"/>
  <c r="DZ45" i="7"/>
  <c r="AR46" i="7"/>
  <c r="DD46" i="7"/>
  <c r="V47" i="7"/>
  <c r="CH47" i="7"/>
  <c r="ET47" i="7"/>
  <c r="BL48" i="7"/>
  <c r="DX48" i="7"/>
  <c r="AP49" i="7"/>
  <c r="DB49" i="7"/>
  <c r="T50" i="7"/>
  <c r="CF50" i="7"/>
  <c r="EU30" i="7"/>
  <c r="DL35" i="7"/>
  <c r="E39" i="7"/>
  <c r="DG40" i="7"/>
  <c r="BO42" i="7"/>
  <c r="EU43" i="7"/>
  <c r="BM44" i="7"/>
  <c r="DY44" i="7"/>
  <c r="AQ45" i="7"/>
  <c r="DC45" i="7"/>
  <c r="U46" i="7"/>
  <c r="CG46" i="7"/>
  <c r="ES46" i="7"/>
  <c r="BK47" i="7"/>
  <c r="DW47" i="7"/>
  <c r="AO48" i="7"/>
  <c r="DA48" i="7"/>
  <c r="S49" i="7"/>
  <c r="CE49" i="7"/>
  <c r="EQ49" i="7"/>
  <c r="BI50" i="7"/>
  <c r="DW25" i="7"/>
  <c r="EL34" i="7"/>
  <c r="BB38" i="7"/>
  <c r="AV40" i="7"/>
  <c r="D42" i="7"/>
  <c r="DF43" i="7"/>
  <c r="AX44" i="7"/>
  <c r="DJ44" i="7"/>
  <c r="AB45" i="7"/>
  <c r="CN45" i="7"/>
  <c r="F46" i="7"/>
  <c r="BR46" i="7"/>
  <c r="ED46" i="7"/>
  <c r="AV47" i="7"/>
  <c r="DH47" i="7"/>
  <c r="Z48" i="7"/>
  <c r="CL48" i="7"/>
  <c r="D49" i="7"/>
  <c r="BP49" i="7"/>
  <c r="EB49" i="7"/>
  <c r="AT50" i="7"/>
  <c r="DF50" i="7"/>
  <c r="Z34" i="7"/>
  <c r="CJ37" i="7"/>
  <c r="EK39" i="7"/>
  <c r="CS41" i="7"/>
  <c r="BA43" i="7"/>
  <c r="AI44" i="7"/>
  <c r="CU44" i="7"/>
  <c r="M45" i="7"/>
  <c r="BY45" i="7"/>
  <c r="EK45" i="7"/>
  <c r="BC46" i="7"/>
  <c r="DO46" i="7"/>
  <c r="AG47" i="7"/>
  <c r="CS47" i="7"/>
  <c r="K48" i="7"/>
  <c r="BW48" i="7"/>
  <c r="EI48" i="7"/>
  <c r="BA49" i="7"/>
  <c r="DM49" i="7"/>
  <c r="AE50" i="7"/>
  <c r="CQ50" i="7"/>
  <c r="BZ32" i="7"/>
  <c r="AX36" i="7"/>
  <c r="AT39" i="7"/>
  <c r="EV40" i="7"/>
  <c r="DD42" i="7"/>
  <c r="L44" i="7"/>
  <c r="BX44" i="7"/>
  <c r="EJ44" i="7"/>
  <c r="BB45" i="7"/>
  <c r="DN45" i="7"/>
  <c r="AF46" i="7"/>
  <c r="CR46" i="7"/>
  <c r="J47" i="7"/>
  <c r="BV47" i="7"/>
  <c r="EH47" i="7"/>
  <c r="AZ48" i="7"/>
  <c r="DL48" i="7"/>
  <c r="AD49" i="7"/>
  <c r="CP49" i="7"/>
  <c r="H50" i="7"/>
  <c r="BT50" i="7"/>
  <c r="AG28" i="7"/>
  <c r="AJ35" i="7"/>
  <c r="CT38" i="7"/>
  <c r="BS40" i="7"/>
  <c r="AA42" i="7"/>
  <c r="EC43" i="7"/>
  <c r="BC44" i="7"/>
  <c r="DO44" i="7"/>
  <c r="AG45" i="7"/>
  <c r="CS45" i="7"/>
  <c r="K46" i="7"/>
  <c r="BW46" i="7"/>
  <c r="EI46" i="7"/>
  <c r="BA47" i="7"/>
  <c r="DM47" i="7"/>
  <c r="AE48" i="7"/>
  <c r="CQ48" i="7"/>
  <c r="I49" i="7"/>
  <c r="BU49" i="7"/>
  <c r="EG49" i="7"/>
  <c r="AY50" i="7"/>
  <c r="DK50" i="7"/>
  <c r="J41" i="7"/>
  <c r="EL44" i="7"/>
  <c r="CT46" i="7"/>
  <c r="BB48" i="7"/>
  <c r="BZ8" i="7"/>
  <c r="K17" i="7"/>
  <c r="L22" i="7"/>
  <c r="BG20" i="7"/>
  <c r="AO25" i="7"/>
  <c r="DY24" i="7"/>
  <c r="AF29" i="7"/>
  <c r="EH30" i="7"/>
  <c r="Y21" i="7"/>
  <c r="AO24" i="7"/>
  <c r="EG26" i="7"/>
  <c r="EM28" i="7"/>
  <c r="CU30" i="7"/>
  <c r="O19" i="7"/>
  <c r="BL23" i="7"/>
  <c r="W26" i="7"/>
  <c r="BL28" i="7"/>
  <c r="T30" i="7"/>
  <c r="BL19" i="7"/>
  <c r="CA23" i="7"/>
  <c r="AL26" i="7"/>
  <c r="BU28" i="7"/>
  <c r="AC30" i="7"/>
  <c r="EE31" i="7"/>
  <c r="EM22" i="7"/>
  <c r="CY25" i="7"/>
  <c r="N28" i="7"/>
  <c r="DV29" i="7"/>
  <c r="CD31" i="7"/>
  <c r="EV27" i="7"/>
  <c r="DM32" i="7"/>
  <c r="AQ23" i="7"/>
  <c r="DA31" i="7"/>
  <c r="DA33" i="7"/>
  <c r="BI35" i="7"/>
  <c r="Q37" i="7"/>
  <c r="DS38" i="7"/>
  <c r="EB29" i="7"/>
  <c r="AH33" i="7"/>
  <c r="EJ34" i="7"/>
  <c r="CR36" i="7"/>
  <c r="AZ38" i="7"/>
  <c r="CJ27" i="7"/>
  <c r="DH31" i="7"/>
  <c r="BF32" i="7"/>
  <c r="DY32" i="7"/>
  <c r="AQ33" i="7"/>
  <c r="DC33" i="7"/>
  <c r="U34" i="7"/>
  <c r="CG34" i="7"/>
  <c r="ES34" i="7"/>
  <c r="BK35" i="7"/>
  <c r="DW35" i="7"/>
  <c r="AO36" i="7"/>
  <c r="DA36" i="7"/>
  <c r="S37" i="7"/>
  <c r="CE37" i="7"/>
  <c r="EQ37" i="7"/>
  <c r="BI38" i="7"/>
  <c r="DU38" i="7"/>
  <c r="DW22" i="7"/>
  <c r="CI25" i="7"/>
  <c r="EU27" i="7"/>
  <c r="DL29" i="7"/>
  <c r="BT31" i="7"/>
  <c r="AQ32" i="7"/>
  <c r="DL32" i="7"/>
  <c r="AD33" i="7"/>
  <c r="CP33" i="7"/>
  <c r="H34" i="7"/>
  <c r="BT34" i="7"/>
  <c r="EF34" i="7"/>
  <c r="AX35" i="7"/>
  <c r="DJ35" i="7"/>
  <c r="AB36" i="7"/>
  <c r="CN36" i="7"/>
  <c r="F37" i="7"/>
  <c r="BR37" i="7"/>
  <c r="ED37" i="7"/>
  <c r="AV38" i="7"/>
  <c r="DH38" i="7"/>
  <c r="X25" i="7"/>
  <c r="CX30" i="7"/>
  <c r="DZ32" i="7"/>
  <c r="ES33" i="7"/>
  <c r="DY34" i="7"/>
  <c r="DC35" i="7"/>
  <c r="CG36" i="7"/>
  <c r="BK37" i="7"/>
  <c r="AO38" i="7"/>
  <c r="ET38" i="7"/>
  <c r="BL39" i="7"/>
  <c r="DX39" i="7"/>
  <c r="AP40" i="7"/>
  <c r="DB40" i="7"/>
  <c r="T41" i="7"/>
  <c r="CF41" i="7"/>
  <c r="ER41" i="7"/>
  <c r="BJ42" i="7"/>
  <c r="DV42" i="7"/>
  <c r="AN43" i="7"/>
  <c r="CZ43" i="7"/>
  <c r="BP23" i="7"/>
  <c r="CN29" i="7"/>
  <c r="CI32" i="7"/>
  <c r="DE33" i="7"/>
  <c r="CT34" i="7"/>
  <c r="BX35" i="7"/>
  <c r="BB36" i="7"/>
  <c r="AF37" i="7"/>
  <c r="J38" i="7"/>
  <c r="EE38" i="7"/>
  <c r="AW39" i="7"/>
  <c r="DI39" i="7"/>
  <c r="AA40" i="7"/>
  <c r="CM40" i="7"/>
  <c r="E41" i="7"/>
  <c r="BQ41" i="7"/>
  <c r="EC41" i="7"/>
  <c r="AU42" i="7"/>
  <c r="DG42" i="7"/>
  <c r="Y43" i="7"/>
  <c r="CK43" i="7"/>
  <c r="CA21" i="7"/>
  <c r="CD28" i="7"/>
  <c r="AO32" i="7"/>
  <c r="BQ33" i="7"/>
  <c r="BR34" i="7"/>
  <c r="AV35" i="7"/>
  <c r="Z36" i="7"/>
  <c r="D37" i="7"/>
  <c r="EB37" i="7"/>
  <c r="DF38" i="7"/>
  <c r="AH39" i="7"/>
  <c r="CT39" i="7"/>
  <c r="L40" i="7"/>
  <c r="BX40" i="7"/>
  <c r="EJ40" i="7"/>
  <c r="BB41" i="7"/>
  <c r="DN41" i="7"/>
  <c r="AF42" i="7"/>
  <c r="CR42" i="7"/>
  <c r="J43" i="7"/>
  <c r="BV43" i="7"/>
  <c r="EH43" i="7"/>
  <c r="BY26" i="7"/>
  <c r="BM31" i="7"/>
  <c r="H33" i="7"/>
  <c r="W34" i="7"/>
  <c r="EU34" i="7"/>
  <c r="DY35" i="7"/>
  <c r="DC36" i="7"/>
  <c r="CG37" i="7"/>
  <c r="BK38" i="7"/>
  <c r="K39" i="7"/>
  <c r="BW39" i="7"/>
  <c r="EI39" i="7"/>
  <c r="BA40" i="7"/>
  <c r="DM40" i="7"/>
  <c r="AE41" i="7"/>
  <c r="CQ41" i="7"/>
  <c r="I42" i="7"/>
  <c r="BU42" i="7"/>
  <c r="EG42" i="7"/>
  <c r="AY43" i="7"/>
  <c r="DK43" i="7"/>
  <c r="DR24" i="7"/>
  <c r="BC30" i="7"/>
  <c r="DN32" i="7"/>
  <c r="EJ33" i="7"/>
  <c r="DQ34" i="7"/>
  <c r="CU35" i="7"/>
  <c r="BY36" i="7"/>
  <c r="BC37" i="7"/>
  <c r="AG38" i="7"/>
  <c r="EP38" i="7"/>
  <c r="BH39" i="7"/>
  <c r="DT39" i="7"/>
  <c r="AL40" i="7"/>
  <c r="CX40" i="7"/>
  <c r="P41" i="7"/>
  <c r="CB41" i="7"/>
  <c r="EN41" i="7"/>
  <c r="BF42" i="7"/>
  <c r="DR42" i="7"/>
  <c r="AJ43" i="7"/>
  <c r="CV43" i="7"/>
  <c r="BF22" i="7"/>
  <c r="EA28" i="7"/>
  <c r="BC32" i="7"/>
  <c r="CF33" i="7"/>
  <c r="CA34" i="7"/>
  <c r="BE35" i="7"/>
  <c r="AI36" i="7"/>
  <c r="M37" i="7"/>
  <c r="EK37" i="7"/>
  <c r="DO38" i="7"/>
  <c r="AM39" i="7"/>
  <c r="CY39" i="7"/>
  <c r="Q40" i="7"/>
  <c r="CC40" i="7"/>
  <c r="EO40" i="7"/>
  <c r="BG41" i="7"/>
  <c r="DS41" i="7"/>
  <c r="AK42" i="7"/>
  <c r="CW42" i="7"/>
  <c r="O43" i="7"/>
  <c r="CA43" i="7"/>
  <c r="EM43" i="7"/>
  <c r="EN33" i="7"/>
  <c r="BH37" i="7"/>
  <c r="DV39" i="7"/>
  <c r="CD41" i="7"/>
  <c r="AL43" i="7"/>
  <c r="AF44" i="7"/>
  <c r="CR44" i="7"/>
  <c r="J45" i="7"/>
  <c r="BV45" i="7"/>
  <c r="EH45" i="7"/>
  <c r="AZ46" i="7"/>
  <c r="DL46" i="7"/>
  <c r="AD47" i="7"/>
  <c r="CP47" i="7"/>
  <c r="H48" i="7"/>
  <c r="BT48" i="7"/>
  <c r="EF48" i="7"/>
  <c r="AX49" i="7"/>
  <c r="DJ49" i="7"/>
  <c r="AB50" i="7"/>
  <c r="CN50" i="7"/>
  <c r="AX32" i="7"/>
  <c r="AD36" i="7"/>
  <c r="AK39" i="7"/>
  <c r="EM40" i="7"/>
  <c r="CU42" i="7"/>
  <c r="I44" i="7"/>
  <c r="BU44" i="7"/>
  <c r="EG44" i="7"/>
  <c r="AY45" i="7"/>
  <c r="DK45" i="7"/>
  <c r="AC46" i="7"/>
  <c r="CO46" i="7"/>
  <c r="G47" i="7"/>
  <c r="BS47" i="7"/>
  <c r="EE47" i="7"/>
  <c r="AW48" i="7"/>
  <c r="DI48" i="7"/>
  <c r="AA49" i="7"/>
  <c r="CM49" i="7"/>
  <c r="E50" i="7"/>
  <c r="BQ50" i="7"/>
  <c r="DZ28" i="7"/>
  <c r="BD35" i="7"/>
  <c r="DN38" i="7"/>
  <c r="CB40" i="7"/>
  <c r="AJ42" i="7"/>
  <c r="EL43" i="7"/>
  <c r="BF44" i="7"/>
  <c r="DR44" i="7"/>
  <c r="AJ45" i="7"/>
  <c r="CV45" i="7"/>
  <c r="N46" i="7"/>
  <c r="BZ46" i="7"/>
  <c r="EL46" i="7"/>
  <c r="BD47" i="7"/>
  <c r="DP47" i="7"/>
  <c r="AH48" i="7"/>
  <c r="CT48" i="7"/>
  <c r="L49" i="7"/>
  <c r="BX49" i="7"/>
  <c r="EJ49" i="7"/>
  <c r="BB50" i="7"/>
  <c r="P23" i="7"/>
  <c r="CL34" i="7"/>
  <c r="EV37" i="7"/>
  <c r="W40" i="7"/>
  <c r="DY41" i="7"/>
  <c r="CG43" i="7"/>
  <c r="AQ44" i="7"/>
  <c r="DC44" i="7"/>
  <c r="U45" i="7"/>
  <c r="CG45" i="7"/>
  <c r="ES45" i="7"/>
  <c r="BK46" i="7"/>
  <c r="DW46" i="7"/>
  <c r="AO47" i="7"/>
  <c r="DA47" i="7"/>
  <c r="S48" i="7"/>
  <c r="CE48" i="7"/>
  <c r="EQ48" i="7"/>
  <c r="BI49" i="7"/>
  <c r="DU49" i="7"/>
  <c r="AM50" i="7"/>
  <c r="CY50" i="7"/>
  <c r="P33" i="7"/>
  <c r="DJ36" i="7"/>
  <c r="BZ39" i="7"/>
  <c r="AH41" i="7"/>
  <c r="EJ42" i="7"/>
  <c r="T44" i="7"/>
  <c r="CF44" i="7"/>
  <c r="ER44" i="7"/>
  <c r="BJ45" i="7"/>
  <c r="DV45" i="7"/>
  <c r="AN46" i="7"/>
  <c r="CZ46" i="7"/>
  <c r="R47" i="7"/>
  <c r="CD47" i="7"/>
  <c r="EP47" i="7"/>
  <c r="BH48" i="7"/>
  <c r="DT48" i="7"/>
  <c r="AL49" i="7"/>
  <c r="CX49" i="7"/>
  <c r="P50" i="7"/>
  <c r="CB50" i="7"/>
  <c r="BR30" i="7"/>
  <c r="CV35" i="7"/>
  <c r="EQ38" i="7"/>
  <c r="CY40" i="7"/>
  <c r="BG42" i="7"/>
  <c r="ES43" i="7"/>
  <c r="AY10" i="7"/>
  <c r="BX14" i="7"/>
  <c r="J25" i="7"/>
  <c r="DB23" i="7"/>
  <c r="AG23" i="7"/>
  <c r="CY27" i="7"/>
  <c r="CJ29" i="7"/>
  <c r="AR31" i="7"/>
  <c r="F22" i="7"/>
  <c r="DZ24" i="7"/>
  <c r="BI27" i="7"/>
  <c r="AW29" i="7"/>
  <c r="E31" i="7"/>
  <c r="DI20" i="7"/>
  <c r="C24" i="7"/>
  <c r="DB26" i="7"/>
  <c r="DP28" i="7"/>
  <c r="BX30" i="7"/>
  <c r="EG20" i="7"/>
  <c r="R24" i="7"/>
  <c r="DN26" i="7"/>
  <c r="DY28" i="7"/>
  <c r="CG30" i="7"/>
  <c r="CB19" i="7"/>
  <c r="CE23" i="7"/>
  <c r="AP26" i="7"/>
  <c r="BX28" i="7"/>
  <c r="AF30" i="7"/>
  <c r="EH31" i="7"/>
  <c r="CG29" i="7"/>
  <c r="W33" i="7"/>
  <c r="CW25" i="7"/>
  <c r="AU32" i="7"/>
  <c r="K34" i="7"/>
  <c r="DM35" i="7"/>
  <c r="BU37" i="7"/>
  <c r="CX22" i="7"/>
  <c r="BD31" i="7"/>
  <c r="CL33" i="7"/>
  <c r="AT35" i="7"/>
  <c r="EV36" i="7"/>
  <c r="DD38" i="7"/>
  <c r="AK29" i="7"/>
  <c r="ED31" i="7"/>
  <c r="BO32" i="7"/>
  <c r="EG32" i="7"/>
  <c r="AY33" i="7"/>
  <c r="DK33" i="7"/>
  <c r="AC34" i="7"/>
  <c r="CO34" i="7"/>
  <c r="G35" i="7"/>
  <c r="BS35" i="7"/>
  <c r="EE35" i="7"/>
  <c r="AW36" i="7"/>
  <c r="DI36" i="7"/>
  <c r="AA37" i="7"/>
  <c r="CM37" i="7"/>
  <c r="E38" i="7"/>
  <c r="BQ38" i="7"/>
  <c r="BM17" i="7"/>
  <c r="AB23" i="7"/>
  <c r="EI25" i="7"/>
  <c r="AP28" i="7"/>
  <c r="ER29" i="7"/>
  <c r="CS31" i="7"/>
  <c r="AZ32" i="7"/>
  <c r="DT32" i="7"/>
  <c r="AL33" i="7"/>
  <c r="CX33" i="7"/>
  <c r="P34" i="7"/>
  <c r="CB34" i="7"/>
  <c r="EN34" i="7"/>
  <c r="BF35" i="7"/>
  <c r="DR35" i="7"/>
  <c r="AJ36" i="7"/>
  <c r="CV36" i="7"/>
  <c r="N37" i="7"/>
  <c r="BZ37" i="7"/>
  <c r="EL37" i="7"/>
  <c r="BD38" i="7"/>
  <c r="DP38" i="7"/>
  <c r="Z26" i="7"/>
  <c r="AG31" i="7"/>
  <c r="ET32" i="7"/>
  <c r="Q34" i="7"/>
  <c r="EO34" i="7"/>
  <c r="DS35" i="7"/>
  <c r="CW36" i="7"/>
  <c r="CA37" i="7"/>
  <c r="BE38" i="7"/>
  <c r="H39" i="7"/>
  <c r="BT39" i="7"/>
  <c r="EF39" i="7"/>
  <c r="AX40" i="7"/>
  <c r="DJ40" i="7"/>
  <c r="AB41" i="7"/>
  <c r="CN41" i="7"/>
  <c r="F42" i="7"/>
  <c r="BR42" i="7"/>
  <c r="ED42" i="7"/>
  <c r="AV43" i="7"/>
  <c r="DH43" i="7"/>
  <c r="BR24" i="7"/>
  <c r="W30" i="7"/>
  <c r="DF32" i="7"/>
  <c r="EB33" i="7"/>
  <c r="DJ34" i="7"/>
  <c r="CN35" i="7"/>
  <c r="BR36" i="7"/>
  <c r="AV37" i="7"/>
  <c r="Z38" i="7"/>
  <c r="EM38" i="7"/>
  <c r="BE39" i="7"/>
  <c r="DQ39" i="7"/>
  <c r="AI40" i="7"/>
  <c r="CU40" i="7"/>
  <c r="M41" i="7"/>
  <c r="BY41" i="7"/>
  <c r="EK41" i="7"/>
  <c r="BC42" i="7"/>
  <c r="DO42" i="7"/>
  <c r="AG43" i="7"/>
  <c r="CS43" i="7"/>
  <c r="DJ22" i="7"/>
  <c r="M29" i="7"/>
  <c r="BL32" i="7"/>
  <c r="CN33" i="7"/>
  <c r="CH34" i="7"/>
  <c r="BL35" i="7"/>
  <c r="AP36" i="7"/>
  <c r="T37" i="7"/>
  <c r="ER37" i="7"/>
  <c r="DV38" i="7"/>
  <c r="AP39" i="7"/>
  <c r="DB39" i="7"/>
  <c r="T40" i="7"/>
  <c r="CF40" i="7"/>
  <c r="ER40" i="7"/>
  <c r="BJ41" i="7"/>
  <c r="DV41" i="7"/>
  <c r="AN42" i="7"/>
  <c r="CZ42" i="7"/>
  <c r="R43" i="7"/>
  <c r="CD43" i="7"/>
  <c r="EP43" i="7"/>
  <c r="AG27" i="7"/>
  <c r="EF31" i="7"/>
  <c r="AC33" i="7"/>
  <c r="AM34" i="7"/>
  <c r="Q35" i="7"/>
  <c r="EO35" i="7"/>
  <c r="DS36" i="7"/>
  <c r="CW37" i="7"/>
  <c r="CA38" i="7"/>
  <c r="S39" i="7"/>
  <c r="CE39" i="7"/>
  <c r="EQ39" i="7"/>
  <c r="BI40" i="7"/>
  <c r="DU40" i="7"/>
  <c r="AM41" i="7"/>
  <c r="CY41" i="7"/>
  <c r="Q42" i="7"/>
  <c r="CC42" i="7"/>
  <c r="EO42" i="7"/>
  <c r="BG43" i="7"/>
  <c r="DS43" i="7"/>
  <c r="CV25" i="7"/>
  <c r="ET30" i="7"/>
  <c r="EI32" i="7"/>
  <c r="I34" i="7"/>
  <c r="EG34" i="7"/>
  <c r="DK35" i="7"/>
  <c r="CO36" i="7"/>
  <c r="BS37" i="7"/>
  <c r="AW38" i="7"/>
  <c r="D39" i="7"/>
  <c r="BP39" i="7"/>
  <c r="EB39" i="7"/>
  <c r="AT40" i="7"/>
  <c r="DF40" i="7"/>
  <c r="X41" i="7"/>
  <c r="CJ41" i="7"/>
  <c r="EV41" i="7"/>
  <c r="BN42" i="7"/>
  <c r="DZ42" i="7"/>
  <c r="AR43" i="7"/>
  <c r="DD43" i="7"/>
  <c r="AO23" i="7"/>
  <c r="BX29" i="7"/>
  <c r="CA32" i="7"/>
  <c r="CZ33" i="7"/>
  <c r="CQ34" i="7"/>
  <c r="BU35" i="7"/>
  <c r="AY36" i="7"/>
  <c r="AC37" i="7"/>
  <c r="G38" i="7"/>
  <c r="EC38" i="7"/>
  <c r="AU39" i="7"/>
  <c r="DG39" i="7"/>
  <c r="Y40" i="7"/>
  <c r="CK40" i="7"/>
  <c r="C41" i="7"/>
  <c r="BO41" i="7"/>
  <c r="EA41" i="7"/>
  <c r="AS42" i="7"/>
  <c r="DE42" i="7"/>
  <c r="W43" i="7"/>
  <c r="CI43" i="7"/>
  <c r="EH20" i="7"/>
  <c r="BJ34" i="7"/>
  <c r="DT37" i="7"/>
  <c r="H40" i="7"/>
  <c r="DJ41" i="7"/>
  <c r="BR43" i="7"/>
  <c r="AN44" i="7"/>
  <c r="CZ44" i="7"/>
  <c r="R45" i="7"/>
  <c r="CD45" i="7"/>
  <c r="EP45" i="7"/>
  <c r="BH46" i="7"/>
  <c r="DT46" i="7"/>
  <c r="AL47" i="7"/>
  <c r="CX47" i="7"/>
  <c r="P48" i="7"/>
  <c r="CB48" i="7"/>
  <c r="EN48" i="7"/>
  <c r="BF49" i="7"/>
  <c r="DR49" i="7"/>
  <c r="AJ50" i="7"/>
  <c r="CV50" i="7"/>
  <c r="EL32" i="7"/>
  <c r="CP36" i="7"/>
  <c r="BQ39" i="7"/>
  <c r="Y41" i="7"/>
  <c r="EA42" i="7"/>
  <c r="Q44" i="7"/>
  <c r="CC44" i="7"/>
  <c r="EO44" i="7"/>
  <c r="BG45" i="7"/>
  <c r="DS45" i="7"/>
  <c r="AK46" i="7"/>
  <c r="CW46" i="7"/>
  <c r="O47" i="7"/>
  <c r="CA47" i="7"/>
  <c r="EM47" i="7"/>
  <c r="BE48" i="7"/>
  <c r="DQ48" i="7"/>
  <c r="AI49" i="7"/>
  <c r="CU49" i="7"/>
  <c r="M50" i="7"/>
  <c r="BY50" i="7"/>
  <c r="P31" i="7"/>
  <c r="DP35" i="7"/>
  <c r="F39" i="7"/>
  <c r="DH40" i="7"/>
  <c r="BP42" i="7"/>
  <c r="EV43" i="7"/>
  <c r="BN44" i="7"/>
  <c r="DZ44" i="7"/>
  <c r="AR45" i="7"/>
  <c r="DD45" i="7"/>
  <c r="V46" i="7"/>
  <c r="CH46" i="7"/>
  <c r="ET46" i="7"/>
  <c r="BL47" i="7"/>
  <c r="DX47" i="7"/>
  <c r="AP48" i="7"/>
  <c r="DB48" i="7"/>
  <c r="T49" i="7"/>
  <c r="CF49" i="7"/>
  <c r="ER49" i="7"/>
  <c r="BJ50" i="7"/>
  <c r="CT26" i="7"/>
  <c r="D35" i="7"/>
  <c r="BN38" i="7"/>
  <c r="BC40" i="7"/>
  <c r="K42" i="7"/>
  <c r="DM43" i="7"/>
  <c r="AY44" i="7"/>
  <c r="DK44" i="7"/>
  <c r="AC45" i="7"/>
  <c r="CO45" i="7"/>
  <c r="G46" i="7"/>
  <c r="BS46" i="7"/>
  <c r="EE46" i="7"/>
  <c r="AW47" i="7"/>
  <c r="DI47" i="7"/>
  <c r="AA48" i="7"/>
  <c r="CM48" i="7"/>
  <c r="E49" i="7"/>
  <c r="BQ49" i="7"/>
  <c r="EC49" i="7"/>
  <c r="AU50" i="7"/>
  <c r="DG50" i="7"/>
  <c r="CW33" i="7"/>
  <c r="AB37" i="7"/>
  <c r="DF39" i="7"/>
  <c r="BN41" i="7"/>
  <c r="V43" i="7"/>
  <c r="AB44" i="7"/>
  <c r="CN44" i="7"/>
  <c r="F45" i="7"/>
  <c r="BR45" i="7"/>
  <c r="ED45" i="7"/>
  <c r="AV46" i="7"/>
  <c r="DH46" i="7"/>
  <c r="Z47" i="7"/>
  <c r="CL47" i="7"/>
  <c r="D48" i="7"/>
  <c r="BP48" i="7"/>
  <c r="EB48" i="7"/>
  <c r="AT49" i="7"/>
  <c r="DF49" i="7"/>
  <c r="X50" i="7"/>
  <c r="CJ50" i="7"/>
  <c r="X32" i="7"/>
  <c r="N36" i="7"/>
  <c r="AC39" i="7"/>
  <c r="EE40" i="7"/>
  <c r="CM42" i="7"/>
  <c r="G44" i="7"/>
  <c r="BS44" i="7"/>
  <c r="EE44" i="7"/>
  <c r="AW45" i="7"/>
  <c r="DI45" i="7"/>
  <c r="AA46" i="7"/>
  <c r="CM46" i="7"/>
  <c r="E47" i="7"/>
  <c r="BQ47" i="7"/>
  <c r="EC47" i="7"/>
  <c r="AU48" i="7"/>
  <c r="DG48" i="7"/>
  <c r="Y49" i="7"/>
  <c r="CK49" i="7"/>
  <c r="C50" i="7"/>
  <c r="BO50" i="7"/>
  <c r="CV32" i="7"/>
  <c r="DL42" i="7"/>
  <c r="BD45" i="7"/>
  <c r="L47" i="7"/>
  <c r="DN48" i="7"/>
  <c r="AZ12" i="7"/>
  <c r="BT17" i="7"/>
  <c r="BV25" i="7"/>
  <c r="T24" i="7"/>
  <c r="EF23" i="7"/>
  <c r="DT27" i="7"/>
  <c r="CR29" i="7"/>
  <c r="AZ31" i="7"/>
  <c r="V22" i="7"/>
  <c r="EL24" i="7"/>
  <c r="BT27" i="7"/>
  <c r="BE29" i="7"/>
  <c r="M31" i="7"/>
  <c r="ED20" i="7"/>
  <c r="Q24" i="7"/>
  <c r="DM26" i="7"/>
  <c r="DX28" i="7"/>
  <c r="CF30" i="7"/>
  <c r="H21" i="7"/>
  <c r="AD24" i="7"/>
  <c r="DY26" i="7"/>
  <c r="EG28" i="7"/>
  <c r="CO30" i="7"/>
  <c r="DQ19" i="7"/>
  <c r="CR23" i="7"/>
  <c r="BC26" i="7"/>
  <c r="CF28" i="7"/>
  <c r="AN30" i="7"/>
  <c r="EP31" i="7"/>
  <c r="DM29" i="7"/>
  <c r="AE33" i="7"/>
  <c r="EV25" i="7"/>
  <c r="BD32" i="7"/>
  <c r="S34" i="7"/>
  <c r="DU35" i="7"/>
  <c r="CC37" i="7"/>
  <c r="C23" i="7"/>
  <c r="CJ31" i="7"/>
  <c r="CT33" i="7"/>
  <c r="BB35" i="7"/>
  <c r="J37" i="7"/>
  <c r="DL38" i="7"/>
  <c r="BQ29" i="7"/>
  <c r="ET31" i="7"/>
  <c r="BX32" i="7"/>
  <c r="EO32" i="7"/>
  <c r="BG33" i="7"/>
  <c r="DS33" i="7"/>
  <c r="AK34" i="7"/>
  <c r="CW34" i="7"/>
  <c r="O35" i="7"/>
  <c r="CA35" i="7"/>
  <c r="EM35" i="7"/>
  <c r="BE36" i="7"/>
  <c r="DQ36" i="7"/>
  <c r="AI37" i="7"/>
  <c r="CU37" i="7"/>
  <c r="M38" i="7"/>
  <c r="BY38" i="7"/>
  <c r="BW19" i="7"/>
  <c r="CB23" i="7"/>
  <c r="AM26" i="7"/>
  <c r="BV28" i="7"/>
  <c r="AD30" i="7"/>
  <c r="DP31" i="7"/>
  <c r="BJ32" i="7"/>
  <c r="EB32" i="7"/>
  <c r="AT33" i="7"/>
  <c r="DF33" i="7"/>
  <c r="X34" i="7"/>
  <c r="CJ34" i="7"/>
  <c r="EV34" i="7"/>
  <c r="BN35" i="7"/>
  <c r="DZ35" i="7"/>
  <c r="AR36" i="7"/>
  <c r="DD36" i="7"/>
  <c r="V37" i="7"/>
  <c r="CH37" i="7"/>
  <c r="ET37" i="7"/>
  <c r="BL38" i="7"/>
  <c r="DX38" i="7"/>
  <c r="EK26" i="7"/>
  <c r="DI31" i="7"/>
  <c r="U33" i="7"/>
  <c r="AG34" i="7"/>
  <c r="K35" i="7"/>
  <c r="EI35" i="7"/>
  <c r="DM36" i="7"/>
  <c r="CQ37" i="7"/>
  <c r="BU38" i="7"/>
  <c r="P39" i="7"/>
  <c r="CB39" i="7"/>
  <c r="EN39" i="7"/>
  <c r="BF40" i="7"/>
  <c r="DR40" i="7"/>
  <c r="AJ41" i="7"/>
  <c r="CV41" i="7"/>
  <c r="N42" i="7"/>
  <c r="BZ42" i="7"/>
  <c r="EL42" i="7"/>
  <c r="BD43" i="7"/>
  <c r="DP43" i="7"/>
  <c r="AV25" i="7"/>
  <c r="DN30" i="7"/>
  <c r="EA32" i="7"/>
  <c r="EV33" i="7"/>
  <c r="DZ34" i="7"/>
  <c r="DD35" i="7"/>
  <c r="CH36" i="7"/>
  <c r="BL37" i="7"/>
  <c r="AP38" i="7"/>
  <c r="EU38" i="7"/>
  <c r="BM39" i="7"/>
  <c r="DY39" i="7"/>
  <c r="AQ40" i="7"/>
  <c r="DC40" i="7"/>
  <c r="U41" i="7"/>
  <c r="CG41" i="7"/>
  <c r="ES41" i="7"/>
  <c r="BK42" i="7"/>
  <c r="DW42" i="7"/>
  <c r="AO43" i="7"/>
  <c r="DA43" i="7"/>
  <c r="CN23" i="7"/>
  <c r="DD29" i="7"/>
  <c r="CJ32" i="7"/>
  <c r="DH33" i="7"/>
  <c r="CX34" i="7"/>
  <c r="CB35" i="7"/>
  <c r="BF36" i="7"/>
  <c r="AJ37" i="7"/>
  <c r="N38" i="7"/>
  <c r="EF38" i="7"/>
  <c r="AX39" i="7"/>
  <c r="DJ39" i="7"/>
  <c r="AB40" i="7"/>
  <c r="CN40" i="7"/>
  <c r="F41" i="7"/>
  <c r="BR41" i="7"/>
  <c r="ED41" i="7"/>
  <c r="AV42" i="7"/>
  <c r="DH42" i="7"/>
  <c r="Z43" i="7"/>
  <c r="CL43" i="7"/>
  <c r="AG20" i="7"/>
  <c r="EK27" i="7"/>
  <c r="Q32" i="7"/>
  <c r="AZ33" i="7"/>
  <c r="BC34" i="7"/>
  <c r="AG35" i="7"/>
  <c r="K36" i="7"/>
  <c r="EI36" i="7"/>
  <c r="DM37" i="7"/>
  <c r="CQ38" i="7"/>
  <c r="AA39" i="7"/>
  <c r="CM39" i="7"/>
  <c r="E40" i="7"/>
  <c r="BQ40" i="7"/>
  <c r="EC40" i="7"/>
  <c r="AU41" i="7"/>
  <c r="DG41" i="7"/>
  <c r="Y42" i="7"/>
  <c r="CK42" i="7"/>
  <c r="C43" i="7"/>
  <c r="BO43" i="7"/>
  <c r="EA43" i="7"/>
  <c r="BZ26" i="7"/>
  <c r="CB31" i="7"/>
  <c r="L33" i="7"/>
  <c r="Y34" i="7"/>
  <c r="C35" i="7"/>
  <c r="EA35" i="7"/>
  <c r="DE36" i="7"/>
  <c r="CI37" i="7"/>
  <c r="BM38" i="7"/>
  <c r="L39" i="7"/>
  <c r="BX39" i="7"/>
  <c r="EJ39" i="7"/>
  <c r="BB40" i="7"/>
  <c r="DN40" i="7"/>
  <c r="AF41" i="7"/>
  <c r="CR41" i="7"/>
  <c r="J42" i="7"/>
  <c r="BV42" i="7"/>
  <c r="EH42" i="7"/>
  <c r="AZ43" i="7"/>
  <c r="DL43" i="7"/>
  <c r="U24" i="7"/>
  <c r="F30" i="7"/>
  <c r="DA32" i="7"/>
  <c r="DU33" i="7"/>
  <c r="DG34" i="7"/>
  <c r="CK35" i="7"/>
  <c r="BO36" i="7"/>
  <c r="AS37" i="7"/>
  <c r="W38" i="7"/>
  <c r="EK38" i="7"/>
  <c r="BC39" i="7"/>
  <c r="DO39" i="7"/>
  <c r="AG40" i="7"/>
  <c r="CS40" i="7"/>
  <c r="K41" i="7"/>
  <c r="BW41" i="7"/>
  <c r="EI41" i="7"/>
  <c r="BA42" i="7"/>
  <c r="DM42" i="7"/>
  <c r="AE43" i="7"/>
  <c r="CQ43" i="7"/>
  <c r="EQ24" i="7"/>
  <c r="DV34" i="7"/>
  <c r="AL38" i="7"/>
  <c r="AN40" i="7"/>
  <c r="EP41" i="7"/>
  <c r="CX43" i="7"/>
  <c r="AV44" i="7"/>
  <c r="DH44" i="7"/>
  <c r="Z45" i="7"/>
  <c r="CL45" i="7"/>
  <c r="D46" i="7"/>
  <c r="BP46" i="7"/>
  <c r="EB46" i="7"/>
  <c r="AT47" i="7"/>
  <c r="DF47" i="7"/>
  <c r="X48" i="7"/>
  <c r="CJ48" i="7"/>
  <c r="EV48" i="7"/>
  <c r="BN49" i="7"/>
  <c r="DZ49" i="7"/>
  <c r="AR50" i="7"/>
  <c r="DD50" i="7"/>
  <c r="BY33" i="7"/>
  <c r="H37" i="7"/>
  <c r="CW39" i="7"/>
  <c r="BE41" i="7"/>
  <c r="M43" i="7"/>
  <c r="Y44" i="7"/>
  <c r="CK44" i="7"/>
  <c r="C45" i="7"/>
  <c r="BO45" i="7"/>
  <c r="EA45" i="7"/>
  <c r="AS46" i="7"/>
  <c r="DE46" i="7"/>
  <c r="W47" i="7"/>
  <c r="CI47" i="7"/>
  <c r="EU47" i="7"/>
  <c r="BM48" i="7"/>
  <c r="DY48" i="7"/>
  <c r="AQ49" i="7"/>
  <c r="DC49" i="7"/>
  <c r="U50" i="7"/>
  <c r="CG50" i="7"/>
  <c r="AY32" i="7"/>
  <c r="AH36" i="7"/>
  <c r="AL39" i="7"/>
  <c r="EN40" i="7"/>
  <c r="CV42" i="7"/>
  <c r="J44" i="7"/>
  <c r="BV44" i="7"/>
  <c r="EH44" i="7"/>
  <c r="AZ45" i="7"/>
  <c r="DL45" i="7"/>
  <c r="AD46" i="7"/>
  <c r="CP46" i="7"/>
  <c r="H47" i="7"/>
  <c r="BT47" i="7"/>
  <c r="EF47" i="7"/>
  <c r="AX48" i="7"/>
  <c r="DJ48" i="7"/>
  <c r="AB49" i="7"/>
  <c r="CN49" i="7"/>
  <c r="F50" i="7"/>
  <c r="BR50" i="7"/>
  <c r="AS29" i="7"/>
  <c r="BP35" i="7"/>
  <c r="DZ38" i="7"/>
  <c r="CI40" i="7"/>
  <c r="AQ42" i="7"/>
  <c r="EN43" i="7"/>
  <c r="BG44" i="7"/>
  <c r="DS44" i="7"/>
  <c r="AK45" i="7"/>
  <c r="CW45" i="7"/>
  <c r="O46" i="7"/>
  <c r="CA46" i="7"/>
  <c r="EM46" i="7"/>
  <c r="BE47" i="7"/>
  <c r="DQ47" i="7"/>
  <c r="AI48" i="7"/>
  <c r="CU48" i="7"/>
  <c r="M49" i="7"/>
  <c r="BY49" i="7"/>
  <c r="EK49" i="7"/>
  <c r="BC50" i="7"/>
  <c r="DO50" i="7"/>
  <c r="AD34" i="7"/>
  <c r="CN37" i="7"/>
  <c r="EL39" i="7"/>
  <c r="CT41" i="7"/>
  <c r="BB43" i="7"/>
  <c r="AJ44" i="7"/>
  <c r="CV44" i="7"/>
  <c r="N45" i="7"/>
  <c r="BZ45" i="7"/>
  <c r="EL45" i="7"/>
  <c r="BD46" i="7"/>
  <c r="DP46" i="7"/>
  <c r="AH47" i="7"/>
  <c r="CT47" i="7"/>
  <c r="L48" i="7"/>
  <c r="BX48" i="7"/>
  <c r="EJ48" i="7"/>
  <c r="BB49" i="7"/>
  <c r="DN49" i="7"/>
  <c r="AF50" i="7"/>
  <c r="CR50" i="7"/>
  <c r="DR32" i="7"/>
  <c r="BZ36" i="7"/>
  <c r="BI39" i="7"/>
  <c r="Q41" i="7"/>
  <c r="DS42" i="7"/>
  <c r="O44" i="7"/>
  <c r="CA44" i="7"/>
  <c r="EM44" i="7"/>
  <c r="BE45" i="7"/>
  <c r="DQ45" i="7"/>
  <c r="AI46" i="7"/>
  <c r="CU46" i="7"/>
  <c r="M47" i="7"/>
  <c r="BY47" i="7"/>
  <c r="EK47" i="7"/>
  <c r="BC48" i="7"/>
  <c r="DO48" i="7"/>
  <c r="AG49" i="7"/>
  <c r="CS49" i="7"/>
  <c r="K50" i="7"/>
  <c r="BW50" i="7"/>
  <c r="DF34" i="7"/>
  <c r="CP43" i="7"/>
  <c r="CJ45" i="7"/>
  <c r="AR47" i="7"/>
  <c r="ET48" i="7"/>
  <c r="DH13" i="7"/>
  <c r="BY19" i="7"/>
  <c r="EE17" i="7"/>
  <c r="BA21" i="7"/>
  <c r="DC31" i="7"/>
  <c r="DF28" i="7"/>
  <c r="BN30" i="7"/>
  <c r="BG19" i="7"/>
  <c r="BW23" i="7"/>
  <c r="AH26" i="7"/>
  <c r="BS28" i="7"/>
  <c r="AA30" i="7"/>
  <c r="EC31" i="7"/>
  <c r="CT22" i="7"/>
  <c r="BG25" i="7"/>
  <c r="DW27" i="7"/>
  <c r="CT29" i="7"/>
  <c r="BB31" i="7"/>
  <c r="DI22" i="7"/>
  <c r="BT25" i="7"/>
  <c r="EI27" i="7"/>
  <c r="DC29" i="7"/>
  <c r="BK31" i="7"/>
  <c r="O22" i="7"/>
  <c r="EH24" i="7"/>
  <c r="BP27" i="7"/>
  <c r="BB29" i="7"/>
  <c r="J31" i="7"/>
  <c r="AK25" i="7"/>
  <c r="AI32" i="7"/>
  <c r="EU33" i="7"/>
  <c r="DU29" i="7"/>
  <c r="AG33" i="7"/>
  <c r="EI34" i="7"/>
  <c r="CQ36" i="7"/>
  <c r="AY38" i="7"/>
  <c r="DY27" i="7"/>
  <c r="DH32" i="7"/>
  <c r="BP34" i="7"/>
  <c r="X36" i="7"/>
  <c r="DZ37" i="7"/>
  <c r="DF24" i="7"/>
  <c r="EM30" i="7"/>
  <c r="AE32" i="7"/>
  <c r="CZ32" i="7"/>
  <c r="S33" i="7"/>
  <c r="CE33" i="7"/>
  <c r="EQ33" i="7"/>
  <c r="BI34" i="7"/>
  <c r="DU34" i="7"/>
  <c r="AM35" i="7"/>
  <c r="CY35" i="7"/>
  <c r="Q36" i="7"/>
  <c r="CC36" i="7"/>
  <c r="EO36" i="7"/>
  <c r="BG37" i="7"/>
  <c r="DS37" i="7"/>
  <c r="AK38" i="7"/>
  <c r="CW38" i="7"/>
  <c r="CQ21" i="7"/>
  <c r="CE24" i="7"/>
  <c r="W27" i="7"/>
  <c r="T29" i="7"/>
  <c r="DV30" i="7"/>
  <c r="N32" i="7"/>
  <c r="CK32" i="7"/>
  <c r="F33" i="7"/>
  <c r="BR33" i="7"/>
  <c r="ED33" i="7"/>
  <c r="AV34" i="7"/>
  <c r="DH34" i="7"/>
  <c r="Z35" i="7"/>
  <c r="CL35" i="7"/>
  <c r="D36" i="7"/>
  <c r="BP36" i="7"/>
  <c r="EB36" i="7"/>
  <c r="AT37" i="7"/>
  <c r="DF37" i="7"/>
  <c r="X38" i="7"/>
  <c r="CJ38" i="7"/>
  <c r="BJ22" i="7"/>
  <c r="EP28" i="7"/>
  <c r="BG32" i="7"/>
  <c r="CG33" i="7"/>
  <c r="CC34" i="7"/>
  <c r="BG35" i="7"/>
  <c r="AK36" i="7"/>
  <c r="O37" i="7"/>
  <c r="EM37" i="7"/>
  <c r="DQ38" i="7"/>
  <c r="AN39" i="7"/>
  <c r="CZ39" i="7"/>
  <c r="R40" i="7"/>
  <c r="CD40" i="7"/>
  <c r="EP40" i="7"/>
  <c r="BH41" i="7"/>
  <c r="DT41" i="7"/>
  <c r="AL42" i="7"/>
  <c r="CX42" i="7"/>
  <c r="P43" i="7"/>
  <c r="CB43" i="7"/>
  <c r="AF19" i="7"/>
  <c r="DO27" i="7"/>
  <c r="K32" i="7"/>
  <c r="AS33" i="7"/>
  <c r="AX34" i="7"/>
  <c r="AB35" i="7"/>
  <c r="F36" i="7"/>
  <c r="ED36" i="7"/>
  <c r="DH37" i="7"/>
  <c r="CL38" i="7"/>
  <c r="Y39" i="7"/>
  <c r="CK39" i="7"/>
  <c r="C40" i="7"/>
  <c r="BO40" i="7"/>
  <c r="EA40" i="7"/>
  <c r="AS41" i="7"/>
  <c r="DE41" i="7"/>
  <c r="W42" i="7"/>
  <c r="CI42" i="7"/>
  <c r="EU42" i="7"/>
  <c r="BM43" i="7"/>
  <c r="DY43" i="7"/>
  <c r="BA26" i="7"/>
  <c r="BL31" i="7"/>
  <c r="E33" i="7"/>
  <c r="V34" i="7"/>
  <c r="ET34" i="7"/>
  <c r="DX35" i="7"/>
  <c r="DB36" i="7"/>
  <c r="CF37" i="7"/>
  <c r="BJ38" i="7"/>
  <c r="J39" i="7"/>
  <c r="BV39" i="7"/>
  <c r="EH39" i="7"/>
  <c r="AZ40" i="7"/>
  <c r="DL40" i="7"/>
  <c r="AD41" i="7"/>
  <c r="CP41" i="7"/>
  <c r="H42" i="7"/>
  <c r="BT42" i="7"/>
  <c r="EF42" i="7"/>
  <c r="AX43" i="7"/>
  <c r="DJ43" i="7"/>
  <c r="DO23" i="7"/>
  <c r="DE29" i="7"/>
  <c r="CM32" i="7"/>
  <c r="DL33" i="7"/>
  <c r="CY34" i="7"/>
  <c r="CC35" i="7"/>
  <c r="BG36" i="7"/>
  <c r="AK37" i="7"/>
  <c r="O38" i="7"/>
  <c r="EG38" i="7"/>
  <c r="AY39" i="7"/>
  <c r="DK39" i="7"/>
  <c r="AC40" i="7"/>
  <c r="CO40" i="7"/>
  <c r="G41" i="7"/>
  <c r="BS41" i="7"/>
  <c r="EE41" i="7"/>
  <c r="AW42" i="7"/>
  <c r="DI42" i="7"/>
  <c r="AA43" i="7"/>
  <c r="CM43" i="7"/>
  <c r="EN21" i="7"/>
  <c r="CU28" i="7"/>
  <c r="AT32" i="7"/>
  <c r="BX33" i="7"/>
  <c r="BU34" i="7"/>
  <c r="AY35" i="7"/>
  <c r="AC36" i="7"/>
  <c r="G37" i="7"/>
  <c r="EE37" i="7"/>
  <c r="DI38" i="7"/>
  <c r="AJ39" i="7"/>
  <c r="CV39" i="7"/>
  <c r="N40" i="7"/>
  <c r="BZ40" i="7"/>
  <c r="EL40" i="7"/>
  <c r="BD41" i="7"/>
  <c r="DP41" i="7"/>
  <c r="AH42" i="7"/>
  <c r="CT42" i="7"/>
  <c r="L43" i="7"/>
  <c r="BX43" i="7"/>
  <c r="EJ43" i="7"/>
  <c r="DQ26" i="7"/>
  <c r="CZ31" i="7"/>
  <c r="T33" i="7"/>
  <c r="AE34" i="7"/>
  <c r="I35" i="7"/>
  <c r="EG35" i="7"/>
  <c r="DK36" i="7"/>
  <c r="CO37" i="7"/>
  <c r="BS38" i="7"/>
  <c r="O39" i="7"/>
  <c r="CA39" i="7"/>
  <c r="EM39" i="7"/>
  <c r="BE40" i="7"/>
  <c r="DQ40" i="7"/>
  <c r="AI41" i="7"/>
  <c r="CU41" i="7"/>
  <c r="M42" i="7"/>
  <c r="BY42" i="7"/>
  <c r="EK42" i="7"/>
  <c r="BC43" i="7"/>
  <c r="DO43" i="7"/>
  <c r="AA32" i="7"/>
  <c r="R36" i="7"/>
  <c r="AD39" i="7"/>
  <c r="EF40" i="7"/>
  <c r="CN42" i="7"/>
  <c r="H44" i="7"/>
  <c r="BT44" i="7"/>
  <c r="EF44" i="7"/>
  <c r="AX45" i="7"/>
  <c r="DJ45" i="7"/>
  <c r="AB46" i="7"/>
  <c r="CN46" i="7"/>
  <c r="F47" i="7"/>
  <c r="BR47" i="7"/>
  <c r="ED47" i="7"/>
  <c r="AV48" i="7"/>
  <c r="DH48" i="7"/>
  <c r="Z49" i="7"/>
  <c r="CL49" i="7"/>
  <c r="D50" i="7"/>
  <c r="BP50" i="7"/>
  <c r="DU25" i="7"/>
  <c r="EH34" i="7"/>
  <c r="AX38" i="7"/>
  <c r="AU40" i="7"/>
  <c r="C42" i="7"/>
  <c r="DE43" i="7"/>
  <c r="AW44" i="7"/>
  <c r="DI44" i="7"/>
  <c r="AA45" i="7"/>
  <c r="CM45" i="7"/>
  <c r="E46" i="7"/>
  <c r="BQ46" i="7"/>
  <c r="EC46" i="7"/>
  <c r="AU47" i="7"/>
  <c r="DG47" i="7"/>
  <c r="Y48" i="7"/>
  <c r="CK48" i="7"/>
  <c r="C49" i="7"/>
  <c r="BO49" i="7"/>
  <c r="EA49" i="7"/>
  <c r="AS50" i="7"/>
  <c r="DE50" i="7"/>
  <c r="N34" i="7"/>
  <c r="BX37" i="7"/>
  <c r="ED39" i="7"/>
  <c r="CL41" i="7"/>
  <c r="AT43" i="7"/>
  <c r="AH44" i="7"/>
  <c r="CT44" i="7"/>
  <c r="L45" i="7"/>
  <c r="BX45" i="7"/>
  <c r="EJ45" i="7"/>
  <c r="BB46" i="7"/>
  <c r="DN46" i="7"/>
  <c r="AF47" i="7"/>
  <c r="CR47" i="7"/>
  <c r="J48" i="7"/>
  <c r="BV48" i="7"/>
  <c r="EH48" i="7"/>
  <c r="AZ49" i="7"/>
  <c r="DL49" i="7"/>
  <c r="AD50" i="7"/>
  <c r="CP50" i="7"/>
  <c r="M33" i="7"/>
  <c r="DF36" i="7"/>
  <c r="BY39" i="7"/>
  <c r="AG41" i="7"/>
  <c r="EI42" i="7"/>
  <c r="S44" i="7"/>
  <c r="CE44" i="7"/>
  <c r="EQ44" i="7"/>
  <c r="BI45" i="7"/>
  <c r="DU45" i="7"/>
  <c r="AM46" i="7"/>
  <c r="CY46" i="7"/>
  <c r="Q47" i="7"/>
  <c r="CC47" i="7"/>
  <c r="EO47" i="7"/>
  <c r="BG48" i="7"/>
  <c r="DS48" i="7"/>
  <c r="AK49" i="7"/>
  <c r="CW49" i="7"/>
  <c r="O50" i="7"/>
  <c r="CA50" i="7"/>
  <c r="BH29" i="7"/>
  <c r="BT35" i="7"/>
  <c r="EA38" i="7"/>
  <c r="CJ40" i="7"/>
  <c r="AR42" i="7"/>
  <c r="EO43" i="7"/>
  <c r="BH44" i="7"/>
  <c r="DT44" i="7"/>
  <c r="AL45" i="7"/>
  <c r="CX45" i="7"/>
  <c r="P46" i="7"/>
  <c r="CB46" i="7"/>
  <c r="EN46" i="7"/>
  <c r="BF47" i="7"/>
  <c r="DR47" i="7"/>
  <c r="AJ48" i="7"/>
  <c r="CV48" i="7"/>
  <c r="N49" i="7"/>
  <c r="BZ49" i="7"/>
  <c r="EL49" i="7"/>
  <c r="BD50" i="7"/>
  <c r="CP20" i="7"/>
  <c r="BF34" i="7"/>
  <c r="DP37" i="7"/>
  <c r="G40" i="7"/>
  <c r="DI41" i="7"/>
  <c r="BQ43" i="7"/>
  <c r="AM44" i="7"/>
  <c r="CY44" i="7"/>
  <c r="Q45" i="7"/>
  <c r="CC45" i="7"/>
  <c r="EO45" i="7"/>
  <c r="BG46" i="7"/>
  <c r="DS46" i="7"/>
  <c r="AK47" i="7"/>
  <c r="CW47" i="7"/>
  <c r="O48" i="7"/>
  <c r="CA48" i="7"/>
  <c r="EM48" i="7"/>
  <c r="BE49" i="7"/>
  <c r="DQ49" i="7"/>
  <c r="AI50" i="7"/>
  <c r="CU50" i="7"/>
  <c r="BB39" i="7"/>
  <c r="BZ44" i="7"/>
  <c r="AH46" i="7"/>
  <c r="EJ47" i="7"/>
  <c r="CR49" i="7"/>
  <c r="CD27" i="7"/>
  <c r="DL31" i="7"/>
  <c r="DQ29" i="7"/>
  <c r="AZ27" i="7"/>
  <c r="EC24" i="7"/>
  <c r="AK21" i="7"/>
  <c r="CZ30" i="7"/>
  <c r="AY28" i="7"/>
  <c r="EO37" i="7"/>
  <c r="DN35" i="7"/>
  <c r="T32" i="7"/>
  <c r="EI33" i="7"/>
  <c r="CQ35" i="7"/>
  <c r="AY37" i="7"/>
  <c r="I21" i="7"/>
  <c r="CP30" i="7"/>
  <c r="BJ33" i="7"/>
  <c r="R35" i="7"/>
  <c r="DT36" i="7"/>
  <c r="CB38" i="7"/>
  <c r="BL33" i="7"/>
  <c r="ES36" i="7"/>
  <c r="CR39" i="7"/>
  <c r="AZ41" i="7"/>
  <c r="H43" i="7"/>
  <c r="DN31" i="7"/>
  <c r="EJ35" i="7"/>
  <c r="Q39" i="7"/>
  <c r="DS40" i="7"/>
  <c r="CA42" i="7"/>
  <c r="BW25" i="7"/>
  <c r="ED34" i="7"/>
  <c r="AT38" i="7"/>
  <c r="AR40" i="7"/>
  <c r="ET41" i="7"/>
  <c r="DB43" i="7"/>
  <c r="CO33" i="7"/>
  <c r="U37" i="7"/>
  <c r="DC39" i="7"/>
  <c r="BK41" i="7"/>
  <c r="S43" i="7"/>
  <c r="V32" i="7"/>
  <c r="M36" i="7"/>
  <c r="AB39" i="7"/>
  <c r="ED40" i="7"/>
  <c r="CL42" i="7"/>
  <c r="EU25" i="7"/>
  <c r="EM34" i="7"/>
  <c r="BC38" i="7"/>
  <c r="AW40" i="7"/>
  <c r="E42" i="7"/>
  <c r="DG43" i="7"/>
  <c r="CZ40" i="7"/>
  <c r="DX44" i="7"/>
  <c r="CF46" i="7"/>
  <c r="AN48" i="7"/>
  <c r="EP49" i="7"/>
  <c r="EF37" i="7"/>
  <c r="AO44" i="7"/>
  <c r="EQ45" i="7"/>
  <c r="CY47" i="7"/>
  <c r="BG49" i="7"/>
  <c r="CB33" i="7"/>
  <c r="N43" i="7"/>
  <c r="BP45" i="7"/>
  <c r="X47" i="7"/>
  <c r="DZ48" i="7"/>
  <c r="CH50" i="7"/>
  <c r="EU40" i="7"/>
  <c r="EI44" i="7"/>
  <c r="CQ46" i="7"/>
  <c r="AY48" i="7"/>
  <c r="G50" i="7"/>
  <c r="BR38" i="7"/>
  <c r="AZ44" i="7"/>
  <c r="H46" i="7"/>
  <c r="DJ47" i="7"/>
  <c r="BR49" i="7"/>
  <c r="EK33" i="7"/>
  <c r="AK43" i="7"/>
  <c r="I45" i="7"/>
  <c r="AQ46" i="7"/>
  <c r="BI47" i="7"/>
  <c r="BS48" i="7"/>
  <c r="DA49" i="7"/>
  <c r="S24" i="7"/>
  <c r="EV45" i="7"/>
  <c r="AP50" i="7"/>
  <c r="M51" i="7"/>
  <c r="BY51" i="7"/>
  <c r="EK51" i="7"/>
  <c r="BC52" i="7"/>
  <c r="DO52" i="7"/>
  <c r="AG53" i="7"/>
  <c r="CS53" i="7"/>
  <c r="K54" i="7"/>
  <c r="BW54" i="7"/>
  <c r="EI54" i="7"/>
  <c r="BA55" i="7"/>
  <c r="DM55" i="7"/>
  <c r="AE56" i="7"/>
  <c r="CQ56" i="7"/>
  <c r="I57" i="7"/>
  <c r="BU57" i="7"/>
  <c r="CG39" i="7"/>
  <c r="CG44" i="7"/>
  <c r="AO46" i="7"/>
  <c r="EQ47" i="7"/>
  <c r="CY49" i="7"/>
  <c r="EJ50" i="7"/>
  <c r="BB51" i="7"/>
  <c r="DY13" i="7"/>
  <c r="AS28" i="7"/>
  <c r="DR22" i="7"/>
  <c r="BQ31" i="7"/>
  <c r="AH29" i="7"/>
  <c r="BA27" i="7"/>
  <c r="AI24" i="7"/>
  <c r="BZ22" i="7"/>
  <c r="DO32" i="7"/>
  <c r="BI25" i="7"/>
  <c r="BN37" i="7"/>
  <c r="CH32" i="7"/>
  <c r="AS34" i="7"/>
  <c r="EU35" i="7"/>
  <c r="DC37" i="7"/>
  <c r="EA23" i="7"/>
  <c r="EJ31" i="7"/>
  <c r="DN33" i="7"/>
  <c r="BV35" i="7"/>
  <c r="AD37" i="7"/>
  <c r="AE19" i="7"/>
  <c r="AW34" i="7"/>
  <c r="DG37" i="7"/>
  <c r="EV39" i="7"/>
  <c r="DD41" i="7"/>
  <c r="BL43" i="7"/>
  <c r="D33" i="7"/>
  <c r="CX36" i="7"/>
  <c r="BU39" i="7"/>
  <c r="AC41" i="7"/>
  <c r="EE42" i="7"/>
  <c r="AL30" i="7"/>
  <c r="CR35" i="7"/>
  <c r="EN38" i="7"/>
  <c r="CV40" i="7"/>
  <c r="BD42" i="7"/>
  <c r="DH21" i="7"/>
  <c r="BS34" i="7"/>
  <c r="EC37" i="7"/>
  <c r="M40" i="7"/>
  <c r="DO41" i="7"/>
  <c r="BW43" i="7"/>
  <c r="AF33" i="7"/>
  <c r="DU36" i="7"/>
  <c r="CF39" i="7"/>
  <c r="AN41" i="7"/>
  <c r="EP42" i="7"/>
  <c r="CI30" i="7"/>
  <c r="DA35" i="7"/>
  <c r="ES38" i="7"/>
  <c r="DA40" i="7"/>
  <c r="BI42" i="7"/>
  <c r="AH28" i="7"/>
  <c r="AB42" i="7"/>
  <c r="AH45" i="7"/>
  <c r="EJ46" i="7"/>
  <c r="CR48" i="7"/>
  <c r="AZ50" i="7"/>
  <c r="EC39" i="7"/>
  <c r="CS44" i="7"/>
  <c r="BA46" i="7"/>
  <c r="I48" i="7"/>
  <c r="DK49" i="7"/>
  <c r="CT36" i="7"/>
  <c r="R44" i="7"/>
  <c r="DT45" i="7"/>
  <c r="CB47" i="7"/>
  <c r="AJ49" i="7"/>
  <c r="CP31" i="7"/>
  <c r="BW42" i="7"/>
  <c r="AS45" i="7"/>
  <c r="EU46" i="7"/>
  <c r="DC48" i="7"/>
  <c r="BK50" i="7"/>
  <c r="X40" i="7"/>
  <c r="DD44" i="7"/>
  <c r="BL46" i="7"/>
  <c r="T48" i="7"/>
  <c r="DV49" i="7"/>
  <c r="EL36" i="7"/>
  <c r="W44" i="7"/>
  <c r="AO45" i="7"/>
  <c r="AY46" i="7"/>
  <c r="CG47" i="7"/>
  <c r="CY48" i="7"/>
  <c r="DI49" i="7"/>
  <c r="BN36" i="7"/>
  <c r="DZ46" i="7"/>
  <c r="BV50" i="7"/>
  <c r="U51" i="7"/>
  <c r="CG51" i="7"/>
  <c r="ES51" i="7"/>
  <c r="BK52" i="7"/>
  <c r="DW52" i="7"/>
  <c r="AO53" i="7"/>
  <c r="DA53" i="7"/>
  <c r="S54" i="7"/>
  <c r="CE54" i="7"/>
  <c r="EQ54" i="7"/>
  <c r="BI55" i="7"/>
  <c r="DU55" i="7"/>
  <c r="AM56" i="7"/>
  <c r="CY56" i="7"/>
  <c r="Q57" i="7"/>
  <c r="CC57" i="7"/>
  <c r="BK40" i="7"/>
  <c r="DM44" i="7"/>
  <c r="BU46" i="7"/>
  <c r="AC48" i="7"/>
  <c r="EE49" i="7"/>
  <c r="ER50" i="7"/>
  <c r="BJ51" i="7"/>
  <c r="DV51" i="7"/>
  <c r="AN52" i="7"/>
  <c r="CZ52" i="7"/>
  <c r="R53" i="7"/>
  <c r="CD53" i="7"/>
  <c r="EP53" i="7"/>
  <c r="BH54" i="7"/>
  <c r="BL40" i="7"/>
  <c r="DN44" i="7"/>
  <c r="BV46" i="7"/>
  <c r="AD48" i="7"/>
  <c r="EF49" i="7"/>
  <c r="ES50" i="7"/>
  <c r="BK51" i="7"/>
  <c r="DW51" i="7"/>
  <c r="AO52" i="7"/>
  <c r="DA52" i="7"/>
  <c r="S53" i="7"/>
  <c r="CE53" i="7"/>
  <c r="EQ53" i="7"/>
  <c r="BI54" i="7"/>
  <c r="DU54" i="7"/>
  <c r="AM55" i="7"/>
  <c r="CY55" i="7"/>
  <c r="Q56" i="7"/>
  <c r="CC56" i="7"/>
  <c r="EO56" i="7"/>
  <c r="BG57" i="7"/>
  <c r="EI38" i="7"/>
  <c r="BI44" i="7"/>
  <c r="Q46" i="7"/>
  <c r="DS47" i="7"/>
  <c r="CA49" i="7"/>
  <c r="ED50" i="7"/>
  <c r="AV51" i="7"/>
  <c r="DH51" i="7"/>
  <c r="Z52" i="7"/>
  <c r="CL52" i="7"/>
  <c r="D53" i="7"/>
  <c r="BP53" i="7"/>
  <c r="EB53" i="7"/>
  <c r="AT54" i="7"/>
  <c r="DF54" i="7"/>
  <c r="X55" i="7"/>
  <c r="CJ55" i="7"/>
  <c r="EV55" i="7"/>
  <c r="BN56" i="7"/>
  <c r="DZ56" i="7"/>
  <c r="AR57" i="7"/>
  <c r="CJ35" i="7"/>
  <c r="ER43" i="7"/>
  <c r="CZ45" i="7"/>
  <c r="BH47" i="7"/>
  <c r="P49" i="7"/>
  <c r="DN50" i="7"/>
  <c r="AG51" i="7"/>
  <c r="CS51" i="7"/>
  <c r="K52" i="7"/>
  <c r="BW52" i="7"/>
  <c r="EV15" i="7"/>
  <c r="DE28" i="7"/>
  <c r="EE22" i="7"/>
  <c r="BY31" i="7"/>
  <c r="AP29" i="7"/>
  <c r="BL27" i="7"/>
  <c r="AW24" i="7"/>
  <c r="DY22" i="7"/>
  <c r="DW32" i="7"/>
  <c r="DH25" i="7"/>
  <c r="BV37" i="7"/>
  <c r="CQ32" i="7"/>
  <c r="BA34" i="7"/>
  <c r="I36" i="7"/>
  <c r="DK37" i="7"/>
  <c r="AG24" i="7"/>
  <c r="C32" i="7"/>
  <c r="DV33" i="7"/>
  <c r="CD35" i="7"/>
  <c r="AL37" i="7"/>
  <c r="AE21" i="7"/>
  <c r="BM34" i="7"/>
  <c r="DW37" i="7"/>
  <c r="J40" i="7"/>
  <c r="DL41" i="7"/>
  <c r="BT43" i="7"/>
  <c r="X33" i="7"/>
  <c r="DN36" i="7"/>
  <c r="CC39" i="7"/>
  <c r="AK41" i="7"/>
  <c r="EM42" i="7"/>
  <c r="DO30" i="7"/>
  <c r="DH35" i="7"/>
  <c r="EV38" i="7"/>
  <c r="DD40" i="7"/>
  <c r="BL42" i="7"/>
  <c r="DM22" i="7"/>
  <c r="CI34" i="7"/>
  <c r="ES37" i="7"/>
  <c r="U40" i="7"/>
  <c r="DW41" i="7"/>
  <c r="CE43" i="7"/>
  <c r="BA33" i="7"/>
  <c r="EK36" i="7"/>
  <c r="CN39" i="7"/>
  <c r="AV41" i="7"/>
  <c r="D43" i="7"/>
  <c r="AF31" i="7"/>
  <c r="DQ35" i="7"/>
  <c r="G39" i="7"/>
  <c r="DI40" i="7"/>
  <c r="BQ42" i="7"/>
  <c r="CH30" i="7"/>
  <c r="BH42" i="7"/>
  <c r="AP45" i="7"/>
  <c r="ER46" i="7"/>
  <c r="CZ48" i="7"/>
  <c r="BH50" i="7"/>
  <c r="O40" i="7"/>
  <c r="DA44" i="7"/>
  <c r="BI46" i="7"/>
  <c r="Q48" i="7"/>
  <c r="DS49" i="7"/>
  <c r="L37" i="7"/>
  <c r="Z44" i="7"/>
  <c r="EB45" i="7"/>
  <c r="CJ47" i="7"/>
  <c r="AR49" i="7"/>
  <c r="BU32" i="7"/>
  <c r="DC42" i="7"/>
  <c r="BA45" i="7"/>
  <c r="I47" i="7"/>
  <c r="DK48" i="7"/>
  <c r="BS50" i="7"/>
  <c r="BD40" i="7"/>
  <c r="DL44" i="7"/>
  <c r="BT46" i="7"/>
  <c r="AB48" i="7"/>
  <c r="ED49" i="7"/>
  <c r="BD37" i="7"/>
  <c r="AE44" i="7"/>
  <c r="BM45" i="7"/>
  <c r="CE46" i="7"/>
  <c r="CO47" i="7"/>
  <c r="DW48" i="7"/>
  <c r="EO49" i="7"/>
  <c r="V38" i="7"/>
  <c r="BX47" i="7"/>
  <c r="DB50" i="7"/>
  <c r="AC51" i="7"/>
  <c r="CO51" i="7"/>
  <c r="G52" i="7"/>
  <c r="BS52" i="7"/>
  <c r="EE52" i="7"/>
  <c r="AW53" i="7"/>
  <c r="DI53" i="7"/>
  <c r="AA54" i="7"/>
  <c r="CM54" i="7"/>
  <c r="E55" i="7"/>
  <c r="BQ55" i="7"/>
  <c r="EC55" i="7"/>
  <c r="AU56" i="7"/>
  <c r="DG56" i="7"/>
  <c r="Y57" i="7"/>
  <c r="CK57" i="7"/>
  <c r="AO41" i="7"/>
  <c r="ES44" i="7"/>
  <c r="DA46" i="7"/>
  <c r="BI48" i="7"/>
  <c r="Q50" i="7"/>
  <c r="F51" i="7"/>
  <c r="BR51" i="7"/>
  <c r="ED51" i="7"/>
  <c r="AV52" i="7"/>
  <c r="DH52" i="7"/>
  <c r="Z53" i="7"/>
  <c r="CL53" i="7"/>
  <c r="D54" i="7"/>
  <c r="BP54" i="7"/>
  <c r="AP41" i="7"/>
  <c r="ET44" i="7"/>
  <c r="DB46" i="7"/>
  <c r="BJ48" i="7"/>
  <c r="R50" i="7"/>
  <c r="G51" i="7"/>
  <c r="BS51" i="7"/>
  <c r="EE51" i="7"/>
  <c r="AW52" i="7"/>
  <c r="DI52" i="7"/>
  <c r="AA53" i="7"/>
  <c r="CM53" i="7"/>
  <c r="E54" i="7"/>
  <c r="BQ54" i="7"/>
  <c r="EC54" i="7"/>
  <c r="AU55" i="7"/>
  <c r="DG55" i="7"/>
  <c r="Y56" i="7"/>
  <c r="CK56" i="7"/>
  <c r="C57" i="7"/>
  <c r="BO57" i="7"/>
  <c r="DM39" i="7"/>
  <c r="CO44" i="7"/>
  <c r="AW46" i="7"/>
  <c r="E48" i="7"/>
  <c r="DG49" i="7"/>
  <c r="EL50" i="7"/>
  <c r="BD51" i="7"/>
  <c r="DP51" i="7"/>
  <c r="AH52" i="7"/>
  <c r="CT52" i="7"/>
  <c r="L53" i="7"/>
  <c r="BX53" i="7"/>
  <c r="EJ53" i="7"/>
  <c r="BB54" i="7"/>
  <c r="DN54" i="7"/>
  <c r="AF55" i="7"/>
  <c r="CR55" i="7"/>
  <c r="J56" i="7"/>
  <c r="BV56" i="7"/>
  <c r="EH56" i="7"/>
  <c r="AZ57" i="7"/>
  <c r="AR37" i="7"/>
  <c r="AD44" i="7"/>
  <c r="EF45" i="7"/>
  <c r="CN47" i="7"/>
  <c r="AV49" i="7"/>
  <c r="DW50" i="7"/>
  <c r="AO51" i="7"/>
  <c r="DA51" i="7"/>
  <c r="S52" i="7"/>
  <c r="CE52" i="7"/>
  <c r="CV20" i="7"/>
  <c r="AT28" i="7"/>
  <c r="CE25" i="7"/>
  <c r="DU21" i="7"/>
  <c r="EJ30" i="7"/>
  <c r="AQ29" i="7"/>
  <c r="EC26" i="7"/>
  <c r="AO31" i="7"/>
  <c r="BW34" i="7"/>
  <c r="AM32" i="7"/>
  <c r="EB21" i="7"/>
  <c r="C33" i="7"/>
  <c r="DE34" i="7"/>
  <c r="BM36" i="7"/>
  <c r="U38" i="7"/>
  <c r="CI26" i="7"/>
  <c r="BS32" i="7"/>
  <c r="AF34" i="7"/>
  <c r="EH35" i="7"/>
  <c r="CP37" i="7"/>
  <c r="CU27" i="7"/>
  <c r="AA35" i="7"/>
  <c r="CK38" i="7"/>
  <c r="BN40" i="7"/>
  <c r="V42" i="7"/>
  <c r="DX43" i="7"/>
  <c r="R34" i="7"/>
  <c r="CB37" i="7"/>
  <c r="EG39" i="7"/>
  <c r="CO41" i="7"/>
  <c r="AW43" i="7"/>
  <c r="DJ32" i="7"/>
  <c r="BV36" i="7"/>
  <c r="BF39" i="7"/>
  <c r="N41" i="7"/>
  <c r="DP42" i="7"/>
  <c r="CT28" i="7"/>
  <c r="AW35" i="7"/>
  <c r="DG38" i="7"/>
  <c r="BY40" i="7"/>
  <c r="AG42" i="7"/>
  <c r="EI43" i="7"/>
  <c r="AO34" i="7"/>
  <c r="CY37" i="7"/>
  <c r="ER39" i="7"/>
  <c r="CZ41" i="7"/>
  <c r="BH43" i="7"/>
  <c r="DV32" i="7"/>
  <c r="CE36" i="7"/>
  <c r="BK39" i="7"/>
  <c r="S41" i="7"/>
  <c r="DU42" i="7"/>
  <c r="AN35" i="7"/>
  <c r="ED43" i="7"/>
  <c r="CT45" i="7"/>
  <c r="BB47" i="7"/>
  <c r="J49" i="7"/>
  <c r="DL50" i="7"/>
  <c r="CK41" i="7"/>
  <c r="K45" i="7"/>
  <c r="DM46" i="7"/>
  <c r="BU48" i="7"/>
  <c r="AC50" i="7"/>
  <c r="BR39" i="7"/>
  <c r="CD44" i="7"/>
  <c r="AL46" i="7"/>
  <c r="EN47" i="7"/>
  <c r="CV49" i="7"/>
  <c r="EB35" i="7"/>
  <c r="C44" i="7"/>
  <c r="DE45" i="7"/>
  <c r="BM47" i="7"/>
  <c r="U49" i="7"/>
  <c r="Q23" i="7"/>
  <c r="DZ41" i="7"/>
  <c r="V45" i="7"/>
  <c r="DX46" i="7"/>
  <c r="CF48" i="7"/>
  <c r="AN50" i="7"/>
  <c r="CO39" i="7"/>
  <c r="BK44" i="7"/>
  <c r="BU45" i="7"/>
  <c r="DC46" i="7"/>
  <c r="DU47" i="7"/>
  <c r="EE48" i="7"/>
  <c r="S50" i="7"/>
  <c r="EH41" i="7"/>
  <c r="DD47" i="7"/>
  <c r="DS50" i="7"/>
  <c r="AK51" i="7"/>
  <c r="CW51" i="7"/>
  <c r="O52" i="7"/>
  <c r="CA52" i="7"/>
  <c r="EM52" i="7"/>
  <c r="BE53" i="7"/>
  <c r="DQ53" i="7"/>
  <c r="AI54" i="7"/>
  <c r="CU54" i="7"/>
  <c r="M55" i="7"/>
  <c r="BY55" i="7"/>
  <c r="EK55" i="7"/>
  <c r="BC56" i="7"/>
  <c r="DO56" i="7"/>
  <c r="AG57" i="7"/>
  <c r="BD27" i="7"/>
  <c r="S42" i="7"/>
  <c r="AE45" i="7"/>
  <c r="EG46" i="7"/>
  <c r="CO48" i="7"/>
  <c r="AW50" i="7"/>
  <c r="N51" i="7"/>
  <c r="BZ51" i="7"/>
  <c r="EL51" i="7"/>
  <c r="BD52" i="7"/>
  <c r="DP52" i="7"/>
  <c r="AH53" i="7"/>
  <c r="CT53" i="7"/>
  <c r="L54" i="7"/>
  <c r="BX27" i="7"/>
  <c r="T42" i="7"/>
  <c r="AF45" i="7"/>
  <c r="EH46" i="7"/>
  <c r="CP48" i="7"/>
  <c r="AX50" i="7"/>
  <c r="O51" i="7"/>
  <c r="CA51" i="7"/>
  <c r="EM51" i="7"/>
  <c r="BE52" i="7"/>
  <c r="DQ52" i="7"/>
  <c r="AI53" i="7"/>
  <c r="CU53" i="7"/>
  <c r="M54" i="7"/>
  <c r="BY54" i="7"/>
  <c r="EK54" i="7"/>
  <c r="BC55" i="7"/>
  <c r="DO55" i="7"/>
  <c r="AG56" i="7"/>
  <c r="CS56" i="7"/>
  <c r="K57" i="7"/>
  <c r="BW57" i="7"/>
  <c r="CQ40" i="7"/>
  <c r="DU44" i="7"/>
  <c r="CC46" i="7"/>
  <c r="AK48" i="7"/>
  <c r="EM49" i="7"/>
  <c r="ET50" i="7"/>
  <c r="BL51" i="7"/>
  <c r="DX51" i="7"/>
  <c r="AP52" i="7"/>
  <c r="DB52" i="7"/>
  <c r="T53" i="7"/>
  <c r="CF53" i="7"/>
  <c r="ER53" i="7"/>
  <c r="BJ54" i="7"/>
  <c r="DV54" i="7"/>
  <c r="AN55" i="7"/>
  <c r="CZ55" i="7"/>
  <c r="R56" i="7"/>
  <c r="CD56" i="7"/>
  <c r="EP56" i="7"/>
  <c r="BH57" i="7"/>
  <c r="EJ38" i="7"/>
  <c r="BJ44" i="7"/>
  <c r="R46" i="7"/>
  <c r="DT47" i="7"/>
  <c r="CB49" i="7"/>
  <c r="EE50" i="7"/>
  <c r="AW51" i="7"/>
  <c r="DI51" i="7"/>
  <c r="AA52" i="7"/>
  <c r="CM52" i="7"/>
  <c r="N21" i="7"/>
  <c r="BB28" i="7"/>
  <c r="CQ25" i="7"/>
  <c r="EK21" i="7"/>
  <c r="ER30" i="7"/>
  <c r="AY29" i="7"/>
  <c r="EM26" i="7"/>
  <c r="BU31" i="7"/>
  <c r="CE34" i="7"/>
  <c r="AV32" i="7"/>
  <c r="AT22" i="7"/>
  <c r="K33" i="7"/>
  <c r="DM34" i="7"/>
  <c r="BU36" i="7"/>
  <c r="AC38" i="7"/>
  <c r="DZ26" i="7"/>
  <c r="CB32" i="7"/>
  <c r="AN34" i="7"/>
  <c r="EP35" i="7"/>
  <c r="CX37" i="7"/>
  <c r="BN28" i="7"/>
  <c r="AQ35" i="7"/>
  <c r="DA38" i="7"/>
  <c r="BV40" i="7"/>
  <c r="AD42" i="7"/>
  <c r="EF43" i="7"/>
  <c r="AH34" i="7"/>
  <c r="CR37" i="7"/>
  <c r="EO39" i="7"/>
  <c r="CW41" i="7"/>
  <c r="BE43" i="7"/>
  <c r="ED32" i="7"/>
  <c r="CL36" i="7"/>
  <c r="BN39" i="7"/>
  <c r="V41" i="7"/>
  <c r="DX42" i="7"/>
  <c r="AB29" i="7"/>
  <c r="BM35" i="7"/>
  <c r="DW38" i="7"/>
  <c r="CG40" i="7"/>
  <c r="AO42" i="7"/>
  <c r="AI20" i="7"/>
  <c r="BE34" i="7"/>
  <c r="DO37" i="7"/>
  <c r="F40" i="7"/>
  <c r="DH41" i="7"/>
  <c r="BP43" i="7"/>
  <c r="EQ32" i="7"/>
  <c r="CU36" i="7"/>
  <c r="BS39" i="7"/>
  <c r="AA41" i="7"/>
  <c r="EC42" i="7"/>
  <c r="CZ35" i="7"/>
  <c r="ET43" i="7"/>
  <c r="DB45" i="7"/>
  <c r="BJ47" i="7"/>
  <c r="R49" i="7"/>
  <c r="ER21" i="7"/>
  <c r="DQ41" i="7"/>
  <c r="S45" i="7"/>
  <c r="DU46" i="7"/>
  <c r="CC48" i="7"/>
  <c r="AK50" i="7"/>
  <c r="CX39" i="7"/>
  <c r="CL44" i="7"/>
  <c r="AT46" i="7"/>
  <c r="EV47" i="7"/>
  <c r="DD49" i="7"/>
  <c r="AT36" i="7"/>
  <c r="K44" i="7"/>
  <c r="DM45" i="7"/>
  <c r="BU47" i="7"/>
  <c r="AC49" i="7"/>
  <c r="DO26" i="7"/>
  <c r="L42" i="7"/>
  <c r="AD45" i="7"/>
  <c r="EF46" i="7"/>
  <c r="CN48" i="7"/>
  <c r="AV50" i="7"/>
  <c r="DU39" i="7"/>
  <c r="CI44" i="7"/>
  <c r="DA45" i="7"/>
  <c r="DK46" i="7"/>
  <c r="ES47" i="7"/>
  <c r="Q49" i="7"/>
  <c r="AA50" i="7"/>
  <c r="N44" i="7"/>
  <c r="CH48" i="7"/>
  <c r="EA50" i="7"/>
  <c r="AS51" i="7"/>
  <c r="DE51" i="7"/>
  <c r="W52" i="7"/>
  <c r="CI52" i="7"/>
  <c r="EU52" i="7"/>
  <c r="BM53" i="7"/>
  <c r="DY53" i="7"/>
  <c r="AQ54" i="7"/>
  <c r="DC54" i="7"/>
  <c r="U55" i="7"/>
  <c r="CG55" i="7"/>
  <c r="ES55" i="7"/>
  <c r="BK56" i="7"/>
  <c r="DW56" i="7"/>
  <c r="AO57" i="7"/>
  <c r="AJ33" i="7"/>
  <c r="EQ42" i="7"/>
  <c r="BK45" i="7"/>
  <c r="S47" i="7"/>
  <c r="DU48" i="7"/>
  <c r="CC50" i="7"/>
  <c r="V51" i="7"/>
  <c r="CH51" i="7"/>
  <c r="ET51" i="7"/>
  <c r="BL52" i="7"/>
  <c r="DX52" i="7"/>
  <c r="AP53" i="7"/>
  <c r="DB53" i="7"/>
  <c r="T54" i="7"/>
  <c r="AK33" i="7"/>
  <c r="ER42" i="7"/>
  <c r="BL45" i="7"/>
  <c r="T47" i="7"/>
  <c r="DV48" i="7"/>
  <c r="CD50" i="7"/>
  <c r="W51" i="7"/>
  <c r="CI51" i="7"/>
  <c r="EU51" i="7"/>
  <c r="BM52" i="7"/>
  <c r="DY52" i="7"/>
  <c r="AQ53" i="7"/>
  <c r="DC53" i="7"/>
  <c r="U54" i="7"/>
  <c r="CG54" i="7"/>
  <c r="ES54" i="7"/>
  <c r="BK55" i="7"/>
  <c r="DW55" i="7"/>
  <c r="AO56" i="7"/>
  <c r="DA56" i="7"/>
  <c r="S57" i="7"/>
  <c r="CE57" i="7"/>
  <c r="BU41" i="7"/>
  <c r="G45" i="7"/>
  <c r="DI46" i="7"/>
  <c r="BQ48" i="7"/>
  <c r="Y50" i="7"/>
  <c r="H51" i="7"/>
  <c r="BT51" i="7"/>
  <c r="EF51" i="7"/>
  <c r="AX52" i="7"/>
  <c r="DJ52" i="7"/>
  <c r="AB53" i="7"/>
  <c r="CN53" i="7"/>
  <c r="F54" i="7"/>
  <c r="BR54" i="7"/>
  <c r="ED54" i="7"/>
  <c r="AV55" i="7"/>
  <c r="DH55" i="7"/>
  <c r="Z56" i="7"/>
  <c r="CL56" i="7"/>
  <c r="D57" i="7"/>
  <c r="BP57" i="7"/>
  <c r="DN39" i="7"/>
  <c r="CP44" i="7"/>
  <c r="AX46" i="7"/>
  <c r="F48" i="7"/>
  <c r="DH49" i="7"/>
  <c r="EM50" i="7"/>
  <c r="BE51" i="7"/>
  <c r="DQ51" i="7"/>
  <c r="AI52" i="7"/>
  <c r="CK17" i="7"/>
  <c r="EV29" i="7"/>
  <c r="EQ27" i="7"/>
  <c r="DB24" i="7"/>
  <c r="EM21" i="7"/>
  <c r="ES30" i="7"/>
  <c r="EJ28" i="7"/>
  <c r="CI33" i="7"/>
  <c r="AE36" i="7"/>
  <c r="D34" i="7"/>
  <c r="O30" i="7"/>
  <c r="BO33" i="7"/>
  <c r="W35" i="7"/>
  <c r="DY36" i="7"/>
  <c r="CG38" i="7"/>
  <c r="DB28" i="7"/>
  <c r="EJ32" i="7"/>
  <c r="CR34" i="7"/>
  <c r="AZ36" i="7"/>
  <c r="H38" i="7"/>
  <c r="F32" i="7"/>
  <c r="E36" i="7"/>
  <c r="X39" i="7"/>
  <c r="DZ40" i="7"/>
  <c r="CH42" i="7"/>
  <c r="AC26" i="7"/>
  <c r="EP34" i="7"/>
  <c r="BF38" i="7"/>
  <c r="AY40" i="7"/>
  <c r="G42" i="7"/>
  <c r="DI43" i="7"/>
  <c r="EC33" i="7"/>
  <c r="AZ37" i="7"/>
  <c r="DR39" i="7"/>
  <c r="BZ41" i="7"/>
  <c r="AH43" i="7"/>
  <c r="AP32" i="7"/>
  <c r="AA36" i="7"/>
  <c r="AI39" i="7"/>
  <c r="EK40" i="7"/>
  <c r="CS42" i="7"/>
  <c r="BC27" i="7"/>
  <c r="S35" i="7"/>
  <c r="CC38" i="7"/>
  <c r="BJ40" i="7"/>
  <c r="R42" i="7"/>
  <c r="DT43" i="7"/>
  <c r="ER33" i="7"/>
  <c r="BI37" i="7"/>
  <c r="DW39" i="7"/>
  <c r="CE41" i="7"/>
  <c r="AM43" i="7"/>
  <c r="CX38" i="7"/>
  <c r="BD44" i="7"/>
  <c r="L46" i="7"/>
  <c r="DN47" i="7"/>
  <c r="BV49" i="7"/>
  <c r="J34" i="7"/>
  <c r="AS43" i="7"/>
  <c r="BW45" i="7"/>
  <c r="AE47" i="7"/>
  <c r="EG48" i="7"/>
  <c r="CO50" i="7"/>
  <c r="Z41" i="7"/>
  <c r="EP44" i="7"/>
  <c r="CX46" i="7"/>
  <c r="BF48" i="7"/>
  <c r="N50" i="7"/>
  <c r="M39" i="7"/>
  <c r="BO44" i="7"/>
  <c r="W46" i="7"/>
  <c r="DY47" i="7"/>
  <c r="CG49" i="7"/>
  <c r="CP34" i="7"/>
  <c r="CH43" i="7"/>
  <c r="CH45" i="7"/>
  <c r="AP47" i="7"/>
  <c r="ER48" i="7"/>
  <c r="CZ50" i="7"/>
  <c r="AW41" i="7"/>
  <c r="CQ44" i="7"/>
  <c r="DY45" i="7"/>
  <c r="EQ46" i="7"/>
  <c r="G48" i="7"/>
  <c r="AO49" i="7"/>
  <c r="BG50" i="7"/>
  <c r="AT44" i="7"/>
  <c r="AF49" i="7"/>
  <c r="EI50" i="7"/>
  <c r="BA51" i="7"/>
  <c r="DM51" i="7"/>
  <c r="AE52" i="7"/>
  <c r="CQ52" i="7"/>
  <c r="I53" i="7"/>
  <c r="BU53" i="7"/>
  <c r="EG53" i="7"/>
  <c r="AY54" i="7"/>
  <c r="DK54" i="7"/>
  <c r="AC55" i="7"/>
  <c r="CO55" i="7"/>
  <c r="G56" i="7"/>
  <c r="BS56" i="7"/>
  <c r="EE56" i="7"/>
  <c r="AW57" i="7"/>
  <c r="T35" i="7"/>
  <c r="DU43" i="7"/>
  <c r="CQ45" i="7"/>
  <c r="AY47" i="7"/>
  <c r="G49" i="7"/>
  <c r="DI50" i="7"/>
  <c r="AD51" i="7"/>
  <c r="CP51" i="7"/>
  <c r="H52" i="7"/>
  <c r="BT52" i="7"/>
  <c r="EF52" i="7"/>
  <c r="AX53" i="7"/>
  <c r="DJ53" i="7"/>
  <c r="AB54" i="7"/>
  <c r="X35" i="7"/>
  <c r="DV43" i="7"/>
  <c r="CR45" i="7"/>
  <c r="AZ47" i="7"/>
  <c r="H49" i="7"/>
  <c r="DJ50" i="7"/>
  <c r="AE51" i="7"/>
  <c r="CQ51" i="7"/>
  <c r="I52" i="7"/>
  <c r="BU52" i="7"/>
  <c r="EG52" i="7"/>
  <c r="AY53" i="7"/>
  <c r="DK53" i="7"/>
  <c r="AC54" i="7"/>
  <c r="CO54" i="7"/>
  <c r="G55" i="7"/>
  <c r="BS55" i="7"/>
  <c r="EE55" i="7"/>
  <c r="AW56" i="7"/>
  <c r="DI56" i="7"/>
  <c r="AA57" i="7"/>
  <c r="EJ29" i="7"/>
  <c r="AY42" i="7"/>
  <c r="AM45" i="7"/>
  <c r="EO46" i="7"/>
  <c r="CW48" i="7"/>
  <c r="BE50" i="7"/>
  <c r="P51" i="7"/>
  <c r="CB51" i="7"/>
  <c r="EN51" i="7"/>
  <c r="BF52" i="7"/>
  <c r="DR52" i="7"/>
  <c r="AJ53" i="7"/>
  <c r="CV53" i="7"/>
  <c r="N54" i="7"/>
  <c r="BZ54" i="7"/>
  <c r="EL54" i="7"/>
  <c r="BD55" i="7"/>
  <c r="DP55" i="7"/>
  <c r="AH56" i="7"/>
  <c r="CT56" i="7"/>
  <c r="L57" i="7"/>
  <c r="BX57" i="7"/>
  <c r="CR40" i="7"/>
  <c r="DV44" i="7"/>
  <c r="CD46" i="7"/>
  <c r="AL48" i="7"/>
  <c r="EN49" i="7"/>
  <c r="EU50" i="7"/>
  <c r="BM51" i="7"/>
  <c r="DY51" i="7"/>
  <c r="AQ52" i="7"/>
  <c r="DU18" i="7"/>
  <c r="J30" i="7"/>
  <c r="G28" i="7"/>
  <c r="DN24" i="7"/>
  <c r="I22" i="7"/>
  <c r="G31" i="7"/>
  <c r="ER28" i="7"/>
  <c r="CQ33" i="7"/>
  <c r="AM36" i="7"/>
  <c r="L34" i="7"/>
  <c r="CA30" i="7"/>
  <c r="BW33" i="7"/>
  <c r="AE35" i="7"/>
  <c r="EG36" i="7"/>
  <c r="CO38" i="7"/>
  <c r="EH28" i="7"/>
  <c r="ER32" i="7"/>
  <c r="CZ34" i="7"/>
  <c r="BH36" i="7"/>
  <c r="P38" i="7"/>
  <c r="AG32" i="7"/>
  <c r="U36" i="7"/>
  <c r="AF39" i="7"/>
  <c r="EH40" i="7"/>
  <c r="CP42" i="7"/>
  <c r="L27" i="7"/>
  <c r="L35" i="7"/>
  <c r="BV38" i="7"/>
  <c r="BG40" i="7"/>
  <c r="O42" i="7"/>
  <c r="DQ43" i="7"/>
  <c r="F34" i="7"/>
  <c r="BP37" i="7"/>
  <c r="DZ39" i="7"/>
  <c r="CH41" i="7"/>
  <c r="AP43" i="7"/>
  <c r="BP32" i="7"/>
  <c r="AQ36" i="7"/>
  <c r="AQ39" i="7"/>
  <c r="ES40" i="7"/>
  <c r="DA42" i="7"/>
  <c r="K28" i="7"/>
  <c r="AI35" i="7"/>
  <c r="CS38" i="7"/>
  <c r="BR40" i="7"/>
  <c r="Z42" i="7"/>
  <c r="EB43" i="7"/>
  <c r="O34" i="7"/>
  <c r="BY37" i="7"/>
  <c r="EE39" i="7"/>
  <c r="CM41" i="7"/>
  <c r="AU43" i="7"/>
  <c r="ER38" i="7"/>
  <c r="BL44" i="7"/>
  <c r="T46" i="7"/>
  <c r="DV47" i="7"/>
  <c r="CD49" i="7"/>
  <c r="BV34" i="7"/>
  <c r="BY43" i="7"/>
  <c r="CE45" i="7"/>
  <c r="AM47" i="7"/>
  <c r="EO48" i="7"/>
  <c r="CW50" i="7"/>
  <c r="BF41" i="7"/>
  <c r="D45" i="7"/>
  <c r="DF46" i="7"/>
  <c r="BN48" i="7"/>
  <c r="V50" i="7"/>
  <c r="AS39" i="7"/>
  <c r="BW44" i="7"/>
  <c r="AE46" i="7"/>
  <c r="EG47" i="7"/>
  <c r="CO49" i="7"/>
  <c r="H35" i="7"/>
  <c r="DN43" i="7"/>
  <c r="CP45" i="7"/>
  <c r="AX47" i="7"/>
  <c r="F49" i="7"/>
  <c r="DH50" i="7"/>
  <c r="CC41" i="7"/>
  <c r="DW44" i="7"/>
  <c r="EG45" i="7"/>
  <c r="U47" i="7"/>
  <c r="AM48" i="7"/>
  <c r="AW49" i="7"/>
  <c r="CE50" i="7"/>
  <c r="X45" i="7"/>
  <c r="M28" i="7"/>
  <c r="BJ30" i="7"/>
  <c r="AR41" i="7"/>
  <c r="DN34" i="7"/>
  <c r="BC41" i="7"/>
  <c r="DW34" i="7"/>
  <c r="AF48" i="7"/>
  <c r="EB42" i="7"/>
  <c r="AQ48" i="7"/>
  <c r="E43" i="7"/>
  <c r="BL49" i="7"/>
  <c r="AM52" i="7"/>
  <c r="EO53" i="7"/>
  <c r="CW55" i="7"/>
  <c r="BE57" i="7"/>
  <c r="CE47" i="7"/>
  <c r="CX51" i="7"/>
  <c r="CR52" i="7"/>
  <c r="DZ53" i="7"/>
  <c r="V44" i="7"/>
  <c r="ER47" i="7"/>
  <c r="AU51" i="7"/>
  <c r="CC52" i="7"/>
  <c r="BW53" i="7"/>
  <c r="DE54" i="7"/>
  <c r="EM55" i="7"/>
  <c r="EG56" i="7"/>
  <c r="EQ43" i="7"/>
  <c r="EC48" i="7"/>
  <c r="AN51" i="7"/>
  <c r="BV52" i="7"/>
  <c r="DD53" i="7"/>
  <c r="CX54" i="7"/>
  <c r="EF55" i="7"/>
  <c r="T57" i="7"/>
  <c r="AD43" i="7"/>
  <c r="CX48" i="7"/>
  <c r="BU51" i="7"/>
  <c r="BO52" i="7"/>
  <c r="E53" i="7"/>
  <c r="BQ53" i="7"/>
  <c r="EC53" i="7"/>
  <c r="AU54" i="7"/>
  <c r="DG54" i="7"/>
  <c r="Y55" i="7"/>
  <c r="CK55" i="7"/>
  <c r="C56" i="7"/>
  <c r="BO56" i="7"/>
  <c r="EA56" i="7"/>
  <c r="AS57" i="7"/>
  <c r="DB34" i="7"/>
  <c r="CO43" i="7"/>
  <c r="CI45" i="7"/>
  <c r="AQ47" i="7"/>
  <c r="ES48" i="7"/>
  <c r="DA50" i="7"/>
  <c r="AB51" i="7"/>
  <c r="CN51" i="7"/>
  <c r="F52" i="7"/>
  <c r="BR52" i="7"/>
  <c r="ED52" i="7"/>
  <c r="AV53" i="7"/>
  <c r="DH53" i="7"/>
  <c r="Z54" i="7"/>
  <c r="CL54" i="7"/>
  <c r="D55" i="7"/>
  <c r="BP55" i="7"/>
  <c r="EB55" i="7"/>
  <c r="AT56" i="7"/>
  <c r="DF56" i="7"/>
  <c r="X57" i="7"/>
  <c r="CJ57" i="7"/>
  <c r="EB47" i="7"/>
  <c r="DK51" i="7"/>
  <c r="BS53" i="7"/>
  <c r="EN54" i="7"/>
  <c r="M56" i="7"/>
  <c r="AH57" i="7"/>
  <c r="EC57" i="7"/>
  <c r="AU58" i="7"/>
  <c r="DG58" i="7"/>
  <c r="Y59" i="7"/>
  <c r="CK59" i="7"/>
  <c r="C60" i="7"/>
  <c r="BO60" i="7"/>
  <c r="EA60" i="7"/>
  <c r="AS61" i="7"/>
  <c r="DE61" i="7"/>
  <c r="W62" i="7"/>
  <c r="CI62" i="7"/>
  <c r="EU62" i="7"/>
  <c r="BM63" i="7"/>
  <c r="DY63" i="7"/>
  <c r="AQ64" i="7"/>
  <c r="DC64" i="7"/>
  <c r="U65" i="7"/>
  <c r="CG65" i="7"/>
  <c r="ES65" i="7"/>
  <c r="BK66" i="7"/>
  <c r="DW66" i="7"/>
  <c r="AO67" i="7"/>
  <c r="DA67" i="7"/>
  <c r="S68" i="7"/>
  <c r="CE68" i="7"/>
  <c r="EQ68" i="7"/>
  <c r="BI69" i="7"/>
  <c r="DU69" i="7"/>
  <c r="AM70" i="7"/>
  <c r="CY70" i="7"/>
  <c r="Q71" i="7"/>
  <c r="CC71" i="7"/>
  <c r="EO71" i="7"/>
  <c r="BG72" i="7"/>
  <c r="DS72" i="7"/>
  <c r="BI43" i="7"/>
  <c r="CS50" i="7"/>
  <c r="BP52" i="7"/>
  <c r="X54" i="7"/>
  <c r="BG55" i="7"/>
  <c r="CB56" i="7"/>
  <c r="CP57" i="7"/>
  <c r="H58" i="7"/>
  <c r="BT58" i="7"/>
  <c r="EF58" i="7"/>
  <c r="AX59" i="7"/>
  <c r="DJ59" i="7"/>
  <c r="AB60" i="7"/>
  <c r="CN60" i="7"/>
  <c r="F61" i="7"/>
  <c r="BR61" i="7"/>
  <c r="ED61" i="7"/>
  <c r="AV62" i="7"/>
  <c r="DH62" i="7"/>
  <c r="Z63" i="7"/>
  <c r="CL63" i="7"/>
  <c r="D64" i="7"/>
  <c r="BP64" i="7"/>
  <c r="EB64" i="7"/>
  <c r="AT65" i="7"/>
  <c r="DF65" i="7"/>
  <c r="X66" i="7"/>
  <c r="CJ66" i="7"/>
  <c r="EV66" i="7"/>
  <c r="BN67" i="7"/>
  <c r="DZ67" i="7"/>
  <c r="ET39" i="7"/>
  <c r="DP49" i="7"/>
  <c r="AK52" i="7"/>
  <c r="ER35" i="7"/>
  <c r="W49" i="7"/>
  <c r="L52" i="7"/>
  <c r="DN53" i="7"/>
  <c r="V55" i="7"/>
  <c r="AR56" i="7"/>
  <c r="BK57" i="7"/>
  <c r="EN57" i="7"/>
  <c r="BF58" i="7"/>
  <c r="DR58" i="7"/>
  <c r="AJ59" i="7"/>
  <c r="CV59" i="7"/>
  <c r="N60" i="7"/>
  <c r="BZ60" i="7"/>
  <c r="EL60" i="7"/>
  <c r="BD61" i="7"/>
  <c r="DP61" i="7"/>
  <c r="AH62" i="7"/>
  <c r="CT62" i="7"/>
  <c r="L63" i="7"/>
  <c r="BX63" i="7"/>
  <c r="EJ63" i="7"/>
  <c r="BB64" i="7"/>
  <c r="DN64" i="7"/>
  <c r="AT48" i="7"/>
  <c r="EA51" i="7"/>
  <c r="CI53" i="7"/>
  <c r="C55" i="7"/>
  <c r="X56" i="7"/>
  <c r="AT57" i="7"/>
  <c r="EG57" i="7"/>
  <c r="AY58" i="7"/>
  <c r="DK58" i="7"/>
  <c r="AC59" i="7"/>
  <c r="CO59" i="7"/>
  <c r="G60" i="7"/>
  <c r="BS60" i="7"/>
  <c r="EE60" i="7"/>
  <c r="AW61" i="7"/>
  <c r="DI61" i="7"/>
  <c r="AA62" i="7"/>
  <c r="CM62" i="7"/>
  <c r="E63" i="7"/>
  <c r="BQ63" i="7"/>
  <c r="EC63" i="7"/>
  <c r="AU64" i="7"/>
  <c r="DG64" i="7"/>
  <c r="Y65" i="7"/>
  <c r="CK65" i="7"/>
  <c r="C66" i="7"/>
  <c r="BO66" i="7"/>
  <c r="EA66" i="7"/>
  <c r="AS67" i="7"/>
  <c r="DE67" i="7"/>
  <c r="W68" i="7"/>
  <c r="CI68" i="7"/>
  <c r="EU68" i="7"/>
  <c r="BM69" i="7"/>
  <c r="DY69" i="7"/>
  <c r="AQ70" i="7"/>
  <c r="DC70" i="7"/>
  <c r="U71" i="7"/>
  <c r="CG71" i="7"/>
  <c r="ES71" i="7"/>
  <c r="BK72" i="7"/>
  <c r="DW72" i="7"/>
  <c r="CE42" i="7"/>
  <c r="BM50" i="7"/>
  <c r="BH52" i="7"/>
  <c r="P54" i="7"/>
  <c r="BB55" i="7"/>
  <c r="BX56" i="7"/>
  <c r="CN57" i="7"/>
  <c r="F58" i="7"/>
  <c r="BR58" i="7"/>
  <c r="ED58" i="7"/>
  <c r="AV59" i="7"/>
  <c r="DH59" i="7"/>
  <c r="Z60" i="7"/>
  <c r="CL60" i="7"/>
  <c r="D61" i="7"/>
  <c r="BP61" i="7"/>
  <c r="EB61" i="7"/>
  <c r="AT62" i="7"/>
  <c r="DF62" i="7"/>
  <c r="X63" i="7"/>
  <c r="CJ63" i="7"/>
  <c r="EV63" i="7"/>
  <c r="BN64" i="7"/>
  <c r="DZ64" i="7"/>
  <c r="AR65" i="7"/>
  <c r="DD65" i="7"/>
  <c r="V66" i="7"/>
  <c r="CH66" i="7"/>
  <c r="ET66" i="7"/>
  <c r="BL67" i="7"/>
  <c r="DX67" i="7"/>
  <c r="EN45" i="7"/>
  <c r="AD55" i="7"/>
  <c r="DW57" i="7"/>
  <c r="ER58" i="7"/>
  <c r="Q60" i="7"/>
  <c r="AM61" i="7"/>
  <c r="BH62" i="7"/>
  <c r="CA63" i="7"/>
  <c r="CW64" i="7"/>
  <c r="CE65" i="7"/>
  <c r="BI66" i="7"/>
  <c r="AM67" i="7"/>
  <c r="Q68" i="7"/>
  <c r="DD68" i="7"/>
  <c r="EM53" i="7"/>
  <c r="Z57" i="7"/>
  <c r="CG58" i="7"/>
  <c r="DC59" i="7"/>
  <c r="DX60" i="7"/>
  <c r="EQ61" i="7"/>
  <c r="S63" i="7"/>
  <c r="AN64" i="7"/>
  <c r="AM65" i="7"/>
  <c r="DR46" i="7"/>
  <c r="AX55" i="7"/>
  <c r="EA57" i="7"/>
  <c r="C59" i="7"/>
  <c r="X60" i="7"/>
  <c r="AQ61" i="7"/>
  <c r="BM62" i="7"/>
  <c r="CH63" i="7"/>
  <c r="DA64" i="7"/>
  <c r="CJ65" i="7"/>
  <c r="CF52" i="7"/>
  <c r="BT56" i="7"/>
  <c r="AW58" i="7"/>
  <c r="BR59" i="7"/>
  <c r="CK60" i="7"/>
  <c r="DG61" i="7"/>
  <c r="EB62" i="7"/>
  <c r="EU63" i="7"/>
  <c r="J65" i="7"/>
  <c r="EH65" i="7"/>
  <c r="CR54" i="7"/>
  <c r="CQ57" i="7"/>
  <c r="DL58" i="7"/>
  <c r="EE59" i="7"/>
  <c r="G61" i="7"/>
  <c r="AB62" i="7"/>
  <c r="AU63" i="7"/>
  <c r="BQ64" i="7"/>
  <c r="BG65" i="7"/>
  <c r="J51" i="7"/>
  <c r="DV55" i="7"/>
  <c r="L58" i="7"/>
  <c r="AE59" i="7"/>
  <c r="BA60" i="7"/>
  <c r="BV61" i="7"/>
  <c r="CO62" i="7"/>
  <c r="DK63" i="7"/>
  <c r="EC64" i="7"/>
  <c r="DG65" i="7"/>
  <c r="CK66" i="7"/>
  <c r="ER52" i="7"/>
  <c r="CZ56" i="7"/>
  <c r="BH58" i="7"/>
  <c r="CA59" i="7"/>
  <c r="CW60" i="7"/>
  <c r="DR61" i="7"/>
  <c r="EK62" i="7"/>
  <c r="M64" i="7"/>
  <c r="R65" i="7"/>
  <c r="BZ48" i="7"/>
  <c r="DM64" i="7"/>
  <c r="EC66" i="7"/>
  <c r="EA67" i="7"/>
  <c r="CP68" i="7"/>
  <c r="AH69" i="7"/>
  <c r="DO69" i="7"/>
  <c r="BB70" i="7"/>
  <c r="EJ70" i="7"/>
  <c r="BW71" i="7"/>
  <c r="J72" i="7"/>
  <c r="CR72" i="7"/>
  <c r="AB73" i="7"/>
  <c r="CN73" i="7"/>
  <c r="F74" i="7"/>
  <c r="BR74" i="7"/>
  <c r="ED74" i="7"/>
  <c r="EI51" i="7"/>
  <c r="ET64" i="7"/>
  <c r="EH66" i="7"/>
  <c r="ED67" i="7"/>
  <c r="CT68" i="7"/>
  <c r="AJ69" i="7"/>
  <c r="DR69" i="7"/>
  <c r="R27" i="7"/>
  <c r="EG37" i="7"/>
  <c r="BB33" i="7"/>
  <c r="ET42" i="7"/>
  <c r="AD38" i="7"/>
  <c r="K43" i="7"/>
  <c r="AM38" i="7"/>
  <c r="EH49" i="7"/>
  <c r="BH45" i="7"/>
  <c r="ES49" i="7"/>
  <c r="EU44" i="7"/>
  <c r="J50" i="7"/>
  <c r="AU52" i="7"/>
  <c r="C54" i="7"/>
  <c r="DE55" i="7"/>
  <c r="BM57" i="7"/>
  <c r="DK47" i="7"/>
  <c r="DF51" i="7"/>
  <c r="EN52" i="7"/>
  <c r="EH53" i="7"/>
  <c r="BB44" i="7"/>
  <c r="AN49" i="7"/>
  <c r="BC51" i="7"/>
  <c r="CK52" i="7"/>
  <c r="DS53" i="7"/>
  <c r="DM54" i="7"/>
  <c r="EU55" i="7"/>
  <c r="AI57" i="7"/>
  <c r="AC44" i="7"/>
  <c r="O49" i="7"/>
  <c r="CJ51" i="7"/>
  <c r="CD52" i="7"/>
  <c r="DL53" i="7"/>
  <c r="ET54" i="7"/>
  <c r="EN55" i="7"/>
  <c r="AB57" i="7"/>
  <c r="H45" i="7"/>
  <c r="ED48" i="7"/>
  <c r="CC51" i="7"/>
  <c r="CU52" i="7"/>
  <c r="M53" i="7"/>
  <c r="BY53" i="7"/>
  <c r="EK53" i="7"/>
  <c r="BC54" i="7"/>
  <c r="DO54" i="7"/>
  <c r="AG55" i="7"/>
  <c r="CS55" i="7"/>
  <c r="K56" i="7"/>
  <c r="BW56" i="7"/>
  <c r="EI56" i="7"/>
  <c r="BA57" i="7"/>
  <c r="BJ36" i="7"/>
  <c r="M44" i="7"/>
  <c r="DO45" i="7"/>
  <c r="BW47" i="7"/>
  <c r="AE49" i="7"/>
  <c r="DR50" i="7"/>
  <c r="AJ51" i="7"/>
  <c r="CV51" i="7"/>
  <c r="N52" i="7"/>
  <c r="BZ52" i="7"/>
  <c r="EL52" i="7"/>
  <c r="BD53" i="7"/>
  <c r="DP53" i="7"/>
  <c r="AH54" i="7"/>
  <c r="CT54" i="7"/>
  <c r="L55" i="7"/>
  <c r="BX55" i="7"/>
  <c r="EJ55" i="7"/>
  <c r="BB56" i="7"/>
  <c r="DN56" i="7"/>
  <c r="AF57" i="7"/>
  <c r="EU31" i="7"/>
  <c r="DF48" i="7"/>
  <c r="EQ51" i="7"/>
  <c r="CY53" i="7"/>
  <c r="N55" i="7"/>
  <c r="AJ56" i="7"/>
  <c r="BC57" i="7"/>
  <c r="EK57" i="7"/>
  <c r="BC58" i="7"/>
  <c r="DO58" i="7"/>
  <c r="AG59" i="7"/>
  <c r="CS59" i="7"/>
  <c r="K60" i="7"/>
  <c r="BW60" i="7"/>
  <c r="EI60" i="7"/>
  <c r="BA61" i="7"/>
  <c r="DM61" i="7"/>
  <c r="AE62" i="7"/>
  <c r="CQ62" i="7"/>
  <c r="I63" i="7"/>
  <c r="BU63" i="7"/>
  <c r="EG63" i="7"/>
  <c r="AY64" i="7"/>
  <c r="DK64" i="7"/>
  <c r="AC65" i="7"/>
  <c r="CO65" i="7"/>
  <c r="G66" i="7"/>
  <c r="BS66" i="7"/>
  <c r="EE66" i="7"/>
  <c r="AW67" i="7"/>
  <c r="DI67" i="7"/>
  <c r="AA68" i="7"/>
  <c r="CM68" i="7"/>
  <c r="E69" i="7"/>
  <c r="BQ69" i="7"/>
  <c r="EC69" i="7"/>
  <c r="AU70" i="7"/>
  <c r="DG70" i="7"/>
  <c r="Y71" i="7"/>
  <c r="CK71" i="7"/>
  <c r="C72" i="7"/>
  <c r="BO72" i="7"/>
  <c r="EA72" i="7"/>
  <c r="CW44" i="7"/>
  <c r="EN50" i="7"/>
  <c r="CV52" i="7"/>
  <c r="BD54" i="7"/>
  <c r="CD55" i="7"/>
  <c r="CW56" i="7"/>
  <c r="CX57" i="7"/>
  <c r="P58" i="7"/>
  <c r="CB58" i="7"/>
  <c r="EN58" i="7"/>
  <c r="BF59" i="7"/>
  <c r="DR59" i="7"/>
  <c r="AJ60" i="7"/>
  <c r="CV60" i="7"/>
  <c r="N61" i="7"/>
  <c r="BZ61" i="7"/>
  <c r="EL61" i="7"/>
  <c r="BD62" i="7"/>
  <c r="DP62" i="7"/>
  <c r="AH63" i="7"/>
  <c r="CT63" i="7"/>
  <c r="L64" i="7"/>
  <c r="BX64" i="7"/>
  <c r="EJ64" i="7"/>
  <c r="BB65" i="7"/>
  <c r="DN65" i="7"/>
  <c r="AF66" i="7"/>
  <c r="CR66" i="7"/>
  <c r="J67" i="7"/>
  <c r="BV67" i="7"/>
  <c r="EH67" i="7"/>
  <c r="BJ43" i="7"/>
  <c r="CT50" i="7"/>
  <c r="BQ52" i="7"/>
  <c r="DW40" i="7"/>
  <c r="EU49" i="7"/>
  <c r="AR52" i="7"/>
  <c r="ET53" i="7"/>
  <c r="AQ55" i="7"/>
  <c r="BL56" i="7"/>
  <c r="CH57" i="7"/>
  <c r="EV57" i="7"/>
  <c r="BN58" i="7"/>
  <c r="DZ58" i="7"/>
  <c r="AR59" i="7"/>
  <c r="DD59" i="7"/>
  <c r="V60" i="7"/>
  <c r="CH60" i="7"/>
  <c r="ET60" i="7"/>
  <c r="BL61" i="7"/>
  <c r="DX61" i="7"/>
  <c r="AP62" i="7"/>
  <c r="DB62" i="7"/>
  <c r="T63" i="7"/>
  <c r="CF63" i="7"/>
  <c r="ER63" i="7"/>
  <c r="BJ64" i="7"/>
  <c r="EV35" i="7"/>
  <c r="X49" i="7"/>
  <c r="M52" i="7"/>
  <c r="DO53" i="7"/>
  <c r="Z55" i="7"/>
  <c r="AS56" i="7"/>
  <c r="BN57" i="7"/>
  <c r="EO57" i="7"/>
  <c r="BG58" i="7"/>
  <c r="DS58" i="7"/>
  <c r="AK59" i="7"/>
  <c r="CW59" i="7"/>
  <c r="O60" i="7"/>
  <c r="CA60" i="7"/>
  <c r="EM60" i="7"/>
  <c r="BE61" i="7"/>
  <c r="DQ61" i="7"/>
  <c r="AI62" i="7"/>
  <c r="CU62" i="7"/>
  <c r="M63" i="7"/>
  <c r="BY63" i="7"/>
  <c r="EK63" i="7"/>
  <c r="BC64" i="7"/>
  <c r="DO64" i="7"/>
  <c r="AG65" i="7"/>
  <c r="CS65" i="7"/>
  <c r="K66" i="7"/>
  <c r="BW66" i="7"/>
  <c r="EI66" i="7"/>
  <c r="BA67" i="7"/>
  <c r="DM67" i="7"/>
  <c r="AE68" i="7"/>
  <c r="CQ68" i="7"/>
  <c r="I69" i="7"/>
  <c r="BU69" i="7"/>
  <c r="EG69" i="7"/>
  <c r="AY70" i="7"/>
  <c r="DK70" i="7"/>
  <c r="AC71" i="7"/>
  <c r="CO71" i="7"/>
  <c r="G72" i="7"/>
  <c r="BS72" i="7"/>
  <c r="EE72" i="7"/>
  <c r="BQ44" i="7"/>
  <c r="EF50" i="7"/>
  <c r="CN52" i="7"/>
  <c r="AV54" i="7"/>
  <c r="BW55" i="7"/>
  <c r="CR56" i="7"/>
  <c r="CV57" i="7"/>
  <c r="N58" i="7"/>
  <c r="BZ58" i="7"/>
  <c r="EL58" i="7"/>
  <c r="BD59" i="7"/>
  <c r="DP59" i="7"/>
  <c r="AH60" i="7"/>
  <c r="CT60" i="7"/>
  <c r="L61" i="7"/>
  <c r="BX61" i="7"/>
  <c r="EJ61" i="7"/>
  <c r="BB62" i="7"/>
  <c r="DN62" i="7"/>
  <c r="AF63" i="7"/>
  <c r="CR63" i="7"/>
  <c r="J64" i="7"/>
  <c r="BV64" i="7"/>
  <c r="EH64" i="7"/>
  <c r="AZ65" i="7"/>
  <c r="DL65" i="7"/>
  <c r="AD66" i="7"/>
  <c r="CP66" i="7"/>
  <c r="H67" i="7"/>
  <c r="BT67" i="7"/>
  <c r="EF67" i="7"/>
  <c r="BD49" i="7"/>
  <c r="CM55" i="7"/>
  <c r="EQ57" i="7"/>
  <c r="S59" i="7"/>
  <c r="AN60" i="7"/>
  <c r="BG61" i="7"/>
  <c r="CC62" i="7"/>
  <c r="CX63" i="7"/>
  <c r="DQ64" i="7"/>
  <c r="CU65" i="7"/>
  <c r="BY66" i="7"/>
  <c r="BC67" i="7"/>
  <c r="AG68" i="7"/>
  <c r="DN68" i="7"/>
  <c r="BU54" i="7"/>
  <c r="CD57" i="7"/>
  <c r="DD58" i="7"/>
  <c r="DW59" i="7"/>
  <c r="ES60" i="7"/>
  <c r="T62" i="7"/>
  <c r="AM63" i="7"/>
  <c r="BI64" i="7"/>
  <c r="BC65" i="7"/>
  <c r="AH50" i="7"/>
  <c r="DB55" i="7"/>
  <c r="D58" i="7"/>
  <c r="W59" i="7"/>
  <c r="AS60" i="7"/>
  <c r="BN61" i="7"/>
  <c r="CG62" i="7"/>
  <c r="DC63" i="7"/>
  <c r="DV64" i="7"/>
  <c r="CZ65" i="7"/>
  <c r="BJ53" i="7"/>
  <c r="EC56" i="7"/>
  <c r="BQ58" i="7"/>
  <c r="CM59" i="7"/>
  <c r="DH60" i="7"/>
  <c r="EA61" i="7"/>
  <c r="C63" i="7"/>
  <c r="X64" i="7"/>
  <c r="Z65" i="7"/>
  <c r="AL44" i="7"/>
  <c r="F55" i="7"/>
  <c r="DK57" i="7"/>
  <c r="EG58" i="7"/>
  <c r="H60" i="7"/>
  <c r="AA61" i="7"/>
  <c r="AW62" i="7"/>
  <c r="BR63" i="7"/>
  <c r="CK64" i="7"/>
  <c r="BW65" i="7"/>
  <c r="EH51" i="7"/>
  <c r="AC56" i="7"/>
  <c r="AG58" i="7"/>
  <c r="BB59" i="7"/>
  <c r="BU60" i="7"/>
  <c r="CQ61" i="7"/>
  <c r="DL62" i="7"/>
  <c r="EE63" i="7"/>
  <c r="ES64" i="7"/>
  <c r="DW65" i="7"/>
  <c r="DA66" i="7"/>
  <c r="DV53" i="7"/>
  <c r="G57" i="7"/>
  <c r="CC58" i="7"/>
  <c r="CX59" i="7"/>
  <c r="DQ60" i="7"/>
  <c r="EM61" i="7"/>
  <c r="N63" i="7"/>
  <c r="AG64" i="7"/>
  <c r="AH65" i="7"/>
  <c r="BV55" i="7"/>
  <c r="CR65" i="7"/>
  <c r="C67" i="7"/>
  <c r="ER67" i="7"/>
  <c r="DB68" i="7"/>
  <c r="AR69" i="7"/>
  <c r="DZ69" i="7"/>
  <c r="BM70" i="7"/>
  <c r="ET70" i="7"/>
  <c r="CH71" i="7"/>
  <c r="U72" i="7"/>
  <c r="DB72" i="7"/>
  <c r="AJ73" i="7"/>
  <c r="CV73" i="7"/>
  <c r="N74" i="7"/>
  <c r="BZ74" i="7"/>
  <c r="EL74" i="7"/>
  <c r="AN56" i="7"/>
  <c r="DX65" i="7"/>
  <c r="F67" i="7"/>
  <c r="E68" i="7"/>
  <c r="DF68" i="7"/>
  <c r="AU69" i="7"/>
  <c r="EB69" i="7"/>
  <c r="DD31" i="7"/>
  <c r="DF35" i="7"/>
  <c r="J35" i="7"/>
  <c r="AV31" i="7"/>
  <c r="AJ40" i="7"/>
  <c r="EG31" i="7"/>
  <c r="AO40" i="7"/>
  <c r="BT37" i="7"/>
  <c r="P47" i="7"/>
  <c r="F38" i="7"/>
  <c r="S46" i="7"/>
  <c r="EQ50" i="7"/>
  <c r="CY52" i="7"/>
  <c r="BG54" i="7"/>
  <c r="O56" i="7"/>
  <c r="DV36" i="7"/>
  <c r="AM49" i="7"/>
  <c r="DN51" i="7"/>
  <c r="EV52" i="7"/>
  <c r="AJ54" i="7"/>
  <c r="CH44" i="7"/>
  <c r="BT49" i="7"/>
  <c r="CY51" i="7"/>
  <c r="CS52" i="7"/>
  <c r="EA53" i="7"/>
  <c r="O55" i="7"/>
  <c r="I56" i="7"/>
  <c r="AQ57" i="7"/>
  <c r="BS45" i="7"/>
  <c r="AU49" i="7"/>
  <c r="CR51" i="7"/>
  <c r="DZ52" i="7"/>
  <c r="DT53" i="7"/>
  <c r="H55" i="7"/>
  <c r="AP56" i="7"/>
  <c r="AJ57" i="7"/>
  <c r="AN45" i="7"/>
  <c r="Z50" i="7"/>
  <c r="CK51" i="7"/>
  <c r="DC52" i="7"/>
  <c r="U53" i="7"/>
  <c r="CG53" i="7"/>
  <c r="ES53" i="7"/>
  <c r="BK54" i="7"/>
  <c r="DW54" i="7"/>
  <c r="AO55" i="7"/>
  <c r="DA55" i="7"/>
  <c r="S56" i="7"/>
  <c r="CE56" i="7"/>
  <c r="EQ56" i="7"/>
  <c r="BI57" i="7"/>
  <c r="R38" i="7"/>
  <c r="AS44" i="7"/>
  <c r="EU45" i="7"/>
  <c r="DC47" i="7"/>
  <c r="BK49" i="7"/>
  <c r="DZ50" i="7"/>
  <c r="AR51" i="7"/>
  <c r="DD51" i="7"/>
  <c r="V52" i="7"/>
  <c r="CH52" i="7"/>
  <c r="ET52" i="7"/>
  <c r="BL53" i="7"/>
  <c r="DX53" i="7"/>
  <c r="AP54" i="7"/>
  <c r="DB54" i="7"/>
  <c r="T55" i="7"/>
  <c r="CF55" i="7"/>
  <c r="ER55" i="7"/>
  <c r="BJ56" i="7"/>
  <c r="DV56" i="7"/>
  <c r="AN57" i="7"/>
  <c r="V39" i="7"/>
  <c r="CJ49" i="7"/>
  <c r="AC52" i="7"/>
  <c r="EE53" i="7"/>
  <c r="AI55" i="7"/>
  <c r="BD56" i="7"/>
  <c r="BZ57" i="7"/>
  <c r="ES57" i="7"/>
  <c r="BK58" i="7"/>
  <c r="DW58" i="7"/>
  <c r="AO59" i="7"/>
  <c r="DA59" i="7"/>
  <c r="S60" i="7"/>
  <c r="CE60" i="7"/>
  <c r="EQ60" i="7"/>
  <c r="BI61" i="7"/>
  <c r="DU61" i="7"/>
  <c r="AM62" i="7"/>
  <c r="CY62" i="7"/>
  <c r="Q63" i="7"/>
  <c r="CC63" i="7"/>
  <c r="EO63" i="7"/>
  <c r="BG64" i="7"/>
  <c r="DS64" i="7"/>
  <c r="AK65" i="7"/>
  <c r="CW65" i="7"/>
  <c r="O66" i="7"/>
  <c r="CA66" i="7"/>
  <c r="EM66" i="7"/>
  <c r="BE67" i="7"/>
  <c r="DQ67" i="7"/>
  <c r="AI68" i="7"/>
  <c r="CU68" i="7"/>
  <c r="M69" i="7"/>
  <c r="BY69" i="7"/>
  <c r="EK69" i="7"/>
  <c r="BC70" i="7"/>
  <c r="DO70" i="7"/>
  <c r="AG71" i="7"/>
  <c r="CS71" i="7"/>
  <c r="K72" i="7"/>
  <c r="BW72" i="7"/>
  <c r="EI72" i="7"/>
  <c r="CA45" i="7"/>
  <c r="Z51" i="7"/>
  <c r="EB52" i="7"/>
  <c r="CC54" i="7"/>
  <c r="CX55" i="7"/>
  <c r="DT56" i="7"/>
  <c r="DF57" i="7"/>
  <c r="X58" i="7"/>
  <c r="CJ58" i="7"/>
  <c r="EV58" i="7"/>
  <c r="BN59" i="7"/>
  <c r="DZ59" i="7"/>
  <c r="AR60" i="7"/>
  <c r="DD60" i="7"/>
  <c r="V61" i="7"/>
  <c r="CH61" i="7"/>
  <c r="ET61" i="7"/>
  <c r="BL62" i="7"/>
  <c r="DX62" i="7"/>
  <c r="AP63" i="7"/>
  <c r="DB63" i="7"/>
  <c r="T64" i="7"/>
  <c r="CF64" i="7"/>
  <c r="ER64" i="7"/>
  <c r="BJ65" i="7"/>
  <c r="DV65" i="7"/>
  <c r="AN66" i="7"/>
  <c r="CZ66" i="7"/>
  <c r="R67" i="7"/>
  <c r="CD67" i="7"/>
  <c r="EP67" i="7"/>
  <c r="CX44" i="7"/>
  <c r="EO50" i="7"/>
  <c r="CW52" i="7"/>
  <c r="E44" i="7"/>
  <c r="DP50" i="7"/>
  <c r="BX52" i="7"/>
  <c r="AF54" i="7"/>
  <c r="BN55" i="7"/>
  <c r="CG56" i="7"/>
  <c r="CR57" i="7"/>
  <c r="J58" i="7"/>
  <c r="BV58" i="7"/>
  <c r="EH58" i="7"/>
  <c r="AZ59" i="7"/>
  <c r="DL59" i="7"/>
  <c r="AD60" i="7"/>
  <c r="CP60" i="7"/>
  <c r="H61" i="7"/>
  <c r="BT61" i="7"/>
  <c r="EF61" i="7"/>
  <c r="AX62" i="7"/>
  <c r="DJ62" i="7"/>
  <c r="AB63" i="7"/>
  <c r="CN63" i="7"/>
  <c r="F64" i="7"/>
  <c r="BR64" i="7"/>
  <c r="DX40" i="7"/>
  <c r="EV49" i="7"/>
  <c r="AS52" i="7"/>
  <c r="EU53" i="7"/>
  <c r="AT55" i="7"/>
  <c r="BP56" i="7"/>
  <c r="CI57" i="7"/>
  <c r="C58" i="7"/>
  <c r="BO58" i="7"/>
  <c r="EA58" i="7"/>
  <c r="AS59" i="7"/>
  <c r="DE59" i="7"/>
  <c r="W60" i="7"/>
  <c r="CI60" i="7"/>
  <c r="EU60" i="7"/>
  <c r="BM61" i="7"/>
  <c r="DY61" i="7"/>
  <c r="AQ62" i="7"/>
  <c r="DC62" i="7"/>
  <c r="U63" i="7"/>
  <c r="CG63" i="7"/>
  <c r="ES63" i="7"/>
  <c r="BK64" i="7"/>
  <c r="DW64" i="7"/>
  <c r="AO65" i="7"/>
  <c r="DA65" i="7"/>
  <c r="S66" i="7"/>
  <c r="CE66" i="7"/>
  <c r="EQ66" i="7"/>
  <c r="BI67" i="7"/>
  <c r="DU67" i="7"/>
  <c r="AM68" i="7"/>
  <c r="CY68" i="7"/>
  <c r="Q69" i="7"/>
  <c r="CC69" i="7"/>
  <c r="EO69" i="7"/>
  <c r="BG70" i="7"/>
  <c r="DS70" i="7"/>
  <c r="AK71" i="7"/>
  <c r="CW71" i="7"/>
  <c r="O72" i="7"/>
  <c r="CA72" i="7"/>
  <c r="EM72" i="7"/>
  <c r="AU45" i="7"/>
  <c r="R51" i="7"/>
  <c r="DT52" i="7"/>
  <c r="BX54" i="7"/>
  <c r="CT55" i="7"/>
  <c r="DM56" i="7"/>
  <c r="DD57" i="7"/>
  <c r="V58" i="7"/>
  <c r="CH58" i="7"/>
  <c r="ET58" i="7"/>
  <c r="BL59" i="7"/>
  <c r="DX59" i="7"/>
  <c r="AP60" i="7"/>
  <c r="DB60" i="7"/>
  <c r="T61" i="7"/>
  <c r="CF61" i="7"/>
  <c r="ER61" i="7"/>
  <c r="BJ62" i="7"/>
  <c r="DV62" i="7"/>
  <c r="AN63" i="7"/>
  <c r="CZ63" i="7"/>
  <c r="R64" i="7"/>
  <c r="CD64" i="7"/>
  <c r="EP64" i="7"/>
  <c r="BH65" i="7"/>
  <c r="DT65" i="7"/>
  <c r="AL66" i="7"/>
  <c r="CX66" i="7"/>
  <c r="P67" i="7"/>
  <c r="CB67" i="7"/>
  <c r="EN67" i="7"/>
  <c r="AQ51" i="7"/>
  <c r="EQ55" i="7"/>
  <c r="T58" i="7"/>
  <c r="AM59" i="7"/>
  <c r="BI60" i="7"/>
  <c r="CD61" i="7"/>
  <c r="CW62" i="7"/>
  <c r="DS63" i="7"/>
  <c r="EG64" i="7"/>
  <c r="DK65" i="7"/>
  <c r="CO66" i="7"/>
  <c r="BS67" i="7"/>
  <c r="AR68" i="7"/>
  <c r="DA41" i="7"/>
  <c r="EF54" i="7"/>
  <c r="DC57" i="7"/>
  <c r="DY58" i="7"/>
  <c r="ET59" i="7"/>
  <c r="S61" i="7"/>
  <c r="AO62" i="7"/>
  <c r="BJ63" i="7"/>
  <c r="CC64" i="7"/>
  <c r="BS65" i="7"/>
  <c r="BW51" i="7"/>
  <c r="H56" i="7"/>
  <c r="Y58" i="7"/>
  <c r="AT59" i="7"/>
  <c r="BM60" i="7"/>
  <c r="CI61" i="7"/>
  <c r="DD62" i="7"/>
  <c r="DW63" i="7"/>
  <c r="EL64" i="7"/>
  <c r="DP65" i="7"/>
  <c r="I54" i="7"/>
  <c r="AM57" i="7"/>
  <c r="CN58" i="7"/>
  <c r="DG59" i="7"/>
  <c r="EC60" i="7"/>
  <c r="D62" i="7"/>
  <c r="W63" i="7"/>
  <c r="AS64" i="7"/>
  <c r="AP65" i="7"/>
  <c r="CV47" i="7"/>
  <c r="BJ55" i="7"/>
  <c r="EH57" i="7"/>
  <c r="G59" i="7"/>
  <c r="AC60" i="7"/>
  <c r="AX61" i="7"/>
  <c r="BQ62" i="7"/>
  <c r="CM63" i="7"/>
  <c r="DH64" i="7"/>
  <c r="CM65" i="7"/>
  <c r="DL52" i="7"/>
  <c r="CN56" i="7"/>
  <c r="BA58" i="7"/>
  <c r="BW59" i="7"/>
  <c r="CR60" i="7"/>
  <c r="DK61" i="7"/>
  <c r="EG62" i="7"/>
  <c r="H64" i="7"/>
  <c r="O65" i="7"/>
  <c r="EM65" i="7"/>
  <c r="DQ66" i="7"/>
  <c r="BE54" i="7"/>
  <c r="BR57" i="7"/>
  <c r="CW58" i="7"/>
  <c r="DS59" i="7"/>
  <c r="EN60" i="7"/>
  <c r="M62" i="7"/>
  <c r="AI63" i="7"/>
  <c r="BD64" i="7"/>
  <c r="AX65" i="7"/>
  <c r="EM57" i="7"/>
  <c r="E66" i="7"/>
  <c r="T67" i="7"/>
  <c r="P68" i="7"/>
  <c r="DP68" i="7"/>
  <c r="BC69" i="7"/>
  <c r="EJ69" i="7"/>
  <c r="BX70" i="7"/>
  <c r="K71" i="7"/>
  <c r="CR71" i="7"/>
  <c r="AF72" i="7"/>
  <c r="DM72" i="7"/>
  <c r="AR73" i="7"/>
  <c r="DD73" i="7"/>
  <c r="V74" i="7"/>
  <c r="CH74" i="7"/>
  <c r="ET74" i="7"/>
  <c r="AJ58" i="7"/>
  <c r="L66" i="7"/>
  <c r="AA67" i="7"/>
  <c r="V68" i="7"/>
  <c r="DR68" i="7"/>
  <c r="BF69" i="7"/>
  <c r="DI29" i="7"/>
  <c r="J32" i="7"/>
  <c r="DL36" i="7"/>
  <c r="DT35" i="7"/>
  <c r="EL41" i="7"/>
  <c r="EQ35" i="7"/>
  <c r="EQ41" i="7"/>
  <c r="AG44" i="7"/>
  <c r="DR48" i="7"/>
  <c r="AR44" i="7"/>
  <c r="AC47" i="7"/>
  <c r="E51" i="7"/>
  <c r="DG52" i="7"/>
  <c r="BO54" i="7"/>
  <c r="W56" i="7"/>
  <c r="CD38" i="7"/>
  <c r="BS49" i="7"/>
  <c r="P52" i="7"/>
  <c r="J53" i="7"/>
  <c r="AR54" i="7"/>
  <c r="DX45" i="7"/>
  <c r="CZ49" i="7"/>
  <c r="DG51" i="7"/>
  <c r="EO52" i="7"/>
  <c r="EI53" i="7"/>
  <c r="W55" i="7"/>
  <c r="BE56" i="7"/>
  <c r="AY57" i="7"/>
  <c r="CY45" i="7"/>
  <c r="CK50" i="7"/>
  <c r="CZ51" i="7"/>
  <c r="EH52" i="7"/>
  <c r="V54" i="7"/>
  <c r="P55" i="7"/>
  <c r="AX56" i="7"/>
  <c r="CF57" i="7"/>
  <c r="BT45" i="7"/>
  <c r="BF50" i="7"/>
  <c r="EG51" i="7"/>
  <c r="DK52" i="7"/>
  <c r="AC53" i="7"/>
  <c r="CO53" i="7"/>
  <c r="G54" i="7"/>
  <c r="BS54" i="7"/>
  <c r="EE54" i="7"/>
  <c r="AW55" i="7"/>
  <c r="DI55" i="7"/>
  <c r="AA56" i="7"/>
  <c r="CM56" i="7"/>
  <c r="E57" i="7"/>
  <c r="BQ57" i="7"/>
  <c r="BA39" i="7"/>
  <c r="BY44" i="7"/>
  <c r="AG46" i="7"/>
  <c r="EI47" i="7"/>
  <c r="CQ49" i="7"/>
  <c r="EH50" i="7"/>
  <c r="AZ51" i="7"/>
  <c r="DL51" i="7"/>
  <c r="AD52" i="7"/>
  <c r="CP52" i="7"/>
  <c r="H53" i="7"/>
  <c r="BT53" i="7"/>
  <c r="EF53" i="7"/>
  <c r="AX54" i="7"/>
  <c r="DJ54" i="7"/>
  <c r="AB55" i="7"/>
  <c r="CN55" i="7"/>
  <c r="F56" i="7"/>
  <c r="BR56" i="7"/>
  <c r="ED56" i="7"/>
  <c r="AV57" i="7"/>
  <c r="CF42" i="7"/>
  <c r="BN50" i="7"/>
  <c r="BI52" i="7"/>
  <c r="Q54" i="7"/>
  <c r="BF55" i="7"/>
  <c r="BY56" i="7"/>
  <c r="CO57" i="7"/>
  <c r="G58" i="7"/>
  <c r="BS58" i="7"/>
  <c r="EE58" i="7"/>
  <c r="AW59" i="7"/>
  <c r="DI59" i="7"/>
  <c r="AA60" i="7"/>
  <c r="CM60" i="7"/>
  <c r="E61" i="7"/>
  <c r="BQ61" i="7"/>
  <c r="EC61" i="7"/>
  <c r="AU62" i="7"/>
  <c r="DG62" i="7"/>
  <c r="Y63" i="7"/>
  <c r="CK63" i="7"/>
  <c r="C64" i="7"/>
  <c r="BO64" i="7"/>
  <c r="EA64" i="7"/>
  <c r="AS65" i="7"/>
  <c r="DE65" i="7"/>
  <c r="W66" i="7"/>
  <c r="CI66" i="7"/>
  <c r="EU66" i="7"/>
  <c r="BM67" i="7"/>
  <c r="DY67" i="7"/>
  <c r="AQ68" i="7"/>
  <c r="DC68" i="7"/>
  <c r="U69" i="7"/>
  <c r="CG69" i="7"/>
  <c r="ES69" i="7"/>
  <c r="BK70" i="7"/>
  <c r="DW70" i="7"/>
  <c r="AO71" i="7"/>
  <c r="DA71" i="7"/>
  <c r="S72" i="7"/>
  <c r="CE72" i="7"/>
  <c r="EQ72" i="7"/>
  <c r="BE46" i="7"/>
  <c r="BF51" i="7"/>
  <c r="N53" i="7"/>
  <c r="CZ54" i="7"/>
  <c r="DS55" i="7"/>
  <c r="EN56" i="7"/>
  <c r="DN57" i="7"/>
  <c r="AF58" i="7"/>
  <c r="CR58" i="7"/>
  <c r="J59" i="7"/>
  <c r="BV59" i="7"/>
  <c r="EH59" i="7"/>
  <c r="AZ60" i="7"/>
  <c r="DL60" i="7"/>
  <c r="AD61" i="7"/>
  <c r="CP61" i="7"/>
  <c r="H62" i="7"/>
  <c r="BT62" i="7"/>
  <c r="EF62" i="7"/>
  <c r="AX63" i="7"/>
  <c r="DJ63" i="7"/>
  <c r="AB64" i="7"/>
  <c r="CN64" i="7"/>
  <c r="F65" i="7"/>
  <c r="BR65" i="7"/>
  <c r="ED65" i="7"/>
  <c r="AV66" i="7"/>
  <c r="DH66" i="7"/>
  <c r="Z67" i="7"/>
  <c r="CL67" i="7"/>
  <c r="D68" i="7"/>
  <c r="CB45" i="7"/>
  <c r="AA51" i="7"/>
  <c r="EC52" i="7"/>
  <c r="EC44" i="7"/>
  <c r="EV50" i="7"/>
  <c r="DD52" i="7"/>
  <c r="BL54" i="7"/>
  <c r="CH55" i="7"/>
  <c r="DD56" i="7"/>
  <c r="CZ57" i="7"/>
  <c r="R58" i="7"/>
  <c r="CD58" i="7"/>
  <c r="EP58" i="7"/>
  <c r="BH59" i="7"/>
  <c r="DT59" i="7"/>
  <c r="AL60" i="7"/>
  <c r="CX60" i="7"/>
  <c r="P61" i="7"/>
  <c r="CB61" i="7"/>
  <c r="EN61" i="7"/>
  <c r="BF62" i="7"/>
  <c r="DR62" i="7"/>
  <c r="AJ63" i="7"/>
  <c r="CV63" i="7"/>
  <c r="N64" i="7"/>
  <c r="BZ64" i="7"/>
  <c r="F44" i="7"/>
  <c r="DQ50" i="7"/>
  <c r="BY52" i="7"/>
  <c r="AG54" i="7"/>
  <c r="BO55" i="7"/>
  <c r="CJ56" i="7"/>
  <c r="CS57" i="7"/>
  <c r="K58" i="7"/>
  <c r="BW58" i="7"/>
  <c r="EI58" i="7"/>
  <c r="BA59" i="7"/>
  <c r="DM59" i="7"/>
  <c r="AE60" i="7"/>
  <c r="CQ60" i="7"/>
  <c r="I61" i="7"/>
  <c r="BU61" i="7"/>
  <c r="EG61" i="7"/>
  <c r="AY62" i="7"/>
  <c r="DK62" i="7"/>
  <c r="AC63" i="7"/>
  <c r="CO63" i="7"/>
  <c r="G64" i="7"/>
  <c r="BS64" i="7"/>
  <c r="EE64" i="7"/>
  <c r="AW65" i="7"/>
  <c r="DI65" i="7"/>
  <c r="AA66" i="7"/>
  <c r="CM66" i="7"/>
  <c r="E67" i="7"/>
  <c r="BQ67" i="7"/>
  <c r="EC67" i="7"/>
  <c r="AU68" i="7"/>
  <c r="DG68" i="7"/>
  <c r="AO27" i="7"/>
  <c r="EA33" i="7"/>
  <c r="BT38" i="7"/>
  <c r="I39" i="7"/>
  <c r="CT43" i="7"/>
  <c r="T39" i="7"/>
  <c r="CY43" i="7"/>
  <c r="EI45" i="7"/>
  <c r="BZ50" i="7"/>
  <c r="ET45" i="7"/>
  <c r="BK48" i="7"/>
  <c r="BI51" i="7"/>
  <c r="Q53" i="7"/>
  <c r="DS54" i="7"/>
  <c r="CA56" i="7"/>
  <c r="U44" i="7"/>
  <c r="DT50" i="7"/>
  <c r="X52" i="7"/>
  <c r="BF53" i="7"/>
  <c r="AZ54" i="7"/>
  <c r="J46" i="7"/>
  <c r="DU50" i="7"/>
  <c r="DO51" i="7"/>
  <c r="C53" i="7"/>
  <c r="AK54" i="7"/>
  <c r="AE55" i="7"/>
  <c r="BM56" i="7"/>
  <c r="DP33" i="7"/>
  <c r="EE45" i="7"/>
  <c r="DM50" i="7"/>
  <c r="EV51" i="7"/>
  <c r="EP52" i="7"/>
  <c r="AD54" i="7"/>
  <c r="BL55" i="7"/>
  <c r="BF56" i="7"/>
  <c r="EK29" i="7"/>
  <c r="DJ46" i="7"/>
  <c r="CL50" i="7"/>
  <c r="EO51" i="7"/>
  <c r="DS52" i="7"/>
  <c r="AK53" i="7"/>
  <c r="CW53" i="7"/>
  <c r="O54" i="7"/>
  <c r="CA54" i="7"/>
  <c r="EM54" i="7"/>
  <c r="BE55" i="7"/>
  <c r="DQ55" i="7"/>
  <c r="AI56" i="7"/>
  <c r="CU56" i="7"/>
  <c r="M57" i="7"/>
  <c r="BY57" i="7"/>
  <c r="AE40" i="7"/>
  <c r="DE44" i="7"/>
  <c r="BM46" i="7"/>
  <c r="U48" i="7"/>
  <c r="DW49" i="7"/>
  <c r="EP50" i="7"/>
  <c r="BH51" i="7"/>
  <c r="DT51" i="7"/>
  <c r="AL52" i="7"/>
  <c r="CX52" i="7"/>
  <c r="P53" i="7"/>
  <c r="CB53" i="7"/>
  <c r="EN53" i="7"/>
  <c r="BF54" i="7"/>
  <c r="DR54" i="7"/>
  <c r="AJ55" i="7"/>
  <c r="CV55" i="7"/>
  <c r="N56" i="7"/>
  <c r="BZ56" i="7"/>
  <c r="EL56" i="7"/>
  <c r="BD57" i="7"/>
  <c r="BR44" i="7"/>
  <c r="EG50" i="7"/>
  <c r="CO52" i="7"/>
  <c r="AW54" i="7"/>
  <c r="BZ55" i="7"/>
  <c r="CV56" i="7"/>
  <c r="CW57" i="7"/>
  <c r="O58" i="7"/>
  <c r="CA58" i="7"/>
  <c r="EM58" i="7"/>
  <c r="BE59" i="7"/>
  <c r="DQ59" i="7"/>
  <c r="AI60" i="7"/>
  <c r="CU60" i="7"/>
  <c r="M61" i="7"/>
  <c r="BY61" i="7"/>
  <c r="EK61" i="7"/>
  <c r="BC62" i="7"/>
  <c r="DO62" i="7"/>
  <c r="AG63" i="7"/>
  <c r="CS63" i="7"/>
  <c r="K64" i="7"/>
  <c r="BW64" i="7"/>
  <c r="EI64" i="7"/>
  <c r="BA65" i="7"/>
  <c r="DM65" i="7"/>
  <c r="AE66" i="7"/>
  <c r="CQ66" i="7"/>
  <c r="I67" i="7"/>
  <c r="BU67" i="7"/>
  <c r="EG67" i="7"/>
  <c r="AY68" i="7"/>
  <c r="DK68" i="7"/>
  <c r="AC69" i="7"/>
  <c r="CO69" i="7"/>
  <c r="G70" i="7"/>
  <c r="BS70" i="7"/>
  <c r="EE70" i="7"/>
  <c r="AW71" i="7"/>
  <c r="DI71" i="7"/>
  <c r="AA72" i="7"/>
  <c r="CM72" i="7"/>
  <c r="E73" i="7"/>
  <c r="AI47" i="7"/>
  <c r="CL51" i="7"/>
  <c r="AT53" i="7"/>
  <c r="DT54" i="7"/>
  <c r="EP55" i="7"/>
  <c r="O57" i="7"/>
  <c r="DV57" i="7"/>
  <c r="AN58" i="7"/>
  <c r="CZ58" i="7"/>
  <c r="R59" i="7"/>
  <c r="CD59" i="7"/>
  <c r="EP59" i="7"/>
  <c r="BH60" i="7"/>
  <c r="DT60" i="7"/>
  <c r="AL61" i="7"/>
  <c r="CX61" i="7"/>
  <c r="P62" i="7"/>
  <c r="CB62" i="7"/>
  <c r="EN62" i="7"/>
  <c r="BF63" i="7"/>
  <c r="DR63" i="7"/>
  <c r="AJ64" i="7"/>
  <c r="CV64" i="7"/>
  <c r="N65" i="7"/>
  <c r="BZ65" i="7"/>
  <c r="EL65" i="7"/>
  <c r="BD66" i="7"/>
  <c r="DP66" i="7"/>
  <c r="AH67" i="7"/>
  <c r="CT67" i="7"/>
  <c r="L68" i="7"/>
  <c r="BF46" i="7"/>
  <c r="BG51" i="7"/>
  <c r="O53" i="7"/>
  <c r="DG45" i="7"/>
  <c r="AH51" i="7"/>
  <c r="EJ52" i="7"/>
  <c r="CJ54" i="7"/>
  <c r="DC55" i="7"/>
  <c r="DX56" i="7"/>
  <c r="DH57" i="7"/>
  <c r="Z58" i="7"/>
  <c r="CL58" i="7"/>
  <c r="D59" i="7"/>
  <c r="BP59" i="7"/>
  <c r="EB59" i="7"/>
  <c r="AT60" i="7"/>
  <c r="DF60" i="7"/>
  <c r="X61" i="7"/>
  <c r="CJ61" i="7"/>
  <c r="EV61" i="7"/>
  <c r="BN62" i="7"/>
  <c r="DZ62" i="7"/>
  <c r="AR63" i="7"/>
  <c r="DD63" i="7"/>
  <c r="V64" i="7"/>
  <c r="CH64" i="7"/>
  <c r="ED44" i="7"/>
  <c r="C51" i="7"/>
  <c r="DE52" i="7"/>
  <c r="BM54" i="7"/>
  <c r="CL55" i="7"/>
  <c r="DE56" i="7"/>
  <c r="DA57" i="7"/>
  <c r="S58" i="7"/>
  <c r="CE58" i="7"/>
  <c r="EQ58" i="7"/>
  <c r="BI59" i="7"/>
  <c r="DU59" i="7"/>
  <c r="AM60" i="7"/>
  <c r="CY60" i="7"/>
  <c r="Q61" i="7"/>
  <c r="CC61" i="7"/>
  <c r="EO61" i="7"/>
  <c r="BG62" i="7"/>
  <c r="DS62" i="7"/>
  <c r="AK63" i="7"/>
  <c r="CW63" i="7"/>
  <c r="O64" i="7"/>
  <c r="CA64" i="7"/>
  <c r="EM64" i="7"/>
  <c r="BE65" i="7"/>
  <c r="DQ65" i="7"/>
  <c r="AI66" i="7"/>
  <c r="CU66" i="7"/>
  <c r="M67" i="7"/>
  <c r="BY67" i="7"/>
  <c r="EK67" i="7"/>
  <c r="BC68" i="7"/>
  <c r="DO68" i="7"/>
  <c r="AG69" i="7"/>
  <c r="CS69" i="7"/>
  <c r="K70" i="7"/>
  <c r="BW70" i="7"/>
  <c r="EI70" i="7"/>
  <c r="BA71" i="7"/>
  <c r="DM71" i="7"/>
  <c r="AE72" i="7"/>
  <c r="CQ72" i="7"/>
  <c r="I73" i="7"/>
  <c r="C47" i="7"/>
  <c r="CD51" i="7"/>
  <c r="AL53" i="7"/>
  <c r="DP54" i="7"/>
  <c r="EI55" i="7"/>
  <c r="J57" i="7"/>
  <c r="DT57" i="7"/>
  <c r="AL58" i="7"/>
  <c r="CX58" i="7"/>
  <c r="P59" i="7"/>
  <c r="CB59" i="7"/>
  <c r="EN59" i="7"/>
  <c r="BF60" i="7"/>
  <c r="DR60" i="7"/>
  <c r="AJ61" i="7"/>
  <c r="CV61" i="7"/>
  <c r="N62" i="7"/>
  <c r="BZ62" i="7"/>
  <c r="EL62" i="7"/>
  <c r="BD63" i="7"/>
  <c r="DP63" i="7"/>
  <c r="AH64" i="7"/>
  <c r="CT64" i="7"/>
  <c r="L65" i="7"/>
  <c r="BX65" i="7"/>
  <c r="EJ65" i="7"/>
  <c r="BB66" i="7"/>
  <c r="DN66" i="7"/>
  <c r="AF67" i="7"/>
  <c r="CR67" i="7"/>
  <c r="J68" i="7"/>
  <c r="ES52" i="7"/>
  <c r="DH56" i="7"/>
  <c r="BI58" i="7"/>
  <c r="CE59" i="7"/>
  <c r="CZ60" i="7"/>
  <c r="DS61" i="7"/>
  <c r="EO62" i="7"/>
  <c r="P64" i="7"/>
  <c r="S65" i="7"/>
  <c r="EQ65" i="7"/>
  <c r="DU66" i="7"/>
  <c r="CY67" i="7"/>
  <c r="BM68" i="7"/>
  <c r="AG50" i="7"/>
  <c r="CP55" i="7"/>
  <c r="EU57" i="7"/>
  <c r="V59" i="7"/>
  <c r="AO60" i="7"/>
  <c r="BK61" i="7"/>
  <c r="CF62" i="7"/>
  <c r="CY63" i="7"/>
  <c r="DU64" i="7"/>
  <c r="CY65" i="7"/>
  <c r="AE53" i="7"/>
  <c r="DU56" i="7"/>
  <c r="BP58" i="7"/>
  <c r="CI59" i="7"/>
  <c r="DE60" i="7"/>
  <c r="DZ61" i="7"/>
  <c r="ES62" i="7"/>
  <c r="U64" i="7"/>
  <c r="X65" i="7"/>
  <c r="AK44" i="7"/>
  <c r="ER54" i="7"/>
  <c r="DJ57" i="7"/>
  <c r="EC58" i="7"/>
  <c r="E60" i="7"/>
  <c r="Z61" i="7"/>
  <c r="AS62" i="7"/>
  <c r="BO63" i="7"/>
  <c r="CJ64" i="7"/>
  <c r="BV65" i="7"/>
  <c r="DC51" i="7"/>
  <c r="AB56" i="7"/>
  <c r="AC58" i="7"/>
  <c r="AY59" i="7"/>
  <c r="BT60" i="7"/>
  <c r="CM61" i="7"/>
  <c r="DI62" i="7"/>
  <c r="ED63" i="7"/>
  <c r="EO64" i="7"/>
  <c r="DS65" i="7"/>
  <c r="AN54" i="7"/>
  <c r="AX57" i="7"/>
  <c r="CS58" i="7"/>
  <c r="DN59" i="7"/>
  <c r="EG60" i="7"/>
  <c r="I62" i="7"/>
  <c r="AD63" i="7"/>
  <c r="AW64" i="7"/>
  <c r="AU65" i="7"/>
  <c r="Y66" i="7"/>
  <c r="EM45" i="7"/>
  <c r="AA55" i="7"/>
  <c r="DS57" i="7"/>
  <c r="EO58" i="7"/>
  <c r="P60" i="7"/>
  <c r="AI61" i="7"/>
  <c r="BE62" i="7"/>
  <c r="BZ63" i="7"/>
  <c r="CS64" i="7"/>
  <c r="CD65" i="7"/>
  <c r="AG60" i="7"/>
  <c r="AX66" i="7"/>
  <c r="BG67" i="7"/>
  <c r="AT68" i="7"/>
  <c r="EK68" i="7"/>
  <c r="BX69" i="7"/>
  <c r="L70" i="7"/>
  <c r="CS70" i="7"/>
  <c r="AF71" i="7"/>
  <c r="DN71" i="7"/>
  <c r="BA72" i="7"/>
  <c r="EH72" i="7"/>
  <c r="BH73" i="7"/>
  <c r="DT73" i="7"/>
  <c r="AL74" i="7"/>
  <c r="CX74" i="7"/>
  <c r="P75" i="7"/>
  <c r="BY60" i="7"/>
  <c r="BA66" i="7"/>
  <c r="BJ67" i="7"/>
  <c r="AW68" i="7"/>
  <c r="EN68" i="7"/>
  <c r="CA69" i="7"/>
  <c r="DQ24" i="7"/>
  <c r="CI35" i="7"/>
  <c r="AR33" i="7"/>
  <c r="DK40" i="7"/>
  <c r="BT33" i="7"/>
  <c r="DV40" i="7"/>
  <c r="BT40" i="7"/>
  <c r="CQ47" i="7"/>
  <c r="DO40" i="7"/>
  <c r="DB47" i="7"/>
  <c r="CC49" i="7"/>
  <c r="BQ51" i="7"/>
  <c r="Y53" i="7"/>
  <c r="EA54" i="7"/>
  <c r="CI56" i="7"/>
  <c r="BA44" i="7"/>
  <c r="EB50" i="7"/>
  <c r="AF52" i="7"/>
  <c r="BN53" i="7"/>
  <c r="DZ36" i="7"/>
  <c r="AP46" i="7"/>
  <c r="EC50" i="7"/>
  <c r="Q52" i="7"/>
  <c r="K53" i="7"/>
  <c r="AS54" i="7"/>
  <c r="CA55" i="7"/>
  <c r="BU56" i="7"/>
  <c r="CF35" i="7"/>
  <c r="AA47" i="7"/>
  <c r="DV50" i="7"/>
  <c r="J52" i="7"/>
  <c r="AR53" i="7"/>
  <c r="AL54" i="7"/>
  <c r="BT55" i="7"/>
  <c r="DB56" i="7"/>
  <c r="DT33" i="7"/>
  <c r="EP46" i="7"/>
  <c r="I51" i="7"/>
  <c r="C52" i="7"/>
  <c r="EA52" i="7"/>
  <c r="AS53" i="7"/>
  <c r="DE53" i="7"/>
  <c r="W54" i="7"/>
  <c r="CI54" i="7"/>
  <c r="EU54" i="7"/>
  <c r="BM55" i="7"/>
  <c r="DY55" i="7"/>
  <c r="AQ56" i="7"/>
  <c r="DC56" i="7"/>
  <c r="U57" i="7"/>
  <c r="CG57" i="7"/>
  <c r="I41" i="7"/>
  <c r="EK44" i="7"/>
  <c r="CS46" i="7"/>
  <c r="BA48" i="7"/>
  <c r="I50" i="7"/>
  <c r="D51" i="7"/>
  <c r="BP51" i="7"/>
  <c r="EB51" i="7"/>
  <c r="AT52" i="7"/>
  <c r="DF52" i="7"/>
  <c r="X53" i="7"/>
  <c r="CJ53" i="7"/>
  <c r="EV53" i="7"/>
  <c r="BN54" i="7"/>
  <c r="DZ54" i="7"/>
  <c r="AR55" i="7"/>
  <c r="DD55" i="7"/>
  <c r="V56" i="7"/>
  <c r="CH56" i="7"/>
  <c r="ET56" i="7"/>
  <c r="BL57" i="7"/>
  <c r="AV45" i="7"/>
  <c r="S51" i="7"/>
  <c r="DU52" i="7"/>
  <c r="CB54" i="7"/>
  <c r="CU55" i="7"/>
  <c r="DP56" i="7"/>
  <c r="DE57" i="7"/>
  <c r="W58" i="7"/>
  <c r="CI58" i="7"/>
  <c r="EU58" i="7"/>
  <c r="BM59" i="7"/>
  <c r="DY59" i="7"/>
  <c r="AQ60" i="7"/>
  <c r="DC60" i="7"/>
  <c r="U61" i="7"/>
  <c r="CG61" i="7"/>
  <c r="ES61" i="7"/>
  <c r="BK62" i="7"/>
  <c r="DW62" i="7"/>
  <c r="AO63" i="7"/>
  <c r="DA63" i="7"/>
  <c r="S64" i="7"/>
  <c r="CE64" i="7"/>
  <c r="EQ64" i="7"/>
  <c r="BI65" i="7"/>
  <c r="DU65" i="7"/>
  <c r="AM66" i="7"/>
  <c r="CY66" i="7"/>
  <c r="Q67" i="7"/>
  <c r="CC67" i="7"/>
  <c r="EO67" i="7"/>
  <c r="BG68" i="7"/>
  <c r="DS68" i="7"/>
  <c r="AK69" i="7"/>
  <c r="CW69" i="7"/>
  <c r="O70" i="7"/>
  <c r="CA70" i="7"/>
  <c r="EM70" i="7"/>
  <c r="BE71" i="7"/>
  <c r="DQ71" i="7"/>
  <c r="AI72" i="7"/>
  <c r="CU72" i="7"/>
  <c r="M73" i="7"/>
  <c r="M48" i="7"/>
  <c r="DR51" i="7"/>
  <c r="BZ53" i="7"/>
  <c r="EO54" i="7"/>
  <c r="P56" i="7"/>
  <c r="AL57" i="7"/>
  <c r="ED57" i="7"/>
  <c r="AV58" i="7"/>
  <c r="DH58" i="7"/>
  <c r="Z59" i="7"/>
  <c r="CL59" i="7"/>
  <c r="D60" i="7"/>
  <c r="BP60" i="7"/>
  <c r="EB60" i="7"/>
  <c r="AT61" i="7"/>
  <c r="DF61" i="7"/>
  <c r="X62" i="7"/>
  <c r="CJ62" i="7"/>
  <c r="EV62" i="7"/>
  <c r="BN63" i="7"/>
  <c r="DZ63" i="7"/>
  <c r="AR64" i="7"/>
  <c r="DD64" i="7"/>
  <c r="V65" i="7"/>
  <c r="CH65" i="7"/>
  <c r="ET65" i="7"/>
  <c r="BL66" i="7"/>
  <c r="DX66" i="7"/>
  <c r="AP67" i="7"/>
  <c r="DB67" i="7"/>
  <c r="T68" i="7"/>
  <c r="AJ47" i="7"/>
  <c r="CM51" i="7"/>
  <c r="AU53" i="7"/>
  <c r="CK46" i="7"/>
  <c r="BN51" i="7"/>
  <c r="V53" i="7"/>
  <c r="DD54" i="7"/>
  <c r="DZ55" i="7"/>
  <c r="ES56" i="7"/>
  <c r="DP57" i="7"/>
  <c r="AH58" i="7"/>
  <c r="CT58" i="7"/>
  <c r="L59" i="7"/>
  <c r="BX59" i="7"/>
  <c r="EJ59" i="7"/>
  <c r="BB60" i="7"/>
  <c r="DN60" i="7"/>
  <c r="AF61" i="7"/>
  <c r="CR61" i="7"/>
  <c r="J62" i="7"/>
  <c r="BV62" i="7"/>
  <c r="EH62" i="7"/>
  <c r="AZ63" i="7"/>
  <c r="DL63" i="7"/>
  <c r="AD64" i="7"/>
  <c r="CP64" i="7"/>
  <c r="DH45" i="7"/>
  <c r="AI51" i="7"/>
  <c r="EK52" i="7"/>
  <c r="CK54" i="7"/>
  <c r="DF55" i="7"/>
  <c r="EB56" i="7"/>
  <c r="DI57" i="7"/>
  <c r="AA58" i="7"/>
  <c r="CM58" i="7"/>
  <c r="E59" i="7"/>
  <c r="BQ59" i="7"/>
  <c r="EC59" i="7"/>
  <c r="AU60" i="7"/>
  <c r="DG60" i="7"/>
  <c r="Y61" i="7"/>
  <c r="CK61" i="7"/>
  <c r="C62" i="7"/>
  <c r="BO62" i="7"/>
  <c r="EA62" i="7"/>
  <c r="AS63" i="7"/>
  <c r="DE63" i="7"/>
  <c r="W64" i="7"/>
  <c r="CI64" i="7"/>
  <c r="EU64" i="7"/>
  <c r="BM65" i="7"/>
  <c r="DY65" i="7"/>
  <c r="AQ66" i="7"/>
  <c r="DC66" i="7"/>
  <c r="U67" i="7"/>
  <c r="CG67" i="7"/>
  <c r="ES67" i="7"/>
  <c r="BK68" i="7"/>
  <c r="DW68" i="7"/>
  <c r="AO69" i="7"/>
  <c r="DA69" i="7"/>
  <c r="S70" i="7"/>
  <c r="CE70" i="7"/>
  <c r="EQ70" i="7"/>
  <c r="BI71" i="7"/>
  <c r="DU71" i="7"/>
  <c r="AM72" i="7"/>
  <c r="CY72" i="7"/>
  <c r="Q73" i="7"/>
  <c r="EA47" i="7"/>
  <c r="DJ51" i="7"/>
  <c r="BR53" i="7"/>
  <c r="EJ54" i="7"/>
  <c r="L56" i="7"/>
  <c r="AE57" i="7"/>
  <c r="EB57" i="7"/>
  <c r="AT58" i="7"/>
  <c r="DF58" i="7"/>
  <c r="X59" i="7"/>
  <c r="CJ59" i="7"/>
  <c r="EV59" i="7"/>
  <c r="BN60" i="7"/>
  <c r="DZ60" i="7"/>
  <c r="AR61" i="7"/>
  <c r="DD61" i="7"/>
  <c r="V62" i="7"/>
  <c r="CH62" i="7"/>
  <c r="ET62" i="7"/>
  <c r="BL63" i="7"/>
  <c r="DX63" i="7"/>
  <c r="AP64" i="7"/>
  <c r="DB64" i="7"/>
  <c r="T65" i="7"/>
  <c r="CF65" i="7"/>
  <c r="ER65" i="7"/>
  <c r="BJ66" i="7"/>
  <c r="DV66" i="7"/>
  <c r="AN67" i="7"/>
  <c r="CZ67" i="7"/>
  <c r="R68" i="7"/>
  <c r="DW53" i="7"/>
  <c r="R57" i="7"/>
  <c r="CF58" i="7"/>
  <c r="CY59" i="7"/>
  <c r="DU60" i="7"/>
  <c r="EP61" i="7"/>
  <c r="O63" i="7"/>
  <c r="AK64" i="7"/>
  <c r="AI65" i="7"/>
  <c r="M66" i="7"/>
  <c r="EK66" i="7"/>
  <c r="DO67" i="7"/>
  <c r="BX68" i="7"/>
  <c r="BV51" i="7"/>
  <c r="E56" i="7"/>
  <c r="U58" i="7"/>
  <c r="AQ59" i="7"/>
  <c r="BL60" i="7"/>
  <c r="CE61" i="7"/>
  <c r="DA62" i="7"/>
  <c r="DV63" i="7"/>
  <c r="EK64" i="7"/>
  <c r="DO65" i="7"/>
  <c r="H54" i="7"/>
  <c r="AD57" i="7"/>
  <c r="CK58" i="7"/>
  <c r="DF59" i="7"/>
  <c r="DY60" i="7"/>
  <c r="EU61" i="7"/>
  <c r="V63" i="7"/>
  <c r="AO64" i="7"/>
  <c r="AN65" i="7"/>
  <c r="CU47" i="7"/>
  <c r="AY55" i="7"/>
  <c r="EE57" i="7"/>
  <c r="F59" i="7"/>
  <c r="Y60" i="7"/>
  <c r="AU61" i="7"/>
  <c r="BP62" i="7"/>
  <c r="CI63" i="7"/>
  <c r="DE64" i="7"/>
  <c r="CL65" i="7"/>
  <c r="CG52" i="7"/>
  <c r="CF56" i="7"/>
  <c r="AZ58" i="7"/>
  <c r="BS59" i="7"/>
  <c r="CO60" i="7"/>
  <c r="DJ61" i="7"/>
  <c r="EC62" i="7"/>
  <c r="E64" i="7"/>
  <c r="K65" i="7"/>
  <c r="EI65" i="7"/>
  <c r="DA54" i="7"/>
  <c r="CT57" i="7"/>
  <c r="DM58" i="7"/>
  <c r="EI59" i="7"/>
  <c r="J61" i="7"/>
  <c r="AC62" i="7"/>
  <c r="AY63" i="7"/>
  <c r="BT64" i="7"/>
  <c r="BK65" i="7"/>
  <c r="AO66" i="7"/>
  <c r="BC49" i="7"/>
  <c r="CE55" i="7"/>
  <c r="EP57" i="7"/>
  <c r="O59" i="7"/>
  <c r="AK60" i="7"/>
  <c r="BF61" i="7"/>
  <c r="BY62" i="7"/>
  <c r="CU63" i="7"/>
  <c r="DP64" i="7"/>
  <c r="CT65" i="7"/>
  <c r="BC61" i="7"/>
  <c r="BQ66" i="7"/>
  <c r="BX67" i="7"/>
  <c r="BF68" i="7"/>
  <c r="EV68" i="7"/>
  <c r="CI69" i="7"/>
  <c r="V70" i="7"/>
  <c r="DD70" i="7"/>
  <c r="AQ71" i="7"/>
  <c r="DX71" i="7"/>
  <c r="BL72" i="7"/>
  <c r="ES72" i="7"/>
  <c r="BP73" i="7"/>
  <c r="EB73" i="7"/>
  <c r="AT74" i="7"/>
  <c r="DF74" i="7"/>
  <c r="X75" i="7"/>
  <c r="CT61" i="7"/>
  <c r="BX66" i="7"/>
  <c r="CA67" i="7"/>
  <c r="BI68" i="7"/>
  <c r="D69" i="7"/>
  <c r="CL69" i="7"/>
  <c r="P21" i="7"/>
  <c r="AQ37" i="7"/>
  <c r="EC36" i="7"/>
  <c r="BS42" i="7"/>
  <c r="E37" i="7"/>
  <c r="CD42" i="7"/>
  <c r="DP44" i="7"/>
  <c r="AY49" i="7"/>
  <c r="EA44" i="7"/>
  <c r="BJ49" i="7"/>
  <c r="CM50" i="7"/>
  <c r="DU51" i="7"/>
  <c r="CC53" i="7"/>
  <c r="AK55" i="7"/>
  <c r="EM56" i="7"/>
  <c r="DW45" i="7"/>
  <c r="AL51" i="7"/>
  <c r="CB52" i="7"/>
  <c r="BV53" i="7"/>
  <c r="CH38" i="7"/>
  <c r="CF47" i="7"/>
  <c r="EK50" i="7"/>
  <c r="Y52" i="7"/>
  <c r="BG53" i="7"/>
  <c r="BA54" i="7"/>
  <c r="CI55" i="7"/>
  <c r="DQ56" i="7"/>
  <c r="AN37" i="7"/>
  <c r="BG47" i="7"/>
  <c r="X51" i="7"/>
  <c r="R52" i="7"/>
  <c r="AZ53" i="7"/>
  <c r="CH54" i="7"/>
  <c r="CB55" i="7"/>
  <c r="DJ56" i="7"/>
  <c r="BV41" i="7"/>
  <c r="AB47" i="7"/>
  <c r="Q51" i="7"/>
  <c r="AY52" i="7"/>
  <c r="EI52" i="7"/>
  <c r="BA53" i="7"/>
  <c r="DM53" i="7"/>
  <c r="AE54" i="7"/>
  <c r="CQ54" i="7"/>
  <c r="I55" i="7"/>
  <c r="BU55" i="7"/>
  <c r="EG55" i="7"/>
  <c r="AY56" i="7"/>
  <c r="DK56" i="7"/>
  <c r="AC57" i="7"/>
  <c r="EN23" i="7"/>
  <c r="EG41" i="7"/>
  <c r="W45" i="7"/>
  <c r="DY46" i="7"/>
  <c r="CG48" i="7"/>
  <c r="AO50" i="7"/>
  <c r="L51" i="7"/>
  <c r="BX51" i="7"/>
  <c r="EJ51" i="7"/>
  <c r="BB52" i="7"/>
  <c r="DN52" i="7"/>
  <c r="AF53" i="7"/>
  <c r="CR53" i="7"/>
  <c r="J54" i="7"/>
  <c r="BV54" i="7"/>
  <c r="EH54" i="7"/>
  <c r="AZ55" i="7"/>
  <c r="DL55" i="7"/>
  <c r="AD56" i="7"/>
  <c r="CP56" i="7"/>
  <c r="H57" i="7"/>
  <c r="BT57" i="7"/>
  <c r="Z46" i="7"/>
  <c r="AY51" i="7"/>
  <c r="G53" i="7"/>
  <c r="CV54" i="7"/>
  <c r="DR55" i="7"/>
  <c r="EK56" i="7"/>
  <c r="DM57" i="7"/>
  <c r="AE58" i="7"/>
  <c r="CQ58" i="7"/>
  <c r="I59" i="7"/>
  <c r="BU59" i="7"/>
  <c r="EG59" i="7"/>
  <c r="AY60" i="7"/>
  <c r="DK60" i="7"/>
  <c r="AC61" i="7"/>
  <c r="CO61" i="7"/>
  <c r="G62" i="7"/>
  <c r="BS62" i="7"/>
  <c r="EE62" i="7"/>
  <c r="AW63" i="7"/>
  <c r="DI63" i="7"/>
  <c r="AA64" i="7"/>
  <c r="CM64" i="7"/>
  <c r="E65" i="7"/>
  <c r="BQ65" i="7"/>
  <c r="EC65" i="7"/>
  <c r="AU66" i="7"/>
  <c r="DG66" i="7"/>
  <c r="Y67" i="7"/>
  <c r="CK67" i="7"/>
  <c r="C68" i="7"/>
  <c r="BO68" i="7"/>
  <c r="EA68" i="7"/>
  <c r="AS69" i="7"/>
  <c r="DE69" i="7"/>
  <c r="W70" i="7"/>
  <c r="CI70" i="7"/>
  <c r="EU70" i="7"/>
  <c r="BM71" i="7"/>
  <c r="DY71" i="7"/>
  <c r="AQ72" i="7"/>
  <c r="DC72" i="7"/>
  <c r="AP34" i="7"/>
  <c r="EK48" i="7"/>
  <c r="D52" i="7"/>
  <c r="DF53" i="7"/>
  <c r="R55" i="7"/>
  <c r="AK56" i="7"/>
  <c r="BF57" i="7"/>
  <c r="EL57" i="7"/>
  <c r="BD58" i="7"/>
  <c r="DP58" i="7"/>
  <c r="AH59" i="7"/>
  <c r="CT59" i="7"/>
  <c r="L60" i="7"/>
  <c r="BX60" i="7"/>
  <c r="EJ60" i="7"/>
  <c r="BB61" i="7"/>
  <c r="DN61" i="7"/>
  <c r="AF62" i="7"/>
  <c r="CR62" i="7"/>
  <c r="J63" i="7"/>
  <c r="BV63" i="7"/>
  <c r="EH63" i="7"/>
  <c r="AZ64" i="7"/>
  <c r="DL64" i="7"/>
  <c r="AD65" i="7"/>
  <c r="CP65" i="7"/>
  <c r="H66" i="7"/>
  <c r="BT66" i="7"/>
  <c r="EF66" i="7"/>
  <c r="AX67" i="7"/>
  <c r="DJ67" i="7"/>
  <c r="AB68" i="7"/>
  <c r="N48" i="7"/>
  <c r="DS51" i="7"/>
  <c r="CA53" i="7"/>
  <c r="BO47" i="7"/>
  <c r="CT51" i="7"/>
  <c r="BB53" i="7"/>
  <c r="DY54" i="7"/>
  <c r="ET55" i="7"/>
  <c r="V57" i="7"/>
  <c r="DX57" i="7"/>
  <c r="AP58" i="7"/>
  <c r="DB58" i="7"/>
  <c r="T59" i="7"/>
  <c r="CF59" i="7"/>
  <c r="ER59" i="7"/>
  <c r="BJ60" i="7"/>
  <c r="DV60" i="7"/>
  <c r="AN61" i="7"/>
  <c r="CZ61" i="7"/>
  <c r="R62" i="7"/>
  <c r="CD62" i="7"/>
  <c r="EP62" i="7"/>
  <c r="BH63" i="7"/>
  <c r="DT63" i="7"/>
  <c r="AL64" i="7"/>
  <c r="CX64" i="7"/>
  <c r="CL46" i="7"/>
  <c r="BO51" i="7"/>
  <c r="W53" i="7"/>
  <c r="DH54" i="7"/>
  <c r="EA55" i="7"/>
  <c r="EV56" i="7"/>
  <c r="DQ57" i="7"/>
  <c r="AI58" i="7"/>
  <c r="CU58" i="7"/>
  <c r="M59" i="7"/>
  <c r="BY59" i="7"/>
  <c r="EK59" i="7"/>
  <c r="BC60" i="7"/>
  <c r="DO60" i="7"/>
  <c r="AG61" i="7"/>
  <c r="CS61" i="7"/>
  <c r="K62" i="7"/>
  <c r="BW62" i="7"/>
  <c r="EI62" i="7"/>
  <c r="BA63" i="7"/>
  <c r="DM63" i="7"/>
  <c r="AE64" i="7"/>
  <c r="CQ64" i="7"/>
  <c r="I65" i="7"/>
  <c r="BU65" i="7"/>
  <c r="EG65" i="7"/>
  <c r="AY66" i="7"/>
  <c r="DK66" i="7"/>
  <c r="AC67" i="7"/>
  <c r="CO67" i="7"/>
  <c r="G68" i="7"/>
  <c r="BS68" i="7"/>
  <c r="EE68" i="7"/>
  <c r="AW69" i="7"/>
  <c r="DI69" i="7"/>
  <c r="AA70" i="7"/>
  <c r="CM70" i="7"/>
  <c r="E71" i="7"/>
  <c r="BQ71" i="7"/>
  <c r="EC71" i="7"/>
  <c r="AU72" i="7"/>
  <c r="DG72" i="7"/>
  <c r="EN31" i="7"/>
  <c r="DE48" i="7"/>
  <c r="EP51" i="7"/>
  <c r="CX53" i="7"/>
  <c r="K55" i="7"/>
  <c r="AF56" i="7"/>
  <c r="BB57" i="7"/>
  <c r="EJ57" i="7"/>
  <c r="BB58" i="7"/>
  <c r="DN58" i="7"/>
  <c r="AF59" i="7"/>
  <c r="CR59" i="7"/>
  <c r="J60" i="7"/>
  <c r="BV60" i="7"/>
  <c r="EH60" i="7"/>
  <c r="AZ61" i="7"/>
  <c r="DL61" i="7"/>
  <c r="AD62" i="7"/>
  <c r="CP62" i="7"/>
  <c r="H63" i="7"/>
  <c r="BT63" i="7"/>
  <c r="EF63" i="7"/>
  <c r="AX64" i="7"/>
  <c r="DJ64" i="7"/>
  <c r="AB65" i="7"/>
  <c r="CN65" i="7"/>
  <c r="F66" i="7"/>
  <c r="BR66" i="7"/>
  <c r="ED66" i="7"/>
  <c r="AV67" i="7"/>
  <c r="DH67" i="7"/>
  <c r="Z68" i="7"/>
  <c r="BT54" i="7"/>
  <c r="BS57" i="7"/>
  <c r="DA58" i="7"/>
  <c r="DV59" i="7"/>
  <c r="EO60" i="7"/>
  <c r="Q62" i="7"/>
  <c r="AL63" i="7"/>
  <c r="BE64" i="7"/>
  <c r="AY65" i="7"/>
  <c r="AC66" i="7"/>
  <c r="G67" i="7"/>
  <c r="EE67" i="7"/>
  <c r="CH68" i="7"/>
  <c r="AZ52" i="7"/>
  <c r="BI56" i="7"/>
  <c r="AR58" i="7"/>
  <c r="BK59" i="7"/>
  <c r="CG60" i="7"/>
  <c r="DB61" i="7"/>
  <c r="DU62" i="7"/>
  <c r="EQ63" i="7"/>
  <c r="G65" i="7"/>
  <c r="EE65" i="7"/>
  <c r="CF54" i="7"/>
  <c r="CL57" i="7"/>
  <c r="DE58" i="7"/>
  <c r="EA59" i="7"/>
  <c r="EV60" i="7"/>
  <c r="U62" i="7"/>
  <c r="AQ63" i="7"/>
  <c r="BL64" i="7"/>
  <c r="BD65" i="7"/>
  <c r="DX50" i="7"/>
  <c r="DJ55" i="7"/>
  <c r="E58" i="7"/>
  <c r="AA59" i="7"/>
  <c r="AV60" i="7"/>
  <c r="BO61" i="7"/>
  <c r="CK62" i="7"/>
  <c r="DF63" i="7"/>
  <c r="DX64" i="7"/>
  <c r="DB65" i="7"/>
  <c r="BK53" i="7"/>
  <c r="EF56" i="7"/>
  <c r="BU58" i="7"/>
  <c r="CP59" i="7"/>
  <c r="DI60" i="7"/>
  <c r="EE61" i="7"/>
  <c r="F63" i="7"/>
  <c r="Y64" i="7"/>
  <c r="AA65" i="7"/>
  <c r="O45" i="7"/>
  <c r="J55" i="7"/>
  <c r="DO57" i="7"/>
  <c r="EJ58" i="7"/>
  <c r="I60" i="7"/>
  <c r="AE61" i="7"/>
  <c r="AZ62" i="7"/>
  <c r="BS63" i="7"/>
  <c r="CO64" i="7"/>
  <c r="CA65" i="7"/>
  <c r="BE66" i="7"/>
  <c r="AP51" i="7"/>
  <c r="EH55" i="7"/>
  <c r="Q58" i="7"/>
  <c r="AL59" i="7"/>
  <c r="BE60" i="7"/>
  <c r="CA61" i="7"/>
  <c r="CV62" i="7"/>
  <c r="DO63" i="7"/>
  <c r="EF64" i="7"/>
  <c r="DJ65" i="7"/>
  <c r="BX62" i="7"/>
  <c r="CN66" i="7"/>
  <c r="CP67" i="7"/>
  <c r="BR68" i="7"/>
  <c r="L69" i="7"/>
  <c r="CT69" i="7"/>
  <c r="AG70" i="7"/>
  <c r="DN70" i="7"/>
  <c r="BB71" i="7"/>
  <c r="EI71" i="7"/>
  <c r="BV72" i="7"/>
  <c r="J73" i="7"/>
  <c r="BX73" i="7"/>
  <c r="EJ73" i="7"/>
  <c r="BB74" i="7"/>
  <c r="DN74" i="7"/>
  <c r="AF75" i="7"/>
  <c r="DM62" i="7"/>
  <c r="CT66" i="7"/>
  <c r="CU67" i="7"/>
  <c r="BU68" i="7"/>
  <c r="O69" i="7"/>
  <c r="CV69" i="7"/>
  <c r="CR30" i="7"/>
  <c r="BJ20" i="7"/>
  <c r="CJ39" i="7"/>
  <c r="BU24" i="7"/>
  <c r="CU39" i="7"/>
  <c r="W25" i="7"/>
  <c r="BX46" i="7"/>
  <c r="EP32" i="7"/>
  <c r="CI46" i="7"/>
  <c r="BD33" i="7"/>
  <c r="DP45" i="7"/>
  <c r="EC51" i="7"/>
  <c r="CK53" i="7"/>
  <c r="AS55" i="7"/>
  <c r="EU56" i="7"/>
  <c r="I46" i="7"/>
  <c r="AT51" i="7"/>
  <c r="CJ52" i="7"/>
  <c r="DR53" i="7"/>
  <c r="CH39" i="7"/>
  <c r="DL47" i="7"/>
  <c r="AM51" i="7"/>
  <c r="AG52" i="7"/>
  <c r="BO53" i="7"/>
  <c r="CW54" i="7"/>
  <c r="CQ55" i="7"/>
  <c r="DY56" i="7"/>
  <c r="AC43" i="7"/>
  <c r="CM47" i="7"/>
  <c r="AF51" i="7"/>
  <c r="BN52" i="7"/>
  <c r="BH53" i="7"/>
  <c r="CP54" i="7"/>
  <c r="DX55" i="7"/>
  <c r="DR56" i="7"/>
  <c r="AZ42" i="7"/>
  <c r="BR48" i="7"/>
  <c r="Y51" i="7"/>
  <c r="BG52" i="7"/>
  <c r="EQ52" i="7"/>
  <c r="BI53" i="7"/>
  <c r="DU53" i="7"/>
  <c r="AM54" i="7"/>
  <c r="CY54" i="7"/>
  <c r="Q55" i="7"/>
  <c r="CC55" i="7"/>
  <c r="EO55" i="7"/>
  <c r="BG56" i="7"/>
  <c r="DS56" i="7"/>
  <c r="AK57" i="7"/>
  <c r="CS32" i="7"/>
  <c r="DK42" i="7"/>
  <c r="BC45" i="7"/>
  <c r="K47" i="7"/>
  <c r="DM48" i="7"/>
  <c r="BU50" i="7"/>
  <c r="T51" i="7"/>
  <c r="CF51" i="7"/>
  <c r="ER51" i="7"/>
  <c r="BJ52" i="7"/>
  <c r="DV52" i="7"/>
  <c r="AN53" i="7"/>
  <c r="CZ53" i="7"/>
  <c r="R54" i="7"/>
  <c r="CD54" i="7"/>
  <c r="EP54" i="7"/>
  <c r="BH55" i="7"/>
  <c r="DT55" i="7"/>
  <c r="AL56" i="7"/>
  <c r="CX56" i="7"/>
  <c r="P57" i="7"/>
  <c r="CB57" i="7"/>
  <c r="D47" i="7"/>
  <c r="CE51" i="7"/>
  <c r="AM53" i="7"/>
  <c r="DQ54" i="7"/>
  <c r="EL55" i="7"/>
  <c r="N57" i="7"/>
  <c r="DU57" i="7"/>
  <c r="AM58" i="7"/>
  <c r="CY58" i="7"/>
  <c r="Q59" i="7"/>
  <c r="CC59" i="7"/>
  <c r="EO59" i="7"/>
  <c r="BG60" i="7"/>
  <c r="DS60" i="7"/>
  <c r="AK61" i="7"/>
  <c r="CW61" i="7"/>
  <c r="O62" i="7"/>
  <c r="CA62" i="7"/>
  <c r="EM62" i="7"/>
  <c r="BE63" i="7"/>
  <c r="DQ63" i="7"/>
  <c r="AI64" i="7"/>
  <c r="CU64" i="7"/>
  <c r="M65" i="7"/>
  <c r="BY65" i="7"/>
  <c r="EK65" i="7"/>
  <c r="BC66" i="7"/>
  <c r="DO66" i="7"/>
  <c r="AG67" i="7"/>
  <c r="CS67" i="7"/>
  <c r="K68" i="7"/>
  <c r="BW68" i="7"/>
  <c r="EI68" i="7"/>
  <c r="BA69" i="7"/>
  <c r="DM69" i="7"/>
  <c r="AE70" i="7"/>
  <c r="CQ70" i="7"/>
  <c r="I71" i="7"/>
  <c r="BU71" i="7"/>
  <c r="EG71" i="7"/>
  <c r="AY72" i="7"/>
  <c r="DK72" i="7"/>
  <c r="ES39" i="7"/>
  <c r="DO49" i="7"/>
  <c r="AJ52" i="7"/>
  <c r="EL53" i="7"/>
  <c r="AL55" i="7"/>
  <c r="BH56" i="7"/>
  <c r="CA57" i="7"/>
  <c r="ET57" i="7"/>
  <c r="BL58" i="7"/>
  <c r="DX58" i="7"/>
  <c r="AP59" i="7"/>
  <c r="DB59" i="7"/>
  <c r="T60" i="7"/>
  <c r="CF60" i="7"/>
  <c r="ER60" i="7"/>
  <c r="BJ61" i="7"/>
  <c r="DV61" i="7"/>
  <c r="AN62" i="7"/>
  <c r="CZ62" i="7"/>
  <c r="R63" i="7"/>
  <c r="CD63" i="7"/>
  <c r="EP63" i="7"/>
  <c r="BH64" i="7"/>
  <c r="DT64" i="7"/>
  <c r="AL65" i="7"/>
  <c r="CX65" i="7"/>
  <c r="P66" i="7"/>
  <c r="CB66" i="7"/>
  <c r="EN66" i="7"/>
  <c r="BF67" i="7"/>
  <c r="DR67" i="7"/>
  <c r="AT34" i="7"/>
  <c r="EL48" i="7"/>
  <c r="E52" i="7"/>
  <c r="DG53" i="7"/>
  <c r="AS48" i="7"/>
  <c r="DZ51" i="7"/>
  <c r="CH53" i="7"/>
  <c r="EV54" i="7"/>
  <c r="U56" i="7"/>
  <c r="AP57" i="7"/>
  <c r="EF57" i="7"/>
  <c r="AX58" i="7"/>
  <c r="DJ58" i="7"/>
  <c r="AB59" i="7"/>
  <c r="CN59" i="7"/>
  <c r="F60" i="7"/>
  <c r="BR60" i="7"/>
  <c r="ED60" i="7"/>
  <c r="AV61" i="7"/>
  <c r="DH61" i="7"/>
  <c r="Z62" i="7"/>
  <c r="CL62" i="7"/>
  <c r="D63" i="7"/>
  <c r="BP63" i="7"/>
  <c r="EB63" i="7"/>
  <c r="AT64" i="7"/>
  <c r="DF64" i="7"/>
  <c r="BP47" i="7"/>
  <c r="CU51" i="7"/>
  <c r="BC53" i="7"/>
  <c r="EB54" i="7"/>
  <c r="D56" i="7"/>
  <c r="W57" i="7"/>
  <c r="DY57" i="7"/>
  <c r="AQ58" i="7"/>
  <c r="DC58" i="7"/>
  <c r="U59" i="7"/>
  <c r="CG59" i="7"/>
  <c r="ES59" i="7"/>
  <c r="BK60" i="7"/>
  <c r="DW60" i="7"/>
  <c r="AO61" i="7"/>
  <c r="DA61" i="7"/>
  <c r="S62" i="7"/>
  <c r="CE62" i="7"/>
  <c r="EQ62" i="7"/>
  <c r="BI63" i="7"/>
  <c r="DU63" i="7"/>
  <c r="AM64" i="7"/>
  <c r="CY64" i="7"/>
  <c r="Q65" i="7"/>
  <c r="CC65" i="7"/>
  <c r="EO65" i="7"/>
  <c r="BG66" i="7"/>
  <c r="DS66" i="7"/>
  <c r="AK67" i="7"/>
  <c r="CW67" i="7"/>
  <c r="O68" i="7"/>
  <c r="CA68" i="7"/>
  <c r="EM68" i="7"/>
  <c r="BE69" i="7"/>
  <c r="DQ69" i="7"/>
  <c r="AI70" i="7"/>
  <c r="CU70" i="7"/>
  <c r="M71" i="7"/>
  <c r="BY71" i="7"/>
  <c r="EK71" i="7"/>
  <c r="BC72" i="7"/>
  <c r="DO72" i="7"/>
  <c r="W72" i="7"/>
  <c r="F53" i="7"/>
  <c r="DL57" i="7"/>
  <c r="BT59" i="7"/>
  <c r="AB61" i="7"/>
  <c r="ED62" i="7"/>
  <c r="CL64" i="7"/>
  <c r="AT66" i="7"/>
  <c r="EV67" i="7"/>
  <c r="BJ59" i="7"/>
  <c r="EM63" i="7"/>
  <c r="CI67" i="7"/>
  <c r="DZ57" i="7"/>
  <c r="BI62" i="7"/>
  <c r="BA52" i="7"/>
  <c r="CJ60" i="7"/>
  <c r="H65" i="7"/>
  <c r="DI58" i="7"/>
  <c r="AT63" i="7"/>
  <c r="DK55" i="7"/>
  <c r="BS61" i="7"/>
  <c r="DC65" i="7"/>
  <c r="CQ59" i="7"/>
  <c r="AC64" i="7"/>
  <c r="DL54" i="7"/>
  <c r="O61" i="7"/>
  <c r="BN65" i="7"/>
  <c r="AH68" i="7"/>
  <c r="CH70" i="7"/>
  <c r="DX72" i="7"/>
  <c r="CP74" i="7"/>
  <c r="AR67" i="7"/>
  <c r="EM69" i="7"/>
  <c r="BZ70" i="7"/>
  <c r="N71" i="7"/>
  <c r="CU71" i="7"/>
  <c r="AH72" i="7"/>
  <c r="DP72" i="7"/>
  <c r="AT73" i="7"/>
  <c r="DF73" i="7"/>
  <c r="X74" i="7"/>
  <c r="CJ74" i="7"/>
  <c r="EV74" i="7"/>
  <c r="BN75" i="7"/>
  <c r="DZ75" i="7"/>
  <c r="AR76" i="7"/>
  <c r="DD76" i="7"/>
  <c r="BZ59" i="7"/>
  <c r="AJ66" i="7"/>
  <c r="AT67" i="7"/>
  <c r="AL68" i="7"/>
  <c r="ED68" i="7"/>
  <c r="BR69" i="7"/>
  <c r="E70" i="7"/>
  <c r="CL70" i="7"/>
  <c r="Z71" i="7"/>
  <c r="DG71" i="7"/>
  <c r="AT72" i="7"/>
  <c r="EB72" i="7"/>
  <c r="BC73" i="7"/>
  <c r="DO73" i="7"/>
  <c r="AG74" i="7"/>
  <c r="CS74" i="7"/>
  <c r="K75" i="7"/>
  <c r="BW75" i="7"/>
  <c r="EI75" i="7"/>
  <c r="BA76" i="7"/>
  <c r="DM76" i="7"/>
  <c r="BY58" i="7"/>
  <c r="R66" i="7"/>
  <c r="AD67" i="7"/>
  <c r="Y68" i="7"/>
  <c r="DU68" i="7"/>
  <c r="BH69" i="7"/>
  <c r="EP69" i="7"/>
  <c r="CC70" i="7"/>
  <c r="P71" i="7"/>
  <c r="CX71" i="7"/>
  <c r="AK72" i="7"/>
  <c r="DR72" i="7"/>
  <c r="AV73" i="7"/>
  <c r="DH73" i="7"/>
  <c r="Z74" i="7"/>
  <c r="CL74" i="7"/>
  <c r="D75" i="7"/>
  <c r="BP75" i="7"/>
  <c r="EB75" i="7"/>
  <c r="AT76" i="7"/>
  <c r="DF76" i="7"/>
  <c r="DO59" i="7"/>
  <c r="AP66" i="7"/>
  <c r="AY67" i="7"/>
  <c r="AO68" i="7"/>
  <c r="EG68" i="7"/>
  <c r="BT69" i="7"/>
  <c r="H70" i="7"/>
  <c r="CO70" i="7"/>
  <c r="AB71" i="7"/>
  <c r="DJ71" i="7"/>
  <c r="AW72" i="7"/>
  <c r="ED72" i="7"/>
  <c r="BE73" i="7"/>
  <c r="DQ73" i="7"/>
  <c r="AI74" i="7"/>
  <c r="CU74" i="7"/>
  <c r="M75" i="7"/>
  <c r="BY75" i="7"/>
  <c r="EK75" i="7"/>
  <c r="BC76" i="7"/>
  <c r="DO76" i="7"/>
  <c r="S55" i="7"/>
  <c r="CB65" i="7"/>
  <c r="ES66" i="7"/>
  <c r="EQ67" i="7"/>
  <c r="DA68" i="7"/>
  <c r="AQ69" i="7"/>
  <c r="DX69" i="7"/>
  <c r="BL70" i="7"/>
  <c r="ES70" i="7"/>
  <c r="CF71" i="7"/>
  <c r="T72" i="7"/>
  <c r="DA72" i="7"/>
  <c r="AI73" i="7"/>
  <c r="CU73" i="7"/>
  <c r="M74" i="7"/>
  <c r="BY74" i="7"/>
  <c r="EK74" i="7"/>
  <c r="BC75" i="7"/>
  <c r="DO75" i="7"/>
  <c r="AG76" i="7"/>
  <c r="CS76" i="7"/>
  <c r="K61" i="7"/>
  <c r="ES68" i="7"/>
  <c r="AN71" i="7"/>
  <c r="BN73" i="7"/>
  <c r="V75" i="7"/>
  <c r="AX76" i="7"/>
  <c r="AC77" i="7"/>
  <c r="CO77" i="7"/>
  <c r="G78" i="7"/>
  <c r="BS78" i="7"/>
  <c r="EE78" i="7"/>
  <c r="AW79" i="7"/>
  <c r="DI79" i="7"/>
  <c r="AA80" i="7"/>
  <c r="CM80" i="7"/>
  <c r="E81" i="7"/>
  <c r="BQ81" i="7"/>
  <c r="EC81" i="7"/>
  <c r="AU82" i="7"/>
  <c r="DG82" i="7"/>
  <c r="Y83" i="7"/>
  <c r="CK83" i="7"/>
  <c r="C84" i="7"/>
  <c r="BO84" i="7"/>
  <c r="EA84" i="7"/>
  <c r="AS85" i="7"/>
  <c r="DE85" i="7"/>
  <c r="W86" i="7"/>
  <c r="CI86" i="7"/>
  <c r="EU86" i="7"/>
  <c r="BM87" i="7"/>
  <c r="DY87" i="7"/>
  <c r="AQ88" i="7"/>
  <c r="DC88" i="7"/>
  <c r="U89" i="7"/>
  <c r="CG89" i="7"/>
  <c r="ES89" i="7"/>
  <c r="BK90" i="7"/>
  <c r="DW90" i="7"/>
  <c r="M68" i="7"/>
  <c r="BU70" i="7"/>
  <c r="DJ72" i="7"/>
  <c r="CF74" i="7"/>
  <c r="EL75" i="7"/>
  <c r="D77" i="7"/>
  <c r="BS77" i="7"/>
  <c r="EE77" i="7"/>
  <c r="AW78" i="7"/>
  <c r="DI78" i="7"/>
  <c r="AA79" i="7"/>
  <c r="CM79" i="7"/>
  <c r="E80" i="7"/>
  <c r="BQ80" i="7"/>
  <c r="EC80" i="7"/>
  <c r="AU81" i="7"/>
  <c r="DG81" i="7"/>
  <c r="Y82" i="7"/>
  <c r="CK82" i="7"/>
  <c r="C83" i="7"/>
  <c r="BO83" i="7"/>
  <c r="EA83" i="7"/>
  <c r="AS84" i="7"/>
  <c r="DE84" i="7"/>
  <c r="W85" i="7"/>
  <c r="CI85" i="7"/>
  <c r="EU85" i="7"/>
  <c r="BM86" i="7"/>
  <c r="DY86" i="7"/>
  <c r="AQ87" i="7"/>
  <c r="DC87" i="7"/>
  <c r="U88" i="7"/>
  <c r="CG88" i="7"/>
  <c r="ES88" i="7"/>
  <c r="BK89" i="7"/>
  <c r="DW89" i="7"/>
  <c r="AO90" i="7"/>
  <c r="DA90" i="7"/>
  <c r="S91" i="7"/>
  <c r="CE91" i="7"/>
  <c r="EQ91" i="7"/>
  <c r="BI92" i="7"/>
  <c r="J66" i="7"/>
  <c r="BD69" i="7"/>
  <c r="CT71" i="7"/>
  <c r="DE73" i="7"/>
  <c r="BE75" i="7"/>
  <c r="CB76" i="7"/>
  <c r="AN77" i="7"/>
  <c r="CZ77" i="7"/>
  <c r="R78" i="7"/>
  <c r="CD78" i="7"/>
  <c r="EP78" i="7"/>
  <c r="BH79" i="7"/>
  <c r="DT79" i="7"/>
  <c r="AL80" i="7"/>
  <c r="CX80" i="7"/>
  <c r="P81" i="7"/>
  <c r="CB81" i="7"/>
  <c r="EN81" i="7"/>
  <c r="BF82" i="7"/>
  <c r="DR82" i="7"/>
  <c r="AJ83" i="7"/>
  <c r="CV83" i="7"/>
  <c r="N84" i="7"/>
  <c r="BZ84" i="7"/>
  <c r="EL84" i="7"/>
  <c r="BD85" i="7"/>
  <c r="DP85" i="7"/>
  <c r="AH86" i="7"/>
  <c r="CT86" i="7"/>
  <c r="L87" i="7"/>
  <c r="BX87" i="7"/>
  <c r="EJ87" i="7"/>
  <c r="AI67" i="7"/>
  <c r="ER69" i="7"/>
  <c r="AN72" i="7"/>
  <c r="AB74" i="7"/>
  <c r="CZ75" i="7"/>
  <c r="DS76" i="7"/>
  <c r="BE77" i="7"/>
  <c r="DQ77" i="7"/>
  <c r="AI78" i="7"/>
  <c r="CU78" i="7"/>
  <c r="M79" i="7"/>
  <c r="BY79" i="7"/>
  <c r="EK79" i="7"/>
  <c r="BC80" i="7"/>
  <c r="DO80" i="7"/>
  <c r="AG81" i="7"/>
  <c r="CS81" i="7"/>
  <c r="K82" i="7"/>
  <c r="BW82" i="7"/>
  <c r="EI82" i="7"/>
  <c r="BA83" i="7"/>
  <c r="DM83" i="7"/>
  <c r="AE84" i="7"/>
  <c r="CQ84" i="7"/>
  <c r="I85" i="7"/>
  <c r="BU85" i="7"/>
  <c r="EG85" i="7"/>
  <c r="AY86" i="7"/>
  <c r="DK86" i="7"/>
  <c r="AC87" i="7"/>
  <c r="CO87" i="7"/>
  <c r="G88" i="7"/>
  <c r="BS88" i="7"/>
  <c r="EE88" i="7"/>
  <c r="AW89" i="7"/>
  <c r="DI89" i="7"/>
  <c r="AA90" i="7"/>
  <c r="CM90" i="7"/>
  <c r="E91" i="7"/>
  <c r="BQ91" i="7"/>
  <c r="EC91" i="7"/>
  <c r="AU92" i="7"/>
  <c r="DG92" i="7"/>
  <c r="CF68" i="7"/>
  <c r="DZ70" i="7"/>
  <c r="U73" i="7"/>
  <c r="DW74" i="7"/>
  <c r="S76" i="7"/>
  <c r="R77" i="7"/>
  <c r="CD77" i="7"/>
  <c r="EP77" i="7"/>
  <c r="BH78" i="7"/>
  <c r="DT78" i="7"/>
  <c r="AL79" i="7"/>
  <c r="CX79" i="7"/>
  <c r="P80" i="7"/>
  <c r="CB80" i="7"/>
  <c r="EN80" i="7"/>
  <c r="BF81" i="7"/>
  <c r="DR81" i="7"/>
  <c r="AJ82" i="7"/>
  <c r="CV82" i="7"/>
  <c r="N83" i="7"/>
  <c r="BZ83" i="7"/>
  <c r="EL83" i="7"/>
  <c r="BD84" i="7"/>
  <c r="DP84" i="7"/>
  <c r="AH85" i="7"/>
  <c r="CT85" i="7"/>
  <c r="L86" i="7"/>
  <c r="BX86" i="7"/>
  <c r="EJ86" i="7"/>
  <c r="BB87" i="7"/>
  <c r="DN87" i="7"/>
  <c r="AF88" i="7"/>
  <c r="CR88" i="7"/>
  <c r="J89" i="7"/>
  <c r="BV89" i="7"/>
  <c r="EH89" i="7"/>
  <c r="AZ90" i="7"/>
  <c r="DL90" i="7"/>
  <c r="AD91" i="7"/>
  <c r="CP91" i="7"/>
  <c r="H92" i="7"/>
  <c r="BT92" i="7"/>
  <c r="AZ66" i="7"/>
  <c r="BZ69" i="7"/>
  <c r="DO71" i="7"/>
  <c r="DU73" i="7"/>
  <c r="BR75" i="7"/>
  <c r="CL76" i="7"/>
  <c r="AR77" i="7"/>
  <c r="DD77" i="7"/>
  <c r="V78" i="7"/>
  <c r="CH78" i="7"/>
  <c r="ET78" i="7"/>
  <c r="BL79" i="7"/>
  <c r="Y69" i="7"/>
  <c r="CI72" i="7"/>
  <c r="ED53" i="7"/>
  <c r="ER57" i="7"/>
  <c r="CZ59" i="7"/>
  <c r="BH61" i="7"/>
  <c r="P63" i="7"/>
  <c r="DR64" i="7"/>
  <c r="BZ66" i="7"/>
  <c r="DD37" i="7"/>
  <c r="EQ59" i="7"/>
  <c r="CB64" i="7"/>
  <c r="EU67" i="7"/>
  <c r="BM58" i="7"/>
  <c r="ER62" i="7"/>
  <c r="EG54" i="7"/>
  <c r="W61" i="7"/>
  <c r="BT65" i="7"/>
  <c r="AU59" i="7"/>
  <c r="EA63" i="7"/>
  <c r="AU57" i="7"/>
  <c r="E62" i="7"/>
  <c r="BY48" i="7"/>
  <c r="AF60" i="7"/>
  <c r="DI64" i="7"/>
  <c r="AV56" i="7"/>
  <c r="CU61" i="7"/>
  <c r="DZ65" i="7"/>
  <c r="CD68" i="7"/>
  <c r="DY70" i="7"/>
  <c r="T73" i="7"/>
  <c r="DV74" i="7"/>
  <c r="DL67" i="7"/>
  <c r="D70" i="7"/>
  <c r="CK70" i="7"/>
  <c r="X71" i="7"/>
  <c r="DF71" i="7"/>
  <c r="AS72" i="7"/>
  <c r="DZ72" i="7"/>
  <c r="BB73" i="7"/>
  <c r="DN73" i="7"/>
  <c r="AF74" i="7"/>
  <c r="CR74" i="7"/>
  <c r="J75" i="7"/>
  <c r="BV75" i="7"/>
  <c r="EH75" i="7"/>
  <c r="AZ76" i="7"/>
  <c r="DL76" i="7"/>
  <c r="CS60" i="7"/>
  <c r="BF66" i="7"/>
  <c r="BK67" i="7"/>
  <c r="AX68" i="7"/>
  <c r="EO68" i="7"/>
  <c r="CB69" i="7"/>
  <c r="P70" i="7"/>
  <c r="CW70" i="7"/>
  <c r="AJ71" i="7"/>
  <c r="DR71" i="7"/>
  <c r="BE72" i="7"/>
  <c r="EL72" i="7"/>
  <c r="BK73" i="7"/>
  <c r="DW73" i="7"/>
  <c r="AO74" i="7"/>
  <c r="DA74" i="7"/>
  <c r="S75" i="7"/>
  <c r="CE75" i="7"/>
  <c r="EQ75" i="7"/>
  <c r="BI76" i="7"/>
  <c r="DU76" i="7"/>
  <c r="CU59" i="7"/>
  <c r="AK66" i="7"/>
  <c r="AU67" i="7"/>
  <c r="AN68" i="7"/>
  <c r="EF68" i="7"/>
  <c r="BS69" i="7"/>
  <c r="F70" i="7"/>
  <c r="CN70" i="7"/>
  <c r="AA71" i="7"/>
  <c r="DH71" i="7"/>
  <c r="AV72" i="7"/>
  <c r="EC72" i="7"/>
  <c r="BD73" i="7"/>
  <c r="DP73" i="7"/>
  <c r="AH74" i="7"/>
  <c r="CT74" i="7"/>
  <c r="L75" i="7"/>
  <c r="BX75" i="7"/>
  <c r="EJ75" i="7"/>
  <c r="BB76" i="7"/>
  <c r="DN76" i="7"/>
  <c r="EK60" i="7"/>
  <c r="BM66" i="7"/>
  <c r="BP67" i="7"/>
  <c r="BA68" i="7"/>
  <c r="ER68" i="7"/>
  <c r="CE69" i="7"/>
  <c r="R70" i="7"/>
  <c r="CZ70" i="7"/>
  <c r="AM71" i="7"/>
  <c r="DT71" i="7"/>
  <c r="BH72" i="7"/>
  <c r="EO72" i="7"/>
  <c r="BM73" i="7"/>
  <c r="DY73" i="7"/>
  <c r="AQ74" i="7"/>
  <c r="DC74" i="7"/>
  <c r="U75" i="7"/>
  <c r="CG75" i="7"/>
  <c r="ES75" i="7"/>
  <c r="BK76" i="7"/>
  <c r="DW76" i="7"/>
  <c r="DR57" i="7"/>
  <c r="D66" i="7"/>
  <c r="S67" i="7"/>
  <c r="N68" i="7"/>
  <c r="DM68" i="7"/>
  <c r="BB69" i="7"/>
  <c r="EI69" i="7"/>
  <c r="BV70" i="7"/>
  <c r="J71" i="7"/>
  <c r="CQ71" i="7"/>
  <c r="AD72" i="7"/>
  <c r="DL72" i="7"/>
  <c r="AQ73" i="7"/>
  <c r="DC73" i="7"/>
  <c r="U74" i="7"/>
  <c r="CG74" i="7"/>
  <c r="ES74" i="7"/>
  <c r="BK75" i="7"/>
  <c r="DW75" i="7"/>
  <c r="AO76" i="7"/>
  <c r="DA76" i="7"/>
  <c r="BL65" i="7"/>
  <c r="AP69" i="7"/>
  <c r="CE71" i="7"/>
  <c r="CT73" i="7"/>
  <c r="AW75" i="7"/>
  <c r="BT76" i="7"/>
  <c r="AK77" i="7"/>
  <c r="CW77" i="7"/>
  <c r="O78" i="7"/>
  <c r="CA78" i="7"/>
  <c r="EM78" i="7"/>
  <c r="BE79" i="7"/>
  <c r="DQ79" i="7"/>
  <c r="AI80" i="7"/>
  <c r="CU80" i="7"/>
  <c r="M81" i="7"/>
  <c r="BY81" i="7"/>
  <c r="EK81" i="7"/>
  <c r="BC82" i="7"/>
  <c r="DO82" i="7"/>
  <c r="AG83" i="7"/>
  <c r="CS83" i="7"/>
  <c r="K84" i="7"/>
  <c r="BW84" i="7"/>
  <c r="EI84" i="7"/>
  <c r="BA85" i="7"/>
  <c r="DM85" i="7"/>
  <c r="AE86" i="7"/>
  <c r="CQ86" i="7"/>
  <c r="I87" i="7"/>
  <c r="BU87" i="7"/>
  <c r="EG87" i="7"/>
  <c r="AY88" i="7"/>
  <c r="DK88" i="7"/>
  <c r="AC89" i="7"/>
  <c r="CO89" i="7"/>
  <c r="G90" i="7"/>
  <c r="BS90" i="7"/>
  <c r="EE90" i="7"/>
  <c r="BP68" i="7"/>
  <c r="DL70" i="7"/>
  <c r="G73" i="7"/>
  <c r="DL74" i="7"/>
  <c r="K76" i="7"/>
  <c r="N77" i="7"/>
  <c r="CA77" i="7"/>
  <c r="EM77" i="7"/>
  <c r="BE78" i="7"/>
  <c r="DQ78" i="7"/>
  <c r="AI79" i="7"/>
  <c r="CU79" i="7"/>
  <c r="M80" i="7"/>
  <c r="BY80" i="7"/>
  <c r="EK80" i="7"/>
  <c r="BC81" i="7"/>
  <c r="DO81" i="7"/>
  <c r="AG82" i="7"/>
  <c r="CS82" i="7"/>
  <c r="K83" i="7"/>
  <c r="BW83" i="7"/>
  <c r="EI83" i="7"/>
  <c r="BA84" i="7"/>
  <c r="DM84" i="7"/>
  <c r="AE85" i="7"/>
  <c r="CQ85" i="7"/>
  <c r="I86" i="7"/>
  <c r="BU86" i="7"/>
  <c r="EG86" i="7"/>
  <c r="AY87" i="7"/>
  <c r="DK87" i="7"/>
  <c r="AC88" i="7"/>
  <c r="CO88" i="7"/>
  <c r="G89" i="7"/>
  <c r="BS89" i="7"/>
  <c r="EE89" i="7"/>
  <c r="AW90" i="7"/>
  <c r="DI90" i="7"/>
  <c r="AA91" i="7"/>
  <c r="CM91" i="7"/>
  <c r="E92" i="7"/>
  <c r="BQ92" i="7"/>
  <c r="CS66" i="7"/>
  <c r="CU69" i="7"/>
  <c r="EJ71" i="7"/>
  <c r="EK73" i="7"/>
  <c r="CB75" i="7"/>
  <c r="CU76" i="7"/>
  <c r="AV77" i="7"/>
  <c r="DH77" i="7"/>
  <c r="Z78" i="7"/>
  <c r="CL78" i="7"/>
  <c r="D79" i="7"/>
  <c r="BP79" i="7"/>
  <c r="EB79" i="7"/>
  <c r="AT80" i="7"/>
  <c r="DF80" i="7"/>
  <c r="X81" i="7"/>
  <c r="CJ81" i="7"/>
  <c r="EV81" i="7"/>
  <c r="BN82" i="7"/>
  <c r="DZ82" i="7"/>
  <c r="AR83" i="7"/>
  <c r="DD83" i="7"/>
  <c r="V84" i="7"/>
  <c r="CH84" i="7"/>
  <c r="ET84" i="7"/>
  <c r="BL85" i="7"/>
  <c r="DX85" i="7"/>
  <c r="AP86" i="7"/>
  <c r="DB86" i="7"/>
  <c r="T87" i="7"/>
  <c r="CF87" i="7"/>
  <c r="ER87" i="7"/>
  <c r="DD67" i="7"/>
  <c r="AO70" i="7"/>
  <c r="CD72" i="7"/>
  <c r="BH74" i="7"/>
  <c r="DV75" i="7"/>
  <c r="EP76" i="7"/>
  <c r="BM77" i="7"/>
  <c r="DY77" i="7"/>
  <c r="AQ78" i="7"/>
  <c r="DC78" i="7"/>
  <c r="U79" i="7"/>
  <c r="CG79" i="7"/>
  <c r="ES79" i="7"/>
  <c r="BK80" i="7"/>
  <c r="DW80" i="7"/>
  <c r="AO81" i="7"/>
  <c r="DA81" i="7"/>
  <c r="S82" i="7"/>
  <c r="CE82" i="7"/>
  <c r="EQ82" i="7"/>
  <c r="BI83" i="7"/>
  <c r="DU83" i="7"/>
  <c r="AM84" i="7"/>
  <c r="CY84" i="7"/>
  <c r="Q85" i="7"/>
  <c r="CC85" i="7"/>
  <c r="EO85" i="7"/>
  <c r="BG86" i="7"/>
  <c r="DS86" i="7"/>
  <c r="AK87" i="7"/>
  <c r="CW87" i="7"/>
  <c r="O88" i="7"/>
  <c r="CA88" i="7"/>
  <c r="EM88" i="7"/>
  <c r="BE89" i="7"/>
  <c r="DQ89" i="7"/>
  <c r="AI90" i="7"/>
  <c r="CU90" i="7"/>
  <c r="M91" i="7"/>
  <c r="BY91" i="7"/>
  <c r="EK91" i="7"/>
  <c r="BC92" i="7"/>
  <c r="AI59" i="7"/>
  <c r="EB68" i="7"/>
  <c r="W71" i="7"/>
  <c r="BA73" i="7"/>
  <c r="I75" i="7"/>
  <c r="AP76" i="7"/>
  <c r="Z77" i="7"/>
  <c r="CL77" i="7"/>
  <c r="D78" i="7"/>
  <c r="BP78" i="7"/>
  <c r="EB78" i="7"/>
  <c r="AT79" i="7"/>
  <c r="DF79" i="7"/>
  <c r="X80" i="7"/>
  <c r="CJ80" i="7"/>
  <c r="EV80" i="7"/>
  <c r="BN81" i="7"/>
  <c r="DZ81" i="7"/>
  <c r="AR82" i="7"/>
  <c r="DD82" i="7"/>
  <c r="V83" i="7"/>
  <c r="CH83" i="7"/>
  <c r="ET83" i="7"/>
  <c r="BL84" i="7"/>
  <c r="DX84" i="7"/>
  <c r="AP85" i="7"/>
  <c r="DB85" i="7"/>
  <c r="T86" i="7"/>
  <c r="CF86" i="7"/>
  <c r="ER86" i="7"/>
  <c r="BJ87" i="7"/>
  <c r="DV87" i="7"/>
  <c r="AN88" i="7"/>
  <c r="CZ88" i="7"/>
  <c r="R89" i="7"/>
  <c r="CD89" i="7"/>
  <c r="EP89" i="7"/>
  <c r="BH90" i="7"/>
  <c r="DT90" i="7"/>
  <c r="AL91" i="7"/>
  <c r="CX91" i="7"/>
  <c r="P92" i="7"/>
  <c r="CB92" i="7"/>
  <c r="EG66" i="7"/>
  <c r="DP69" i="7"/>
  <c r="L72" i="7"/>
  <c r="G74" i="7"/>
  <c r="CK75" i="7"/>
  <c r="DH76" i="7"/>
  <c r="AZ77" i="7"/>
  <c r="DL77" i="7"/>
  <c r="AD78" i="7"/>
  <c r="CP78" i="7"/>
  <c r="H79" i="7"/>
  <c r="BT79" i="7"/>
  <c r="EF79" i="7"/>
  <c r="CK69" i="7"/>
  <c r="EU72" i="7"/>
  <c r="CS54" i="7"/>
  <c r="AD58" i="7"/>
  <c r="EF59" i="7"/>
  <c r="CN61" i="7"/>
  <c r="AV63" i="7"/>
  <c r="D65" i="7"/>
  <c r="DF66" i="7"/>
  <c r="U52" i="7"/>
  <c r="CC60" i="7"/>
  <c r="C65" i="7"/>
  <c r="BB68" i="7"/>
  <c r="ES58" i="7"/>
  <c r="CE63" i="7"/>
  <c r="BQ56" i="7"/>
  <c r="DC61" i="7"/>
  <c r="EF65" i="7"/>
  <c r="ED59" i="7"/>
  <c r="BM64" i="7"/>
  <c r="I58" i="7"/>
  <c r="CN62" i="7"/>
  <c r="CP53" i="7"/>
  <c r="DM60" i="7"/>
  <c r="AE65" i="7"/>
  <c r="CY57" i="7"/>
  <c r="AJ62" i="7"/>
  <c r="N59" i="7"/>
  <c r="DZ68" i="7"/>
  <c r="V71" i="7"/>
  <c r="AZ73" i="7"/>
  <c r="H75" i="7"/>
  <c r="AK68" i="7"/>
  <c r="N70" i="7"/>
  <c r="CV70" i="7"/>
  <c r="AI71" i="7"/>
  <c r="DP71" i="7"/>
  <c r="BD72" i="7"/>
  <c r="EK72" i="7"/>
  <c r="BJ73" i="7"/>
  <c r="DV73" i="7"/>
  <c r="AN74" i="7"/>
  <c r="CZ74" i="7"/>
  <c r="R75" i="7"/>
  <c r="CD75" i="7"/>
  <c r="EP75" i="7"/>
  <c r="BH76" i="7"/>
  <c r="DT76" i="7"/>
  <c r="DO61" i="7"/>
  <c r="CC66" i="7"/>
  <c r="CE67" i="7"/>
  <c r="BJ68" i="7"/>
  <c r="F69" i="7"/>
  <c r="CM69" i="7"/>
  <c r="Z70" i="7"/>
  <c r="DH70" i="7"/>
  <c r="AU71" i="7"/>
  <c r="EB71" i="7"/>
  <c r="BP72" i="7"/>
  <c r="C73" i="7"/>
  <c r="BS73" i="7"/>
  <c r="EE73" i="7"/>
  <c r="AW74" i="7"/>
  <c r="DI74" i="7"/>
  <c r="AA75" i="7"/>
  <c r="CM75" i="7"/>
  <c r="E76" i="7"/>
  <c r="BQ76" i="7"/>
  <c r="EC76" i="7"/>
  <c r="DP60" i="7"/>
  <c r="BH66" i="7"/>
  <c r="BO67" i="7"/>
  <c r="AZ68" i="7"/>
  <c r="EP68" i="7"/>
  <c r="CD69" i="7"/>
  <c r="Q70" i="7"/>
  <c r="CX70" i="7"/>
  <c r="AL71" i="7"/>
  <c r="DS71" i="7"/>
  <c r="BF72" i="7"/>
  <c r="EN72" i="7"/>
  <c r="BL73" i="7"/>
  <c r="DX73" i="7"/>
  <c r="AP74" i="7"/>
  <c r="DB74" i="7"/>
  <c r="T75" i="7"/>
  <c r="CF75" i="7"/>
  <c r="ER75" i="7"/>
  <c r="BJ76" i="7"/>
  <c r="DV76" i="7"/>
  <c r="L62" i="7"/>
  <c r="CF66" i="7"/>
  <c r="CH67" i="7"/>
  <c r="BN68" i="7"/>
  <c r="H69" i="7"/>
  <c r="CP69" i="7"/>
  <c r="AC70" i="7"/>
  <c r="DJ70" i="7"/>
  <c r="AX71" i="7"/>
  <c r="EE71" i="7"/>
  <c r="BR72" i="7"/>
  <c r="F73" i="7"/>
  <c r="BU73" i="7"/>
  <c r="EG73" i="7"/>
  <c r="AY74" i="7"/>
  <c r="DK74" i="7"/>
  <c r="AC75" i="7"/>
  <c r="CO75" i="7"/>
  <c r="G76" i="7"/>
  <c r="BS76" i="7"/>
  <c r="EE76" i="7"/>
  <c r="EK58" i="7"/>
  <c r="Z66" i="7"/>
  <c r="AJ67" i="7"/>
  <c r="AF68" i="7"/>
  <c r="DY68" i="7"/>
  <c r="BL69" i="7"/>
  <c r="ET69" i="7"/>
  <c r="CG70" i="7"/>
  <c r="T71" i="7"/>
  <c r="DB71" i="7"/>
  <c r="AO72" i="7"/>
  <c r="DV72" i="7"/>
  <c r="AY73" i="7"/>
  <c r="DK73" i="7"/>
  <c r="AC74" i="7"/>
  <c r="CO74" i="7"/>
  <c r="G75" i="7"/>
  <c r="BS75" i="7"/>
  <c r="EE75" i="7"/>
  <c r="AW76" i="7"/>
  <c r="DI76" i="7"/>
  <c r="BN66" i="7"/>
  <c r="CF69" i="7"/>
  <c r="DV71" i="7"/>
  <c r="DZ73" i="7"/>
  <c r="BT75" i="7"/>
  <c r="CM76" i="7"/>
  <c r="AS77" i="7"/>
  <c r="DE77" i="7"/>
  <c r="W78" i="7"/>
  <c r="CI78" i="7"/>
  <c r="EU78" i="7"/>
  <c r="BM79" i="7"/>
  <c r="DY79" i="7"/>
  <c r="AQ80" i="7"/>
  <c r="DC80" i="7"/>
  <c r="U81" i="7"/>
  <c r="CG81" i="7"/>
  <c r="ES81" i="7"/>
  <c r="BK82" i="7"/>
  <c r="DW82" i="7"/>
  <c r="AO83" i="7"/>
  <c r="DA83" i="7"/>
  <c r="S84" i="7"/>
  <c r="CE84" i="7"/>
  <c r="EQ84" i="7"/>
  <c r="BI85" i="7"/>
  <c r="DU85" i="7"/>
  <c r="AM86" i="7"/>
  <c r="CY86" i="7"/>
  <c r="Q87" i="7"/>
  <c r="CC87" i="7"/>
  <c r="EO87" i="7"/>
  <c r="BG88" i="7"/>
  <c r="DS88" i="7"/>
  <c r="AK89" i="7"/>
  <c r="CW89" i="7"/>
  <c r="O90" i="7"/>
  <c r="CA90" i="7"/>
  <c r="CU57" i="7"/>
  <c r="DL68" i="7"/>
  <c r="H71" i="7"/>
  <c r="AP73" i="7"/>
  <c r="ER74" i="7"/>
  <c r="AH76" i="7"/>
  <c r="W77" i="7"/>
  <c r="CI77" i="7"/>
  <c r="EU77" i="7"/>
  <c r="BM78" i="7"/>
  <c r="DY78" i="7"/>
  <c r="AQ79" i="7"/>
  <c r="DC79" i="7"/>
  <c r="U80" i="7"/>
  <c r="CG80" i="7"/>
  <c r="ES80" i="7"/>
  <c r="BK81" i="7"/>
  <c r="DW81" i="7"/>
  <c r="AO82" i="7"/>
  <c r="DA82" i="7"/>
  <c r="S83" i="7"/>
  <c r="CE83" i="7"/>
  <c r="EQ83" i="7"/>
  <c r="BI84" i="7"/>
  <c r="DU84" i="7"/>
  <c r="AM85" i="7"/>
  <c r="CY85" i="7"/>
  <c r="Q86" i="7"/>
  <c r="CC86" i="7"/>
  <c r="EO86" i="7"/>
  <c r="BG87" i="7"/>
  <c r="DS87" i="7"/>
  <c r="AK88" i="7"/>
  <c r="CW88" i="7"/>
  <c r="O89" i="7"/>
  <c r="CA89" i="7"/>
  <c r="EM89" i="7"/>
  <c r="BE90" i="7"/>
  <c r="DQ90" i="7"/>
  <c r="AI91" i="7"/>
  <c r="CU91" i="7"/>
  <c r="M92" i="7"/>
  <c r="BY92" i="7"/>
  <c r="V67" i="7"/>
  <c r="EL69" i="7"/>
  <c r="AG72" i="7"/>
  <c r="W74" i="7"/>
  <c r="CX75" i="7"/>
  <c r="DR76" i="7"/>
  <c r="BD77" i="7"/>
  <c r="DP77" i="7"/>
  <c r="AH78" i="7"/>
  <c r="CT78" i="7"/>
  <c r="L79" i="7"/>
  <c r="BX79" i="7"/>
  <c r="EJ79" i="7"/>
  <c r="BB80" i="7"/>
  <c r="DN80" i="7"/>
  <c r="AF81" i="7"/>
  <c r="CR81" i="7"/>
  <c r="J82" i="7"/>
  <c r="BV82" i="7"/>
  <c r="EH82" i="7"/>
  <c r="AZ83" i="7"/>
  <c r="DL83" i="7"/>
  <c r="AD84" i="7"/>
  <c r="CP84" i="7"/>
  <c r="H85" i="7"/>
  <c r="BT85" i="7"/>
  <c r="EF85" i="7"/>
  <c r="AX86" i="7"/>
  <c r="DJ86" i="7"/>
  <c r="AB87" i="7"/>
  <c r="CN87" i="7"/>
  <c r="F88" i="7"/>
  <c r="AD68" i="7"/>
  <c r="CF70" i="7"/>
  <c r="DU72" i="7"/>
  <c r="CN74" i="7"/>
  <c r="EO75" i="7"/>
  <c r="F77" i="7"/>
  <c r="BU77" i="7"/>
  <c r="EG77" i="7"/>
  <c r="AY78" i="7"/>
  <c r="DK78" i="7"/>
  <c r="AC79" i="7"/>
  <c r="CO79" i="7"/>
  <c r="G80" i="7"/>
  <c r="BS80" i="7"/>
  <c r="EE80" i="7"/>
  <c r="AW81" i="7"/>
  <c r="DI81" i="7"/>
  <c r="AA82" i="7"/>
  <c r="CM82" i="7"/>
  <c r="E83" i="7"/>
  <c r="BQ83" i="7"/>
  <c r="EC83" i="7"/>
  <c r="AU84" i="7"/>
  <c r="DG84" i="7"/>
  <c r="Y85" i="7"/>
  <c r="CK85" i="7"/>
  <c r="C86" i="7"/>
  <c r="BO86" i="7"/>
  <c r="EA86" i="7"/>
  <c r="AS87" i="7"/>
  <c r="DE87" i="7"/>
  <c r="W88" i="7"/>
  <c r="CI88" i="7"/>
  <c r="EU88" i="7"/>
  <c r="BM89" i="7"/>
  <c r="DY89" i="7"/>
  <c r="AQ90" i="7"/>
  <c r="DC90" i="7"/>
  <c r="U91" i="7"/>
  <c r="CG91" i="7"/>
  <c r="ES91" i="7"/>
  <c r="BK92" i="7"/>
  <c r="DN63" i="7"/>
  <c r="X69" i="7"/>
  <c r="BN71" i="7"/>
  <c r="CG73" i="7"/>
  <c r="AO75" i="7"/>
  <c r="BL76" i="7"/>
  <c r="AH77" i="7"/>
  <c r="CT77" i="7"/>
  <c r="L78" i="7"/>
  <c r="BX78" i="7"/>
  <c r="EJ78" i="7"/>
  <c r="BB79" i="7"/>
  <c r="DN79" i="7"/>
  <c r="AF80" i="7"/>
  <c r="CR80" i="7"/>
  <c r="J81" i="7"/>
  <c r="BV81" i="7"/>
  <c r="EH81" i="7"/>
  <c r="AZ82" i="7"/>
  <c r="DL82" i="7"/>
  <c r="AD83" i="7"/>
  <c r="CP83" i="7"/>
  <c r="H84" i="7"/>
  <c r="BT84" i="7"/>
  <c r="EF84" i="7"/>
  <c r="AX85" i="7"/>
  <c r="DJ85" i="7"/>
  <c r="AB86" i="7"/>
  <c r="CN86" i="7"/>
  <c r="F87" i="7"/>
  <c r="BR87" i="7"/>
  <c r="ED87" i="7"/>
  <c r="AV88" i="7"/>
  <c r="DH88" i="7"/>
  <c r="Z89" i="7"/>
  <c r="CL89" i="7"/>
  <c r="D90" i="7"/>
  <c r="BP90" i="7"/>
  <c r="EB90" i="7"/>
  <c r="AT91" i="7"/>
  <c r="DF91" i="7"/>
  <c r="X92" i="7"/>
  <c r="CJ92" i="7"/>
  <c r="BH67" i="7"/>
  <c r="M70" i="7"/>
  <c r="BB72" i="7"/>
  <c r="AM74" i="7"/>
  <c r="DH75" i="7"/>
  <c r="EA76" i="7"/>
  <c r="BH77" i="7"/>
  <c r="DT77" i="7"/>
  <c r="AL78" i="7"/>
  <c r="CX78" i="7"/>
  <c r="P79" i="7"/>
  <c r="CB79" i="7"/>
  <c r="BO70" i="7"/>
  <c r="Y46" i="7"/>
  <c r="DN55" i="7"/>
  <c r="CP58" i="7"/>
  <c r="AX60" i="7"/>
  <c r="F62" i="7"/>
  <c r="DH63" i="7"/>
  <c r="BP65" i="7"/>
  <c r="X67" i="7"/>
  <c r="AZ56" i="7"/>
  <c r="CY61" i="7"/>
  <c r="EA65" i="7"/>
  <c r="DQ46" i="7"/>
  <c r="U60" i="7"/>
  <c r="CZ64" i="7"/>
  <c r="AS58" i="7"/>
  <c r="DY62" i="7"/>
  <c r="CN54" i="7"/>
  <c r="C61" i="7"/>
  <c r="BF65" i="7"/>
  <c r="AD59" i="7"/>
  <c r="DG63" i="7"/>
  <c r="ER56" i="7"/>
  <c r="EH61" i="7"/>
  <c r="I66" i="7"/>
  <c r="DT58" i="7"/>
  <c r="BC63" i="7"/>
  <c r="AB66" i="7"/>
  <c r="BN69" i="7"/>
  <c r="DC71" i="7"/>
  <c r="DL73" i="7"/>
  <c r="BC59" i="7"/>
  <c r="EC68" i="7"/>
  <c r="AJ70" i="7"/>
  <c r="DQ70" i="7"/>
  <c r="BD71" i="7"/>
  <c r="EL71" i="7"/>
  <c r="BY72" i="7"/>
  <c r="L73" i="7"/>
  <c r="BZ73" i="7"/>
  <c r="EL73" i="7"/>
  <c r="BD74" i="7"/>
  <c r="DP74" i="7"/>
  <c r="AH75" i="7"/>
  <c r="CT75" i="7"/>
  <c r="L76" i="7"/>
  <c r="BX76" i="7"/>
  <c r="EJ76" i="7"/>
  <c r="I64" i="7"/>
  <c r="DR66" i="7"/>
  <c r="DN67" i="7"/>
  <c r="CJ68" i="7"/>
  <c r="AA69" i="7"/>
  <c r="DH69" i="7"/>
  <c r="AV70" i="7"/>
  <c r="EC70" i="7"/>
  <c r="BP71" i="7"/>
  <c r="D72" i="7"/>
  <c r="CK72" i="7"/>
  <c r="W73" i="7"/>
  <c r="CI73" i="7"/>
  <c r="EU73" i="7"/>
  <c r="BM74" i="7"/>
  <c r="DY74" i="7"/>
  <c r="AQ75" i="7"/>
  <c r="DC75" i="7"/>
  <c r="U76" i="7"/>
  <c r="CG76" i="7"/>
  <c r="ES76" i="7"/>
  <c r="K63" i="7"/>
  <c r="CW66" i="7"/>
  <c r="CX67" i="7"/>
  <c r="BY68" i="7"/>
  <c r="R69" i="7"/>
  <c r="CY69" i="7"/>
  <c r="AL70" i="7"/>
  <c r="DT70" i="7"/>
  <c r="BG71" i="7"/>
  <c r="EN71" i="7"/>
  <c r="CB72" i="7"/>
  <c r="O73" i="7"/>
  <c r="CB73" i="7"/>
  <c r="EN73" i="7"/>
  <c r="BF74" i="7"/>
  <c r="DR74" i="7"/>
  <c r="AJ75" i="7"/>
  <c r="CV75" i="7"/>
  <c r="N76" i="7"/>
  <c r="BZ76" i="7"/>
  <c r="EL76" i="7"/>
  <c r="BA64" i="7"/>
  <c r="DY66" i="7"/>
  <c r="DT67" i="7"/>
  <c r="CL68" i="7"/>
  <c r="AD69" i="7"/>
  <c r="DK69" i="7"/>
  <c r="AX70" i="7"/>
  <c r="EF70" i="7"/>
  <c r="BS71" i="7"/>
  <c r="F72" i="7"/>
  <c r="CN72" i="7"/>
  <c r="Y73" i="7"/>
  <c r="CK73" i="7"/>
  <c r="C74" i="7"/>
  <c r="BO74" i="7"/>
  <c r="EA74" i="7"/>
  <c r="AS75" i="7"/>
  <c r="DE75" i="7"/>
  <c r="W76" i="7"/>
  <c r="CI76" i="7"/>
  <c r="EU76" i="7"/>
  <c r="AH61" i="7"/>
  <c r="BP66" i="7"/>
  <c r="BW67" i="7"/>
  <c r="BE68" i="7"/>
  <c r="ET68" i="7"/>
  <c r="CH69" i="7"/>
  <c r="U70" i="7"/>
  <c r="DB70" i="7"/>
  <c r="AP71" i="7"/>
  <c r="DW71" i="7"/>
  <c r="BJ72" i="7"/>
  <c r="ER72" i="7"/>
  <c r="BO73" i="7"/>
  <c r="EA73" i="7"/>
  <c r="AS74" i="7"/>
  <c r="DE74" i="7"/>
  <c r="W75" i="7"/>
  <c r="CI75" i="7"/>
  <c r="EU75" i="7"/>
  <c r="BM76" i="7"/>
  <c r="DY76" i="7"/>
  <c r="BR67" i="7"/>
  <c r="T70" i="7"/>
  <c r="BI72" i="7"/>
  <c r="AR74" i="7"/>
  <c r="DI75" i="7"/>
  <c r="EF76" i="7"/>
  <c r="BI77" i="7"/>
  <c r="DU77" i="7"/>
  <c r="AM78" i="7"/>
  <c r="CY78" i="7"/>
  <c r="Q79" i="7"/>
  <c r="CC79" i="7"/>
  <c r="EO79" i="7"/>
  <c r="BG80" i="7"/>
  <c r="DS80" i="7"/>
  <c r="AK81" i="7"/>
  <c r="CW81" i="7"/>
  <c r="O82" i="7"/>
  <c r="CA82" i="7"/>
  <c r="EM82" i="7"/>
  <c r="BE83" i="7"/>
  <c r="DQ83" i="7"/>
  <c r="AI84" i="7"/>
  <c r="CU84" i="7"/>
  <c r="M85" i="7"/>
  <c r="BY85" i="7"/>
  <c r="EK85" i="7"/>
  <c r="BC86" i="7"/>
  <c r="DO86" i="7"/>
  <c r="AG87" i="7"/>
  <c r="CS87" i="7"/>
  <c r="K88" i="7"/>
  <c r="BW88" i="7"/>
  <c r="EI88" i="7"/>
  <c r="BA89" i="7"/>
  <c r="DM89" i="7"/>
  <c r="AE90" i="7"/>
  <c r="CQ90" i="7"/>
  <c r="EV65" i="7"/>
  <c r="AZ69" i="7"/>
  <c r="CP71" i="7"/>
  <c r="DB73" i="7"/>
  <c r="BD75" i="7"/>
  <c r="BW76" i="7"/>
  <c r="AM77" i="7"/>
  <c r="CY77" i="7"/>
  <c r="Q78" i="7"/>
  <c r="CC78" i="7"/>
  <c r="EO78" i="7"/>
  <c r="BG79" i="7"/>
  <c r="DS79" i="7"/>
  <c r="AK80" i="7"/>
  <c r="CW80" i="7"/>
  <c r="O81" i="7"/>
  <c r="CA81" i="7"/>
  <c r="EM81" i="7"/>
  <c r="BE82" i="7"/>
  <c r="DQ82" i="7"/>
  <c r="AI83" i="7"/>
  <c r="CU83" i="7"/>
  <c r="M84" i="7"/>
  <c r="BY84" i="7"/>
  <c r="EK84" i="7"/>
  <c r="BC85" i="7"/>
  <c r="DO85" i="7"/>
  <c r="AG86" i="7"/>
  <c r="CS86" i="7"/>
  <c r="K87" i="7"/>
  <c r="BW87" i="7"/>
  <c r="EI87" i="7"/>
  <c r="BA88" i="7"/>
  <c r="DM88" i="7"/>
  <c r="AE89" i="7"/>
  <c r="CQ89" i="7"/>
  <c r="I90" i="7"/>
  <c r="BU90" i="7"/>
  <c r="EG90" i="7"/>
  <c r="AY91" i="7"/>
  <c r="DK91" i="7"/>
  <c r="AC92" i="7"/>
  <c r="CO92" i="7"/>
  <c r="U68" i="7"/>
  <c r="BY70" i="7"/>
  <c r="DN72" i="7"/>
  <c r="CI74" i="7"/>
  <c r="EN75" i="7"/>
  <c r="E77" i="7"/>
  <c r="BT77" i="7"/>
  <c r="EF77" i="7"/>
  <c r="AX78" i="7"/>
  <c r="DJ78" i="7"/>
  <c r="AB79" i="7"/>
  <c r="CN79" i="7"/>
  <c r="F80" i="7"/>
  <c r="BR80" i="7"/>
  <c r="ED80" i="7"/>
  <c r="AV81" i="7"/>
  <c r="DH81" i="7"/>
  <c r="Z82" i="7"/>
  <c r="CL82" i="7"/>
  <c r="D83" i="7"/>
  <c r="BP83" i="7"/>
  <c r="EB83" i="7"/>
  <c r="AT84" i="7"/>
  <c r="DF84" i="7"/>
  <c r="X85" i="7"/>
  <c r="CJ85" i="7"/>
  <c r="EV85" i="7"/>
  <c r="BN86" i="7"/>
  <c r="DZ86" i="7"/>
  <c r="AR87" i="7"/>
  <c r="DD87" i="7"/>
  <c r="DQ58" i="7"/>
  <c r="DX68" i="7"/>
  <c r="S71" i="7"/>
  <c r="AX73" i="7"/>
  <c r="F75" i="7"/>
  <c r="AN76" i="7"/>
  <c r="Y77" i="7"/>
  <c r="CK77" i="7"/>
  <c r="C78" i="7"/>
  <c r="BO78" i="7"/>
  <c r="EA78" i="7"/>
  <c r="AS79" i="7"/>
  <c r="DE79" i="7"/>
  <c r="W80" i="7"/>
  <c r="CI80" i="7"/>
  <c r="EU80" i="7"/>
  <c r="BM81" i="7"/>
  <c r="DY81" i="7"/>
  <c r="AQ82" i="7"/>
  <c r="DC82" i="7"/>
  <c r="U83" i="7"/>
  <c r="CG83" i="7"/>
  <c r="ES83" i="7"/>
  <c r="BK84" i="7"/>
  <c r="DW84" i="7"/>
  <c r="AO85" i="7"/>
  <c r="DA85" i="7"/>
  <c r="S86" i="7"/>
  <c r="CE86" i="7"/>
  <c r="EQ86" i="7"/>
  <c r="BI87" i="7"/>
  <c r="DU87" i="7"/>
  <c r="AM88" i="7"/>
  <c r="CY88" i="7"/>
  <c r="Q89" i="7"/>
  <c r="CC89" i="7"/>
  <c r="EO89" i="7"/>
  <c r="BG90" i="7"/>
  <c r="DS90" i="7"/>
  <c r="AK91" i="7"/>
  <c r="CW91" i="7"/>
  <c r="O92" i="7"/>
  <c r="CA92" i="7"/>
  <c r="DL66" i="7"/>
  <c r="DF69" i="7"/>
  <c r="EU71" i="7"/>
  <c r="ES73" i="7"/>
  <c r="CH75" i="7"/>
  <c r="DB76" i="7"/>
  <c r="AX77" i="7"/>
  <c r="DJ77" i="7"/>
  <c r="AB78" i="7"/>
  <c r="CN78" i="7"/>
  <c r="F79" i="7"/>
  <c r="BR79" i="7"/>
  <c r="ED79" i="7"/>
  <c r="AV80" i="7"/>
  <c r="DH80" i="7"/>
  <c r="Z81" i="7"/>
  <c r="CL81" i="7"/>
  <c r="D82" i="7"/>
  <c r="BP82" i="7"/>
  <c r="EB82" i="7"/>
  <c r="AT83" i="7"/>
  <c r="DF83" i="7"/>
  <c r="X84" i="7"/>
  <c r="CJ84" i="7"/>
  <c r="EV84" i="7"/>
  <c r="BN85" i="7"/>
  <c r="DZ85" i="7"/>
  <c r="AR86" i="7"/>
  <c r="DD86" i="7"/>
  <c r="V87" i="7"/>
  <c r="CH87" i="7"/>
  <c r="ET87" i="7"/>
  <c r="BL88" i="7"/>
  <c r="DX88" i="7"/>
  <c r="AP89" i="7"/>
  <c r="DB89" i="7"/>
  <c r="T90" i="7"/>
  <c r="CF90" i="7"/>
  <c r="ER90" i="7"/>
  <c r="BJ91" i="7"/>
  <c r="DV91" i="7"/>
  <c r="EA70" i="7"/>
  <c r="CI49" i="7"/>
  <c r="BA56" i="7"/>
  <c r="DV58" i="7"/>
  <c r="CD60" i="7"/>
  <c r="AL62" i="7"/>
  <c r="EN63" i="7"/>
  <c r="CV65" i="7"/>
  <c r="BD67" i="7"/>
  <c r="DB57" i="7"/>
  <c r="AK62" i="7"/>
  <c r="AS66" i="7"/>
  <c r="AD53" i="7"/>
  <c r="DA60" i="7"/>
  <c r="W65" i="7"/>
  <c r="EB58" i="7"/>
  <c r="BK63" i="7"/>
  <c r="T56" i="7"/>
  <c r="CL61" i="7"/>
  <c r="DR65" i="7"/>
  <c r="DK59" i="7"/>
  <c r="AV64" i="7"/>
  <c r="EI57" i="7"/>
  <c r="BU62" i="7"/>
  <c r="BU66" i="7"/>
  <c r="BG59" i="7"/>
  <c r="EL63" i="7"/>
  <c r="DJ66" i="7"/>
  <c r="DD69" i="7"/>
  <c r="ET71" i="7"/>
  <c r="ER73" i="7"/>
  <c r="EI63" i="7"/>
  <c r="Z69" i="7"/>
  <c r="AT70" i="7"/>
  <c r="EB70" i="7"/>
  <c r="BO71" i="7"/>
  <c r="EV71" i="7"/>
  <c r="CJ72" i="7"/>
  <c r="V73" i="7"/>
  <c r="CH73" i="7"/>
  <c r="ET73" i="7"/>
  <c r="BL74" i="7"/>
  <c r="DX74" i="7"/>
  <c r="AP75" i="7"/>
  <c r="DB75" i="7"/>
  <c r="T76" i="7"/>
  <c r="CF76" i="7"/>
  <c r="DM52" i="7"/>
  <c r="P65" i="7"/>
  <c r="EJ66" i="7"/>
  <c r="EI67" i="7"/>
  <c r="CV68" i="7"/>
  <c r="AL69" i="7"/>
  <c r="DS69" i="7"/>
  <c r="BF70" i="7"/>
  <c r="EN70" i="7"/>
  <c r="CA71" i="7"/>
  <c r="N72" i="7"/>
  <c r="CV72" i="7"/>
  <c r="AE73" i="7"/>
  <c r="CQ73" i="7"/>
  <c r="I74" i="7"/>
  <c r="BU74" i="7"/>
  <c r="EG74" i="7"/>
  <c r="AY75" i="7"/>
  <c r="DK75" i="7"/>
  <c r="AC76" i="7"/>
  <c r="CO76" i="7"/>
  <c r="G77" i="7"/>
  <c r="AF64" i="7"/>
  <c r="DT66" i="7"/>
  <c r="DS67" i="7"/>
  <c r="CK68" i="7"/>
  <c r="AB69" i="7"/>
  <c r="DJ69" i="7"/>
  <c r="AW70" i="7"/>
  <c r="ED70" i="7"/>
  <c r="BR71" i="7"/>
  <c r="E72" i="7"/>
  <c r="CL72" i="7"/>
  <c r="X73" i="7"/>
  <c r="CJ73" i="7"/>
  <c r="EV73" i="7"/>
  <c r="BN74" i="7"/>
  <c r="DZ74" i="7"/>
  <c r="AR75" i="7"/>
  <c r="DD75" i="7"/>
  <c r="V76" i="7"/>
  <c r="CH76" i="7"/>
  <c r="AO54" i="7"/>
  <c r="AV65" i="7"/>
  <c r="EP66" i="7"/>
  <c r="EL67" i="7"/>
  <c r="CX68" i="7"/>
  <c r="AN69" i="7"/>
  <c r="DV69" i="7"/>
  <c r="BI70" i="7"/>
  <c r="EP70" i="7"/>
  <c r="CD71" i="7"/>
  <c r="Q72" i="7"/>
  <c r="CX72" i="7"/>
  <c r="AG73" i="7"/>
  <c r="CS73" i="7"/>
  <c r="K74" i="7"/>
  <c r="BW74" i="7"/>
  <c r="EI74" i="7"/>
  <c r="BA75" i="7"/>
  <c r="DM75" i="7"/>
  <c r="AE76" i="7"/>
  <c r="CQ76" i="7"/>
  <c r="I77" i="7"/>
  <c r="BA62" i="7"/>
  <c r="CL66" i="7"/>
  <c r="CN67" i="7"/>
  <c r="BQ68" i="7"/>
  <c r="K69" i="7"/>
  <c r="CR69" i="7"/>
  <c r="AF70" i="7"/>
  <c r="DM70" i="7"/>
  <c r="AZ71" i="7"/>
  <c r="EH71" i="7"/>
  <c r="BU72" i="7"/>
  <c r="H73" i="7"/>
  <c r="BW73" i="7"/>
  <c r="EI73" i="7"/>
  <c r="BA74" i="7"/>
  <c r="DM74" i="7"/>
  <c r="AE75" i="7"/>
  <c r="CQ75" i="7"/>
  <c r="I76" i="7"/>
  <c r="BU76" i="7"/>
  <c r="EG76" i="7"/>
  <c r="EM67" i="7"/>
  <c r="BJ70" i="7"/>
  <c r="CZ72" i="7"/>
  <c r="BX74" i="7"/>
  <c r="EF75" i="7"/>
  <c r="EV76" i="7"/>
  <c r="BQ77" i="7"/>
  <c r="EC77" i="7"/>
  <c r="AU78" i="7"/>
  <c r="DG78" i="7"/>
  <c r="Y79" i="7"/>
  <c r="CK79" i="7"/>
  <c r="C80" i="7"/>
  <c r="BO80" i="7"/>
  <c r="EA80" i="7"/>
  <c r="AS81" i="7"/>
  <c r="DE81" i="7"/>
  <c r="W82" i="7"/>
  <c r="CI82" i="7"/>
  <c r="EU82" i="7"/>
  <c r="BM83" i="7"/>
  <c r="DY83" i="7"/>
  <c r="AQ84" i="7"/>
  <c r="DC84" i="7"/>
  <c r="U85" i="7"/>
  <c r="CG85" i="7"/>
  <c r="ES85" i="7"/>
  <c r="BK86" i="7"/>
  <c r="DW86" i="7"/>
  <c r="AO87" i="7"/>
  <c r="DA87" i="7"/>
  <c r="S88" i="7"/>
  <c r="CE88" i="7"/>
  <c r="EQ88" i="7"/>
  <c r="BI89" i="7"/>
  <c r="DU89" i="7"/>
  <c r="AM90" i="7"/>
  <c r="CY90" i="7"/>
  <c r="CG66" i="7"/>
  <c r="CQ69" i="7"/>
  <c r="EF71" i="7"/>
  <c r="EH73" i="7"/>
  <c r="BZ75" i="7"/>
  <c r="CT76" i="7"/>
  <c r="AU77" i="7"/>
  <c r="DG77" i="7"/>
  <c r="Y78" i="7"/>
  <c r="CK78" i="7"/>
  <c r="C79" i="7"/>
  <c r="BO79" i="7"/>
  <c r="EA79" i="7"/>
  <c r="AS80" i="7"/>
  <c r="DE80" i="7"/>
  <c r="W81" i="7"/>
  <c r="CI81" i="7"/>
  <c r="EU81" i="7"/>
  <c r="BM82" i="7"/>
  <c r="DY82" i="7"/>
  <c r="AQ83" i="7"/>
  <c r="DC83" i="7"/>
  <c r="U84" i="7"/>
  <c r="CG84" i="7"/>
  <c r="ES84" i="7"/>
  <c r="BK85" i="7"/>
  <c r="DW85" i="7"/>
  <c r="AO86" i="7"/>
  <c r="DA86" i="7"/>
  <c r="S87" i="7"/>
  <c r="CE87" i="7"/>
  <c r="EQ87" i="7"/>
  <c r="BI88" i="7"/>
  <c r="DU88" i="7"/>
  <c r="AM89" i="7"/>
  <c r="CY89" i="7"/>
  <c r="Q90" i="7"/>
  <c r="CC90" i="7"/>
  <c r="EO90" i="7"/>
  <c r="BG91" i="7"/>
  <c r="DS91" i="7"/>
  <c r="AK92" i="7"/>
  <c r="CW92" i="7"/>
  <c r="BT68" i="7"/>
  <c r="DP70" i="7"/>
  <c r="K73" i="7"/>
  <c r="DO74" i="7"/>
  <c r="P76" i="7"/>
  <c r="O77" i="7"/>
  <c r="CB77" i="7"/>
  <c r="EN77" i="7"/>
  <c r="BF78" i="7"/>
  <c r="DR78" i="7"/>
  <c r="AJ79" i="7"/>
  <c r="CV79" i="7"/>
  <c r="N80" i="7"/>
  <c r="BZ80" i="7"/>
  <c r="EL80" i="7"/>
  <c r="BD81" i="7"/>
  <c r="DP81" i="7"/>
  <c r="AH82" i="7"/>
  <c r="CT82" i="7"/>
  <c r="L83" i="7"/>
  <c r="BX83" i="7"/>
  <c r="EJ83" i="7"/>
  <c r="BB84" i="7"/>
  <c r="DN84" i="7"/>
  <c r="AF85" i="7"/>
  <c r="CR85" i="7"/>
  <c r="J86" i="7"/>
  <c r="BV86" i="7"/>
  <c r="EH86" i="7"/>
  <c r="AZ87" i="7"/>
  <c r="DL87" i="7"/>
  <c r="BB63" i="7"/>
  <c r="T69" i="7"/>
  <c r="BJ71" i="7"/>
  <c r="CD73" i="7"/>
  <c r="AL75" i="7"/>
  <c r="BG76" i="7"/>
  <c r="AG77" i="7"/>
  <c r="CS77" i="7"/>
  <c r="K78" i="7"/>
  <c r="BW78" i="7"/>
  <c r="EI78" i="7"/>
  <c r="BA79" i="7"/>
  <c r="DM79" i="7"/>
  <c r="AE80" i="7"/>
  <c r="CQ80" i="7"/>
  <c r="I81" i="7"/>
  <c r="BU81" i="7"/>
  <c r="EG81" i="7"/>
  <c r="AY82" i="7"/>
  <c r="DK82" i="7"/>
  <c r="AC83" i="7"/>
  <c r="CO83" i="7"/>
  <c r="G84" i="7"/>
  <c r="BS84" i="7"/>
  <c r="EE84" i="7"/>
  <c r="AW85" i="7"/>
  <c r="DI85" i="7"/>
  <c r="AA86" i="7"/>
  <c r="CM86" i="7"/>
  <c r="E87" i="7"/>
  <c r="BQ87" i="7"/>
  <c r="EC87" i="7"/>
  <c r="AU88" i="7"/>
  <c r="DG88" i="7"/>
  <c r="Y89" i="7"/>
  <c r="CK89" i="7"/>
  <c r="C90" i="7"/>
  <c r="BO90" i="7"/>
  <c r="EA90" i="7"/>
  <c r="AS91" i="7"/>
  <c r="DE91" i="7"/>
  <c r="W92" i="7"/>
  <c r="CI92" i="7"/>
  <c r="AQ67" i="7"/>
  <c r="EV69" i="7"/>
  <c r="AR72" i="7"/>
  <c r="AE74" i="7"/>
  <c r="DA75" i="7"/>
  <c r="DX76" i="7"/>
  <c r="BF77" i="7"/>
  <c r="DR77" i="7"/>
  <c r="AJ78" i="7"/>
  <c r="CV78" i="7"/>
  <c r="N79" i="7"/>
  <c r="BZ79" i="7"/>
  <c r="EL79" i="7"/>
  <c r="BD80" i="7"/>
  <c r="DP80" i="7"/>
  <c r="AH81" i="7"/>
  <c r="CT81" i="7"/>
  <c r="L82" i="7"/>
  <c r="BX82" i="7"/>
  <c r="EJ82" i="7"/>
  <c r="BB83" i="7"/>
  <c r="DN83" i="7"/>
  <c r="AF84" i="7"/>
  <c r="CR84" i="7"/>
  <c r="J85" i="7"/>
  <c r="BV85" i="7"/>
  <c r="EH85" i="7"/>
  <c r="AZ86" i="7"/>
  <c r="DL86" i="7"/>
  <c r="AD87" i="7"/>
  <c r="CP87" i="7"/>
  <c r="H88" i="7"/>
  <c r="BT88" i="7"/>
  <c r="EF88" i="7"/>
  <c r="AX89" i="7"/>
  <c r="DJ89" i="7"/>
  <c r="AB90" i="7"/>
  <c r="CN90" i="7"/>
  <c r="F91" i="7"/>
  <c r="BR91" i="7"/>
  <c r="ED91" i="7"/>
  <c r="AV92" i="7"/>
  <c r="K51" i="7"/>
  <c r="CR68" i="7"/>
  <c r="EK70" i="7"/>
  <c r="AC73" i="7"/>
  <c r="EE74" i="7"/>
  <c r="Z76" i="7"/>
  <c r="T77" i="7"/>
  <c r="CF77" i="7"/>
  <c r="ER77" i="7"/>
  <c r="BJ78" i="7"/>
  <c r="DV78" i="7"/>
  <c r="AN79" i="7"/>
  <c r="EJ56" i="7"/>
  <c r="DT61" i="7"/>
  <c r="N66" i="7"/>
  <c r="DT62" i="7"/>
  <c r="CH59" i="7"/>
  <c r="EU59" i="7"/>
  <c r="Y62" i="7"/>
  <c r="AA63" i="7"/>
  <c r="CP63" i="7"/>
  <c r="BY64" i="7"/>
  <c r="BL71" i="7"/>
  <c r="DM66" i="7"/>
  <c r="EL70" i="7"/>
  <c r="BN72" i="7"/>
  <c r="CX73" i="7"/>
  <c r="EF74" i="7"/>
  <c r="D76" i="7"/>
  <c r="BE58" i="7"/>
  <c r="F68" i="7"/>
  <c r="CX69" i="7"/>
  <c r="O71" i="7"/>
  <c r="DF72" i="7"/>
  <c r="EM73" i="7"/>
  <c r="C75" i="7"/>
  <c r="AK76" i="7"/>
  <c r="EI61" i="7"/>
  <c r="H68" i="7"/>
  <c r="DT69" i="7"/>
  <c r="AV71" i="7"/>
  <c r="DH72" i="7"/>
  <c r="J74" i="7"/>
  <c r="AB75" i="7"/>
  <c r="AL76" i="7"/>
  <c r="EU65" i="7"/>
  <c r="BZ68" i="7"/>
  <c r="EQ69" i="7"/>
  <c r="CN71" i="7"/>
  <c r="P73" i="7"/>
  <c r="AA74" i="7"/>
  <c r="BI75" i="7"/>
  <c r="CA76" i="7"/>
  <c r="CR64" i="7"/>
  <c r="CC68" i="7"/>
  <c r="J70" i="7"/>
  <c r="BV71" i="7"/>
  <c r="S73" i="7"/>
  <c r="AK74" i="7"/>
  <c r="AU75" i="7"/>
  <c r="CC76" i="7"/>
  <c r="DW69" i="7"/>
  <c r="EJ74" i="7"/>
  <c r="BY77" i="7"/>
  <c r="CQ78" i="7"/>
  <c r="DA79" i="7"/>
  <c r="EI80" i="7"/>
  <c r="G82" i="7"/>
  <c r="Q83" i="7"/>
  <c r="AY84" i="7"/>
  <c r="BQ85" i="7"/>
  <c r="CA86" i="7"/>
  <c r="DI87" i="7"/>
  <c r="EA88" i="7"/>
  <c r="EK89" i="7"/>
  <c r="O67" i="7"/>
  <c r="BV73" i="7"/>
  <c r="EI76" i="7"/>
  <c r="AG78" i="7"/>
  <c r="AY79" i="7"/>
  <c r="BI80" i="7"/>
  <c r="CQ81" i="7"/>
  <c r="DI82" i="7"/>
  <c r="DS83" i="7"/>
  <c r="G85" i="7"/>
  <c r="Y86" i="7"/>
  <c r="AI87" i="7"/>
  <c r="BQ88" i="7"/>
  <c r="CI89" i="7"/>
  <c r="CS90" i="7"/>
  <c r="EA91" i="7"/>
  <c r="CQ67" i="7"/>
  <c r="BY73" i="7"/>
  <c r="X77" i="7"/>
  <c r="AP78" i="7"/>
  <c r="AZ79" i="7"/>
  <c r="CH80" i="7"/>
  <c r="CZ81" i="7"/>
  <c r="DJ82" i="7"/>
  <c r="ER83" i="7"/>
  <c r="P85" i="7"/>
  <c r="Z86" i="7"/>
  <c r="BH87" i="7"/>
  <c r="CB68" i="7"/>
  <c r="EP73" i="7"/>
  <c r="AO77" i="7"/>
  <c r="BG78" i="7"/>
  <c r="BQ79" i="7"/>
  <c r="CY80" i="7"/>
  <c r="DQ81" i="7"/>
  <c r="EA82" i="7"/>
  <c r="O84" i="7"/>
  <c r="AG85" i="7"/>
  <c r="AQ86" i="7"/>
  <c r="BY87" i="7"/>
  <c r="CQ88" i="7"/>
  <c r="DA89" i="7"/>
  <c r="EI90" i="7"/>
  <c r="G92" i="7"/>
  <c r="AJ68" i="7"/>
  <c r="BK74" i="7"/>
  <c r="AP77" i="7"/>
  <c r="AZ78" i="7"/>
  <c r="CH79" i="7"/>
  <c r="CZ80" i="7"/>
  <c r="DJ81" i="7"/>
  <c r="ER82" i="7"/>
  <c r="P84" i="7"/>
  <c r="Z85" i="7"/>
  <c r="BH86" i="7"/>
  <c r="BZ87" i="7"/>
  <c r="CJ88" i="7"/>
  <c r="DR89" i="7"/>
  <c r="EJ90" i="7"/>
  <c r="ET91" i="7"/>
  <c r="ED64" i="7"/>
  <c r="BX71" i="7"/>
  <c r="AV75" i="7"/>
  <c r="AJ77" i="7"/>
  <c r="N78" i="7"/>
  <c r="EL78" i="7"/>
  <c r="DH79" i="7"/>
  <c r="AH80" i="7"/>
  <c r="CT80" i="7"/>
  <c r="L81" i="7"/>
  <c r="BX81" i="7"/>
  <c r="EJ81" i="7"/>
  <c r="BB82" i="7"/>
  <c r="DN82" i="7"/>
  <c r="AF83" i="7"/>
  <c r="CR83" i="7"/>
  <c r="J84" i="7"/>
  <c r="BV84" i="7"/>
  <c r="EH84" i="7"/>
  <c r="AZ85" i="7"/>
  <c r="DL85" i="7"/>
  <c r="AD86" i="7"/>
  <c r="CP86" i="7"/>
  <c r="H87" i="7"/>
  <c r="BT87" i="7"/>
  <c r="EF87" i="7"/>
  <c r="AX88" i="7"/>
  <c r="DJ88" i="7"/>
  <c r="AB89" i="7"/>
  <c r="CN89" i="7"/>
  <c r="F90" i="7"/>
  <c r="BR90" i="7"/>
  <c r="ED90" i="7"/>
  <c r="AV91" i="7"/>
  <c r="DH91" i="7"/>
  <c r="Z92" i="7"/>
  <c r="CL92" i="7"/>
  <c r="AK105" i="7"/>
  <c r="DS104" i="7"/>
  <c r="BG104" i="7"/>
  <c r="EO103" i="7"/>
  <c r="CC103" i="7"/>
  <c r="Q103" i="7"/>
  <c r="CY102" i="7"/>
  <c r="AM102" i="7"/>
  <c r="DU101" i="7"/>
  <c r="BI101" i="7"/>
  <c r="EQ100" i="7"/>
  <c r="CE100" i="7"/>
  <c r="S100" i="7"/>
  <c r="DA99" i="7"/>
  <c r="AO99" i="7"/>
  <c r="DW98" i="7"/>
  <c r="BK98" i="7"/>
  <c r="ES97" i="7"/>
  <c r="CG97" i="7"/>
  <c r="U97" i="7"/>
  <c r="DC96" i="7"/>
  <c r="AQ96" i="7"/>
  <c r="DY95" i="7"/>
  <c r="BM95" i="7"/>
  <c r="EU94" i="7"/>
  <c r="CI94" i="7"/>
  <c r="W94" i="7"/>
  <c r="DE93" i="7"/>
  <c r="AS93" i="7"/>
  <c r="EA92" i="7"/>
  <c r="Y92" i="7"/>
  <c r="AU91" i="7"/>
  <c r="AS90" i="7"/>
  <c r="X89" i="7"/>
  <c r="EP87" i="7"/>
  <c r="AN86" i="7"/>
  <c r="CF84" i="7"/>
  <c r="DX82" i="7"/>
  <c r="V81" i="7"/>
  <c r="BN79" i="7"/>
  <c r="DF77" i="7"/>
  <c r="EC73" i="7"/>
  <c r="BX105" i="7"/>
  <c r="L105" i="7"/>
  <c r="CT104" i="7"/>
  <c r="AH104" i="7"/>
  <c r="DP103" i="7"/>
  <c r="BD103" i="7"/>
  <c r="EL102" i="7"/>
  <c r="BZ102" i="7"/>
  <c r="N102" i="7"/>
  <c r="CV101" i="7"/>
  <c r="AJ101" i="7"/>
  <c r="DR100" i="7"/>
  <c r="BF100" i="7"/>
  <c r="EN99" i="7"/>
  <c r="CB99" i="7"/>
  <c r="P99" i="7"/>
  <c r="CX98" i="7"/>
  <c r="AL98" i="7"/>
  <c r="DT97" i="7"/>
  <c r="BH97" i="7"/>
  <c r="EP96" i="7"/>
  <c r="CD96" i="7"/>
  <c r="R96" i="7"/>
  <c r="CZ95" i="7"/>
  <c r="AN95" i="7"/>
  <c r="DV94" i="7"/>
  <c r="BJ94" i="7"/>
  <c r="ER93" i="7"/>
  <c r="CF93" i="7"/>
  <c r="T93" i="7"/>
  <c r="CX92" i="7"/>
  <c r="DT91" i="7"/>
  <c r="EP90" i="7"/>
  <c r="DX89" i="7"/>
  <c r="DD88" i="7"/>
  <c r="AU87" i="7"/>
  <c r="CM85" i="7"/>
  <c r="EE83" i="7"/>
  <c r="AC82" i="7"/>
  <c r="BU80" i="7"/>
  <c r="DM78" i="7"/>
  <c r="J77" i="7"/>
  <c r="CP70" i="7"/>
  <c r="AY105" i="7"/>
  <c r="EG104" i="7"/>
  <c r="BU104" i="7"/>
  <c r="I104" i="7"/>
  <c r="CQ103" i="7"/>
  <c r="AE103" i="7"/>
  <c r="DM102" i="7"/>
  <c r="BA102" i="7"/>
  <c r="EI101" i="7"/>
  <c r="BW101" i="7"/>
  <c r="K101" i="7"/>
  <c r="CS100" i="7"/>
  <c r="AG100" i="7"/>
  <c r="DO99" i="7"/>
  <c r="BC99" i="7"/>
  <c r="EK98" i="7"/>
  <c r="BY98" i="7"/>
  <c r="M98" i="7"/>
  <c r="CU97" i="7"/>
  <c r="AI97" i="7"/>
  <c r="DQ96" i="7"/>
  <c r="BE96" i="7"/>
  <c r="EM95" i="7"/>
  <c r="CA95" i="7"/>
  <c r="O95" i="7"/>
  <c r="CW94" i="7"/>
  <c r="AK94" i="7"/>
  <c r="DS93" i="7"/>
  <c r="BG93" i="7"/>
  <c r="EO92" i="7"/>
  <c r="AZ92" i="7"/>
  <c r="BV91" i="7"/>
  <c r="CD90" i="7"/>
  <c r="BJ89" i="7"/>
  <c r="AO88" i="7"/>
  <c r="CR86" i="7"/>
  <c r="EJ84" i="7"/>
  <c r="AH83" i="7"/>
  <c r="BZ81" i="7"/>
  <c r="DR79" i="7"/>
  <c r="P78" i="7"/>
  <c r="BB75" i="7"/>
  <c r="DH65" i="7"/>
  <c r="EF104" i="7"/>
  <c r="BT104" i="7"/>
  <c r="H104" i="7"/>
  <c r="CP103" i="7"/>
  <c r="AD103" i="7"/>
  <c r="DL102" i="7"/>
  <c r="AZ102" i="7"/>
  <c r="EH101" i="7"/>
  <c r="BV101" i="7"/>
  <c r="J101" i="7"/>
  <c r="CR100" i="7"/>
  <c r="AF100" i="7"/>
  <c r="DN99" i="7"/>
  <c r="BB99" i="7"/>
  <c r="EJ98" i="7"/>
  <c r="BX98" i="7"/>
  <c r="L98" i="7"/>
  <c r="CT97" i="7"/>
  <c r="AH97" i="7"/>
  <c r="DP96" i="7"/>
  <c r="BD96" i="7"/>
  <c r="EL95" i="7"/>
  <c r="BZ95" i="7"/>
  <c r="N95" i="7"/>
  <c r="CV94" i="7"/>
  <c r="AJ94" i="7"/>
  <c r="DR93" i="7"/>
  <c r="BF93" i="7"/>
  <c r="EN92" i="7"/>
  <c r="AY92" i="7"/>
  <c r="BU91" i="7"/>
  <c r="CB90" i="7"/>
  <c r="BG89" i="7"/>
  <c r="AL88" i="7"/>
  <c r="CO86" i="7"/>
  <c r="EG84" i="7"/>
  <c r="AE83" i="7"/>
  <c r="BW81" i="7"/>
  <c r="DO79" i="7"/>
  <c r="M78" i="7"/>
  <c r="AT75" i="7"/>
  <c r="BU64" i="7"/>
  <c r="Y105" i="7"/>
  <c r="DG104" i="7"/>
  <c r="AU104" i="7"/>
  <c r="EC103" i="7"/>
  <c r="BQ103" i="7"/>
  <c r="E103" i="7"/>
  <c r="CM102" i="7"/>
  <c r="AA102" i="7"/>
  <c r="DI101" i="7"/>
  <c r="AW101" i="7"/>
  <c r="EE100" i="7"/>
  <c r="C70" i="7"/>
  <c r="BV57" i="7"/>
  <c r="BR62" i="7"/>
  <c r="EL66" i="7"/>
  <c r="BG63" i="7"/>
  <c r="AP61" i="7"/>
  <c r="AR62" i="7"/>
  <c r="DE62" i="7"/>
  <c r="DY64" i="7"/>
  <c r="CQ65" i="7"/>
  <c r="EV64" i="7"/>
  <c r="AP72" i="7"/>
  <c r="CG68" i="7"/>
  <c r="C71" i="7"/>
  <c r="CT72" i="7"/>
  <c r="ED73" i="7"/>
  <c r="EN74" i="7"/>
  <c r="AB76" i="7"/>
  <c r="EJ62" i="7"/>
  <c r="X68" i="7"/>
  <c r="ED69" i="7"/>
  <c r="BF71" i="7"/>
  <c r="DQ72" i="7"/>
  <c r="Q74" i="7"/>
  <c r="AI75" i="7"/>
  <c r="AS76" i="7"/>
  <c r="AF65" i="7"/>
  <c r="BL68" i="7"/>
  <c r="EE69" i="7"/>
  <c r="CB71" i="7"/>
  <c r="D73" i="7"/>
  <c r="R74" i="7"/>
  <c r="AZ75" i="7"/>
  <c r="BR76" i="7"/>
  <c r="T66" i="7"/>
  <c r="DJ68" i="7"/>
  <c r="AN70" i="7"/>
  <c r="CY71" i="7"/>
  <c r="AO73" i="7"/>
  <c r="BG74" i="7"/>
  <c r="BQ75" i="7"/>
  <c r="CY76" i="7"/>
  <c r="AW66" i="7"/>
  <c r="CO68" i="7"/>
  <c r="AP70" i="7"/>
  <c r="DL71" i="7"/>
  <c r="AA73" i="7"/>
  <c r="BI74" i="7"/>
  <c r="CA75" i="7"/>
  <c r="CK76" i="7"/>
  <c r="DA70" i="7"/>
  <c r="CP75" i="7"/>
  <c r="CG77" i="7"/>
  <c r="DO78" i="7"/>
  <c r="EG79" i="7"/>
  <c r="EQ80" i="7"/>
  <c r="AE82" i="7"/>
  <c r="AW83" i="7"/>
  <c r="BG84" i="7"/>
  <c r="CO85" i="7"/>
  <c r="DG86" i="7"/>
  <c r="DQ87" i="7"/>
  <c r="E89" i="7"/>
  <c r="W90" i="7"/>
  <c r="CM67" i="7"/>
  <c r="T74" i="7"/>
  <c r="AE77" i="7"/>
  <c r="AO78" i="7"/>
  <c r="BW79" i="7"/>
  <c r="CO80" i="7"/>
  <c r="CY81" i="7"/>
  <c r="EG82" i="7"/>
  <c r="E84" i="7"/>
  <c r="O85" i="7"/>
  <c r="AW86" i="7"/>
  <c r="BO87" i="7"/>
  <c r="BY88" i="7"/>
  <c r="DG89" i="7"/>
  <c r="DY90" i="7"/>
  <c r="EI91" i="7"/>
  <c r="DQ68" i="7"/>
  <c r="BC74" i="7"/>
  <c r="AF77" i="7"/>
  <c r="BN78" i="7"/>
  <c r="CF79" i="7"/>
  <c r="CP80" i="7"/>
  <c r="DX81" i="7"/>
  <c r="EP82" i="7"/>
  <c r="F84" i="7"/>
  <c r="AN85" i="7"/>
  <c r="BF86" i="7"/>
  <c r="BP87" i="7"/>
  <c r="BK69" i="7"/>
  <c r="DT74" i="7"/>
  <c r="AW77" i="7"/>
  <c r="CE78" i="7"/>
  <c r="CW79" i="7"/>
  <c r="DG80" i="7"/>
  <c r="EO81" i="7"/>
  <c r="M83" i="7"/>
  <c r="W84" i="7"/>
  <c r="BE85" i="7"/>
  <c r="BW86" i="7"/>
  <c r="CG87" i="7"/>
  <c r="DO88" i="7"/>
  <c r="EG89" i="7"/>
  <c r="EQ90" i="7"/>
  <c r="AE92" i="7"/>
  <c r="BO69" i="7"/>
  <c r="CQ74" i="7"/>
  <c r="BN77" i="7"/>
  <c r="CF78" i="7"/>
  <c r="CP79" i="7"/>
  <c r="DX80" i="7"/>
  <c r="EP81" i="7"/>
  <c r="F83" i="7"/>
  <c r="AN84" i="7"/>
  <c r="BF85" i="7"/>
  <c r="BP86" i="7"/>
  <c r="CX87" i="7"/>
  <c r="DP88" i="7"/>
  <c r="DZ89" i="7"/>
  <c r="N91" i="7"/>
  <c r="AF92" i="7"/>
  <c r="EB67" i="7"/>
  <c r="CS72" i="7"/>
  <c r="ED75" i="7"/>
  <c r="BP77" i="7"/>
  <c r="AT78" i="7"/>
  <c r="X79" i="7"/>
  <c r="DP79" i="7"/>
  <c r="AP80" i="7"/>
  <c r="DB80" i="7"/>
  <c r="T81" i="7"/>
  <c r="CF81" i="7"/>
  <c r="ER81" i="7"/>
  <c r="BJ82" i="7"/>
  <c r="DV82" i="7"/>
  <c r="AN83" i="7"/>
  <c r="CZ83" i="7"/>
  <c r="R84" i="7"/>
  <c r="CD84" i="7"/>
  <c r="EP84" i="7"/>
  <c r="BH85" i="7"/>
  <c r="DT85" i="7"/>
  <c r="AL86" i="7"/>
  <c r="CX86" i="7"/>
  <c r="P87" i="7"/>
  <c r="CB87" i="7"/>
  <c r="EN87" i="7"/>
  <c r="BF88" i="7"/>
  <c r="DR88" i="7"/>
  <c r="AJ89" i="7"/>
  <c r="CV89" i="7"/>
  <c r="N90" i="7"/>
  <c r="BZ90" i="7"/>
  <c r="EL90" i="7"/>
  <c r="BD91" i="7"/>
  <c r="DP91" i="7"/>
  <c r="AH92" i="7"/>
  <c r="CT92" i="7"/>
  <c r="AC105" i="7"/>
  <c r="DK104" i="7"/>
  <c r="AY104" i="7"/>
  <c r="EG103" i="7"/>
  <c r="BU103" i="7"/>
  <c r="I103" i="7"/>
  <c r="CQ102" i="7"/>
  <c r="AE102" i="7"/>
  <c r="DM101" i="7"/>
  <c r="BA101" i="7"/>
  <c r="EI100" i="7"/>
  <c r="BW100" i="7"/>
  <c r="K100" i="7"/>
  <c r="CS99" i="7"/>
  <c r="AG99" i="7"/>
  <c r="DO98" i="7"/>
  <c r="BC98" i="7"/>
  <c r="EK97" i="7"/>
  <c r="BY97" i="7"/>
  <c r="M97" i="7"/>
  <c r="CU96" i="7"/>
  <c r="AI96" i="7"/>
  <c r="DQ95" i="7"/>
  <c r="BE95" i="7"/>
  <c r="EM94" i="7"/>
  <c r="CA94" i="7"/>
  <c r="O94" i="7"/>
  <c r="CW93" i="7"/>
  <c r="AK93" i="7"/>
  <c r="DS92" i="7"/>
  <c r="I92" i="7"/>
  <c r="AE91" i="7"/>
  <c r="X90" i="7"/>
  <c r="C89" i="7"/>
  <c r="DJ87" i="7"/>
  <c r="H86" i="7"/>
  <c r="AZ84" i="7"/>
  <c r="CR82" i="7"/>
  <c r="EJ80" i="7"/>
  <c r="AH79" i="7"/>
  <c r="BZ77" i="7"/>
  <c r="ET72" i="7"/>
  <c r="BP105" i="7"/>
  <c r="D105" i="7"/>
  <c r="CL104" i="7"/>
  <c r="Z104" i="7"/>
  <c r="DH103" i="7"/>
  <c r="AV103" i="7"/>
  <c r="ED102" i="7"/>
  <c r="BR102" i="7"/>
  <c r="F102" i="7"/>
  <c r="CN101" i="7"/>
  <c r="AB101" i="7"/>
  <c r="DJ100" i="7"/>
  <c r="AX100" i="7"/>
  <c r="EF99" i="7"/>
  <c r="BT99" i="7"/>
  <c r="H99" i="7"/>
  <c r="CP98" i="7"/>
  <c r="AD98" i="7"/>
  <c r="DL97" i="7"/>
  <c r="AZ97" i="7"/>
  <c r="EH96" i="7"/>
  <c r="BV96" i="7"/>
  <c r="J96" i="7"/>
  <c r="CR95" i="7"/>
  <c r="AF95" i="7"/>
  <c r="DN94" i="7"/>
  <c r="BB94" i="7"/>
  <c r="EJ93" i="7"/>
  <c r="BX93" i="7"/>
  <c r="L93" i="7"/>
  <c r="CH92" i="7"/>
  <c r="DD91" i="7"/>
  <c r="DX90" i="7"/>
  <c r="DC89" i="7"/>
  <c r="CH88" i="7"/>
  <c r="O87" i="7"/>
  <c r="BG85" i="7"/>
  <c r="CY83" i="7"/>
  <c r="EQ81" i="7"/>
  <c r="AO80" i="7"/>
  <c r="CG78" i="7"/>
  <c r="CJ76" i="7"/>
  <c r="BV69" i="7"/>
  <c r="AQ105" i="7"/>
  <c r="DY104" i="7"/>
  <c r="BM104" i="7"/>
  <c r="EU103" i="7"/>
  <c r="CI103" i="7"/>
  <c r="W103" i="7"/>
  <c r="DE102" i="7"/>
  <c r="AS102" i="7"/>
  <c r="EA101" i="7"/>
  <c r="BO101" i="7"/>
  <c r="C101" i="7"/>
  <c r="CK100" i="7"/>
  <c r="Y100" i="7"/>
  <c r="DG99" i="7"/>
  <c r="AU99" i="7"/>
  <c r="EC98" i="7"/>
  <c r="BQ98" i="7"/>
  <c r="E98" i="7"/>
  <c r="CM97" i="7"/>
  <c r="AA97" i="7"/>
  <c r="DI96" i="7"/>
  <c r="AW96" i="7"/>
  <c r="EE95" i="7"/>
  <c r="BS95" i="7"/>
  <c r="G95" i="7"/>
  <c r="CO94" i="7"/>
  <c r="AC94" i="7"/>
  <c r="DK93" i="7"/>
  <c r="AY93" i="7"/>
  <c r="EG92" i="7"/>
  <c r="AJ92" i="7"/>
  <c r="BF91" i="7"/>
  <c r="BI90" i="7"/>
  <c r="AN89" i="7"/>
  <c r="T88" i="7"/>
  <c r="BL86" i="7"/>
  <c r="DD84" i="7"/>
  <c r="EV82" i="7"/>
  <c r="AT81" i="7"/>
  <c r="CL79" i="7"/>
  <c r="ED77" i="7"/>
  <c r="CA74" i="7"/>
  <c r="AP105" i="7"/>
  <c r="DX104" i="7"/>
  <c r="BL104" i="7"/>
  <c r="ET103" i="7"/>
  <c r="CH103" i="7"/>
  <c r="V103" i="7"/>
  <c r="DD102" i="7"/>
  <c r="AR102" i="7"/>
  <c r="DZ101" i="7"/>
  <c r="BN101" i="7"/>
  <c r="EV100" i="7"/>
  <c r="CJ100" i="7"/>
  <c r="X100" i="7"/>
  <c r="DF99" i="7"/>
  <c r="AT99" i="7"/>
  <c r="EB98" i="7"/>
  <c r="BP98" i="7"/>
  <c r="D98" i="7"/>
  <c r="CL97" i="7"/>
  <c r="Z97" i="7"/>
  <c r="DH96" i="7"/>
  <c r="AV96" i="7"/>
  <c r="ED95" i="7"/>
  <c r="BR95" i="7"/>
  <c r="F95" i="7"/>
  <c r="CN94" i="7"/>
  <c r="AB94" i="7"/>
  <c r="DJ93" i="7"/>
  <c r="AX93" i="7"/>
  <c r="EF92" i="7"/>
  <c r="AI92" i="7"/>
  <c r="BE91" i="7"/>
  <c r="BF90" i="7"/>
  <c r="AL89" i="7"/>
  <c r="Q88" i="7"/>
  <c r="BI86" i="7"/>
  <c r="DA84" i="7"/>
  <c r="ES82" i="7"/>
  <c r="AQ81" i="7"/>
  <c r="CI79" i="7"/>
  <c r="EA77" i="7"/>
  <c r="BP74" i="7"/>
  <c r="CC105" i="7"/>
  <c r="Q105" i="7"/>
  <c r="CY104" i="7"/>
  <c r="AM104" i="7"/>
  <c r="DU103" i="7"/>
  <c r="BI103" i="7"/>
  <c r="EQ102" i="7"/>
  <c r="CE102" i="7"/>
  <c r="S102" i="7"/>
  <c r="DA101" i="7"/>
  <c r="AO101" i="7"/>
  <c r="DW100" i="7"/>
  <c r="AS71" i="7"/>
  <c r="BJ58" i="7"/>
  <c r="CX62" i="7"/>
  <c r="CJ67" i="7"/>
  <c r="BO65" i="7"/>
  <c r="DW61" i="7"/>
  <c r="ET63" i="7"/>
  <c r="EN64" i="7"/>
  <c r="AQ65" i="7"/>
  <c r="CZ37" i="7"/>
  <c r="CQ63" i="7"/>
  <c r="CG72" i="7"/>
  <c r="BP69" i="7"/>
  <c r="AT71" i="7"/>
  <c r="DE72" i="7"/>
  <c r="H74" i="7"/>
  <c r="Z75" i="7"/>
  <c r="AJ76" i="7"/>
  <c r="EN65" i="7"/>
  <c r="BV68" i="7"/>
  <c r="EN69" i="7"/>
  <c r="CL71" i="7"/>
  <c r="N73" i="7"/>
  <c r="Y74" i="7"/>
  <c r="BG75" i="7"/>
  <c r="BY76" i="7"/>
  <c r="EP65" i="7"/>
  <c r="CW68" i="7"/>
  <c r="AB70" i="7"/>
  <c r="CM71" i="7"/>
  <c r="AF73" i="7"/>
  <c r="AX74" i="7"/>
  <c r="BH75" i="7"/>
  <c r="CP76" i="7"/>
  <c r="DB66" i="7"/>
  <c r="DV68" i="7"/>
  <c r="BT70" i="7"/>
  <c r="EP71" i="7"/>
  <c r="AW73" i="7"/>
  <c r="CE74" i="7"/>
  <c r="CW75" i="7"/>
  <c r="DG76" i="7"/>
  <c r="DI66" i="7"/>
  <c r="EJ68" i="7"/>
  <c r="BA70" i="7"/>
  <c r="ER71" i="7"/>
  <c r="BG73" i="7"/>
  <c r="BQ74" i="7"/>
  <c r="CY75" i="7"/>
  <c r="DQ76" i="7"/>
  <c r="ER70" i="7"/>
  <c r="H76" i="7"/>
  <c r="DM77" i="7"/>
  <c r="DW78" i="7"/>
  <c r="K80" i="7"/>
  <c r="AC81" i="7"/>
  <c r="AM82" i="7"/>
  <c r="BU83" i="7"/>
  <c r="CM84" i="7"/>
  <c r="CW85" i="7"/>
  <c r="EE86" i="7"/>
  <c r="C88" i="7"/>
  <c r="M89" i="7"/>
  <c r="AU90" i="7"/>
  <c r="J69" i="7"/>
  <c r="AZ74" i="7"/>
  <c r="BC77" i="7"/>
  <c r="BU78" i="7"/>
  <c r="CE79" i="7"/>
  <c r="DM80" i="7"/>
  <c r="EE81" i="7"/>
  <c r="EO82" i="7"/>
  <c r="AC84" i="7"/>
  <c r="AU85" i="7"/>
  <c r="BE86" i="7"/>
  <c r="CM87" i="7"/>
  <c r="DE88" i="7"/>
  <c r="DO89" i="7"/>
  <c r="C91" i="7"/>
  <c r="U92" i="7"/>
  <c r="N69" i="7"/>
  <c r="EU74" i="7"/>
  <c r="BL77" i="7"/>
  <c r="BV78" i="7"/>
  <c r="DD79" i="7"/>
  <c r="DV80" i="7"/>
  <c r="EF81" i="7"/>
  <c r="T83" i="7"/>
  <c r="AL84" i="7"/>
  <c r="AV85" i="7"/>
  <c r="CD86" i="7"/>
  <c r="CV87" i="7"/>
  <c r="DB69" i="7"/>
  <c r="BJ75" i="7"/>
  <c r="CC77" i="7"/>
  <c r="CM78" i="7"/>
  <c r="DU79" i="7"/>
  <c r="EM80" i="7"/>
  <c r="C82" i="7"/>
  <c r="AK83" i="7"/>
  <c r="BC84" i="7"/>
  <c r="BM85" i="7"/>
  <c r="CU86" i="7"/>
  <c r="DM87" i="7"/>
  <c r="DW88" i="7"/>
  <c r="K90" i="7"/>
  <c r="AC91" i="7"/>
  <c r="AM92" i="7"/>
  <c r="AS70" i="7"/>
  <c r="BL75" i="7"/>
  <c r="BV77" i="7"/>
  <c r="DD78" i="7"/>
  <c r="DV79" i="7"/>
  <c r="EF80" i="7"/>
  <c r="T82" i="7"/>
  <c r="AL83" i="7"/>
  <c r="AV84" i="7"/>
  <c r="CD85" i="7"/>
  <c r="CV86" i="7"/>
  <c r="DF87" i="7"/>
  <c r="EN88" i="7"/>
  <c r="L90" i="7"/>
  <c r="V91" i="7"/>
  <c r="AN92" i="7"/>
  <c r="AV68" i="7"/>
  <c r="EJ72" i="7"/>
  <c r="C76" i="7"/>
  <c r="BX77" i="7"/>
  <c r="BB78" i="7"/>
  <c r="AF79" i="7"/>
  <c r="DX79" i="7"/>
  <c r="AX80" i="7"/>
  <c r="DJ80" i="7"/>
  <c r="AB81" i="7"/>
  <c r="CN81" i="7"/>
  <c r="F82" i="7"/>
  <c r="BR82" i="7"/>
  <c r="ED82" i="7"/>
  <c r="AV83" i="7"/>
  <c r="DH83" i="7"/>
  <c r="Z84" i="7"/>
  <c r="CL84" i="7"/>
  <c r="D85" i="7"/>
  <c r="BP85" i="7"/>
  <c r="EB85" i="7"/>
  <c r="AT86" i="7"/>
  <c r="DF86" i="7"/>
  <c r="X87" i="7"/>
  <c r="CJ87" i="7"/>
  <c r="EV87" i="7"/>
  <c r="BN88" i="7"/>
  <c r="DZ88" i="7"/>
  <c r="AR89" i="7"/>
  <c r="DD89" i="7"/>
  <c r="V90" i="7"/>
  <c r="CH90" i="7"/>
  <c r="ET90" i="7"/>
  <c r="BL91" i="7"/>
  <c r="DX91" i="7"/>
  <c r="AP92" i="7"/>
  <c r="DB92" i="7"/>
  <c r="U105" i="7"/>
  <c r="DC104" i="7"/>
  <c r="AQ104" i="7"/>
  <c r="DY103" i="7"/>
  <c r="BM103" i="7"/>
  <c r="EU102" i="7"/>
  <c r="CI102" i="7"/>
  <c r="W102" i="7"/>
  <c r="DE101" i="7"/>
  <c r="AS101" i="7"/>
  <c r="EA100" i="7"/>
  <c r="BO100" i="7"/>
  <c r="C100" i="7"/>
  <c r="CK99" i="7"/>
  <c r="Y99" i="7"/>
  <c r="DG98" i="7"/>
  <c r="AU98" i="7"/>
  <c r="EC97" i="7"/>
  <c r="BQ97" i="7"/>
  <c r="E97" i="7"/>
  <c r="CM96" i="7"/>
  <c r="AA96" i="7"/>
  <c r="DI95" i="7"/>
  <c r="AW95" i="7"/>
  <c r="EE94" i="7"/>
  <c r="BS94" i="7"/>
  <c r="G94" i="7"/>
  <c r="CO93" i="7"/>
  <c r="AC93" i="7"/>
  <c r="DK92" i="7"/>
  <c r="EM91" i="7"/>
  <c r="O91" i="7"/>
  <c r="EV89" i="7"/>
  <c r="EB88" i="7"/>
  <c r="CD87" i="7"/>
  <c r="DV85" i="7"/>
  <c r="T84" i="7"/>
  <c r="BL82" i="7"/>
  <c r="DD80" i="7"/>
  <c r="EV78" i="7"/>
  <c r="AT77" i="7"/>
  <c r="DZ71" i="7"/>
  <c r="BH105" i="7"/>
  <c r="EP104" i="7"/>
  <c r="CD104" i="7"/>
  <c r="R104" i="7"/>
  <c r="CZ103" i="7"/>
  <c r="AN103" i="7"/>
  <c r="DV102" i="7"/>
  <c r="BJ102" i="7"/>
  <c r="ER101" i="7"/>
  <c r="CF101" i="7"/>
  <c r="T101" i="7"/>
  <c r="DB100" i="7"/>
  <c r="AP100" i="7"/>
  <c r="DX99" i="7"/>
  <c r="BL99" i="7"/>
  <c r="ET98" i="7"/>
  <c r="CH98" i="7"/>
  <c r="V98" i="7"/>
  <c r="DD97" i="7"/>
  <c r="AR97" i="7"/>
  <c r="DZ96" i="7"/>
  <c r="BN96" i="7"/>
  <c r="EV95" i="7"/>
  <c r="CJ95" i="7"/>
  <c r="X95" i="7"/>
  <c r="DF94" i="7"/>
  <c r="AT94" i="7"/>
  <c r="EB93" i="7"/>
  <c r="BP93" i="7"/>
  <c r="D93" i="7"/>
  <c r="BR92" i="7"/>
  <c r="CN91" i="7"/>
  <c r="DB90" i="7"/>
  <c r="CH89" i="7"/>
  <c r="BM88" i="7"/>
  <c r="EC86" i="7"/>
  <c r="AA85" i="7"/>
  <c r="BS83" i="7"/>
  <c r="DK81" i="7"/>
  <c r="I80" i="7"/>
  <c r="BA78" i="7"/>
  <c r="EV75" i="7"/>
  <c r="AP68" i="7"/>
  <c r="AI105" i="7"/>
  <c r="DQ104" i="7"/>
  <c r="BE104" i="7"/>
  <c r="EM103" i="7"/>
  <c r="CA103" i="7"/>
  <c r="O103" i="7"/>
  <c r="CW102" i="7"/>
  <c r="AK102" i="7"/>
  <c r="DS101" i="7"/>
  <c r="BG101" i="7"/>
  <c r="EO100" i="7"/>
  <c r="CC100" i="7"/>
  <c r="Q100" i="7"/>
  <c r="CY99" i="7"/>
  <c r="AM99" i="7"/>
  <c r="DU98" i="7"/>
  <c r="BI98" i="7"/>
  <c r="EQ97" i="7"/>
  <c r="CE97" i="7"/>
  <c r="S97" i="7"/>
  <c r="DA96" i="7"/>
  <c r="AO96" i="7"/>
  <c r="DW95" i="7"/>
  <c r="BK95" i="7"/>
  <c r="ES94" i="7"/>
  <c r="CG94" i="7"/>
  <c r="U94" i="7"/>
  <c r="DC93" i="7"/>
  <c r="AQ93" i="7"/>
  <c r="DY92" i="7"/>
  <c r="T92" i="7"/>
  <c r="AP91" i="7"/>
  <c r="AN90" i="7"/>
  <c r="S89" i="7"/>
  <c r="EH87" i="7"/>
  <c r="AF86" i="7"/>
  <c r="BX84" i="7"/>
  <c r="DP82" i="7"/>
  <c r="N81" i="7"/>
  <c r="BF79" i="7"/>
  <c r="CX77" i="7"/>
  <c r="CW73" i="7"/>
  <c r="AH105" i="7"/>
  <c r="DP104" i="7"/>
  <c r="BD104" i="7"/>
  <c r="EL103" i="7"/>
  <c r="BZ103" i="7"/>
  <c r="N103" i="7"/>
  <c r="CV102" i="7"/>
  <c r="AJ102" i="7"/>
  <c r="DR101" i="7"/>
  <c r="BF101" i="7"/>
  <c r="EN100" i="7"/>
  <c r="CB100" i="7"/>
  <c r="P100" i="7"/>
  <c r="CX99" i="7"/>
  <c r="AL99" i="7"/>
  <c r="DT98" i="7"/>
  <c r="BH98" i="7"/>
  <c r="EP97" i="7"/>
  <c r="CD97" i="7"/>
  <c r="R97" i="7"/>
  <c r="CZ96" i="7"/>
  <c r="AN96" i="7"/>
  <c r="DV95" i="7"/>
  <c r="BJ95" i="7"/>
  <c r="ER94" i="7"/>
  <c r="CF94" i="7"/>
  <c r="T94" i="7"/>
  <c r="DB93" i="7"/>
  <c r="AP93" i="7"/>
  <c r="DX92" i="7"/>
  <c r="S92" i="7"/>
  <c r="AO91" i="7"/>
  <c r="AK90" i="7"/>
  <c r="P89" i="7"/>
  <c r="EE87" i="7"/>
  <c r="AC86" i="7"/>
  <c r="BU84" i="7"/>
  <c r="DM82" i="7"/>
  <c r="K81" i="7"/>
  <c r="BC79" i="7"/>
  <c r="CU77" i="7"/>
  <c r="CL73" i="7"/>
  <c r="BU105" i="7"/>
  <c r="I105" i="7"/>
  <c r="CQ104" i="7"/>
  <c r="AE104" i="7"/>
  <c r="DM103" i="7"/>
  <c r="BA103" i="7"/>
  <c r="EI102" i="7"/>
  <c r="BW102" i="7"/>
  <c r="K102" i="7"/>
  <c r="CS101" i="7"/>
  <c r="AG101" i="7"/>
  <c r="DO100" i="7"/>
  <c r="DE71" i="7"/>
  <c r="H59" i="7"/>
  <c r="CB63" i="7"/>
  <c r="DP67" i="7"/>
  <c r="DE66" i="7"/>
  <c r="Q64" i="7"/>
  <c r="CG64" i="7"/>
  <c r="DY50" i="7"/>
  <c r="BR55" i="7"/>
  <c r="T52" i="7"/>
  <c r="AL67" i="7"/>
  <c r="CF73" i="7"/>
  <c r="DG69" i="7"/>
  <c r="BZ71" i="7"/>
  <c r="EV72" i="7"/>
  <c r="P74" i="7"/>
  <c r="AX75" i="7"/>
  <c r="BP76" i="7"/>
  <c r="Q66" i="7"/>
  <c r="DH68" i="7"/>
  <c r="AK70" i="7"/>
  <c r="CV71" i="7"/>
  <c r="AM73" i="7"/>
  <c r="BE74" i="7"/>
  <c r="BO75" i="7"/>
  <c r="CW76" i="7"/>
  <c r="CD66" i="7"/>
  <c r="DI68" i="7"/>
  <c r="BH70" i="7"/>
  <c r="ED71" i="7"/>
  <c r="AN73" i="7"/>
  <c r="BV74" i="7"/>
  <c r="CN75" i="7"/>
  <c r="CX76" i="7"/>
  <c r="N67" i="7"/>
  <c r="S69" i="7"/>
  <c r="CD70" i="7"/>
  <c r="AB72" i="7"/>
  <c r="CC73" i="7"/>
  <c r="CM74" i="7"/>
  <c r="DU75" i="7"/>
  <c r="EM76" i="7"/>
  <c r="EB66" i="7"/>
  <c r="V69" i="7"/>
  <c r="CR70" i="7"/>
  <c r="I72" i="7"/>
  <c r="CE73" i="7"/>
  <c r="CW74" i="7"/>
  <c r="DG75" i="7"/>
  <c r="EO76" i="7"/>
  <c r="R72" i="7"/>
  <c r="AA76" i="7"/>
  <c r="EK77" i="7"/>
  <c r="I79" i="7"/>
  <c r="S80" i="7"/>
  <c r="BA81" i="7"/>
  <c r="BS82" i="7"/>
  <c r="CC83" i="7"/>
  <c r="DK84" i="7"/>
  <c r="EC85" i="7"/>
  <c r="EM86" i="7"/>
  <c r="AA88" i="7"/>
  <c r="AS89" i="7"/>
  <c r="BC90" i="7"/>
  <c r="EH69" i="7"/>
  <c r="AD75" i="7"/>
  <c r="BK77" i="7"/>
  <c r="CS78" i="7"/>
  <c r="DK79" i="7"/>
  <c r="DU80" i="7"/>
  <c r="I82" i="7"/>
  <c r="AA83" i="7"/>
  <c r="AK84" i="7"/>
  <c r="BS85" i="7"/>
  <c r="CK86" i="7"/>
  <c r="CU87" i="7"/>
  <c r="EC88" i="7"/>
  <c r="EU89" i="7"/>
  <c r="K91" i="7"/>
  <c r="AS92" i="7"/>
  <c r="AH70" i="7"/>
  <c r="AG75" i="7"/>
  <c r="CJ77" i="7"/>
  <c r="DB78" i="7"/>
  <c r="DL79" i="7"/>
  <c r="ET80" i="7"/>
  <c r="R82" i="7"/>
  <c r="AB83" i="7"/>
  <c r="BJ84" i="7"/>
  <c r="CB85" i="7"/>
  <c r="CL86" i="7"/>
  <c r="DT87" i="7"/>
  <c r="DV70" i="7"/>
  <c r="CC75" i="7"/>
  <c r="DA77" i="7"/>
  <c r="DS78" i="7"/>
  <c r="EC79" i="7"/>
  <c r="Q81" i="7"/>
  <c r="AI82" i="7"/>
  <c r="AS83" i="7"/>
  <c r="CA84" i="7"/>
  <c r="CS85" i="7"/>
  <c r="DC86" i="7"/>
  <c r="EK87" i="7"/>
  <c r="I89" i="7"/>
  <c r="S90" i="7"/>
  <c r="BA91" i="7"/>
  <c r="BS92" i="7"/>
  <c r="CJ70" i="7"/>
  <c r="DX75" i="7"/>
  <c r="DB77" i="7"/>
  <c r="DL78" i="7"/>
  <c r="ET79" i="7"/>
  <c r="R81" i="7"/>
  <c r="AB82" i="7"/>
  <c r="BJ83" i="7"/>
  <c r="CB84" i="7"/>
  <c r="CL85" i="7"/>
  <c r="DT86" i="7"/>
  <c r="EL87" i="7"/>
  <c r="EV88" i="7"/>
  <c r="AJ90" i="7"/>
  <c r="BB91" i="7"/>
  <c r="BD92" i="7"/>
  <c r="EL68" i="7"/>
  <c r="BI73" i="7"/>
  <c r="AV76" i="7"/>
  <c r="CN77" i="7"/>
  <c r="BR78" i="7"/>
  <c r="AV79" i="7"/>
  <c r="EN79" i="7"/>
  <c r="BF80" i="7"/>
  <c r="DR80" i="7"/>
  <c r="AJ81" i="7"/>
  <c r="CV81" i="7"/>
  <c r="N82" i="7"/>
  <c r="BZ82" i="7"/>
  <c r="EL82" i="7"/>
  <c r="BD83" i="7"/>
  <c r="DP83" i="7"/>
  <c r="AH84" i="7"/>
  <c r="CT84" i="7"/>
  <c r="L85" i="7"/>
  <c r="BX85" i="7"/>
  <c r="EJ85" i="7"/>
  <c r="BB86" i="7"/>
  <c r="DN86" i="7"/>
  <c r="AF87" i="7"/>
  <c r="CR87" i="7"/>
  <c r="J88" i="7"/>
  <c r="BV88" i="7"/>
  <c r="EH88" i="7"/>
  <c r="AZ89" i="7"/>
  <c r="DL89" i="7"/>
  <c r="AD90" i="7"/>
  <c r="CP90" i="7"/>
  <c r="H91" i="7"/>
  <c r="BT91" i="7"/>
  <c r="EF91" i="7"/>
  <c r="AX92" i="7"/>
  <c r="BY105" i="7"/>
  <c r="M105" i="7"/>
  <c r="CU104" i="7"/>
  <c r="AI104" i="7"/>
  <c r="DQ103" i="7"/>
  <c r="BE103" i="7"/>
  <c r="EM102" i="7"/>
  <c r="CA102" i="7"/>
  <c r="O102" i="7"/>
  <c r="CW101" i="7"/>
  <c r="AK101" i="7"/>
  <c r="DS100" i="7"/>
  <c r="BG100" i="7"/>
  <c r="EO99" i="7"/>
  <c r="CC99" i="7"/>
  <c r="Q99" i="7"/>
  <c r="CY98" i="7"/>
  <c r="AM98" i="7"/>
  <c r="DU97" i="7"/>
  <c r="BI97" i="7"/>
  <c r="EQ96" i="7"/>
  <c r="CE96" i="7"/>
  <c r="S96" i="7"/>
  <c r="DA95" i="7"/>
  <c r="AO95" i="7"/>
  <c r="DW94" i="7"/>
  <c r="BK94" i="7"/>
  <c r="ES93" i="7"/>
  <c r="CG93" i="7"/>
  <c r="U93" i="7"/>
  <c r="DA92" i="7"/>
  <c r="DW91" i="7"/>
  <c r="ES90" i="7"/>
  <c r="EA89" i="7"/>
  <c r="DF88" i="7"/>
  <c r="AX87" i="7"/>
  <c r="CP85" i="7"/>
  <c r="EH83" i="7"/>
  <c r="AF82" i="7"/>
  <c r="BX80" i="7"/>
  <c r="DP78" i="7"/>
  <c r="M77" i="7"/>
  <c r="DE70" i="7"/>
  <c r="AZ105" i="7"/>
  <c r="EH104" i="7"/>
  <c r="BV104" i="7"/>
  <c r="J104" i="7"/>
  <c r="CR103" i="7"/>
  <c r="AF103" i="7"/>
  <c r="DN102" i="7"/>
  <c r="BB102" i="7"/>
  <c r="EJ101" i="7"/>
  <c r="BX101" i="7"/>
  <c r="L101" i="7"/>
  <c r="CT100" i="7"/>
  <c r="AH100" i="7"/>
  <c r="DP99" i="7"/>
  <c r="BD99" i="7"/>
  <c r="EL98" i="7"/>
  <c r="BZ98" i="7"/>
  <c r="N98" i="7"/>
  <c r="CV97" i="7"/>
  <c r="AJ97" i="7"/>
  <c r="DR96" i="7"/>
  <c r="BF96" i="7"/>
  <c r="EN95" i="7"/>
  <c r="CB95" i="7"/>
  <c r="P95" i="7"/>
  <c r="CX94" i="7"/>
  <c r="AL94" i="7"/>
  <c r="DT93" i="7"/>
  <c r="BH93" i="7"/>
  <c r="EP92" i="7"/>
  <c r="BB92" i="7"/>
  <c r="BX91" i="7"/>
  <c r="CG90" i="7"/>
  <c r="BL89" i="7"/>
  <c r="AR88" i="7"/>
  <c r="CW86" i="7"/>
  <c r="EO84" i="7"/>
  <c r="AM83" i="7"/>
  <c r="CE81" i="7"/>
  <c r="DW79" i="7"/>
  <c r="U78" i="7"/>
  <c r="BM75" i="7"/>
  <c r="AR66" i="7"/>
  <c r="AA105" i="7"/>
  <c r="DI104" i="7"/>
  <c r="AW104" i="7"/>
  <c r="EE103" i="7"/>
  <c r="BS103" i="7"/>
  <c r="G103" i="7"/>
  <c r="CO102" i="7"/>
  <c r="AC102" i="7"/>
  <c r="DK101" i="7"/>
  <c r="AY101" i="7"/>
  <c r="EG100" i="7"/>
  <c r="BU100" i="7"/>
  <c r="I100" i="7"/>
  <c r="CQ99" i="7"/>
  <c r="AE99" i="7"/>
  <c r="DM98" i="7"/>
  <c r="BA98" i="7"/>
  <c r="EI97" i="7"/>
  <c r="BW97" i="7"/>
  <c r="K97" i="7"/>
  <c r="CS96" i="7"/>
  <c r="AG96" i="7"/>
  <c r="DO95" i="7"/>
  <c r="BC95" i="7"/>
  <c r="EK94" i="7"/>
  <c r="BY94" i="7"/>
  <c r="M94" i="7"/>
  <c r="CU93" i="7"/>
  <c r="AI93" i="7"/>
  <c r="DQ92" i="7"/>
  <c r="D92" i="7"/>
  <c r="Z91" i="7"/>
  <c r="R90" i="7"/>
  <c r="ER88" i="7"/>
  <c r="DB87" i="7"/>
  <c r="ET85" i="7"/>
  <c r="AR84" i="7"/>
  <c r="CJ82" i="7"/>
  <c r="EB80" i="7"/>
  <c r="Z79" i="7"/>
  <c r="BR77" i="7"/>
  <c r="DD72" i="7"/>
  <c r="Z105" i="7"/>
  <c r="DH104" i="7"/>
  <c r="AV104" i="7"/>
  <c r="ED103" i="7"/>
  <c r="BR103" i="7"/>
  <c r="F103" i="7"/>
  <c r="CN102" i="7"/>
  <c r="AB102" i="7"/>
  <c r="DJ101" i="7"/>
  <c r="AX101" i="7"/>
  <c r="EF100" i="7"/>
  <c r="BT100" i="7"/>
  <c r="H100" i="7"/>
  <c r="CP99" i="7"/>
  <c r="AD99" i="7"/>
  <c r="DL98" i="7"/>
  <c r="AZ98" i="7"/>
  <c r="EH97" i="7"/>
  <c r="BV97" i="7"/>
  <c r="J97" i="7"/>
  <c r="CR96" i="7"/>
  <c r="AF96" i="7"/>
  <c r="DN95" i="7"/>
  <c r="BB95" i="7"/>
  <c r="EJ94" i="7"/>
  <c r="BX94" i="7"/>
  <c r="L94" i="7"/>
  <c r="CT93" i="7"/>
  <c r="AH93" i="7"/>
  <c r="DP92" i="7"/>
  <c r="C92" i="7"/>
  <c r="Y91" i="7"/>
  <c r="P90" i="7"/>
  <c r="EO88" i="7"/>
  <c r="CY87" i="7"/>
  <c r="EQ85" i="7"/>
  <c r="AO84" i="7"/>
  <c r="CG82" i="7"/>
  <c r="DY80" i="7"/>
  <c r="W79" i="7"/>
  <c r="BO77" i="7"/>
  <c r="CO72" i="7"/>
  <c r="BM105" i="7"/>
  <c r="EU104" i="7"/>
  <c r="CI104" i="7"/>
  <c r="W104" i="7"/>
  <c r="DE103" i="7"/>
  <c r="AS103" i="7"/>
  <c r="EA102" i="7"/>
  <c r="BO102" i="7"/>
  <c r="C102" i="7"/>
  <c r="CK101" i="7"/>
  <c r="Y101" i="7"/>
  <c r="U39" i="7"/>
  <c r="AN59" i="7"/>
  <c r="Z64" i="7"/>
  <c r="DX54" i="7"/>
  <c r="W67" i="7"/>
  <c r="CI65" i="7"/>
  <c r="DB51" i="7"/>
  <c r="Y54" i="7"/>
  <c r="BX58" i="7"/>
  <c r="AK58" i="7"/>
  <c r="DG67" i="7"/>
  <c r="AD74" i="7"/>
  <c r="Y70" i="7"/>
  <c r="CJ71" i="7"/>
  <c r="AD73" i="7"/>
  <c r="AV74" i="7"/>
  <c r="BF75" i="7"/>
  <c r="CN76" i="7"/>
  <c r="CV66" i="7"/>
  <c r="DT68" i="7"/>
  <c r="BQ70" i="7"/>
  <c r="EM71" i="7"/>
  <c r="AU73" i="7"/>
  <c r="CC74" i="7"/>
  <c r="CU75" i="7"/>
  <c r="DE76" i="7"/>
  <c r="EO66" i="7"/>
  <c r="G69" i="7"/>
  <c r="BR70" i="7"/>
  <c r="P72" i="7"/>
  <c r="BT73" i="7"/>
  <c r="CD74" i="7"/>
  <c r="DL75" i="7"/>
  <c r="ED76" i="7"/>
  <c r="AE67" i="7"/>
  <c r="AY69" i="7"/>
  <c r="DU70" i="7"/>
  <c r="AL72" i="7"/>
  <c r="DA73" i="7"/>
  <c r="DS74" i="7"/>
  <c r="EC75" i="7"/>
  <c r="Q77" i="7"/>
  <c r="BB67" i="7"/>
  <c r="AF69" i="7"/>
  <c r="DX70" i="7"/>
  <c r="AZ72" i="7"/>
  <c r="CM73" i="7"/>
  <c r="DU74" i="7"/>
  <c r="EM75" i="7"/>
  <c r="DI54" i="7"/>
  <c r="EP72" i="7"/>
  <c r="DJ76" i="7"/>
  <c r="ES77" i="7"/>
  <c r="AG79" i="7"/>
  <c r="AY80" i="7"/>
  <c r="BI81" i="7"/>
  <c r="CQ82" i="7"/>
  <c r="DI83" i="7"/>
  <c r="DS84" i="7"/>
  <c r="G86" i="7"/>
  <c r="Y87" i="7"/>
  <c r="AI88" i="7"/>
  <c r="BQ89" i="7"/>
  <c r="CI90" i="7"/>
  <c r="AD70" i="7"/>
  <c r="CS75" i="7"/>
  <c r="CQ77" i="7"/>
  <c r="DA78" i="7"/>
  <c r="EI79" i="7"/>
  <c r="G81" i="7"/>
  <c r="Q82" i="7"/>
  <c r="AY83" i="7"/>
  <c r="BQ84" i="7"/>
  <c r="CA85" i="7"/>
  <c r="DI86" i="7"/>
  <c r="EA87" i="7"/>
  <c r="EK88" i="7"/>
  <c r="Y90" i="7"/>
  <c r="AQ91" i="7"/>
  <c r="BA92" i="7"/>
  <c r="L71" i="7"/>
  <c r="DQ75" i="7"/>
  <c r="CR77" i="7"/>
  <c r="DZ78" i="7"/>
  <c r="ER79" i="7"/>
  <c r="H81" i="7"/>
  <c r="AP82" i="7"/>
  <c r="BH83" i="7"/>
  <c r="BR84" i="7"/>
  <c r="CZ85" i="7"/>
  <c r="DR86" i="7"/>
  <c r="EB87" i="7"/>
  <c r="CZ71" i="7"/>
  <c r="R76" i="7"/>
  <c r="DI77" i="7"/>
  <c r="EQ78" i="7"/>
  <c r="O80" i="7"/>
  <c r="Y81" i="7"/>
  <c r="BG82" i="7"/>
  <c r="BY83" i="7"/>
  <c r="CI84" i="7"/>
  <c r="DQ85" i="7"/>
  <c r="EI86" i="7"/>
  <c r="ES87" i="7"/>
  <c r="AG89" i="7"/>
  <c r="AY90" i="7"/>
  <c r="BI91" i="7"/>
  <c r="CQ92" i="7"/>
  <c r="DD71" i="7"/>
  <c r="ET75" i="7"/>
  <c r="DZ77" i="7"/>
  <c r="ER78" i="7"/>
  <c r="H80" i="7"/>
  <c r="AP81" i="7"/>
  <c r="BH82" i="7"/>
  <c r="BR83" i="7"/>
  <c r="CZ84" i="7"/>
  <c r="DR85" i="7"/>
  <c r="EB86" i="7"/>
  <c r="P88" i="7"/>
  <c r="AH89" i="7"/>
  <c r="AR90" i="7"/>
  <c r="BZ91" i="7"/>
  <c r="BL92" i="7"/>
  <c r="AI69" i="7"/>
  <c r="CO73" i="7"/>
  <c r="BO76" i="7"/>
  <c r="CV77" i="7"/>
  <c r="BZ78" i="7"/>
  <c r="BD79" i="7"/>
  <c r="EV79" i="7"/>
  <c r="BN80" i="7"/>
  <c r="DZ80" i="7"/>
  <c r="AR81" i="7"/>
  <c r="DD81" i="7"/>
  <c r="V82" i="7"/>
  <c r="CH82" i="7"/>
  <c r="ET82" i="7"/>
  <c r="BL83" i="7"/>
  <c r="DX83" i="7"/>
  <c r="AP84" i="7"/>
  <c r="DB84" i="7"/>
  <c r="T85" i="7"/>
  <c r="CF85" i="7"/>
  <c r="ER85" i="7"/>
  <c r="BJ86" i="7"/>
  <c r="DV86" i="7"/>
  <c r="AN87" i="7"/>
  <c r="CZ87" i="7"/>
  <c r="R88" i="7"/>
  <c r="CD88" i="7"/>
  <c r="EP88" i="7"/>
  <c r="BH89" i="7"/>
  <c r="DT89" i="7"/>
  <c r="AL90" i="7"/>
  <c r="CX90" i="7"/>
  <c r="P91" i="7"/>
  <c r="CB91" i="7"/>
  <c r="EN91" i="7"/>
  <c r="BF92" i="7"/>
  <c r="BQ105" i="7"/>
  <c r="E105" i="7"/>
  <c r="CM104" i="7"/>
  <c r="AA104" i="7"/>
  <c r="DI103" i="7"/>
  <c r="AW103" i="7"/>
  <c r="EE102" i="7"/>
  <c r="BS102" i="7"/>
  <c r="G102" i="7"/>
  <c r="CO101" i="7"/>
  <c r="AC101" i="7"/>
  <c r="DK100" i="7"/>
  <c r="AY100" i="7"/>
  <c r="EG99" i="7"/>
  <c r="BU99" i="7"/>
  <c r="I99" i="7"/>
  <c r="CQ98" i="7"/>
  <c r="AE98" i="7"/>
  <c r="DM97" i="7"/>
  <c r="BA97" i="7"/>
  <c r="EI96" i="7"/>
  <c r="BW96" i="7"/>
  <c r="K96" i="7"/>
  <c r="CS95" i="7"/>
  <c r="AG95" i="7"/>
  <c r="DO94" i="7"/>
  <c r="BC94" i="7"/>
  <c r="EK93" i="7"/>
  <c r="BY93" i="7"/>
  <c r="M93" i="7"/>
  <c r="CK92" i="7"/>
  <c r="DG91" i="7"/>
  <c r="DZ90" i="7"/>
  <c r="DF89" i="7"/>
  <c r="CK88" i="7"/>
  <c r="R87" i="7"/>
  <c r="BJ85" i="7"/>
  <c r="DB83" i="7"/>
  <c r="ET81" i="7"/>
  <c r="AR80" i="7"/>
  <c r="CJ78" i="7"/>
  <c r="CR76" i="7"/>
  <c r="CJ69" i="7"/>
  <c r="AR105" i="7"/>
  <c r="DZ104" i="7"/>
  <c r="BN104" i="7"/>
  <c r="EV103" i="7"/>
  <c r="CJ103" i="7"/>
  <c r="X103" i="7"/>
  <c r="DF102" i="7"/>
  <c r="AT102" i="7"/>
  <c r="EB101" i="7"/>
  <c r="BP101" i="7"/>
  <c r="D101" i="7"/>
  <c r="CL100" i="7"/>
  <c r="Z100" i="7"/>
  <c r="DH99" i="7"/>
  <c r="AV99" i="7"/>
  <c r="ED98" i="7"/>
  <c r="BR98" i="7"/>
  <c r="F98" i="7"/>
  <c r="CN97" i="7"/>
  <c r="AB97" i="7"/>
  <c r="DJ96" i="7"/>
  <c r="AX96" i="7"/>
  <c r="EF95" i="7"/>
  <c r="BT95" i="7"/>
  <c r="H95" i="7"/>
  <c r="CP94" i="7"/>
  <c r="AD94" i="7"/>
  <c r="DL93" i="7"/>
  <c r="AZ93" i="7"/>
  <c r="EH92" i="7"/>
  <c r="AL92" i="7"/>
  <c r="BH91" i="7"/>
  <c r="BL90" i="7"/>
  <c r="AQ89" i="7"/>
  <c r="V88" i="7"/>
  <c r="BQ86" i="7"/>
  <c r="DI84" i="7"/>
  <c r="G83" i="7"/>
  <c r="AY81" i="7"/>
  <c r="CQ79" i="7"/>
  <c r="EI77" i="7"/>
  <c r="CV74" i="7"/>
  <c r="CE105" i="7"/>
  <c r="S105" i="7"/>
  <c r="DA104" i="7"/>
  <c r="AO104" i="7"/>
  <c r="DW103" i="7"/>
  <c r="BK103" i="7"/>
  <c r="ES102" i="7"/>
  <c r="CG102" i="7"/>
  <c r="U102" i="7"/>
  <c r="DC101" i="7"/>
  <c r="AQ101" i="7"/>
  <c r="DY100" i="7"/>
  <c r="BM100" i="7"/>
  <c r="EU99" i="7"/>
  <c r="CI99" i="7"/>
  <c r="W99" i="7"/>
  <c r="DE98" i="7"/>
  <c r="AS98" i="7"/>
  <c r="EA97" i="7"/>
  <c r="BO97" i="7"/>
  <c r="C97" i="7"/>
  <c r="CK96" i="7"/>
  <c r="Y96" i="7"/>
  <c r="DG95" i="7"/>
  <c r="AU95" i="7"/>
  <c r="EC94" i="7"/>
  <c r="BQ94" i="7"/>
  <c r="E94" i="7"/>
  <c r="CM93" i="7"/>
  <c r="AA93" i="7"/>
  <c r="DI92" i="7"/>
  <c r="EH91" i="7"/>
  <c r="J91" i="7"/>
  <c r="EQ89" i="7"/>
  <c r="DV88" i="7"/>
  <c r="BV87" i="7"/>
  <c r="DN85" i="7"/>
  <c r="L84" i="7"/>
  <c r="BD82" i="7"/>
  <c r="CV80" i="7"/>
  <c r="EN78" i="7"/>
  <c r="AL77" i="7"/>
  <c r="CI71" i="7"/>
  <c r="R105" i="7"/>
  <c r="CZ104" i="7"/>
  <c r="AN104" i="7"/>
  <c r="DV103" i="7"/>
  <c r="BJ103" i="7"/>
  <c r="ER102" i="7"/>
  <c r="CF102" i="7"/>
  <c r="T102" i="7"/>
  <c r="DB101" i="7"/>
  <c r="AP101" i="7"/>
  <c r="DX100" i="7"/>
  <c r="BL100" i="7"/>
  <c r="ET99" i="7"/>
  <c r="CH99" i="7"/>
  <c r="V99" i="7"/>
  <c r="DD98" i="7"/>
  <c r="AR98" i="7"/>
  <c r="DZ97" i="7"/>
  <c r="BN97" i="7"/>
  <c r="EV96" i="7"/>
  <c r="CJ96" i="7"/>
  <c r="X96" i="7"/>
  <c r="DF95" i="7"/>
  <c r="AT95" i="7"/>
  <c r="EB94" i="7"/>
  <c r="BP94" i="7"/>
  <c r="D94" i="7"/>
  <c r="CL93" i="7"/>
  <c r="Z93" i="7"/>
  <c r="DH92" i="7"/>
  <c r="EG91" i="7"/>
  <c r="I91" i="7"/>
  <c r="EN89" i="7"/>
  <c r="DT88" i="7"/>
  <c r="BS87" i="7"/>
  <c r="DK85" i="7"/>
  <c r="I84" i="7"/>
  <c r="BA82" i="7"/>
  <c r="CS80" i="7"/>
  <c r="EK78" i="7"/>
  <c r="AI77" i="7"/>
  <c r="BT71" i="7"/>
  <c r="BE105" i="7"/>
  <c r="EM104" i="7"/>
  <c r="CA104" i="7"/>
  <c r="O104" i="7"/>
  <c r="CW103" i="7"/>
  <c r="AK103" i="7"/>
  <c r="DS102" i="7"/>
  <c r="BG102" i="7"/>
  <c r="EO101" i="7"/>
  <c r="CC101" i="7"/>
  <c r="Q101" i="7"/>
  <c r="AX51" i="7"/>
  <c r="R60" i="7"/>
  <c r="BF64" i="7"/>
  <c r="AO58" i="7"/>
  <c r="CS68" i="7"/>
  <c r="DB41" i="7"/>
  <c r="CM57" i="7"/>
  <c r="CO58" i="7"/>
  <c r="K59" i="7"/>
  <c r="EM59" i="7"/>
  <c r="W69" i="7"/>
  <c r="BJ74" i="7"/>
  <c r="BE70" i="7"/>
  <c r="EA71" i="7"/>
  <c r="AL73" i="7"/>
  <c r="BT74" i="7"/>
  <c r="CL75" i="7"/>
  <c r="CV76" i="7"/>
  <c r="K67" i="7"/>
  <c r="P69" i="7"/>
  <c r="CB70" i="7"/>
  <c r="Y72" i="7"/>
  <c r="CA73" i="7"/>
  <c r="CK74" i="7"/>
  <c r="DS75" i="7"/>
  <c r="EK76" i="7"/>
  <c r="L67" i="7"/>
  <c r="AM69" i="7"/>
  <c r="DI70" i="7"/>
  <c r="Z72" i="7"/>
  <c r="CR73" i="7"/>
  <c r="DJ74" i="7"/>
  <c r="DT75" i="7"/>
  <c r="BJ57" i="7"/>
  <c r="DC67" i="7"/>
  <c r="BJ69" i="7"/>
  <c r="G71" i="7"/>
  <c r="CC72" i="7"/>
  <c r="DI73" i="7"/>
  <c r="EQ74" i="7"/>
  <c r="O76" i="7"/>
  <c r="P45" i="7"/>
  <c r="DF67" i="7"/>
  <c r="BW69" i="7"/>
  <c r="EH70" i="7"/>
  <c r="CF72" i="7"/>
  <c r="DS73" i="7"/>
  <c r="EC74" i="7"/>
  <c r="Q76" i="7"/>
  <c r="ER66" i="7"/>
  <c r="AH73" i="7"/>
  <c r="L77" i="7"/>
  <c r="AE78" i="7"/>
  <c r="AO79" i="7"/>
  <c r="BW80" i="7"/>
  <c r="CO81" i="7"/>
  <c r="CY82" i="7"/>
  <c r="EG83" i="7"/>
  <c r="E85" i="7"/>
  <c r="O86" i="7"/>
  <c r="AW87" i="7"/>
  <c r="BO88" i="7"/>
  <c r="BY89" i="7"/>
  <c r="DG90" i="7"/>
  <c r="AY71" i="7"/>
  <c r="DP75" i="7"/>
  <c r="DO77" i="7"/>
  <c r="EG78" i="7"/>
  <c r="EQ79" i="7"/>
  <c r="AE81" i="7"/>
  <c r="AW82" i="7"/>
  <c r="BG83" i="7"/>
  <c r="CO84" i="7"/>
  <c r="DG85" i="7"/>
  <c r="DQ86" i="7"/>
  <c r="E88" i="7"/>
  <c r="W89" i="7"/>
  <c r="AG90" i="7"/>
  <c r="BO91" i="7"/>
  <c r="CG92" i="7"/>
  <c r="BC71" i="7"/>
  <c r="AI76" i="7"/>
  <c r="DX77" i="7"/>
  <c r="EH78" i="7"/>
  <c r="V80" i="7"/>
  <c r="AN81" i="7"/>
  <c r="AX82" i="7"/>
  <c r="CF83" i="7"/>
  <c r="CX84" i="7"/>
  <c r="DH85" i="7"/>
  <c r="EP86" i="7"/>
  <c r="N88" i="7"/>
  <c r="EQ71" i="7"/>
  <c r="CD76" i="7"/>
  <c r="EO77" i="7"/>
  <c r="E79" i="7"/>
  <c r="AM80" i="7"/>
  <c r="BE81" i="7"/>
  <c r="BO82" i="7"/>
  <c r="CW83" i="7"/>
  <c r="DO84" i="7"/>
  <c r="DY85" i="7"/>
  <c r="M87" i="7"/>
  <c r="AE88" i="7"/>
  <c r="AO89" i="7"/>
  <c r="BW90" i="7"/>
  <c r="CO91" i="7"/>
  <c r="CY92" i="7"/>
  <c r="CH72" i="7"/>
  <c r="CE76" i="7"/>
  <c r="EH77" i="7"/>
  <c r="V79" i="7"/>
  <c r="AN80" i="7"/>
  <c r="AX81" i="7"/>
  <c r="CF82" i="7"/>
  <c r="CX83" i="7"/>
  <c r="DH84" i="7"/>
  <c r="EP85" i="7"/>
  <c r="N87" i="7"/>
  <c r="X88" i="7"/>
  <c r="BF89" i="7"/>
  <c r="BX90" i="7"/>
  <c r="CH91" i="7"/>
  <c r="CR92" i="7"/>
  <c r="BD70" i="7"/>
  <c r="BS74" i="7"/>
  <c r="ET76" i="7"/>
  <c r="EB77" i="7"/>
  <c r="DF78" i="7"/>
  <c r="CJ79" i="7"/>
  <c r="J80" i="7"/>
  <c r="BV80" i="7"/>
  <c r="EH80" i="7"/>
  <c r="AZ81" i="7"/>
  <c r="DL81" i="7"/>
  <c r="AD82" i="7"/>
  <c r="CP82" i="7"/>
  <c r="H83" i="7"/>
  <c r="BT83" i="7"/>
  <c r="EF83" i="7"/>
  <c r="AX84" i="7"/>
  <c r="DJ84" i="7"/>
  <c r="AB85" i="7"/>
  <c r="CN85" i="7"/>
  <c r="F86" i="7"/>
  <c r="BR86" i="7"/>
  <c r="ED86" i="7"/>
  <c r="AV87" i="7"/>
  <c r="DH87" i="7"/>
  <c r="Z88" i="7"/>
  <c r="CL88" i="7"/>
  <c r="D89" i="7"/>
  <c r="BP89" i="7"/>
  <c r="EB89" i="7"/>
  <c r="AT90" i="7"/>
  <c r="DF90" i="7"/>
  <c r="X91" i="7"/>
  <c r="CJ91" i="7"/>
  <c r="EV91" i="7"/>
  <c r="BN92" i="7"/>
  <c r="BI105" i="7"/>
  <c r="EQ104" i="7"/>
  <c r="CE104" i="7"/>
  <c r="S104" i="7"/>
  <c r="DA103" i="7"/>
  <c r="AO103" i="7"/>
  <c r="DW102" i="7"/>
  <c r="BK102" i="7"/>
  <c r="ES101" i="7"/>
  <c r="CG101" i="7"/>
  <c r="U101" i="7"/>
  <c r="DC100" i="7"/>
  <c r="AQ100" i="7"/>
  <c r="DY99" i="7"/>
  <c r="BM99" i="7"/>
  <c r="EU98" i="7"/>
  <c r="CI98" i="7"/>
  <c r="W98" i="7"/>
  <c r="DE97" i="7"/>
  <c r="AS97" i="7"/>
  <c r="EA96" i="7"/>
  <c r="BO96" i="7"/>
  <c r="C96" i="7"/>
  <c r="CK95" i="7"/>
  <c r="Y95" i="7"/>
  <c r="DG94" i="7"/>
  <c r="AU94" i="7"/>
  <c r="EC93" i="7"/>
  <c r="BQ93" i="7"/>
  <c r="E93" i="7"/>
  <c r="BU92" i="7"/>
  <c r="CQ91" i="7"/>
  <c r="DE90" i="7"/>
  <c r="CJ89" i="7"/>
  <c r="BP88" i="7"/>
  <c r="EF86" i="7"/>
  <c r="AD85" i="7"/>
  <c r="BV83" i="7"/>
  <c r="DN81" i="7"/>
  <c r="L80" i="7"/>
  <c r="BD78" i="7"/>
  <c r="J76" i="7"/>
  <c r="BH68" i="7"/>
  <c r="AJ105" i="7"/>
  <c r="DR104" i="7"/>
  <c r="BF104" i="7"/>
  <c r="EN103" i="7"/>
  <c r="CB103" i="7"/>
  <c r="P103" i="7"/>
  <c r="CX102" i="7"/>
  <c r="AL102" i="7"/>
  <c r="DT101" i="7"/>
  <c r="BH101" i="7"/>
  <c r="EP100" i="7"/>
  <c r="CD100" i="7"/>
  <c r="R100" i="7"/>
  <c r="CZ99" i="7"/>
  <c r="AN99" i="7"/>
  <c r="DV98" i="7"/>
  <c r="BJ98" i="7"/>
  <c r="ER97" i="7"/>
  <c r="CF97" i="7"/>
  <c r="T97" i="7"/>
  <c r="DB96" i="7"/>
  <c r="AP96" i="7"/>
  <c r="DX95" i="7"/>
  <c r="BL95" i="7"/>
  <c r="ET94" i="7"/>
  <c r="CH94" i="7"/>
  <c r="V94" i="7"/>
  <c r="DD93" i="7"/>
  <c r="AR93" i="7"/>
  <c r="DZ92" i="7"/>
  <c r="V92" i="7"/>
  <c r="AR91" i="7"/>
  <c r="AP90" i="7"/>
  <c r="V89" i="7"/>
  <c r="EM87" i="7"/>
  <c r="AK86" i="7"/>
  <c r="CC84" i="7"/>
  <c r="DU82" i="7"/>
  <c r="S81" i="7"/>
  <c r="BK79" i="7"/>
  <c r="DC77" i="7"/>
  <c r="DR73" i="7"/>
  <c r="BW105" i="7"/>
  <c r="K105" i="7"/>
  <c r="CS104" i="7"/>
  <c r="AG104" i="7"/>
  <c r="DO103" i="7"/>
  <c r="BC103" i="7"/>
  <c r="EK102" i="7"/>
  <c r="BY102" i="7"/>
  <c r="M102" i="7"/>
  <c r="CU101" i="7"/>
  <c r="AI101" i="7"/>
  <c r="DQ100" i="7"/>
  <c r="BE100" i="7"/>
  <c r="EM99" i="7"/>
  <c r="CA99" i="7"/>
  <c r="O99" i="7"/>
  <c r="CW98" i="7"/>
  <c r="AK98" i="7"/>
  <c r="DS97" i="7"/>
  <c r="BG97" i="7"/>
  <c r="EO96" i="7"/>
  <c r="CC96" i="7"/>
  <c r="Q96" i="7"/>
  <c r="CY95" i="7"/>
  <c r="AM95" i="7"/>
  <c r="DU94" i="7"/>
  <c r="BI94" i="7"/>
  <c r="EQ93" i="7"/>
  <c r="CE93" i="7"/>
  <c r="S93" i="7"/>
  <c r="CV92" i="7"/>
  <c r="DR91" i="7"/>
  <c r="EN90" i="7"/>
  <c r="DV89" i="7"/>
  <c r="DA88" i="7"/>
  <c r="AP87" i="7"/>
  <c r="CH85" i="7"/>
  <c r="DZ83" i="7"/>
  <c r="X82" i="7"/>
  <c r="BP80" i="7"/>
  <c r="DH78" i="7"/>
  <c r="C77" i="7"/>
  <c r="BN70" i="7"/>
  <c r="J105" i="7"/>
  <c r="CR104" i="7"/>
  <c r="AF104" i="7"/>
  <c r="DN103" i="7"/>
  <c r="BB103" i="7"/>
  <c r="EJ102" i="7"/>
  <c r="BX102" i="7"/>
  <c r="L102" i="7"/>
  <c r="CT101" i="7"/>
  <c r="AH101" i="7"/>
  <c r="DP100" i="7"/>
  <c r="BD100" i="7"/>
  <c r="EL99" i="7"/>
  <c r="BZ99" i="7"/>
  <c r="N99" i="7"/>
  <c r="CV98" i="7"/>
  <c r="AJ98" i="7"/>
  <c r="DR97" i="7"/>
  <c r="BF97" i="7"/>
  <c r="EN96" i="7"/>
  <c r="CB96" i="7"/>
  <c r="P96" i="7"/>
  <c r="CX95" i="7"/>
  <c r="AL95" i="7"/>
  <c r="DT94" i="7"/>
  <c r="BH94" i="7"/>
  <c r="EP93" i="7"/>
  <c r="CD93" i="7"/>
  <c r="R93" i="7"/>
  <c r="CU92" i="7"/>
  <c r="DQ91" i="7"/>
  <c r="EM90" i="7"/>
  <c r="DS89" i="7"/>
  <c r="CX88" i="7"/>
  <c r="AM87" i="7"/>
  <c r="CE85" i="7"/>
  <c r="DW83" i="7"/>
  <c r="U82" i="7"/>
  <c r="BM80" i="7"/>
  <c r="DE78" i="7"/>
  <c r="ER76" i="7"/>
  <c r="AZ70" i="7"/>
  <c r="AW105" i="7"/>
  <c r="EE104" i="7"/>
  <c r="BS104" i="7"/>
  <c r="G104" i="7"/>
  <c r="CO103" i="7"/>
  <c r="AC103" i="7"/>
  <c r="DK102" i="7"/>
  <c r="AY102" i="7"/>
  <c r="EG101" i="7"/>
  <c r="BU101" i="7"/>
  <c r="I101" i="7"/>
  <c r="AB52" i="7"/>
  <c r="DJ60" i="7"/>
  <c r="AJ65" i="7"/>
  <c r="DU58" i="7"/>
  <c r="AP55" i="7"/>
  <c r="DG57" i="7"/>
  <c r="AB58" i="7"/>
  <c r="AW60" i="7"/>
  <c r="AY61" i="7"/>
  <c r="CB60" i="7"/>
  <c r="EU69" i="7"/>
  <c r="AN75" i="7"/>
  <c r="BP70" i="7"/>
  <c r="M72" i="7"/>
  <c r="BR73" i="7"/>
  <c r="CB74" i="7"/>
  <c r="DJ75" i="7"/>
  <c r="EB76" i="7"/>
  <c r="AB67" i="7"/>
  <c r="AV69" i="7"/>
  <c r="DR70" i="7"/>
  <c r="AJ72" i="7"/>
  <c r="CY73" i="7"/>
  <c r="DQ74" i="7"/>
  <c r="EA75" i="7"/>
  <c r="CQ53" i="7"/>
  <c r="CF67" i="7"/>
  <c r="AX69" i="7"/>
  <c r="EO70" i="7"/>
  <c r="BQ72" i="7"/>
  <c r="CZ73" i="7"/>
  <c r="EH74" i="7"/>
  <c r="F76" i="7"/>
  <c r="CV58" i="7"/>
  <c r="I68" i="7"/>
  <c r="CZ69" i="7"/>
  <c r="R71" i="7"/>
  <c r="DI72" i="7"/>
  <c r="EO73" i="7"/>
  <c r="E75" i="7"/>
  <c r="AM76" i="7"/>
  <c r="M60" i="7"/>
  <c r="DW67" i="7"/>
  <c r="DC69" i="7"/>
  <c r="AE71" i="7"/>
  <c r="CP72" i="7"/>
  <c r="EQ73" i="7"/>
  <c r="O75" i="7"/>
  <c r="Y76" i="7"/>
  <c r="BD68" i="7"/>
  <c r="L74" i="7"/>
  <c r="U77" i="7"/>
  <c r="BC78" i="7"/>
  <c r="BU79" i="7"/>
  <c r="CE80" i="7"/>
  <c r="DM81" i="7"/>
  <c r="EE82" i="7"/>
  <c r="EO83" i="7"/>
  <c r="AC85" i="7"/>
  <c r="AU86" i="7"/>
  <c r="BE87" i="7"/>
  <c r="CM88" i="7"/>
  <c r="DE89" i="7"/>
  <c r="DO90" i="7"/>
  <c r="AC72" i="7"/>
  <c r="BD76" i="7"/>
  <c r="DW77" i="7"/>
  <c r="K79" i="7"/>
  <c r="AC80" i="7"/>
  <c r="AM81" i="7"/>
  <c r="BU82" i="7"/>
  <c r="CM83" i="7"/>
  <c r="CW84" i="7"/>
  <c r="EE85" i="7"/>
  <c r="C87" i="7"/>
  <c r="M88" i="7"/>
  <c r="AU89" i="7"/>
  <c r="BM90" i="7"/>
  <c r="BW91" i="7"/>
  <c r="M58" i="7"/>
  <c r="BX72" i="7"/>
  <c r="BF76" i="7"/>
  <c r="EV77" i="7"/>
  <c r="T79" i="7"/>
  <c r="AD80" i="7"/>
  <c r="BL81" i="7"/>
  <c r="CD82" i="7"/>
  <c r="CN83" i="7"/>
  <c r="DV84" i="7"/>
  <c r="EN85" i="7"/>
  <c r="D87" i="7"/>
  <c r="U66" i="7"/>
  <c r="R73" i="7"/>
  <c r="CZ76" i="7"/>
  <c r="S78" i="7"/>
  <c r="AK79" i="7"/>
  <c r="AU80" i="7"/>
  <c r="CC81" i="7"/>
  <c r="CU82" i="7"/>
  <c r="DE83" i="7"/>
  <c r="EM84" i="7"/>
  <c r="K86" i="7"/>
  <c r="U87" i="7"/>
  <c r="BC88" i="7"/>
  <c r="BU89" i="7"/>
  <c r="CE90" i="7"/>
  <c r="DM91" i="7"/>
  <c r="AG66" i="7"/>
  <c r="DY72" i="7"/>
  <c r="EQ76" i="7"/>
  <c r="T78" i="7"/>
  <c r="AD79" i="7"/>
  <c r="BL80" i="7"/>
  <c r="CD81" i="7"/>
  <c r="CN82" i="7"/>
  <c r="DV83" i="7"/>
  <c r="EN84" i="7"/>
  <c r="D86" i="7"/>
  <c r="AL87" i="7"/>
  <c r="BD88" i="7"/>
  <c r="BN89" i="7"/>
  <c r="CV90" i="7"/>
  <c r="DN91" i="7"/>
  <c r="CZ92" i="7"/>
  <c r="CT70" i="7"/>
  <c r="CY74" i="7"/>
  <c r="K77" i="7"/>
  <c r="EJ77" i="7"/>
  <c r="DN78" i="7"/>
  <c r="CR79" i="7"/>
  <c r="R80" i="7"/>
  <c r="CD80" i="7"/>
  <c r="EP80" i="7"/>
  <c r="BH81" i="7"/>
  <c r="DT81" i="7"/>
  <c r="AL82" i="7"/>
  <c r="CX82" i="7"/>
  <c r="P83" i="7"/>
  <c r="CB83" i="7"/>
  <c r="EN83" i="7"/>
  <c r="BF84" i="7"/>
  <c r="DR84" i="7"/>
  <c r="AJ85" i="7"/>
  <c r="CV85" i="7"/>
  <c r="N86" i="7"/>
  <c r="BZ86" i="7"/>
  <c r="EL86" i="7"/>
  <c r="BD87" i="7"/>
  <c r="DP87" i="7"/>
  <c r="AH88" i="7"/>
  <c r="CT88" i="7"/>
  <c r="L89" i="7"/>
  <c r="BX89" i="7"/>
  <c r="EJ89" i="7"/>
  <c r="BB90" i="7"/>
  <c r="DN90" i="7"/>
  <c r="AF91" i="7"/>
  <c r="CR91" i="7"/>
  <c r="J92" i="7"/>
  <c r="BV92" i="7"/>
  <c r="BA105" i="7"/>
  <c r="EI104" i="7"/>
  <c r="BW104" i="7"/>
  <c r="K104" i="7"/>
  <c r="CS103" i="7"/>
  <c r="AG103" i="7"/>
  <c r="DO102" i="7"/>
  <c r="BC102" i="7"/>
  <c r="EK101" i="7"/>
  <c r="BY101" i="7"/>
  <c r="M101" i="7"/>
  <c r="CU100" i="7"/>
  <c r="AI100" i="7"/>
  <c r="DQ99" i="7"/>
  <c r="BE99" i="7"/>
  <c r="EM98" i="7"/>
  <c r="CA98" i="7"/>
  <c r="O98" i="7"/>
  <c r="CW97" i="7"/>
  <c r="AK97" i="7"/>
  <c r="DS96" i="7"/>
  <c r="BG96" i="7"/>
  <c r="EO95" i="7"/>
  <c r="CC95" i="7"/>
  <c r="Q95" i="7"/>
  <c r="CY94" i="7"/>
  <c r="AM94" i="7"/>
  <c r="DU93" i="7"/>
  <c r="BI93" i="7"/>
  <c r="EQ92" i="7"/>
  <c r="BE92" i="7"/>
  <c r="CA91" i="7"/>
  <c r="CJ90" i="7"/>
  <c r="BO89" i="7"/>
  <c r="AT88" i="7"/>
  <c r="CZ86" i="7"/>
  <c r="ER84" i="7"/>
  <c r="AP83" i="7"/>
  <c r="CH81" i="7"/>
  <c r="DZ79" i="7"/>
  <c r="X78" i="7"/>
  <c r="BU75" i="7"/>
  <c r="BV66" i="7"/>
  <c r="AB105" i="7"/>
  <c r="DJ104" i="7"/>
  <c r="AX104" i="7"/>
  <c r="EF103" i="7"/>
  <c r="BT103" i="7"/>
  <c r="H103" i="7"/>
  <c r="CP102" i="7"/>
  <c r="AD102" i="7"/>
  <c r="DL101" i="7"/>
  <c r="AZ101" i="7"/>
  <c r="EH100" i="7"/>
  <c r="BV100" i="7"/>
  <c r="J100" i="7"/>
  <c r="CR99" i="7"/>
  <c r="AF99" i="7"/>
  <c r="DN98" i="7"/>
  <c r="BB98" i="7"/>
  <c r="EJ97" i="7"/>
  <c r="BX97" i="7"/>
  <c r="L97" i="7"/>
  <c r="CT96" i="7"/>
  <c r="AH96" i="7"/>
  <c r="DP95" i="7"/>
  <c r="BD95" i="7"/>
  <c r="EL94" i="7"/>
  <c r="BZ94" i="7"/>
  <c r="N94" i="7"/>
  <c r="CV93" i="7"/>
  <c r="AJ93" i="7"/>
  <c r="DR92" i="7"/>
  <c r="F92" i="7"/>
  <c r="AB91" i="7"/>
  <c r="U90" i="7"/>
  <c r="ET88" i="7"/>
  <c r="DG87" i="7"/>
  <c r="E86" i="7"/>
  <c r="AW84" i="7"/>
  <c r="CO82" i="7"/>
  <c r="EG80" i="7"/>
  <c r="AE79" i="7"/>
  <c r="BW77" i="7"/>
  <c r="EF72" i="7"/>
  <c r="BO105" i="7"/>
  <c r="C105" i="7"/>
  <c r="CK104" i="7"/>
  <c r="Y104" i="7"/>
  <c r="DG103" i="7"/>
  <c r="AU103" i="7"/>
  <c r="EC102" i="7"/>
  <c r="BQ102" i="7"/>
  <c r="E102" i="7"/>
  <c r="CM101" i="7"/>
  <c r="AA101" i="7"/>
  <c r="DI100" i="7"/>
  <c r="AW100" i="7"/>
  <c r="EE99" i="7"/>
  <c r="BS99" i="7"/>
  <c r="G99" i="7"/>
  <c r="CO98" i="7"/>
  <c r="AC98" i="7"/>
  <c r="DK97" i="7"/>
  <c r="AY97" i="7"/>
  <c r="EG96" i="7"/>
  <c r="BU96" i="7"/>
  <c r="I96" i="7"/>
  <c r="CQ95" i="7"/>
  <c r="AE95" i="7"/>
  <c r="DM94" i="7"/>
  <c r="BA94" i="7"/>
  <c r="EI93" i="7"/>
  <c r="BW93" i="7"/>
  <c r="K93" i="7"/>
  <c r="CF92" i="7"/>
  <c r="DB91" i="7"/>
  <c r="DU90" i="7"/>
  <c r="CZ89" i="7"/>
  <c r="CF88" i="7"/>
  <c r="J87" i="7"/>
  <c r="BB85" i="7"/>
  <c r="CT83" i="7"/>
  <c r="EL81" i="7"/>
  <c r="AJ80" i="7"/>
  <c r="CB78" i="7"/>
  <c r="BV76" i="7"/>
  <c r="AT69" i="7"/>
  <c r="EV104" i="7"/>
  <c r="CJ104" i="7"/>
  <c r="X104" i="7"/>
  <c r="DF103" i="7"/>
  <c r="AT103" i="7"/>
  <c r="EB102" i="7"/>
  <c r="BP102" i="7"/>
  <c r="D102" i="7"/>
  <c r="CL101" i="7"/>
  <c r="Z101" i="7"/>
  <c r="DH100" i="7"/>
  <c r="AV100" i="7"/>
  <c r="ED99" i="7"/>
  <c r="BR99" i="7"/>
  <c r="F99" i="7"/>
  <c r="CN98" i="7"/>
  <c r="AB98" i="7"/>
  <c r="DJ97" i="7"/>
  <c r="AX97" i="7"/>
  <c r="EF96" i="7"/>
  <c r="BT96" i="7"/>
  <c r="H96" i="7"/>
  <c r="CP95" i="7"/>
  <c r="AD95" i="7"/>
  <c r="DL94" i="7"/>
  <c r="AZ94" i="7"/>
  <c r="EH93" i="7"/>
  <c r="BV93" i="7"/>
  <c r="J93" i="7"/>
  <c r="CE92" i="7"/>
  <c r="DA91" i="7"/>
  <c r="DR90" i="7"/>
  <c r="CX89" i="7"/>
  <c r="CC88" i="7"/>
  <c r="G87" i="7"/>
  <c r="AY85" i="7"/>
  <c r="CQ83" i="7"/>
  <c r="EI81" i="7"/>
  <c r="AG80" i="7"/>
  <c r="BY78" i="7"/>
  <c r="BN76" i="7"/>
  <c r="AE69" i="7"/>
  <c r="AO105" i="7"/>
  <c r="DW104" i="7"/>
  <c r="BK104" i="7"/>
  <c r="ES103" i="7"/>
  <c r="CG103" i="7"/>
  <c r="U103" i="7"/>
  <c r="DC102" i="7"/>
  <c r="AQ102" i="7"/>
  <c r="DY101" i="7"/>
  <c r="BM101" i="7"/>
  <c r="EU100" i="7"/>
  <c r="EF60" i="7"/>
  <c r="DH74" i="7"/>
  <c r="EO74" i="7"/>
  <c r="EP74" i="7"/>
  <c r="AK75" i="7"/>
  <c r="AM75" i="7"/>
  <c r="DU81" i="7"/>
  <c r="AG62" i="7"/>
  <c r="DK83" i="7"/>
  <c r="CS62" i="7"/>
  <c r="DT83" i="7"/>
  <c r="BI79" i="7"/>
  <c r="BK88" i="7"/>
  <c r="BJ79" i="7"/>
  <c r="CB88" i="7"/>
  <c r="F78" i="7"/>
  <c r="AT82" i="7"/>
  <c r="DD85" i="7"/>
  <c r="T89" i="7"/>
  <c r="CD92" i="7"/>
  <c r="AU102" i="7"/>
  <c r="EE98" i="7"/>
  <c r="BU95" i="7"/>
  <c r="BK91" i="7"/>
  <c r="CT79" i="7"/>
  <c r="BL103" i="7"/>
  <c r="EV99" i="7"/>
  <c r="CL96" i="7"/>
  <c r="AB93" i="7"/>
  <c r="Q84" i="7"/>
  <c r="CC104" i="7"/>
  <c r="S101" i="7"/>
  <c r="DC97" i="7"/>
  <c r="AS94" i="7"/>
  <c r="BJ88" i="7"/>
  <c r="ET67" i="7"/>
  <c r="EP101" i="7"/>
  <c r="CF98" i="7"/>
  <c r="V95" i="7"/>
  <c r="CW90" i="7"/>
  <c r="AS78" i="7"/>
  <c r="M103" i="7"/>
  <c r="CQ100" i="7"/>
  <c r="AE100" i="7"/>
  <c r="DM99" i="7"/>
  <c r="BA99" i="7"/>
  <c r="EI98" i="7"/>
  <c r="BW98" i="7"/>
  <c r="K98" i="7"/>
  <c r="CS97" i="7"/>
  <c r="AG97" i="7"/>
  <c r="DO96" i="7"/>
  <c r="BC96" i="7"/>
  <c r="EK95" i="7"/>
  <c r="BY95" i="7"/>
  <c r="M95" i="7"/>
  <c r="CU94" i="7"/>
  <c r="AI94" i="7"/>
  <c r="DQ93" i="7"/>
  <c r="BE93" i="7"/>
  <c r="EM92" i="7"/>
  <c r="AW92" i="7"/>
  <c r="BS91" i="7"/>
  <c r="BY90" i="7"/>
  <c r="BD89" i="7"/>
  <c r="AJ88" i="7"/>
  <c r="CJ86" i="7"/>
  <c r="EB84" i="7"/>
  <c r="Z83" i="7"/>
  <c r="BR81" i="7"/>
  <c r="DJ79" i="7"/>
  <c r="H78" i="7"/>
  <c r="Y75" i="7"/>
  <c r="BW61" i="7"/>
  <c r="AF105" i="7"/>
  <c r="DN104" i="7"/>
  <c r="BB104" i="7"/>
  <c r="EJ103" i="7"/>
  <c r="BX103" i="7"/>
  <c r="L103" i="7"/>
  <c r="CT102" i="7"/>
  <c r="AH102" i="7"/>
  <c r="DP101" i="7"/>
  <c r="BD101" i="7"/>
  <c r="EL100" i="7"/>
  <c r="BZ100" i="7"/>
  <c r="N100" i="7"/>
  <c r="CV99" i="7"/>
  <c r="AJ99" i="7"/>
  <c r="DR98" i="7"/>
  <c r="BF98" i="7"/>
  <c r="EN97" i="7"/>
  <c r="CB97" i="7"/>
  <c r="P97" i="7"/>
  <c r="CX96" i="7"/>
  <c r="AL96" i="7"/>
  <c r="DT95" i="7"/>
  <c r="BH95" i="7"/>
  <c r="EP94" i="7"/>
  <c r="CD94" i="7"/>
  <c r="R94" i="7"/>
  <c r="CZ93" i="7"/>
  <c r="AN93" i="7"/>
  <c r="DV92" i="7"/>
  <c r="N92" i="7"/>
  <c r="AJ91" i="7"/>
  <c r="AF90" i="7"/>
  <c r="K89" i="7"/>
  <c r="DW87" i="7"/>
  <c r="U86" i="7"/>
  <c r="BM84" i="7"/>
  <c r="DE82" i="7"/>
  <c r="C81" i="7"/>
  <c r="AU79" i="7"/>
  <c r="CM77" i="7"/>
  <c r="BF73" i="7"/>
  <c r="BU6" i="7"/>
  <c r="I6" i="7"/>
  <c r="CQ5" i="7"/>
  <c r="AE5" i="7"/>
  <c r="DM4" i="7"/>
  <c r="BA4" i="7"/>
  <c r="EI3" i="7"/>
  <c r="BW3" i="7"/>
  <c r="K3" i="7"/>
  <c r="CS2" i="7"/>
  <c r="AG2" i="7"/>
  <c r="O2" i="7"/>
  <c r="AD6" i="7"/>
  <c r="DL5" i="7"/>
  <c r="AZ5" i="7"/>
  <c r="EH4" i="7"/>
  <c r="BV4" i="7"/>
  <c r="J4" i="7"/>
  <c r="CR3" i="7"/>
  <c r="AF3" i="7"/>
  <c r="DN2" i="7"/>
  <c r="BB2" i="7"/>
  <c r="BQ6" i="7"/>
  <c r="E6" i="7"/>
  <c r="CM5" i="7"/>
  <c r="AA5" i="7"/>
  <c r="DI4" i="7"/>
  <c r="AW4" i="7"/>
  <c r="EE3" i="7"/>
  <c r="BS3" i="7"/>
  <c r="G3" i="7"/>
  <c r="CO2" i="7"/>
  <c r="AC2" i="7"/>
  <c r="AR6" i="7"/>
  <c r="DZ5" i="7"/>
  <c r="BN5" i="7"/>
  <c r="EV4" i="7"/>
  <c r="CJ4" i="7"/>
  <c r="X4" i="7"/>
  <c r="DF3" i="7"/>
  <c r="AT3" i="7"/>
  <c r="EB2" i="7"/>
  <c r="BP2" i="7"/>
  <c r="D2" i="7"/>
  <c r="S6" i="7"/>
  <c r="DA5" i="7"/>
  <c r="AO5" i="7"/>
  <c r="DW4" i="7"/>
  <c r="BK4" i="7"/>
  <c r="ES3" i="7"/>
  <c r="CG3" i="7"/>
  <c r="U3" i="7"/>
  <c r="DC2" i="7"/>
  <c r="AQ2" i="7"/>
  <c r="Y5" i="7"/>
  <c r="AU4" i="7"/>
  <c r="BQ3" i="7"/>
  <c r="CM2" i="7"/>
  <c r="F71" i="7"/>
  <c r="AH71" i="7"/>
  <c r="AN91" i="7"/>
  <c r="DK96" i="7"/>
  <c r="DL84" i="7"/>
  <c r="AR101" i="7"/>
  <c r="BR94" i="7"/>
  <c r="DK71" i="7"/>
  <c r="ES98" i="7"/>
  <c r="D80" i="7"/>
  <c r="DV99" i="7"/>
  <c r="EV92" i="7"/>
  <c r="BC104" i="7"/>
  <c r="BC100" i="7"/>
  <c r="BY99" i="7"/>
  <c r="AI98" i="7"/>
  <c r="DQ97" i="7"/>
  <c r="EM96" i="7"/>
  <c r="AK95" i="7"/>
  <c r="BG94" i="7"/>
  <c r="CS92" i="7"/>
  <c r="DP89" i="7"/>
  <c r="AH87" i="7"/>
  <c r="P82" i="7"/>
  <c r="EH76" i="7"/>
  <c r="EL104" i="7"/>
  <c r="N104" i="7"/>
  <c r="DR102" i="7"/>
  <c r="P101" i="7"/>
  <c r="BH99" i="7"/>
  <c r="R98" i="7"/>
  <c r="DV96" i="7"/>
  <c r="CF95" i="7"/>
  <c r="AP94" i="7"/>
  <c r="BL93" i="7"/>
  <c r="CR90" i="7"/>
  <c r="K85" i="7"/>
  <c r="EM79" i="7"/>
  <c r="AZ67" i="7"/>
  <c r="BC5" i="7"/>
  <c r="BY4" i="7"/>
  <c r="DQ2" i="7"/>
  <c r="P2" i="7"/>
  <c r="BX5" i="7"/>
  <c r="AH4" i="7"/>
  <c r="EL2" i="7"/>
  <c r="DK5" i="7"/>
  <c r="CQ3" i="7"/>
  <c r="BP6" i="7"/>
  <c r="Z5" i="7"/>
  <c r="ED3" i="7"/>
  <c r="CN2" i="7"/>
  <c r="DY5" i="7"/>
  <c r="DE3" i="7"/>
  <c r="BO2" i="7"/>
  <c r="BO59" i="7"/>
  <c r="EG72" i="7"/>
  <c r="CU88" i="7"/>
  <c r="CK90" i="7"/>
  <c r="P77" i="7"/>
  <c r="AJ86" i="7"/>
  <c r="BP81" i="7"/>
  <c r="CZ91" i="7"/>
  <c r="EI92" i="7"/>
  <c r="DZ100" i="7"/>
  <c r="CA87" i="7"/>
  <c r="CZ90" i="7"/>
  <c r="BJ99" i="7"/>
  <c r="EK103" i="7"/>
  <c r="BQ99" i="7"/>
  <c r="AA98" i="7"/>
  <c r="EE96" i="7"/>
  <c r="CO95" i="7"/>
  <c r="BU93" i="7"/>
  <c r="DP90" i="7"/>
  <c r="AT85" i="7"/>
  <c r="BT78" i="7"/>
  <c r="ED104" i="7"/>
  <c r="CN103" i="7"/>
  <c r="EF101" i="7"/>
  <c r="CP100" i="7"/>
  <c r="AZ99" i="7"/>
  <c r="CR97" i="7"/>
  <c r="EJ95" i="7"/>
  <c r="AH94" i="7"/>
  <c r="AT92" i="7"/>
  <c r="AG88" i="7"/>
  <c r="W83" i="7"/>
  <c r="N75" i="7"/>
  <c r="AU5" i="7"/>
  <c r="CM3" i="7"/>
  <c r="AW2" i="7"/>
  <c r="EB5" i="7"/>
  <c r="Z4" i="7"/>
  <c r="BR2" i="7"/>
  <c r="U6" i="7"/>
  <c r="BM4" i="7"/>
  <c r="W3" i="7"/>
  <c r="CD5" i="7"/>
  <c r="AN4" i="7"/>
  <c r="CF2" i="7"/>
  <c r="AI6" i="7"/>
  <c r="O4" i="7"/>
  <c r="DS2" i="7"/>
  <c r="AH55" i="7"/>
  <c r="G63" i="7"/>
  <c r="DR75" i="7"/>
  <c r="M76" i="7"/>
  <c r="AD76" i="7"/>
  <c r="AU76" i="7"/>
  <c r="BE76" i="7"/>
  <c r="I83" i="7"/>
  <c r="BT72" i="7"/>
  <c r="EC84" i="7"/>
  <c r="AS73" i="7"/>
  <c r="ED84" i="7"/>
  <c r="CA80" i="7"/>
  <c r="CS89" i="7"/>
  <c r="BT80" i="7"/>
  <c r="CT89" i="7"/>
  <c r="ED78" i="7"/>
  <c r="DF82" i="7"/>
  <c r="V86" i="7"/>
  <c r="CF89" i="7"/>
  <c r="AS105" i="7"/>
  <c r="EC101" i="7"/>
  <c r="BS98" i="7"/>
  <c r="I95" i="7"/>
  <c r="BN90" i="7"/>
  <c r="EL77" i="7"/>
  <c r="ET102" i="7"/>
  <c r="CJ99" i="7"/>
  <c r="Z96" i="7"/>
  <c r="DJ92" i="7"/>
  <c r="BI82" i="7"/>
  <c r="Q104" i="7"/>
  <c r="DA100" i="7"/>
  <c r="AQ97" i="7"/>
  <c r="EA93" i="7"/>
  <c r="DX86" i="7"/>
  <c r="EN104" i="7"/>
  <c r="CD101" i="7"/>
  <c r="T98" i="7"/>
  <c r="DD94" i="7"/>
  <c r="CB89" i="7"/>
  <c r="DY75" i="7"/>
  <c r="CU102" i="7"/>
  <c r="CI100" i="7"/>
  <c r="W100" i="7"/>
  <c r="DE99" i="7"/>
  <c r="AS99" i="7"/>
  <c r="EA98" i="7"/>
  <c r="BO98" i="7"/>
  <c r="C98" i="7"/>
  <c r="CK97" i="7"/>
  <c r="Y97" i="7"/>
  <c r="DG96" i="7"/>
  <c r="AU96" i="7"/>
  <c r="EC95" i="7"/>
  <c r="BQ95" i="7"/>
  <c r="E95" i="7"/>
  <c r="CM94" i="7"/>
  <c r="AA94" i="7"/>
  <c r="DI93" i="7"/>
  <c r="AW93" i="7"/>
  <c r="EE92" i="7"/>
  <c r="AG92" i="7"/>
  <c r="BC91" i="7"/>
  <c r="BD90" i="7"/>
  <c r="AI89" i="7"/>
  <c r="L88" i="7"/>
  <c r="BD86" i="7"/>
  <c r="CV84" i="7"/>
  <c r="EN82" i="7"/>
  <c r="AL81" i="7"/>
  <c r="CD79" i="7"/>
  <c r="DV77" i="7"/>
  <c r="AU74" i="7"/>
  <c r="CJ105" i="7"/>
  <c r="X105" i="7"/>
  <c r="DF104" i="7"/>
  <c r="AT104" i="7"/>
  <c r="EB103" i="7"/>
  <c r="BP103" i="7"/>
  <c r="D103" i="7"/>
  <c r="CL102" i="7"/>
  <c r="Z102" i="7"/>
  <c r="DH101" i="7"/>
  <c r="AV101" i="7"/>
  <c r="ED100" i="7"/>
  <c r="BR100" i="7"/>
  <c r="F100" i="7"/>
  <c r="CN99" i="7"/>
  <c r="AB99" i="7"/>
  <c r="DJ98" i="7"/>
  <c r="AX98" i="7"/>
  <c r="EF97" i="7"/>
  <c r="BT97" i="7"/>
  <c r="H97" i="7"/>
  <c r="CP96" i="7"/>
  <c r="AD96" i="7"/>
  <c r="DL95" i="7"/>
  <c r="AZ95" i="7"/>
  <c r="EH94" i="7"/>
  <c r="BV94" i="7"/>
  <c r="J94" i="7"/>
  <c r="CR93" i="7"/>
  <c r="AF93" i="7"/>
  <c r="DN92" i="7"/>
  <c r="ER91" i="7"/>
  <c r="T91" i="7"/>
  <c r="J90" i="7"/>
  <c r="EJ88" i="7"/>
  <c r="CQ87" i="7"/>
  <c r="EI85" i="7"/>
  <c r="AG84" i="7"/>
  <c r="BY82" i="7"/>
  <c r="DQ80" i="7"/>
  <c r="O79" i="7"/>
  <c r="BG77" i="7"/>
  <c r="AX72" i="7"/>
  <c r="BM6" i="7"/>
  <c r="EU5" i="7"/>
  <c r="CI5" i="7"/>
  <c r="W5" i="7"/>
  <c r="DE4" i="7"/>
  <c r="AS4" i="7"/>
  <c r="EA3" i="7"/>
  <c r="BO3" i="7"/>
  <c r="C3" i="7"/>
  <c r="CK2" i="7"/>
  <c r="Y2" i="7"/>
  <c r="G2" i="7"/>
  <c r="V6" i="7"/>
  <c r="DD5" i="7"/>
  <c r="AR5" i="7"/>
  <c r="DZ4" i="7"/>
  <c r="BN4" i="7"/>
  <c r="EV3" i="7"/>
  <c r="CJ3" i="7"/>
  <c r="X3" i="7"/>
  <c r="DF2" i="7"/>
  <c r="AT2" i="7"/>
  <c r="BI6" i="7"/>
  <c r="EQ5" i="7"/>
  <c r="CE5" i="7"/>
  <c r="S5" i="7"/>
  <c r="DA4" i="7"/>
  <c r="AO4" i="7"/>
  <c r="DW3" i="7"/>
  <c r="BK3" i="7"/>
  <c r="ES2" i="7"/>
  <c r="CG2" i="7"/>
  <c r="U2" i="7"/>
  <c r="AJ6" i="7"/>
  <c r="DR5" i="7"/>
  <c r="BF5" i="7"/>
  <c r="EN4" i="7"/>
  <c r="CB4" i="7"/>
  <c r="P4" i="7"/>
  <c r="CX3" i="7"/>
  <c r="AL3" i="7"/>
  <c r="DT2" i="7"/>
  <c r="BH2" i="7"/>
  <c r="BW6" i="7"/>
  <c r="K6" i="7"/>
  <c r="CS5" i="7"/>
  <c r="AG5" i="7"/>
  <c r="DO4" i="7"/>
  <c r="BC4" i="7"/>
  <c r="EK3" i="7"/>
  <c r="BY3" i="7"/>
  <c r="M3" i="7"/>
  <c r="CU2" i="7"/>
  <c r="AI2" i="7"/>
  <c r="DG4" i="7"/>
  <c r="EC3" i="7"/>
  <c r="E3" i="7"/>
  <c r="AA2" i="7"/>
  <c r="D71" i="7"/>
  <c r="CL91" i="7"/>
  <c r="M99" i="7"/>
  <c r="CW95" i="7"/>
  <c r="CC93" i="7"/>
  <c r="EK90" i="7"/>
  <c r="BZ85" i="7"/>
  <c r="BH80" i="7"/>
  <c r="X70" i="7"/>
  <c r="BZ104" i="7"/>
  <c r="AJ103" i="7"/>
  <c r="CB101" i="7"/>
  <c r="AL100" i="7"/>
  <c r="EP98" i="7"/>
  <c r="CZ97" i="7"/>
  <c r="BJ96" i="7"/>
  <c r="T95" i="7"/>
  <c r="DX93" i="7"/>
  <c r="CF91" i="7"/>
  <c r="BB88" i="7"/>
  <c r="BC83" i="7"/>
  <c r="AG6" i="7"/>
  <c r="M4" i="7"/>
  <c r="BE2" i="7"/>
  <c r="EJ5" i="7"/>
  <c r="BD3" i="7"/>
  <c r="AC6" i="7"/>
  <c r="BU4" i="7"/>
  <c r="BA2" i="7"/>
  <c r="DH4" i="7"/>
  <c r="F3" i="7"/>
  <c r="EU4" i="7"/>
  <c r="AS3" i="7"/>
  <c r="BZ72" i="7"/>
  <c r="AY96" i="7"/>
  <c r="EQ101" i="7"/>
  <c r="ET95" i="7"/>
  <c r="AU100" i="7"/>
  <c r="DI97" i="7"/>
  <c r="G96" i="7"/>
  <c r="AY94" i="7"/>
  <c r="CC92" i="7"/>
  <c r="BZ88" i="7"/>
  <c r="ED81" i="7"/>
  <c r="AV105" i="7"/>
  <c r="AB103" i="7"/>
  <c r="BT101" i="7"/>
  <c r="DL99" i="7"/>
  <c r="J98" i="7"/>
  <c r="BB96" i="7"/>
  <c r="CT94" i="7"/>
  <c r="EL92" i="7"/>
  <c r="BB89" i="7"/>
  <c r="DG79" i="7"/>
  <c r="DG5" i="7"/>
  <c r="AA3" i="7"/>
  <c r="BP5" i="7"/>
  <c r="AV3" i="7"/>
  <c r="AQ5" i="7"/>
  <c r="AS2" i="7"/>
  <c r="DV3" i="7"/>
  <c r="BE5" i="7"/>
  <c r="EP60" i="7"/>
  <c r="DQ62" i="7"/>
  <c r="CO56" i="7"/>
  <c r="F57" i="7"/>
  <c r="AE63" i="7"/>
  <c r="BW63" i="7"/>
  <c r="CZ68" i="7"/>
  <c r="AA84" i="7"/>
  <c r="DP76" i="7"/>
  <c r="EM85" i="7"/>
  <c r="EN76" i="7"/>
  <c r="R86" i="7"/>
  <c r="CK81" i="7"/>
  <c r="DK90" i="7"/>
  <c r="DB81" i="7"/>
  <c r="DD90" i="7"/>
  <c r="CZ79" i="7"/>
  <c r="X83" i="7"/>
  <c r="CH86" i="7"/>
  <c r="ER89" i="7"/>
  <c r="EA104" i="7"/>
  <c r="BQ101" i="7"/>
  <c r="G98" i="7"/>
  <c r="CQ94" i="7"/>
  <c r="AT89" i="7"/>
  <c r="DG74" i="7"/>
  <c r="CH102" i="7"/>
  <c r="X99" i="7"/>
  <c r="DH95" i="7"/>
  <c r="EJ91" i="7"/>
  <c r="DA80" i="7"/>
  <c r="CY103" i="7"/>
  <c r="AO100" i="7"/>
  <c r="DY96" i="7"/>
  <c r="BO93" i="7"/>
  <c r="V85" i="7"/>
  <c r="CB104" i="7"/>
  <c r="R101" i="7"/>
  <c r="DB97" i="7"/>
  <c r="AR94" i="7"/>
  <c r="BH88" i="7"/>
  <c r="DV67" i="7"/>
  <c r="AI102" i="7"/>
  <c r="CA100" i="7"/>
  <c r="O100" i="7"/>
  <c r="CW99" i="7"/>
  <c r="AK99" i="7"/>
  <c r="DS98" i="7"/>
  <c r="BG98" i="7"/>
  <c r="EO97" i="7"/>
  <c r="CC97" i="7"/>
  <c r="Q97" i="7"/>
  <c r="CY96" i="7"/>
  <c r="AM96" i="7"/>
  <c r="DU95" i="7"/>
  <c r="BI95" i="7"/>
  <c r="EQ94" i="7"/>
  <c r="CE94" i="7"/>
  <c r="S94" i="7"/>
  <c r="DA93" i="7"/>
  <c r="AO93" i="7"/>
  <c r="DW92" i="7"/>
  <c r="Q92" i="7"/>
  <c r="AM91" i="7"/>
  <c r="AH90" i="7"/>
  <c r="N89" i="7"/>
  <c r="DZ87" i="7"/>
  <c r="X86" i="7"/>
  <c r="BP84" i="7"/>
  <c r="DH82" i="7"/>
  <c r="F81" i="7"/>
  <c r="AX79" i="7"/>
  <c r="CP77" i="7"/>
  <c r="BQ73" i="7"/>
  <c r="CB105" i="7"/>
  <c r="P105" i="7"/>
  <c r="CX104" i="7"/>
  <c r="AL104" i="7"/>
  <c r="DT103" i="7"/>
  <c r="BH103" i="7"/>
  <c r="EP102" i="7"/>
  <c r="CD102" i="7"/>
  <c r="R102" i="7"/>
  <c r="CZ101" i="7"/>
  <c r="AN101" i="7"/>
  <c r="DV100" i="7"/>
  <c r="BJ100" i="7"/>
  <c r="ER99" i="7"/>
  <c r="CF99" i="7"/>
  <c r="T99" i="7"/>
  <c r="DB98" i="7"/>
  <c r="AP98" i="7"/>
  <c r="DX97" i="7"/>
  <c r="BL97" i="7"/>
  <c r="ET96" i="7"/>
  <c r="CH96" i="7"/>
  <c r="V96" i="7"/>
  <c r="DD95" i="7"/>
  <c r="AR95" i="7"/>
  <c r="DZ94" i="7"/>
  <c r="BN94" i="7"/>
  <c r="EV93" i="7"/>
  <c r="CJ93" i="7"/>
  <c r="X93" i="7"/>
  <c r="DE92" i="7"/>
  <c r="EB91" i="7"/>
  <c r="D91" i="7"/>
  <c r="EI89" i="7"/>
  <c r="DN88" i="7"/>
  <c r="BK87" i="7"/>
  <c r="DC85" i="7"/>
  <c r="EU83" i="7"/>
  <c r="AS82" i="7"/>
  <c r="CK80" i="7"/>
  <c r="EC78" i="7"/>
  <c r="AA77" i="7"/>
  <c r="AD71" i="7"/>
  <c r="BE6" i="7"/>
  <c r="EM5" i="7"/>
  <c r="CA5" i="7"/>
  <c r="O5" i="7"/>
  <c r="CW4" i="7"/>
  <c r="AK4" i="7"/>
  <c r="DS3" i="7"/>
  <c r="BG3" i="7"/>
  <c r="EO2" i="7"/>
  <c r="CC2" i="7"/>
  <c r="Q2" i="7"/>
  <c r="BZ6" i="7"/>
  <c r="N6" i="7"/>
  <c r="CV5" i="7"/>
  <c r="AJ5" i="7"/>
  <c r="DR4" i="7"/>
  <c r="BF4" i="7"/>
  <c r="EN3" i="7"/>
  <c r="CB3" i="7"/>
  <c r="P3" i="7"/>
  <c r="CX2" i="7"/>
  <c r="AL2" i="7"/>
  <c r="BA6" i="7"/>
  <c r="EI5" i="7"/>
  <c r="BW5" i="7"/>
  <c r="K5" i="7"/>
  <c r="CS4" i="7"/>
  <c r="AG4" i="7"/>
  <c r="DO3" i="7"/>
  <c r="BC3" i="7"/>
  <c r="EK2" i="7"/>
  <c r="BY2" i="7"/>
  <c r="M2" i="7"/>
  <c r="AB6" i="7"/>
  <c r="DJ5" i="7"/>
  <c r="AX5" i="7"/>
  <c r="EF4" i="7"/>
  <c r="BT4" i="7"/>
  <c r="H4" i="7"/>
  <c r="CP3" i="7"/>
  <c r="AD3" i="7"/>
  <c r="DL2" i="7"/>
  <c r="AZ2" i="7"/>
  <c r="BO6" i="7"/>
  <c r="C6" i="7"/>
  <c r="CK5" i="7"/>
  <c r="Q75" i="7"/>
  <c r="EB65" i="7"/>
  <c r="AR70" i="7"/>
  <c r="CV67" i="7"/>
  <c r="EJ67" i="7"/>
  <c r="AC68" i="7"/>
  <c r="AS68" i="7"/>
  <c r="DD74" i="7"/>
  <c r="AK85" i="7"/>
  <c r="I78" i="7"/>
  <c r="AA87" i="7"/>
  <c r="J78" i="7"/>
  <c r="AJ87" i="7"/>
  <c r="DS82" i="7"/>
  <c r="DU91" i="7"/>
  <c r="DT82" i="7"/>
  <c r="EL91" i="7"/>
  <c r="Z80" i="7"/>
  <c r="CJ83" i="7"/>
  <c r="ET86" i="7"/>
  <c r="BJ90" i="7"/>
  <c r="BO104" i="7"/>
  <c r="E101" i="7"/>
  <c r="CO97" i="7"/>
  <c r="AE94" i="7"/>
  <c r="Y88" i="7"/>
  <c r="CF105" i="7"/>
  <c r="V102" i="7"/>
  <c r="DF98" i="7"/>
  <c r="AV95" i="7"/>
  <c r="L91" i="7"/>
  <c r="ES78" i="7"/>
  <c r="AM103" i="7"/>
  <c r="DW99" i="7"/>
  <c r="BM96" i="7"/>
  <c r="C93" i="7"/>
  <c r="BN83" i="7"/>
  <c r="P104" i="7"/>
  <c r="CZ100" i="7"/>
  <c r="AP97" i="7"/>
  <c r="DZ93" i="7"/>
  <c r="DU86" i="7"/>
  <c r="AG105" i="7"/>
  <c r="DQ101" i="7"/>
  <c r="BS100" i="7"/>
  <c r="G100" i="7"/>
  <c r="CO99" i="7"/>
  <c r="AC99" i="7"/>
  <c r="DK98" i="7"/>
  <c r="AY98" i="7"/>
  <c r="EG97" i="7"/>
  <c r="BU97" i="7"/>
  <c r="I97" i="7"/>
  <c r="CQ96" i="7"/>
  <c r="AE96" i="7"/>
  <c r="DM95" i="7"/>
  <c r="BA95" i="7"/>
  <c r="EI94" i="7"/>
  <c r="BW94" i="7"/>
  <c r="K94" i="7"/>
  <c r="CS93" i="7"/>
  <c r="AG93" i="7"/>
  <c r="DO92" i="7"/>
  <c r="EU91" i="7"/>
  <c r="W91" i="7"/>
  <c r="M90" i="7"/>
  <c r="EL88" i="7"/>
  <c r="CT87" i="7"/>
  <c r="EL85" i="7"/>
  <c r="AJ84" i="7"/>
  <c r="CB82" i="7"/>
  <c r="DT80" i="7"/>
  <c r="R79" i="7"/>
  <c r="BJ77" i="7"/>
  <c r="BM72" i="7"/>
  <c r="BT105" i="7"/>
  <c r="H105" i="7"/>
  <c r="CP104" i="7"/>
  <c r="AD104" i="7"/>
  <c r="DL103" i="7"/>
  <c r="AZ103" i="7"/>
  <c r="EH102" i="7"/>
  <c r="BV102" i="7"/>
  <c r="J102" i="7"/>
  <c r="CR101" i="7"/>
  <c r="AF101" i="7"/>
  <c r="DN100" i="7"/>
  <c r="BB100" i="7"/>
  <c r="EJ99" i="7"/>
  <c r="BX99" i="7"/>
  <c r="L99" i="7"/>
  <c r="CT98" i="7"/>
  <c r="AH98" i="7"/>
  <c r="DP97" i="7"/>
  <c r="BD97" i="7"/>
  <c r="EL96" i="7"/>
  <c r="BZ96" i="7"/>
  <c r="N96" i="7"/>
  <c r="CV95" i="7"/>
  <c r="AJ95" i="7"/>
  <c r="DR94" i="7"/>
  <c r="BF94" i="7"/>
  <c r="EN93" i="7"/>
  <c r="CB93" i="7"/>
  <c r="P93" i="7"/>
  <c r="CP92" i="7"/>
  <c r="DL91" i="7"/>
  <c r="EH90" i="7"/>
  <c r="DN89" i="7"/>
  <c r="CS88" i="7"/>
  <c r="AE87" i="7"/>
  <c r="BW85" i="7"/>
  <c r="DO83" i="7"/>
  <c r="M82" i="7"/>
  <c r="BE80" i="7"/>
  <c r="CW78" i="7"/>
  <c r="DZ76" i="7"/>
  <c r="I70" i="7"/>
  <c r="AW6" i="7"/>
  <c r="EE5" i="7"/>
  <c r="BS5" i="7"/>
  <c r="G5" i="7"/>
  <c r="CO4" i="7"/>
  <c r="AC4" i="7"/>
  <c r="DK3" i="7"/>
  <c r="AY3" i="7"/>
  <c r="EG2" i="7"/>
  <c r="BU2" i="7"/>
  <c r="I2" i="7"/>
  <c r="BR6" i="7"/>
  <c r="F6" i="7"/>
  <c r="CN5" i="7"/>
  <c r="AB5" i="7"/>
  <c r="DJ4" i="7"/>
  <c r="AX4" i="7"/>
  <c r="EF3" i="7"/>
  <c r="BT3" i="7"/>
  <c r="H3" i="7"/>
  <c r="CP2" i="7"/>
  <c r="AD2" i="7"/>
  <c r="AS6" i="7"/>
  <c r="EA5" i="7"/>
  <c r="BO5" i="7"/>
  <c r="C5" i="7"/>
  <c r="CK4" i="7"/>
  <c r="Y4" i="7"/>
  <c r="DG3" i="7"/>
  <c r="AU3" i="7"/>
  <c r="EC2" i="7"/>
  <c r="BQ2" i="7"/>
  <c r="E2" i="7"/>
  <c r="T6" i="7"/>
  <c r="DB5" i="7"/>
  <c r="AP5" i="7"/>
  <c r="DX4" i="7"/>
  <c r="BL4" i="7"/>
  <c r="ET3" i="7"/>
  <c r="CH3" i="7"/>
  <c r="V3" i="7"/>
  <c r="DD2" i="7"/>
  <c r="AR2" i="7"/>
  <c r="BG6" i="7"/>
  <c r="EO5" i="7"/>
  <c r="CC5" i="7"/>
  <c r="Q5" i="7"/>
  <c r="CY4" i="7"/>
  <c r="AM4" i="7"/>
  <c r="DU3" i="7"/>
  <c r="BI3" i="7"/>
  <c r="EQ2" i="7"/>
  <c r="CE2" i="7"/>
  <c r="S2" i="7"/>
  <c r="DF70" i="7"/>
  <c r="BH71" i="7"/>
  <c r="BK71" i="7"/>
  <c r="BK78" i="7"/>
  <c r="CK87" i="7"/>
  <c r="BA80" i="7"/>
  <c r="BC89" i="7"/>
  <c r="BJ80" i="7"/>
  <c r="DJ73" i="7"/>
  <c r="EU84" i="7"/>
  <c r="DM73" i="7"/>
  <c r="R85" i="7"/>
  <c r="D81" i="7"/>
  <c r="BN84" i="7"/>
  <c r="DX87" i="7"/>
  <c r="CK103" i="7"/>
  <c r="AA100" i="7"/>
  <c r="BA93" i="7"/>
  <c r="DB104" i="7"/>
  <c r="EB97" i="7"/>
  <c r="DY88" i="7"/>
  <c r="BI102" i="7"/>
  <c r="CI95" i="7"/>
  <c r="AL103" i="7"/>
  <c r="BL96" i="7"/>
  <c r="BK83" i="7"/>
  <c r="EM100" i="7"/>
  <c r="EK99" i="7"/>
  <c r="CU98" i="7"/>
  <c r="BE97" i="7"/>
  <c r="O96" i="7"/>
  <c r="DS94" i="7"/>
  <c r="EO93" i="7"/>
  <c r="Q93" i="7"/>
  <c r="DO91" i="7"/>
  <c r="CV88" i="7"/>
  <c r="DR83" i="7"/>
  <c r="CZ78" i="7"/>
  <c r="BD105" i="7"/>
  <c r="CV103" i="7"/>
  <c r="BF102" i="7"/>
  <c r="CX100" i="7"/>
  <c r="DT99" i="7"/>
  <c r="CD98" i="7"/>
  <c r="AN97" i="7"/>
  <c r="ER95" i="7"/>
  <c r="DB94" i="7"/>
  <c r="BJ92" i="7"/>
  <c r="BW89" i="7"/>
  <c r="DM86" i="7"/>
  <c r="CU81" i="7"/>
  <c r="DF75" i="7"/>
  <c r="DO5" i="7"/>
  <c r="EK4" i="7"/>
  <c r="AI3" i="7"/>
  <c r="BB6" i="7"/>
  <c r="L5" i="7"/>
  <c r="DP3" i="7"/>
  <c r="BZ2" i="7"/>
  <c r="AY5" i="7"/>
  <c r="I4" i="7"/>
  <c r="DM2" i="7"/>
  <c r="CL5" i="7"/>
  <c r="BR3" i="7"/>
  <c r="AB2" i="7"/>
  <c r="BM5" i="7"/>
  <c r="W4" i="7"/>
  <c r="X72" i="7"/>
  <c r="DT72" i="7"/>
  <c r="CS79" i="7"/>
  <c r="BS81" i="7"/>
  <c r="BT81" i="7"/>
  <c r="H77" i="7"/>
  <c r="DZ84" i="7"/>
  <c r="Y103" i="7"/>
  <c r="J83" i="7"/>
  <c r="BP97" i="7"/>
  <c r="BG105" i="7"/>
  <c r="W95" i="7"/>
  <c r="DT102" i="7"/>
  <c r="DC81" i="7"/>
  <c r="EC99" i="7"/>
  <c r="CM98" i="7"/>
  <c r="BS96" i="7"/>
  <c r="AC95" i="7"/>
  <c r="EG93" i="7"/>
  <c r="CY91" i="7"/>
  <c r="EV86" i="7"/>
  <c r="AB80" i="7"/>
  <c r="C69" i="7"/>
  <c r="F104" i="7"/>
  <c r="AX102" i="7"/>
  <c r="AD100" i="7"/>
  <c r="EH98" i="7"/>
  <c r="AF97" i="7"/>
  <c r="BX95" i="7"/>
  <c r="DP93" i="7"/>
  <c r="BP91" i="7"/>
  <c r="CG86" i="7"/>
  <c r="BO81" i="7"/>
  <c r="EL59" i="7"/>
  <c r="EC4" i="7"/>
  <c r="E4" i="7"/>
  <c r="DI2" i="7"/>
  <c r="AT6" i="7"/>
  <c r="CL4" i="7"/>
  <c r="ED2" i="7"/>
  <c r="DC5" i="7"/>
  <c r="EU3" i="7"/>
  <c r="DE2" i="7"/>
  <c r="BH6" i="7"/>
  <c r="CZ4" i="7"/>
  <c r="ER2" i="7"/>
  <c r="DQ5" i="7"/>
  <c r="CA4" i="7"/>
  <c r="BG2" i="7"/>
  <c r="R61" i="7"/>
  <c r="AH66" i="7"/>
  <c r="BG69" i="7"/>
  <c r="CN69" i="7"/>
  <c r="EF69" i="7"/>
  <c r="DN69" i="7"/>
  <c r="BA77" i="7"/>
  <c r="BS86" i="7"/>
  <c r="S79" i="7"/>
  <c r="AS88" i="7"/>
  <c r="AR79" i="7"/>
  <c r="DD66" i="7"/>
  <c r="EK83" i="7"/>
  <c r="DK67" i="7"/>
  <c r="ED83" i="7"/>
  <c r="BD60" i="7"/>
  <c r="CL80" i="7"/>
  <c r="EV83" i="7"/>
  <c r="BL87" i="7"/>
  <c r="DV90" i="7"/>
  <c r="C104" i="7"/>
  <c r="CM100" i="7"/>
  <c r="AC97" i="7"/>
  <c r="DM93" i="7"/>
  <c r="BT86" i="7"/>
  <c r="T105" i="7"/>
  <c r="DD101" i="7"/>
  <c r="AT98" i="7"/>
  <c r="ED94" i="7"/>
  <c r="ET89" i="7"/>
  <c r="AQ77" i="7"/>
  <c r="DU102" i="7"/>
  <c r="BK99" i="7"/>
  <c r="EU95" i="7"/>
  <c r="BP92" i="7"/>
  <c r="DF81" i="7"/>
  <c r="CX103" i="7"/>
  <c r="AN100" i="7"/>
  <c r="DX96" i="7"/>
  <c r="BN93" i="7"/>
  <c r="S85" i="7"/>
  <c r="DO104" i="7"/>
  <c r="BE101" i="7"/>
  <c r="BK100" i="7"/>
  <c r="ES99" i="7"/>
  <c r="CG99" i="7"/>
  <c r="U99" i="7"/>
  <c r="DC98" i="7"/>
  <c r="AQ98" i="7"/>
  <c r="DY97" i="7"/>
  <c r="BM97" i="7"/>
  <c r="EU96" i="7"/>
  <c r="CI96" i="7"/>
  <c r="W96" i="7"/>
  <c r="DE95" i="7"/>
  <c r="AS95" i="7"/>
  <c r="EA94" i="7"/>
  <c r="BO94" i="7"/>
  <c r="C94" i="7"/>
  <c r="CK93" i="7"/>
  <c r="Y93" i="7"/>
  <c r="DF92" i="7"/>
  <c r="EE91" i="7"/>
  <c r="G91" i="7"/>
  <c r="EL89" i="7"/>
  <c r="DQ88" i="7"/>
  <c r="BN87" i="7"/>
  <c r="DF85" i="7"/>
  <c r="D84" i="7"/>
  <c r="AV82" i="7"/>
  <c r="CN80" i="7"/>
  <c r="EF78" i="7"/>
  <c r="AD77" i="7"/>
  <c r="AR71" i="7"/>
  <c r="BL105" i="7"/>
  <c r="ET104" i="7"/>
  <c r="CH104" i="7"/>
  <c r="V104" i="7"/>
  <c r="DD103" i="7"/>
  <c r="AR103" i="7"/>
  <c r="DZ102" i="7"/>
  <c r="BN102" i="7"/>
  <c r="EV101" i="7"/>
  <c r="CJ101" i="7"/>
  <c r="X101" i="7"/>
  <c r="DF100" i="7"/>
  <c r="AT100" i="7"/>
  <c r="EB99" i="7"/>
  <c r="BP99" i="7"/>
  <c r="D99" i="7"/>
  <c r="CL98" i="7"/>
  <c r="Z98" i="7"/>
  <c r="DH97" i="7"/>
  <c r="AV97" i="7"/>
  <c r="ED96" i="7"/>
  <c r="BR96" i="7"/>
  <c r="F96" i="7"/>
  <c r="CN95" i="7"/>
  <c r="AB95" i="7"/>
  <c r="DJ94" i="7"/>
  <c r="AX94" i="7"/>
  <c r="EF93" i="7"/>
  <c r="BT93" i="7"/>
  <c r="H93" i="7"/>
  <c r="BZ92" i="7"/>
  <c r="CV91" i="7"/>
  <c r="DM90" i="7"/>
  <c r="CR89" i="7"/>
  <c r="BX88" i="7"/>
  <c r="ES86" i="7"/>
  <c r="AQ85" i="7"/>
  <c r="CI83" i="7"/>
  <c r="EA81" i="7"/>
  <c r="Y80" i="7"/>
  <c r="BQ78" i="7"/>
  <c r="AQ76" i="7"/>
  <c r="EH68" i="7"/>
  <c r="AO6" i="7"/>
  <c r="DW5" i="7"/>
  <c r="BK5" i="7"/>
  <c r="ES4" i="7"/>
  <c r="CG4" i="7"/>
  <c r="U4" i="7"/>
  <c r="DC3" i="7"/>
  <c r="AQ3" i="7"/>
  <c r="DY2" i="7"/>
  <c r="BM2" i="7"/>
  <c r="X2" i="7"/>
  <c r="BJ6" i="7"/>
  <c r="ER5" i="7"/>
  <c r="CF5" i="7"/>
  <c r="T5" i="7"/>
  <c r="DB4" i="7"/>
  <c r="AP4" i="7"/>
  <c r="DX3" i="7"/>
  <c r="BL3" i="7"/>
  <c r="ET2" i="7"/>
  <c r="CH2" i="7"/>
  <c r="V2" i="7"/>
  <c r="AK6" i="7"/>
  <c r="DS5" i="7"/>
  <c r="BG5" i="7"/>
  <c r="EO4" i="7"/>
  <c r="CC4" i="7"/>
  <c r="Q4" i="7"/>
  <c r="CY3" i="7"/>
  <c r="AM3" i="7"/>
  <c r="DU2" i="7"/>
  <c r="BI2" i="7"/>
  <c r="BX6" i="7"/>
  <c r="L6" i="7"/>
  <c r="CT5" i="7"/>
  <c r="AH5" i="7"/>
  <c r="DP4" i="7"/>
  <c r="BD4" i="7"/>
  <c r="EL3" i="7"/>
  <c r="BZ3" i="7"/>
  <c r="N3" i="7"/>
  <c r="CV2" i="7"/>
  <c r="AJ2" i="7"/>
  <c r="AY6" i="7"/>
  <c r="EG5" i="7"/>
  <c r="BU5" i="7"/>
  <c r="I5" i="7"/>
  <c r="CQ4" i="7"/>
  <c r="AE4" i="7"/>
  <c r="DM3" i="7"/>
  <c r="BA3" i="7"/>
  <c r="EI2" i="7"/>
  <c r="BW2" i="7"/>
  <c r="K2" i="7"/>
  <c r="DL56" i="7"/>
  <c r="CA96" i="7"/>
  <c r="EN101" i="7"/>
  <c r="ET92" i="7"/>
  <c r="AK78" i="7"/>
  <c r="CU3" i="7"/>
  <c r="CT4" i="7"/>
  <c r="N2" i="7"/>
  <c r="EG4" i="7"/>
  <c r="AE3" i="7"/>
  <c r="D6" i="7"/>
  <c r="AV4" i="7"/>
  <c r="AQ6" i="7"/>
  <c r="CI4" i="7"/>
  <c r="EA2" i="7"/>
  <c r="CW72" i="7"/>
  <c r="AI86" i="7"/>
  <c r="AP88" i="7"/>
  <c r="DI99" i="7"/>
  <c r="AP104" i="7"/>
  <c r="F94" i="7"/>
  <c r="CG98" i="7"/>
  <c r="AV78" i="7"/>
  <c r="BO92" i="7"/>
  <c r="DG100" i="7"/>
  <c r="E99" i="7"/>
  <c r="AW97" i="7"/>
  <c r="DK94" i="7"/>
  <c r="I93" i="7"/>
  <c r="CU89" i="7"/>
  <c r="CL83" i="7"/>
  <c r="AY76" i="7"/>
  <c r="BR104" i="7"/>
  <c r="DJ102" i="7"/>
  <c r="H101" i="7"/>
  <c r="BV98" i="7"/>
  <c r="DN96" i="7"/>
  <c r="L95" i="7"/>
  <c r="BD93" i="7"/>
  <c r="BV90" i="7"/>
  <c r="DY84" i="7"/>
  <c r="E78" i="7"/>
  <c r="Y6" i="7"/>
  <c r="BQ4" i="7"/>
  <c r="H2" i="7"/>
  <c r="D5" i="7"/>
  <c r="DH3" i="7"/>
  <c r="F2" i="7"/>
  <c r="DY4" i="7"/>
  <c r="CI3" i="7"/>
  <c r="EP5" i="7"/>
  <c r="BJ3" i="7"/>
  <c r="T2" i="7"/>
  <c r="EM4" i="7"/>
  <c r="AK3" i="7"/>
  <c r="BQ60" i="7"/>
  <c r="CP73" i="7"/>
  <c r="DG73" i="7"/>
  <c r="EF73" i="7"/>
  <c r="S74" i="7"/>
  <c r="E74" i="7"/>
  <c r="DK80" i="7"/>
  <c r="EC89" i="7"/>
  <c r="CC82" i="7"/>
  <c r="DC91" i="7"/>
  <c r="DB82" i="7"/>
  <c r="AA78" i="7"/>
  <c r="BA87" i="7"/>
  <c r="AR78" i="7"/>
  <c r="AT87" i="7"/>
  <c r="AB77" i="7"/>
  <c r="EB81" i="7"/>
  <c r="AR85" i="7"/>
  <c r="DB88" i="7"/>
  <c r="R92" i="7"/>
  <c r="DG102" i="7"/>
  <c r="AW99" i="7"/>
  <c r="EG95" i="7"/>
  <c r="AO92" i="7"/>
  <c r="BB81" i="7"/>
  <c r="DX103" i="7"/>
  <c r="BN100" i="7"/>
  <c r="D97" i="7"/>
  <c r="CN93" i="7"/>
  <c r="DS85" i="7"/>
  <c r="EO104" i="7"/>
  <c r="CE101" i="7"/>
  <c r="U98" i="7"/>
  <c r="DE94" i="7"/>
  <c r="CE89" i="7"/>
  <c r="EG75" i="7"/>
  <c r="BH102" i="7"/>
  <c r="ER98" i="7"/>
  <c r="CH95" i="7"/>
  <c r="CK91" i="7"/>
  <c r="EU79" i="7"/>
  <c r="BY103" i="7"/>
  <c r="CY100" i="7"/>
  <c r="AM100" i="7"/>
  <c r="DU99" i="7"/>
  <c r="BI99" i="7"/>
  <c r="EQ98" i="7"/>
  <c r="CE98" i="7"/>
  <c r="S98" i="7"/>
  <c r="DA97" i="7"/>
  <c r="AO97" i="7"/>
  <c r="DW96" i="7"/>
  <c r="BK96" i="7"/>
  <c r="ES95" i="7"/>
  <c r="CG95" i="7"/>
  <c r="U95" i="7"/>
  <c r="DC94" i="7"/>
  <c r="AQ94" i="7"/>
  <c r="DY93" i="7"/>
  <c r="BM93" i="7"/>
  <c r="EU92" i="7"/>
  <c r="BM92" i="7"/>
  <c r="CI91" i="7"/>
  <c r="CT90" i="7"/>
  <c r="BZ89" i="7"/>
  <c r="BE88" i="7"/>
  <c r="DP86" i="7"/>
  <c r="N85" i="7"/>
  <c r="BF83" i="7"/>
  <c r="CX81" i="7"/>
  <c r="EP79" i="7"/>
  <c r="AN78" i="7"/>
  <c r="DN75" i="7"/>
  <c r="BZ67" i="7"/>
  <c r="AN105" i="7"/>
  <c r="DV104" i="7"/>
  <c r="BJ104" i="7"/>
  <c r="ER103" i="7"/>
  <c r="CF103" i="7"/>
  <c r="T103" i="7"/>
  <c r="DB102" i="7"/>
  <c r="AP102" i="7"/>
  <c r="DX101" i="7"/>
  <c r="BL101" i="7"/>
  <c r="ET100" i="7"/>
  <c r="CH100" i="7"/>
  <c r="V100" i="7"/>
  <c r="DD99" i="7"/>
  <c r="AR99" i="7"/>
  <c r="DZ98" i="7"/>
  <c r="BN98" i="7"/>
  <c r="EV97" i="7"/>
  <c r="CJ97" i="7"/>
  <c r="X97" i="7"/>
  <c r="DF96" i="7"/>
  <c r="AT96" i="7"/>
  <c r="EB95" i="7"/>
  <c r="BP95" i="7"/>
  <c r="D95" i="7"/>
  <c r="CL94" i="7"/>
  <c r="Z94" i="7"/>
  <c r="DH93" i="7"/>
  <c r="AV93" i="7"/>
  <c r="ED92" i="7"/>
  <c r="AD92" i="7"/>
  <c r="AZ91" i="7"/>
  <c r="BA90" i="7"/>
  <c r="AF89" i="7"/>
  <c r="I88" i="7"/>
  <c r="BA86" i="7"/>
  <c r="CS84" i="7"/>
  <c r="EK82" i="7"/>
  <c r="AI81" i="7"/>
  <c r="CA79" i="7"/>
  <c r="DS77" i="7"/>
  <c r="AJ74" i="7"/>
  <c r="CC6" i="7"/>
  <c r="Q6" i="7"/>
  <c r="CY5" i="7"/>
  <c r="AM5" i="7"/>
  <c r="DU4" i="7"/>
  <c r="BI4" i="7"/>
  <c r="EQ3" i="7"/>
  <c r="CE3" i="7"/>
  <c r="S3" i="7"/>
  <c r="DA2" i="7"/>
  <c r="AO2" i="7"/>
  <c r="W2" i="7"/>
  <c r="AL6" i="7"/>
  <c r="DT5" i="7"/>
  <c r="BH5" i="7"/>
  <c r="EP4" i="7"/>
  <c r="CD4" i="7"/>
  <c r="R4" i="7"/>
  <c r="CZ3" i="7"/>
  <c r="AN3" i="7"/>
  <c r="DV2" i="7"/>
  <c r="BJ2" i="7"/>
  <c r="BY6" i="7"/>
  <c r="M6" i="7"/>
  <c r="CU5" i="7"/>
  <c r="AI5" i="7"/>
  <c r="DQ4" i="7"/>
  <c r="BE4" i="7"/>
  <c r="EM3" i="7"/>
  <c r="CA3" i="7"/>
  <c r="O3" i="7"/>
  <c r="CW2" i="7"/>
  <c r="AK2" i="7"/>
  <c r="AZ6" i="7"/>
  <c r="EH5" i="7"/>
  <c r="BV5" i="7"/>
  <c r="J5" i="7"/>
  <c r="CR4" i="7"/>
  <c r="AF4" i="7"/>
  <c r="DN3" i="7"/>
  <c r="BB3" i="7"/>
  <c r="EJ2" i="7"/>
  <c r="BX2" i="7"/>
  <c r="L2" i="7"/>
  <c r="AA6" i="7"/>
  <c r="DI5" i="7"/>
  <c r="AW5" i="7"/>
  <c r="EE4" i="7"/>
  <c r="BS4" i="7"/>
  <c r="G4" i="7"/>
  <c r="CO3" i="7"/>
  <c r="AC3" i="7"/>
  <c r="DK2" i="7"/>
  <c r="AY2" i="7"/>
  <c r="R5" i="7"/>
  <c r="CW3" i="7"/>
  <c r="C2" i="8" a="1"/>
  <c r="K11" i="6"/>
  <c r="J11" i="6"/>
  <c r="K10" i="6"/>
  <c r="M10" i="6" s="1" a="1"/>
  <c r="J133" i="1" l="1"/>
  <c r="J69" i="1"/>
  <c r="J5" i="1"/>
  <c r="J116" i="1"/>
  <c r="J52" i="1"/>
  <c r="J73" i="1"/>
  <c r="J125" i="1"/>
  <c r="J61" i="1"/>
  <c r="J121" i="1"/>
  <c r="J108" i="1"/>
  <c r="J44" i="1"/>
  <c r="J49" i="1"/>
  <c r="J91" i="1"/>
  <c r="J27" i="1"/>
  <c r="J114" i="1"/>
  <c r="J50" i="1"/>
  <c r="J97" i="1"/>
  <c r="J96" i="1"/>
  <c r="J32" i="1"/>
  <c r="J143" i="1"/>
  <c r="J79" i="1"/>
  <c r="J15" i="1"/>
  <c r="J126" i="1"/>
  <c r="J62" i="1"/>
  <c r="J129" i="1"/>
  <c r="J117" i="1"/>
  <c r="J53" i="1"/>
  <c r="J65" i="1"/>
  <c r="J100" i="1"/>
  <c r="J36" i="1"/>
  <c r="J147" i="1"/>
  <c r="J83" i="1"/>
  <c r="J19" i="1"/>
  <c r="J106" i="1"/>
  <c r="J42" i="1"/>
  <c r="J9" i="1"/>
  <c r="J88" i="1"/>
  <c r="J24" i="1"/>
  <c r="J135" i="1"/>
  <c r="J71" i="1"/>
  <c r="J7" i="1"/>
  <c r="J118" i="1"/>
  <c r="J54" i="1"/>
  <c r="J81" i="1"/>
  <c r="J109" i="1"/>
  <c r="J45" i="1"/>
  <c r="J33" i="1"/>
  <c r="J92" i="1"/>
  <c r="J28" i="1"/>
  <c r="J139" i="1"/>
  <c r="J75" i="1"/>
  <c r="J11" i="1"/>
  <c r="J98" i="1"/>
  <c r="J34" i="1"/>
  <c r="J144" i="1"/>
  <c r="J80" i="1"/>
  <c r="J16" i="1"/>
  <c r="J127" i="1"/>
  <c r="J63" i="1"/>
  <c r="J105" i="1"/>
  <c r="J110" i="1"/>
  <c r="J46" i="1"/>
  <c r="J25" i="1"/>
  <c r="J101" i="1"/>
  <c r="J37" i="1"/>
  <c r="J148" i="1"/>
  <c r="J84" i="1"/>
  <c r="J20" i="1"/>
  <c r="J131" i="1"/>
  <c r="J67" i="1"/>
  <c r="J3" i="1"/>
  <c r="J90" i="1"/>
  <c r="J26" i="1"/>
  <c r="J136" i="1"/>
  <c r="J72" i="1"/>
  <c r="J8" i="1"/>
  <c r="J119" i="1"/>
  <c r="J55" i="1"/>
  <c r="J57" i="1"/>
  <c r="J102" i="1"/>
  <c r="J38" i="1"/>
  <c r="J93" i="1"/>
  <c r="J29" i="1"/>
  <c r="J140" i="1"/>
  <c r="J76" i="1"/>
  <c r="J12" i="1"/>
  <c r="J123" i="1"/>
  <c r="J59" i="1"/>
  <c r="J146" i="1"/>
  <c r="J82" i="1"/>
  <c r="J18" i="1"/>
  <c r="J128" i="1"/>
  <c r="J64" i="1"/>
  <c r="J137" i="1"/>
  <c r="J111" i="1"/>
  <c r="J47" i="1"/>
  <c r="J41" i="1"/>
  <c r="J94" i="1"/>
  <c r="J30" i="1"/>
  <c r="J149" i="1"/>
  <c r="J85" i="1"/>
  <c r="J21" i="1"/>
  <c r="J132" i="1"/>
  <c r="J68" i="1"/>
  <c r="J4" i="1"/>
  <c r="J115" i="1"/>
  <c r="J51" i="1"/>
  <c r="J138" i="1"/>
  <c r="J74" i="1"/>
  <c r="J10" i="1"/>
  <c r="J120" i="1"/>
  <c r="J56" i="1"/>
  <c r="J89" i="1"/>
  <c r="J103" i="1"/>
  <c r="J39" i="1"/>
  <c r="J150" i="1"/>
  <c r="J86" i="1"/>
  <c r="J22" i="1"/>
  <c r="J141" i="1"/>
  <c r="J77" i="1"/>
  <c r="J13" i="1"/>
  <c r="J124" i="1"/>
  <c r="J60" i="1"/>
  <c r="J113" i="1"/>
  <c r="J107" i="1"/>
  <c r="J43" i="1"/>
  <c r="J130" i="1"/>
  <c r="J66" i="1"/>
  <c r="J99" i="1"/>
  <c r="J48" i="1"/>
  <c r="J142" i="1"/>
  <c r="J35" i="1"/>
  <c r="J40" i="1"/>
  <c r="J134" i="1"/>
  <c r="J122" i="1"/>
  <c r="J17" i="1"/>
  <c r="J78" i="1"/>
  <c r="J58" i="1"/>
  <c r="J151" i="1"/>
  <c r="J70" i="1"/>
  <c r="J95" i="1"/>
  <c r="J14" i="1"/>
  <c r="J145" i="1"/>
  <c r="J87" i="1"/>
  <c r="J6" i="1"/>
  <c r="J104" i="1"/>
  <c r="J23" i="1"/>
  <c r="J112" i="1"/>
  <c r="J31" i="1"/>
  <c r="C2" i="8"/>
  <c r="A2" i="8" s="1"/>
  <c r="G2" i="6" s="1"/>
  <c r="H2" i="6" s="1"/>
  <c r="N2" i="8"/>
  <c r="P3" i="8"/>
  <c r="R4" i="8"/>
  <c r="T5" i="8"/>
  <c r="V6" i="8"/>
  <c r="X7" i="8"/>
  <c r="Z8" i="8"/>
  <c r="AB9" i="8"/>
  <c r="AD10" i="8"/>
  <c r="AF11" i="8"/>
  <c r="D13" i="8"/>
  <c r="F14" i="8"/>
  <c r="Z14" i="8"/>
  <c r="S15" i="8"/>
  <c r="J16" i="8"/>
  <c r="AB16" i="8"/>
  <c r="N17" i="8"/>
  <c r="AD17" i="8"/>
  <c r="O18" i="8"/>
  <c r="Z18" i="8"/>
  <c r="J19" i="8"/>
  <c r="X19" i="8"/>
  <c r="E20" i="8"/>
  <c r="S20" i="8"/>
  <c r="AD20" i="8"/>
  <c r="N21" i="8"/>
  <c r="AB21" i="8"/>
  <c r="I22" i="8"/>
  <c r="W22" i="8"/>
  <c r="A22" i="8" s="1"/>
  <c r="G22" i="6" s="1"/>
  <c r="H22" i="6" s="1"/>
  <c r="D23" i="8"/>
  <c r="R23" i="8"/>
  <c r="AF23" i="8"/>
  <c r="M24" i="8"/>
  <c r="X24" i="8"/>
  <c r="AF24" i="8"/>
  <c r="J25" i="8"/>
  <c r="R25" i="8"/>
  <c r="Z25" i="8"/>
  <c r="A25" i="8" s="1"/>
  <c r="G25" i="6" s="1"/>
  <c r="H25" i="6" s="1"/>
  <c r="D26" i="8"/>
  <c r="L26" i="8"/>
  <c r="T26" i="8"/>
  <c r="AB26" i="8"/>
  <c r="F27" i="8"/>
  <c r="N27" i="8"/>
  <c r="V27" i="8"/>
  <c r="AD27" i="8"/>
  <c r="H28" i="8"/>
  <c r="P28" i="8"/>
  <c r="X28" i="8"/>
  <c r="AF28" i="8"/>
  <c r="J29" i="8"/>
  <c r="R29" i="8"/>
  <c r="Z29" i="8"/>
  <c r="D30" i="8"/>
  <c r="L30" i="8"/>
  <c r="T30" i="8"/>
  <c r="AB30" i="8"/>
  <c r="F31" i="8"/>
  <c r="N31" i="8"/>
  <c r="V31" i="8"/>
  <c r="AD31" i="8"/>
  <c r="AC30" i="8"/>
  <c r="O31" i="8"/>
  <c r="W31" i="8"/>
  <c r="N10" i="8"/>
  <c r="Q14" i="8"/>
  <c r="T16" i="8"/>
  <c r="V18" i="8"/>
  <c r="L20" i="8"/>
  <c r="G21" i="8"/>
  <c r="P22" i="8"/>
  <c r="T24" i="8"/>
  <c r="F25" i="8"/>
  <c r="H26" i="8"/>
  <c r="R27" i="8"/>
  <c r="T28" i="8"/>
  <c r="R2" i="8"/>
  <c r="T3" i="8"/>
  <c r="V4" i="8"/>
  <c r="X5" i="8"/>
  <c r="Z6" i="8"/>
  <c r="AB7" i="8"/>
  <c r="AD8" i="8"/>
  <c r="AF9" i="8"/>
  <c r="D11" i="8"/>
  <c r="F12" i="8"/>
  <c r="H13" i="8"/>
  <c r="I14" i="8"/>
  <c r="AD14" i="8"/>
  <c r="T15" i="8"/>
  <c r="M16" i="8"/>
  <c r="AC16" i="8"/>
  <c r="O17" i="8"/>
  <c r="AE17" i="8"/>
  <c r="P18" i="8"/>
  <c r="AD18" i="8"/>
  <c r="K19" i="8"/>
  <c r="Y19" i="8"/>
  <c r="F20" i="8"/>
  <c r="T20" i="8"/>
  <c r="D21" i="8"/>
  <c r="O21" i="8"/>
  <c r="AC21" i="8"/>
  <c r="J22" i="8"/>
  <c r="X22" i="8"/>
  <c r="H23" i="8"/>
  <c r="S23" i="8"/>
  <c r="C24" i="8"/>
  <c r="N24" i="8"/>
  <c r="Y24" i="8"/>
  <c r="A24" i="8" s="1"/>
  <c r="G24" i="6" s="1"/>
  <c r="H24" i="6" s="1"/>
  <c r="C25" i="8"/>
  <c r="K25" i="8"/>
  <c r="S25" i="8"/>
  <c r="AA25" i="8"/>
  <c r="E26" i="8"/>
  <c r="M26" i="8"/>
  <c r="U26" i="8"/>
  <c r="AC26" i="8"/>
  <c r="G27" i="8"/>
  <c r="O27" i="8"/>
  <c r="W27" i="8"/>
  <c r="AE27" i="8"/>
  <c r="I28" i="8"/>
  <c r="Q28" i="8"/>
  <c r="Y28" i="8"/>
  <c r="C29" i="8"/>
  <c r="K29" i="8"/>
  <c r="S29" i="8"/>
  <c r="AA29" i="8"/>
  <c r="E30" i="8"/>
  <c r="M30" i="8"/>
  <c r="U30" i="8"/>
  <c r="G31" i="8"/>
  <c r="AE31" i="8"/>
  <c r="Q19" i="8"/>
  <c r="Y23" i="8"/>
  <c r="AD25" i="8"/>
  <c r="AF26" i="8"/>
  <c r="D28" i="8"/>
  <c r="F29" i="8"/>
  <c r="V2" i="8"/>
  <c r="X3" i="8"/>
  <c r="Z4" i="8"/>
  <c r="AB5" i="8"/>
  <c r="AD6" i="8"/>
  <c r="AF7" i="8"/>
  <c r="D9" i="8"/>
  <c r="F10" i="8"/>
  <c r="H11" i="8"/>
  <c r="J12" i="8"/>
  <c r="L13" i="8"/>
  <c r="J14" i="8"/>
  <c r="C15" i="8"/>
  <c r="X15" i="8"/>
  <c r="N16" i="8"/>
  <c r="AD16" i="8"/>
  <c r="P17" i="8"/>
  <c r="AF17" i="8"/>
  <c r="Q18" i="8"/>
  <c r="AE18" i="8"/>
  <c r="L19" i="8"/>
  <c r="Z19" i="8"/>
  <c r="J20" i="8"/>
  <c r="U20" i="8"/>
  <c r="A20" i="8" s="1"/>
  <c r="G20" i="6" s="1"/>
  <c r="H20" i="6" s="1"/>
  <c r="E21" i="8"/>
  <c r="P21" i="8"/>
  <c r="AD21" i="8"/>
  <c r="N22" i="8"/>
  <c r="Y22" i="8"/>
  <c r="I23" i="8"/>
  <c r="T23" i="8"/>
  <c r="D24" i="8"/>
  <c r="R24" i="8"/>
  <c r="Z24" i="8"/>
  <c r="D25" i="8"/>
  <c r="L25" i="8"/>
  <c r="T25" i="8"/>
  <c r="AB25" i="8"/>
  <c r="F26" i="8"/>
  <c r="N26" i="8"/>
  <c r="V26" i="8"/>
  <c r="AD26" i="8"/>
  <c r="H27" i="8"/>
  <c r="P27" i="8"/>
  <c r="X27" i="8"/>
  <c r="AF27" i="8"/>
  <c r="J28" i="8"/>
  <c r="R28" i="8"/>
  <c r="Z28" i="8"/>
  <c r="D29" i="8"/>
  <c r="L29" i="8"/>
  <c r="T29" i="8"/>
  <c r="AB29" i="8"/>
  <c r="F30" i="8"/>
  <c r="N30" i="8"/>
  <c r="V30" i="8"/>
  <c r="AD30" i="8"/>
  <c r="H31" i="8"/>
  <c r="P31" i="8"/>
  <c r="X31" i="8"/>
  <c r="AF31" i="8"/>
  <c r="A31" i="8" s="1"/>
  <c r="G31" i="6" s="1"/>
  <c r="H31" i="6" s="1"/>
  <c r="AD2" i="8"/>
  <c r="AF3" i="8"/>
  <c r="D5" i="8"/>
  <c r="F6" i="8"/>
  <c r="H7" i="8"/>
  <c r="A7" i="8" s="1"/>
  <c r="G7" i="6" s="1"/>
  <c r="H7" i="6" s="1"/>
  <c r="L9" i="8"/>
  <c r="P11" i="8"/>
  <c r="T13" i="8"/>
  <c r="H15" i="8"/>
  <c r="F17" i="8"/>
  <c r="H18" i="8"/>
  <c r="AB19" i="8"/>
  <c r="U21" i="8"/>
  <c r="AD22" i="8"/>
  <c r="F24" i="8"/>
  <c r="N25" i="8"/>
  <c r="P26" i="8"/>
  <c r="J27" i="8"/>
  <c r="L28" i="8"/>
  <c r="Z2" i="8"/>
  <c r="AB3" i="8"/>
  <c r="AD4" i="8"/>
  <c r="AF5" i="8"/>
  <c r="D7" i="8"/>
  <c r="F8" i="8"/>
  <c r="H9" i="8"/>
  <c r="J10" i="8"/>
  <c r="L11" i="8"/>
  <c r="A11" i="8" s="1"/>
  <c r="G11" i="6" s="1"/>
  <c r="H11" i="6" s="1"/>
  <c r="N12" i="8"/>
  <c r="P13" i="8"/>
  <c r="N14" i="8"/>
  <c r="D15" i="8"/>
  <c r="AA15" i="8"/>
  <c r="R16" i="8"/>
  <c r="D17" i="8"/>
  <c r="T17" i="8"/>
  <c r="F18" i="8"/>
  <c r="R18" i="8"/>
  <c r="AF18" i="8"/>
  <c r="P19" i="8"/>
  <c r="AA19" i="8"/>
  <c r="K20" i="8"/>
  <c r="V20" i="8"/>
  <c r="F21" i="8"/>
  <c r="T21" i="8"/>
  <c r="AE21" i="8"/>
  <c r="O22" i="8"/>
  <c r="Z22" i="8"/>
  <c r="J23" i="8"/>
  <c r="X23" i="8"/>
  <c r="A23" i="8" s="1"/>
  <c r="G23" i="6" s="1"/>
  <c r="H23" i="6" s="1"/>
  <c r="E24" i="8"/>
  <c r="S24" i="8"/>
  <c r="AA24" i="8"/>
  <c r="E25" i="8"/>
  <c r="M25" i="8"/>
  <c r="U25" i="8"/>
  <c r="AC25" i="8"/>
  <c r="G26" i="8"/>
  <c r="O26" i="8"/>
  <c r="W26" i="8"/>
  <c r="AE26" i="8"/>
  <c r="I27" i="8"/>
  <c r="Q27" i="8"/>
  <c r="Y27" i="8"/>
  <c r="C28" i="8"/>
  <c r="K28" i="8"/>
  <c r="S28" i="8"/>
  <c r="AA28" i="8"/>
  <c r="E29" i="8"/>
  <c r="M29" i="8"/>
  <c r="U29" i="8"/>
  <c r="AC29" i="8"/>
  <c r="G30" i="8"/>
  <c r="O30" i="8"/>
  <c r="W30" i="8"/>
  <c r="AE30" i="8"/>
  <c r="A30" i="8" s="1"/>
  <c r="G30" i="6" s="1"/>
  <c r="H30" i="6" s="1"/>
  <c r="I31" i="8"/>
  <c r="Q31" i="8"/>
  <c r="Y31" i="8"/>
  <c r="J8" i="8"/>
  <c r="R12" i="8"/>
  <c r="AB15" i="8"/>
  <c r="V17" i="8"/>
  <c r="C19" i="8"/>
  <c r="Z20" i="8"/>
  <c r="AF21" i="8"/>
  <c r="K23" i="8"/>
  <c r="AB24" i="8"/>
  <c r="V25" i="8"/>
  <c r="X26" i="8"/>
  <c r="Z27" i="8"/>
  <c r="AB28" i="8"/>
  <c r="D3" i="8"/>
  <c r="A3" i="8" s="1"/>
  <c r="G3" i="6" s="1"/>
  <c r="H3" i="6" s="1"/>
  <c r="F4" i="8"/>
  <c r="H3" i="8"/>
  <c r="N6" i="8"/>
  <c r="P9" i="8"/>
  <c r="AB11" i="8"/>
  <c r="V14" i="8"/>
  <c r="U16" i="8"/>
  <c r="AB17" i="8"/>
  <c r="H19" i="8"/>
  <c r="M20" i="8"/>
  <c r="M21" i="8"/>
  <c r="R22" i="8"/>
  <c r="Z23" i="8"/>
  <c r="W24" i="8"/>
  <c r="P25" i="8"/>
  <c r="I26" i="8"/>
  <c r="AA26" i="8"/>
  <c r="A26" i="8" s="1"/>
  <c r="G26" i="6" s="1"/>
  <c r="H26" i="6" s="1"/>
  <c r="T27" i="8"/>
  <c r="M28" i="8"/>
  <c r="AE28" i="8"/>
  <c r="V29" i="8"/>
  <c r="H30" i="8"/>
  <c r="X30" i="8"/>
  <c r="J31" i="8"/>
  <c r="Z31" i="8"/>
  <c r="C27" i="8"/>
  <c r="N28" i="8"/>
  <c r="G29" i="8"/>
  <c r="I30" i="8"/>
  <c r="Y30" i="8"/>
  <c r="AA31" i="8"/>
  <c r="V8" i="8"/>
  <c r="Q23" i="8"/>
  <c r="S27" i="8"/>
  <c r="Q29" i="8"/>
  <c r="L3" i="8"/>
  <c r="R6" i="8"/>
  <c r="T9" i="8"/>
  <c r="V12" i="8"/>
  <c r="Y14" i="8"/>
  <c r="V16" i="8"/>
  <c r="I18" i="8"/>
  <c r="I19" i="8"/>
  <c r="N20" i="8"/>
  <c r="V21" i="8"/>
  <c r="A21" i="8" s="1"/>
  <c r="G21" i="6" s="1"/>
  <c r="H21" i="6" s="1"/>
  <c r="V22" i="8"/>
  <c r="AA23" i="8"/>
  <c r="AC24" i="8"/>
  <c r="Q25" i="8"/>
  <c r="J26" i="8"/>
  <c r="U27" i="8"/>
  <c r="W29" i="8"/>
  <c r="K31" i="8"/>
  <c r="R14" i="8"/>
  <c r="L21" i="8"/>
  <c r="O25" i="8"/>
  <c r="G28" i="8"/>
  <c r="S30" i="8"/>
  <c r="J4" i="8"/>
  <c r="L7" i="8"/>
  <c r="X9" i="8"/>
  <c r="Z12" i="8"/>
  <c r="K15" i="8"/>
  <c r="Z16" i="8"/>
  <c r="J18" i="8"/>
  <c r="R19" i="8"/>
  <c r="R20" i="8"/>
  <c r="W21" i="8"/>
  <c r="AE22" i="8"/>
  <c r="AB23" i="8"/>
  <c r="AD24" i="8"/>
  <c r="W25" i="8"/>
  <c r="K26" i="8"/>
  <c r="D27" i="8"/>
  <c r="AA27" i="8"/>
  <c r="O28" i="8"/>
  <c r="H29" i="8"/>
  <c r="X29" i="8"/>
  <c r="J30" i="8"/>
  <c r="Z30" i="8"/>
  <c r="L31" i="8"/>
  <c r="AB31" i="8"/>
  <c r="N4" i="8"/>
  <c r="P7" i="8"/>
  <c r="R10" i="8"/>
  <c r="AD12" i="8"/>
  <c r="L15" i="8"/>
  <c r="G17" i="8"/>
  <c r="N18" i="8"/>
  <c r="S19" i="8"/>
  <c r="AA20" i="8"/>
  <c r="X21" i="8"/>
  <c r="AF22" i="8"/>
  <c r="J24" i="8"/>
  <c r="AE24" i="8"/>
  <c r="X25" i="8"/>
  <c r="Q26" i="8"/>
  <c r="E27" i="8"/>
  <c r="AB27" i="8"/>
  <c r="A27" i="8" s="1"/>
  <c r="G27" i="6" s="1"/>
  <c r="H27" i="6" s="1"/>
  <c r="U28" i="8"/>
  <c r="I29" i="8"/>
  <c r="Y29" i="8"/>
  <c r="K30" i="8"/>
  <c r="AA30" i="8"/>
  <c r="M31" i="8"/>
  <c r="AC31" i="8"/>
  <c r="H5" i="8"/>
  <c r="X13" i="8"/>
  <c r="H17" i="8"/>
  <c r="W18" i="8"/>
  <c r="T19" i="8"/>
  <c r="A19" i="8" s="1"/>
  <c r="G19" i="6" s="1"/>
  <c r="H19" i="6" s="1"/>
  <c r="F22" i="8"/>
  <c r="C23" i="8"/>
  <c r="K24" i="8"/>
  <c r="G25" i="8"/>
  <c r="Y25" i="8"/>
  <c r="R26" i="8"/>
  <c r="AC27" i="8"/>
  <c r="V28" i="8"/>
  <c r="N29" i="8"/>
  <c r="AD29" i="8"/>
  <c r="A29" i="8" s="1"/>
  <c r="G29" i="6" s="1"/>
  <c r="H29" i="6" s="1"/>
  <c r="P30" i="8"/>
  <c r="AF30" i="8"/>
  <c r="R31" i="8"/>
  <c r="P5" i="8"/>
  <c r="R8" i="8"/>
  <c r="T11" i="8"/>
  <c r="AF13" i="8"/>
  <c r="E16" i="8"/>
  <c r="W17" i="8"/>
  <c r="Y18" i="8"/>
  <c r="C20" i="8"/>
  <c r="H22" i="8"/>
  <c r="P23" i="8"/>
  <c r="I25" i="8"/>
  <c r="Y26" i="8"/>
  <c r="M27" i="8"/>
  <c r="AC28" i="8"/>
  <c r="A28" i="8" s="1"/>
  <c r="G28" i="6" s="1"/>
  <c r="H28" i="6" s="1"/>
  <c r="AF29" i="8"/>
  <c r="D31" i="8"/>
  <c r="J2" i="8"/>
  <c r="X11" i="8"/>
  <c r="F16" i="8"/>
  <c r="D19" i="8"/>
  <c r="Q22" i="8"/>
  <c r="C26" i="8"/>
  <c r="AD28" i="8"/>
  <c r="E31" i="8"/>
  <c r="T7" i="8"/>
  <c r="V10" i="8"/>
  <c r="P15" i="8"/>
  <c r="A15" i="8" s="1"/>
  <c r="G15" i="6" s="1"/>
  <c r="H15" i="6" s="1"/>
  <c r="AB20" i="8"/>
  <c r="K27" i="8"/>
  <c r="H21" i="8"/>
  <c r="U24" i="8"/>
  <c r="AF25" i="8"/>
  <c r="F28" i="8"/>
  <c r="P29" i="8"/>
  <c r="R30" i="8"/>
  <c r="T31" i="8"/>
  <c r="J6" i="8"/>
  <c r="X17" i="8"/>
  <c r="D20" i="8"/>
  <c r="V24" i="8"/>
  <c r="Z26" i="8"/>
  <c r="C30" i="8"/>
  <c r="U31" i="8"/>
  <c r="L5" i="8"/>
  <c r="N8" i="8"/>
  <c r="Z10" i="8"/>
  <c r="AB13" i="8"/>
  <c r="AF15" i="8"/>
  <c r="L17" i="8"/>
  <c r="X18" i="8"/>
  <c r="AF19" i="8"/>
  <c r="AC20" i="8"/>
  <c r="G22" i="8"/>
  <c r="L23" i="8"/>
  <c r="L24" i="8"/>
  <c r="H25" i="8"/>
  <c r="AE25" i="8"/>
  <c r="S26" i="8"/>
  <c r="L27" i="8"/>
  <c r="E28" i="8"/>
  <c r="W28" i="8"/>
  <c r="O29" i="8"/>
  <c r="AE29" i="8"/>
  <c r="Q30" i="8"/>
  <c r="C31" i="8"/>
  <c r="S31" i="8"/>
  <c r="AE13" i="8"/>
  <c r="AA11" i="8"/>
  <c r="W9" i="8"/>
  <c r="S7" i="8"/>
  <c r="O5" i="8"/>
  <c r="K3" i="8"/>
  <c r="R15" i="8"/>
  <c r="N13" i="8"/>
  <c r="A13" i="8" s="1"/>
  <c r="G13" i="6" s="1"/>
  <c r="H13" i="6" s="1"/>
  <c r="J11" i="8"/>
  <c r="F9" i="8"/>
  <c r="AF6" i="8"/>
  <c r="AB4" i="8"/>
  <c r="X2" i="8"/>
  <c r="AA16" i="8"/>
  <c r="W14" i="8"/>
  <c r="S12" i="8"/>
  <c r="O10" i="8"/>
  <c r="K8" i="8"/>
  <c r="G6" i="8"/>
  <c r="A6" i="8" s="1"/>
  <c r="G6" i="6" s="1"/>
  <c r="H6" i="6" s="1"/>
  <c r="C4" i="8"/>
  <c r="F2" i="8"/>
  <c r="U22" i="8"/>
  <c r="Q20" i="8"/>
  <c r="M18" i="8"/>
  <c r="I16" i="8"/>
  <c r="E14" i="8"/>
  <c r="AE11" i="8"/>
  <c r="AA9" i="8"/>
  <c r="W7" i="8"/>
  <c r="S5" i="8"/>
  <c r="O3" i="8"/>
  <c r="AD23" i="8"/>
  <c r="Z21" i="8"/>
  <c r="V19" i="8"/>
  <c r="R17" i="8"/>
  <c r="A17" i="8" s="1"/>
  <c r="G17" i="6" s="1"/>
  <c r="H17" i="6" s="1"/>
  <c r="N15" i="8"/>
  <c r="J13" i="8"/>
  <c r="F11" i="8"/>
  <c r="AF8" i="8"/>
  <c r="AB6" i="8"/>
  <c r="X4" i="8"/>
  <c r="T2" i="8"/>
  <c r="E23" i="8"/>
  <c r="AE20" i="8"/>
  <c r="AA18" i="8"/>
  <c r="W16" i="8"/>
  <c r="S14" i="8"/>
  <c r="O12" i="8"/>
  <c r="K10" i="8"/>
  <c r="A10" i="8" s="1"/>
  <c r="G10" i="6" s="1"/>
  <c r="H10" i="6" s="1"/>
  <c r="G8" i="8"/>
  <c r="C6" i="8"/>
  <c r="AC3" i="8"/>
  <c r="D16" i="8"/>
  <c r="Z11" i="8"/>
  <c r="V9" i="8"/>
  <c r="N5" i="8"/>
  <c r="J3" i="8"/>
  <c r="I15" i="8"/>
  <c r="AE10" i="8"/>
  <c r="W6" i="8"/>
  <c r="O2" i="8"/>
  <c r="C21" i="8"/>
  <c r="Y16" i="8"/>
  <c r="I8" i="8"/>
  <c r="A8" i="8" s="1"/>
  <c r="G8" i="6" s="1"/>
  <c r="H8" i="6" s="1"/>
  <c r="AE3" i="8"/>
  <c r="L22" i="8"/>
  <c r="D18" i="8"/>
  <c r="N7" i="8"/>
  <c r="F3" i="8"/>
  <c r="I17" i="8"/>
  <c r="W8" i="8"/>
  <c r="W13" i="8"/>
  <c r="S11" i="8"/>
  <c r="O9" i="8"/>
  <c r="K7" i="8"/>
  <c r="G5" i="8"/>
  <c r="C3" i="8"/>
  <c r="J15" i="8"/>
  <c r="F13" i="8"/>
  <c r="AF10" i="8"/>
  <c r="AB8" i="8"/>
  <c r="X6" i="8"/>
  <c r="T4" i="8"/>
  <c r="P2" i="8"/>
  <c r="S16" i="8"/>
  <c r="O14" i="8"/>
  <c r="A14" i="8" s="1"/>
  <c r="G14" i="6" s="1"/>
  <c r="H14" i="6" s="1"/>
  <c r="K12" i="8"/>
  <c r="G10" i="8"/>
  <c r="C8" i="8"/>
  <c r="AC5" i="8"/>
  <c r="Y3" i="8"/>
  <c r="Q24" i="8"/>
  <c r="M22" i="8"/>
  <c r="I20" i="8"/>
  <c r="E18" i="8"/>
  <c r="AE15" i="8"/>
  <c r="AA13" i="8"/>
  <c r="W11" i="8"/>
  <c r="S9" i="8"/>
  <c r="O7" i="8"/>
  <c r="K5" i="8"/>
  <c r="G3" i="8"/>
  <c r="V23" i="8"/>
  <c r="R21" i="8"/>
  <c r="N19" i="8"/>
  <c r="J17" i="8"/>
  <c r="F15" i="8"/>
  <c r="AF12" i="8"/>
  <c r="AB10" i="8"/>
  <c r="X8" i="8"/>
  <c r="T6" i="8"/>
  <c r="P4" i="8"/>
  <c r="L2" i="8"/>
  <c r="AA22" i="8"/>
  <c r="W20" i="8"/>
  <c r="S18" i="8"/>
  <c r="A18" i="8" s="1"/>
  <c r="G18" i="6" s="1"/>
  <c r="H18" i="6" s="1"/>
  <c r="O16" i="8"/>
  <c r="K14" i="8"/>
  <c r="G12" i="8"/>
  <c r="C10" i="8"/>
  <c r="AC7" i="8"/>
  <c r="Y5" i="8"/>
  <c r="U3" i="8"/>
  <c r="AE5" i="8"/>
  <c r="Q12" i="8"/>
  <c r="Z13" i="8"/>
  <c r="Q21" i="8"/>
  <c r="AE12" i="8"/>
  <c r="O13" i="8"/>
  <c r="K11" i="8"/>
  <c r="G9" i="8"/>
  <c r="C7" i="8"/>
  <c r="AC4" i="8"/>
  <c r="Y2" i="8"/>
  <c r="AF14" i="8"/>
  <c r="AB12" i="8"/>
  <c r="X10" i="8"/>
  <c r="T8" i="8"/>
  <c r="P6" i="8"/>
  <c r="L4" i="8"/>
  <c r="H2" i="8"/>
  <c r="K16" i="8"/>
  <c r="G14" i="8"/>
  <c r="C12" i="8"/>
  <c r="AC9" i="8"/>
  <c r="Y7" i="8"/>
  <c r="U5" i="8"/>
  <c r="Q3" i="8"/>
  <c r="I24" i="8"/>
  <c r="E22" i="8"/>
  <c r="AE19" i="8"/>
  <c r="AA17" i="8"/>
  <c r="W15" i="8"/>
  <c r="S13" i="8"/>
  <c r="O11" i="8"/>
  <c r="K9" i="8"/>
  <c r="G7" i="8"/>
  <c r="C5" i="8"/>
  <c r="AC2" i="8"/>
  <c r="N23" i="8"/>
  <c r="J21" i="8"/>
  <c r="F19" i="8"/>
  <c r="AF16" i="8"/>
  <c r="AB14" i="8"/>
  <c r="X12" i="8"/>
  <c r="T10" i="8"/>
  <c r="P8" i="8"/>
  <c r="L6" i="8"/>
  <c r="H4" i="8"/>
  <c r="D2" i="8"/>
  <c r="S22" i="8"/>
  <c r="O20" i="8"/>
  <c r="K18" i="8"/>
  <c r="G16" i="8"/>
  <c r="C14" i="8"/>
  <c r="AC11" i="8"/>
  <c r="Y9" i="8"/>
  <c r="U7" i="8"/>
  <c r="Q5" i="8"/>
  <c r="M3" i="8"/>
  <c r="AA3" i="8"/>
  <c r="G13" i="8"/>
  <c r="C11" i="8"/>
  <c r="AC8" i="8"/>
  <c r="Y6" i="8"/>
  <c r="U4" i="8"/>
  <c r="Q2" i="8"/>
  <c r="X14" i="8"/>
  <c r="T12" i="8"/>
  <c r="P10" i="8"/>
  <c r="L8" i="8"/>
  <c r="H6" i="8"/>
  <c r="D4" i="8"/>
  <c r="G18" i="8"/>
  <c r="C16" i="8"/>
  <c r="AC13" i="8"/>
  <c r="Y11" i="8"/>
  <c r="U9" i="8"/>
  <c r="Q7" i="8"/>
  <c r="M5" i="8"/>
  <c r="I3" i="8"/>
  <c r="AE23" i="8"/>
  <c r="AA21" i="8"/>
  <c r="W19" i="8"/>
  <c r="S17" i="8"/>
  <c r="O15" i="8"/>
  <c r="K13" i="8"/>
  <c r="G11" i="8"/>
  <c r="C9" i="8"/>
  <c r="AC6" i="8"/>
  <c r="Y4" i="8"/>
  <c r="U2" i="8"/>
  <c r="F23" i="8"/>
  <c r="AF20" i="8"/>
  <c r="AB18" i="8"/>
  <c r="X16" i="8"/>
  <c r="T14" i="8"/>
  <c r="P12" i="8"/>
  <c r="L10" i="8"/>
  <c r="H8" i="8"/>
  <c r="D6" i="8"/>
  <c r="AD3" i="8"/>
  <c r="O24" i="8"/>
  <c r="K22" i="8"/>
  <c r="G20" i="8"/>
  <c r="C18" i="8"/>
  <c r="AC15" i="8"/>
  <c r="Y13" i="8"/>
  <c r="U11" i="8"/>
  <c r="Q9" i="8"/>
  <c r="M7" i="8"/>
  <c r="I5" i="8"/>
  <c r="E3" i="8"/>
  <c r="E8" i="8"/>
  <c r="K2" i="8"/>
  <c r="AC12" i="8"/>
  <c r="Y10" i="8"/>
  <c r="U8" i="8"/>
  <c r="Q6" i="8"/>
  <c r="M4" i="8"/>
  <c r="I2" i="8"/>
  <c r="P14" i="8"/>
  <c r="L12" i="8"/>
  <c r="H10" i="8"/>
  <c r="D8" i="8"/>
  <c r="AD5" i="8"/>
  <c r="Z3" i="8"/>
  <c r="AC17" i="8"/>
  <c r="Y15" i="8"/>
  <c r="U13" i="8"/>
  <c r="Q11" i="8"/>
  <c r="M9" i="8"/>
  <c r="I7" i="8"/>
  <c r="E5" i="8"/>
  <c r="AE2" i="8"/>
  <c r="W23" i="8"/>
  <c r="S21" i="8"/>
  <c r="O19" i="8"/>
  <c r="K17" i="8"/>
  <c r="G15" i="8"/>
  <c r="C13" i="8"/>
  <c r="AC10" i="8"/>
  <c r="Y8" i="8"/>
  <c r="U6" i="8"/>
  <c r="Q4" i="8"/>
  <c r="M2" i="8"/>
  <c r="AB22" i="8"/>
  <c r="X20" i="8"/>
  <c r="T18" i="8"/>
  <c r="P16" i="8"/>
  <c r="L14" i="8"/>
  <c r="H12" i="8"/>
  <c r="D10" i="8"/>
  <c r="AD7" i="8"/>
  <c r="Z5" i="8"/>
  <c r="V3" i="8"/>
  <c r="G24" i="8"/>
  <c r="C22" i="8"/>
  <c r="AC19" i="8"/>
  <c r="Y17" i="8"/>
  <c r="U15" i="8"/>
  <c r="Q13" i="8"/>
  <c r="M11" i="8"/>
  <c r="I9" i="8"/>
  <c r="E7" i="8"/>
  <c r="AE4" i="8"/>
  <c r="AA2" i="8"/>
  <c r="M12" i="8"/>
  <c r="A12" i="8" s="1"/>
  <c r="G12" i="6" s="1"/>
  <c r="H12" i="6" s="1"/>
  <c r="R7" i="8"/>
  <c r="M17" i="8"/>
  <c r="E13" i="8"/>
  <c r="AA8" i="8"/>
  <c r="S4" i="8"/>
  <c r="G23" i="8"/>
  <c r="AC18" i="8"/>
  <c r="U14" i="8"/>
  <c r="E6" i="8"/>
  <c r="P24" i="8"/>
  <c r="H20" i="8"/>
  <c r="AD15" i="8"/>
  <c r="R9" i="8"/>
  <c r="J5" i="8"/>
  <c r="M19" i="8"/>
  <c r="S6" i="8"/>
  <c r="U12" i="8"/>
  <c r="Q10" i="8"/>
  <c r="M8" i="8"/>
  <c r="I6" i="8"/>
  <c r="E4" i="8"/>
  <c r="A4" i="8" s="1"/>
  <c r="G4" i="6" s="1"/>
  <c r="H4" i="6" s="1"/>
  <c r="L16" i="8"/>
  <c r="H14" i="8"/>
  <c r="D12" i="8"/>
  <c r="AD9" i="8"/>
  <c r="Z7" i="8"/>
  <c r="V5" i="8"/>
  <c r="R3" i="8"/>
  <c r="U17" i="8"/>
  <c r="Q15" i="8"/>
  <c r="M13" i="8"/>
  <c r="I11" i="8"/>
  <c r="E9" i="8"/>
  <c r="AE6" i="8"/>
  <c r="AA4" i="8"/>
  <c r="W2" i="8"/>
  <c r="O23" i="8"/>
  <c r="K21" i="8"/>
  <c r="G19" i="8"/>
  <c r="C17" i="8"/>
  <c r="AC14" i="8"/>
  <c r="Y12" i="8"/>
  <c r="U10" i="8"/>
  <c r="Q8" i="8"/>
  <c r="M6" i="8"/>
  <c r="I4" i="8"/>
  <c r="E2" i="8"/>
  <c r="T22" i="8"/>
  <c r="P20" i="8"/>
  <c r="L18" i="8"/>
  <c r="H16" i="8"/>
  <c r="D14" i="8"/>
  <c r="AD11" i="8"/>
  <c r="Z9" i="8"/>
  <c r="V7" i="8"/>
  <c r="R5" i="8"/>
  <c r="N3" i="8"/>
  <c r="AC23" i="8"/>
  <c r="Y21" i="8"/>
  <c r="U19" i="8"/>
  <c r="Q17" i="8"/>
  <c r="M15" i="8"/>
  <c r="I13" i="8"/>
  <c r="E11" i="8"/>
  <c r="AE8" i="8"/>
  <c r="AA6" i="8"/>
  <c r="W4" i="8"/>
  <c r="S2" i="8"/>
  <c r="I10" i="8"/>
  <c r="M10" i="8"/>
  <c r="V11" i="8"/>
  <c r="U23" i="8"/>
  <c r="AA10" i="8"/>
  <c r="O4" i="8"/>
  <c r="E12" i="8"/>
  <c r="AE9" i="8"/>
  <c r="AA7" i="8"/>
  <c r="W5" i="8"/>
  <c r="S3" i="8"/>
  <c r="Z15" i="8"/>
  <c r="V13" i="8"/>
  <c r="R11" i="8"/>
  <c r="N9" i="8"/>
  <c r="J7" i="8"/>
  <c r="F5" i="8"/>
  <c r="A5" i="8" s="1"/>
  <c r="G5" i="6" s="1"/>
  <c r="H5" i="6" s="1"/>
  <c r="AF2" i="8"/>
  <c r="E17" i="8"/>
  <c r="AE14" i="8"/>
  <c r="AA12" i="8"/>
  <c r="W10" i="8"/>
  <c r="S8" i="8"/>
  <c r="O6" i="8"/>
  <c r="K4" i="8"/>
  <c r="G2" i="8"/>
  <c r="AC22" i="8"/>
  <c r="Y20" i="8"/>
  <c r="U18" i="8"/>
  <c r="Q16" i="8"/>
  <c r="A16" i="8" s="1"/>
  <c r="G16" i="6" s="1"/>
  <c r="H16" i="6" s="1"/>
  <c r="M14" i="8"/>
  <c r="I12" i="8"/>
  <c r="E10" i="8"/>
  <c r="AE7" i="8"/>
  <c r="AA5" i="8"/>
  <c r="W3" i="8"/>
  <c r="H24" i="8"/>
  <c r="D22" i="8"/>
  <c r="AD19" i="8"/>
  <c r="Z17" i="8"/>
  <c r="V15" i="8"/>
  <c r="R13" i="8"/>
  <c r="N11" i="8"/>
  <c r="J9" i="8"/>
  <c r="A9" i="8" s="1"/>
  <c r="G9" i="6" s="1"/>
  <c r="H9" i="6" s="1"/>
  <c r="F7" i="8"/>
  <c r="AF4" i="8"/>
  <c r="AB2" i="8"/>
  <c r="M23" i="8"/>
  <c r="I21" i="8"/>
  <c r="E19" i="8"/>
  <c r="AE16" i="8"/>
  <c r="AA14" i="8"/>
  <c r="W12" i="8"/>
  <c r="S10" i="8"/>
  <c r="O8" i="8"/>
  <c r="K6" i="8"/>
  <c r="G4" i="8"/>
  <c r="AD13" i="8"/>
  <c r="E15" i="8"/>
  <c r="M10" i="6"/>
  <c r="M11" i="6"/>
  <c r="Q17" i="1"/>
  <c r="Q21" i="1" s="1" a="1"/>
  <c r="Q21" i="1" s="1"/>
  <c r="E5" i="6" l="1"/>
  <c r="F5" i="6" s="1"/>
  <c r="E13" i="6"/>
  <c r="F13" i="6" s="1"/>
  <c r="E21" i="6"/>
  <c r="F21" i="6" s="1"/>
  <c r="E29" i="6"/>
  <c r="F29" i="6" s="1"/>
  <c r="E6" i="6"/>
  <c r="F6" i="6" s="1"/>
  <c r="E14" i="6"/>
  <c r="F14" i="6" s="1"/>
  <c r="E22" i="6"/>
  <c r="F22" i="6" s="1"/>
  <c r="E30" i="6"/>
  <c r="F30" i="6" s="1"/>
  <c r="E17" i="6"/>
  <c r="F17" i="6" s="1"/>
  <c r="E25" i="6"/>
  <c r="F25" i="6" s="1"/>
  <c r="E26" i="6"/>
  <c r="F26" i="6" s="1"/>
  <c r="E11" i="6"/>
  <c r="F11" i="6" s="1"/>
  <c r="E27" i="6"/>
  <c r="F27" i="6" s="1"/>
  <c r="E7" i="6"/>
  <c r="F7" i="6" s="1"/>
  <c r="E15" i="6"/>
  <c r="F15" i="6" s="1"/>
  <c r="E23" i="6"/>
  <c r="F23" i="6" s="1"/>
  <c r="E31" i="6"/>
  <c r="F31" i="6" s="1"/>
  <c r="E8" i="6"/>
  <c r="F8" i="6" s="1"/>
  <c r="E16" i="6"/>
  <c r="F16" i="6" s="1"/>
  <c r="E24" i="6"/>
  <c r="F24" i="6" s="1"/>
  <c r="E2" i="6"/>
  <c r="E9" i="6"/>
  <c r="F9" i="6" s="1"/>
  <c r="E3" i="6"/>
  <c r="F3" i="6" s="1"/>
  <c r="E19" i="6"/>
  <c r="F19" i="6" s="1"/>
  <c r="E10" i="6"/>
  <c r="F10" i="6" s="1"/>
  <c r="E18" i="6"/>
  <c r="F18" i="6" s="1"/>
  <c r="E4" i="6"/>
  <c r="F4" i="6" s="1"/>
  <c r="E12" i="6"/>
  <c r="F12" i="6" s="1"/>
  <c r="E20" i="6"/>
  <c r="F20" i="6" s="1"/>
  <c r="E28" i="6"/>
  <c r="F28" i="6" s="1"/>
  <c r="AG7" i="1" l="1"/>
  <c r="AG15" i="1"/>
  <c r="AG23" i="1"/>
  <c r="AG31" i="1"/>
  <c r="AG39" i="1"/>
  <c r="AG47" i="1"/>
  <c r="AG55" i="1"/>
  <c r="AG63" i="1"/>
  <c r="AG71" i="1"/>
  <c r="AG79" i="1"/>
  <c r="AG87" i="1"/>
  <c r="AG95" i="1"/>
  <c r="AG103" i="1"/>
  <c r="AG111" i="1"/>
  <c r="AG119" i="1"/>
  <c r="AG127" i="1"/>
  <c r="AG135" i="1"/>
  <c r="AG143" i="1"/>
  <c r="AG151" i="1"/>
  <c r="AG8" i="1"/>
  <c r="AG16" i="1"/>
  <c r="AG24" i="1"/>
  <c r="AG32" i="1"/>
  <c r="AG40" i="1"/>
  <c r="AG48" i="1"/>
  <c r="AG56" i="1"/>
  <c r="AG64" i="1"/>
  <c r="AG72" i="1"/>
  <c r="AG80" i="1"/>
  <c r="AG88" i="1"/>
  <c r="AG96" i="1"/>
  <c r="AG104" i="1"/>
  <c r="AG112" i="1"/>
  <c r="AG120" i="1"/>
  <c r="AG128" i="1"/>
  <c r="AG136" i="1"/>
  <c r="AG144" i="1"/>
  <c r="AG9" i="1"/>
  <c r="AG17" i="1"/>
  <c r="AG25" i="1"/>
  <c r="AG33" i="1"/>
  <c r="AG41" i="1"/>
  <c r="AG49" i="1"/>
  <c r="AG57" i="1"/>
  <c r="AG65" i="1"/>
  <c r="AG73" i="1"/>
  <c r="AG81" i="1"/>
  <c r="AG89" i="1"/>
  <c r="AG97" i="1"/>
  <c r="AG105" i="1"/>
  <c r="AG113" i="1"/>
  <c r="AG121" i="1"/>
  <c r="AG129" i="1"/>
  <c r="AG137" i="1"/>
  <c r="AG145" i="1"/>
  <c r="AG10" i="1"/>
  <c r="AG18" i="1"/>
  <c r="AG26" i="1"/>
  <c r="AG34" i="1"/>
  <c r="AG42" i="1"/>
  <c r="AG50" i="1"/>
  <c r="AG58" i="1"/>
  <c r="AG66" i="1"/>
  <c r="AG74" i="1"/>
  <c r="AG82" i="1"/>
  <c r="AG90" i="1"/>
  <c r="AG98" i="1"/>
  <c r="AG106" i="1"/>
  <c r="AG114" i="1"/>
  <c r="AG122" i="1"/>
  <c r="AG130" i="1"/>
  <c r="AG138" i="1"/>
  <c r="AG146" i="1"/>
  <c r="AG3" i="1"/>
  <c r="AG11" i="1"/>
  <c r="AG19" i="1"/>
  <c r="AG27" i="1"/>
  <c r="AG35" i="1"/>
  <c r="AG43" i="1"/>
  <c r="AG51" i="1"/>
  <c r="AG59" i="1"/>
  <c r="AG67" i="1"/>
  <c r="AG75" i="1"/>
  <c r="AG83" i="1"/>
  <c r="AG91" i="1"/>
  <c r="AG99" i="1"/>
  <c r="AG107" i="1"/>
  <c r="AG115" i="1"/>
  <c r="AG123" i="1"/>
  <c r="AG131" i="1"/>
  <c r="AG139" i="1"/>
  <c r="AG147" i="1"/>
  <c r="AG4" i="1"/>
  <c r="AG12" i="1"/>
  <c r="AG20" i="1"/>
  <c r="AG28" i="1"/>
  <c r="AG36" i="1"/>
  <c r="AG44" i="1"/>
  <c r="AG52" i="1"/>
  <c r="AG60" i="1"/>
  <c r="AG68" i="1"/>
  <c r="AG76" i="1"/>
  <c r="AG84" i="1"/>
  <c r="AG92" i="1"/>
  <c r="AG100" i="1"/>
  <c r="AG108" i="1"/>
  <c r="AG116" i="1"/>
  <c r="AG124" i="1"/>
  <c r="AG132" i="1"/>
  <c r="AG140" i="1"/>
  <c r="AG148" i="1"/>
  <c r="AG5" i="1"/>
  <c r="AG13" i="1"/>
  <c r="AG21" i="1"/>
  <c r="AG29" i="1"/>
  <c r="AG37" i="1"/>
  <c r="AG45" i="1"/>
  <c r="AG53" i="1"/>
  <c r="AG61" i="1"/>
  <c r="AG69" i="1"/>
  <c r="AG77" i="1"/>
  <c r="AG85" i="1"/>
  <c r="AG93" i="1"/>
  <c r="AG101" i="1"/>
  <c r="AG109" i="1"/>
  <c r="AG117" i="1"/>
  <c r="AG125" i="1"/>
  <c r="AG133" i="1"/>
  <c r="AG141" i="1"/>
  <c r="AG149" i="1"/>
  <c r="AG6" i="1"/>
  <c r="AG14" i="1"/>
  <c r="AG22" i="1"/>
  <c r="AG30" i="1"/>
  <c r="AG38" i="1"/>
  <c r="AG46" i="1"/>
  <c r="AG54" i="1"/>
  <c r="AG62" i="1"/>
  <c r="AG70" i="1"/>
  <c r="AG78" i="1"/>
  <c r="AG86" i="1"/>
  <c r="AG94" i="1"/>
  <c r="AG102" i="1"/>
  <c r="AG110" i="1"/>
  <c r="AG118" i="1"/>
  <c r="AG126" i="1"/>
  <c r="AG134" i="1"/>
  <c r="AG142" i="1"/>
  <c r="AG150" i="1"/>
  <c r="A21" i="7"/>
  <c r="A20" i="7"/>
  <c r="A24" i="7"/>
  <c r="A23" i="7"/>
  <c r="A26" i="7"/>
  <c r="A25" i="7"/>
  <c r="A22" i="7"/>
  <c r="A27" i="7"/>
  <c r="A28" i="7"/>
  <c r="A30" i="7"/>
  <c r="A31" i="7"/>
  <c r="A29" i="7"/>
  <c r="A33" i="7"/>
  <c r="A40" i="7"/>
  <c r="A39" i="7"/>
  <c r="A32" i="7"/>
  <c r="A38" i="7"/>
  <c r="A37" i="7"/>
  <c r="A36" i="7"/>
  <c r="A35" i="7"/>
  <c r="A42" i="7"/>
  <c r="A41" i="7"/>
  <c r="A34" i="7"/>
  <c r="A47" i="7"/>
  <c r="A46" i="7"/>
  <c r="A45" i="7"/>
  <c r="A43" i="7"/>
  <c r="A44" i="7"/>
  <c r="A48" i="7"/>
  <c r="A51" i="7"/>
  <c r="A50" i="7"/>
  <c r="A57" i="7"/>
  <c r="A56" i="7"/>
  <c r="A55" i="7"/>
  <c r="A52" i="7"/>
  <c r="A64" i="7"/>
  <c r="A54" i="7"/>
  <c r="A62" i="7"/>
  <c r="A49" i="7"/>
  <c r="A61" i="7"/>
  <c r="A53" i="7"/>
  <c r="A60" i="7"/>
  <c r="A58" i="7"/>
  <c r="A59" i="7"/>
  <c r="A67" i="7"/>
  <c r="A66" i="7"/>
  <c r="A63" i="7"/>
  <c r="A65" i="7"/>
  <c r="A68" i="7"/>
  <c r="A76" i="7"/>
  <c r="A75" i="7"/>
  <c r="A74" i="7"/>
  <c r="A73" i="7"/>
  <c r="A72" i="7"/>
  <c r="A71" i="7"/>
  <c r="A69" i="7"/>
  <c r="A81" i="7"/>
  <c r="A80" i="7"/>
  <c r="A79" i="7"/>
  <c r="A78" i="7"/>
  <c r="A77" i="7"/>
  <c r="A70" i="7"/>
  <c r="A83" i="7"/>
  <c r="A84" i="7"/>
  <c r="A91" i="7"/>
  <c r="A90" i="7"/>
  <c r="A89" i="7"/>
  <c r="A88" i="7"/>
  <c r="A87" i="7"/>
  <c r="A82" i="7"/>
  <c r="A86" i="7"/>
  <c r="A99" i="7"/>
  <c r="A107" i="7"/>
  <c r="A98" i="7"/>
  <c r="A106" i="7"/>
  <c r="A97" i="7"/>
  <c r="A105" i="7"/>
  <c r="A96" i="7"/>
  <c r="A104" i="7"/>
  <c r="A95" i="7"/>
  <c r="A103" i="7"/>
  <c r="A94" i="7"/>
  <c r="A102" i="7"/>
  <c r="A92" i="7"/>
  <c r="A100" i="7"/>
  <c r="A108" i="7"/>
  <c r="A101" i="7"/>
  <c r="A113" i="7"/>
  <c r="A121" i="7"/>
  <c r="A93" i="7"/>
  <c r="A112" i="7"/>
  <c r="A120" i="7"/>
  <c r="A111" i="7"/>
  <c r="A119" i="7"/>
  <c r="A110" i="7"/>
  <c r="A118" i="7"/>
  <c r="A109" i="7"/>
  <c r="A117" i="7"/>
  <c r="A116" i="7"/>
  <c r="A114" i="7"/>
  <c r="A122" i="7"/>
  <c r="A85" i="7"/>
  <c r="A131" i="7"/>
  <c r="A139" i="7"/>
  <c r="A130" i="7"/>
  <c r="A138" i="7"/>
  <c r="A129" i="7"/>
  <c r="A137" i="7"/>
  <c r="A128" i="7"/>
  <c r="A136" i="7"/>
  <c r="A127" i="7"/>
  <c r="A135" i="7"/>
  <c r="A123" i="7"/>
  <c r="A126" i="7"/>
  <c r="A134" i="7"/>
  <c r="A124" i="7"/>
  <c r="A132" i="7"/>
  <c r="A133" i="7"/>
  <c r="A146" i="7"/>
  <c r="A125" i="7"/>
  <c r="A145" i="7"/>
  <c r="A144" i="7"/>
  <c r="A143" i="7"/>
  <c r="A115" i="7"/>
  <c r="A142" i="7"/>
  <c r="A141" i="7"/>
  <c r="A140" i="7"/>
  <c r="A150" i="7"/>
  <c r="A149" i="7"/>
  <c r="A148" i="7"/>
  <c r="A147" i="7"/>
  <c r="A151" i="7"/>
  <c r="A17" i="7"/>
  <c r="A14" i="7"/>
  <c r="A15" i="7"/>
  <c r="A4" i="7"/>
  <c r="A11" i="7"/>
  <c r="A5" i="7"/>
  <c r="A18" i="7"/>
  <c r="A9" i="7"/>
  <c r="A8" i="7"/>
  <c r="A13" i="7"/>
  <c r="A12" i="7"/>
  <c r="A19" i="7"/>
  <c r="A16" i="7"/>
  <c r="A7" i="7"/>
  <c r="A10" i="7"/>
  <c r="A3" i="7"/>
  <c r="K16" i="6" a="1"/>
  <c r="K16" i="6" s="1"/>
  <c r="F2" i="6"/>
  <c r="K15" i="6" s="1"/>
  <c r="L17" i="6" l="1"/>
  <c r="L2" i="1" a="1"/>
  <c r="N15" i="6"/>
  <c r="K14" i="6"/>
  <c r="N6" i="6" s="1" a="1"/>
  <c r="O3" i="6"/>
  <c r="O4" i="6" s="1"/>
  <c r="N14" i="6"/>
  <c r="L2" i="1" l="1"/>
  <c r="L145" i="1"/>
  <c r="L127" i="1"/>
  <c r="L112" i="1"/>
  <c r="L118" i="1"/>
  <c r="L37" i="1"/>
  <c r="L104" i="1"/>
  <c r="L94" i="1"/>
  <c r="L148" i="1"/>
  <c r="L84" i="1"/>
  <c r="L20" i="1"/>
  <c r="L80" i="1"/>
  <c r="L86" i="1"/>
  <c r="L147" i="1"/>
  <c r="L83" i="1"/>
  <c r="L19" i="1"/>
  <c r="L88" i="1"/>
  <c r="L70" i="1"/>
  <c r="L106" i="1"/>
  <c r="L42" i="1"/>
  <c r="L77" i="1"/>
  <c r="L25" i="1"/>
  <c r="L45" i="1"/>
  <c r="L120" i="1"/>
  <c r="L114" i="1"/>
  <c r="L97" i="1"/>
  <c r="L87" i="1"/>
  <c r="L72" i="1"/>
  <c r="L78" i="1"/>
  <c r="L29" i="1"/>
  <c r="L64" i="1"/>
  <c r="L54" i="1"/>
  <c r="L140" i="1"/>
  <c r="L76" i="1"/>
  <c r="L12" i="1"/>
  <c r="L40" i="1"/>
  <c r="L62" i="1"/>
  <c r="L139" i="1"/>
  <c r="L75" i="1"/>
  <c r="L11" i="1"/>
  <c r="L48" i="1"/>
  <c r="L46" i="1"/>
  <c r="L98" i="1"/>
  <c r="L34" i="1"/>
  <c r="L138" i="1"/>
  <c r="L49" i="1"/>
  <c r="L100" i="1"/>
  <c r="L35" i="1"/>
  <c r="L9" i="1"/>
  <c r="L28" i="1"/>
  <c r="L102" i="1"/>
  <c r="L73" i="1"/>
  <c r="L47" i="1"/>
  <c r="L32" i="1"/>
  <c r="L30" i="1"/>
  <c r="L21" i="1"/>
  <c r="L24" i="1"/>
  <c r="L22" i="1"/>
  <c r="L132" i="1"/>
  <c r="L68" i="1"/>
  <c r="L4" i="1"/>
  <c r="L143" i="1"/>
  <c r="L38" i="1"/>
  <c r="L131" i="1"/>
  <c r="L67" i="1"/>
  <c r="L3" i="1"/>
  <c r="L8" i="1"/>
  <c r="L14" i="1"/>
  <c r="L90" i="1"/>
  <c r="L26" i="1"/>
  <c r="L74" i="1"/>
  <c r="L41" i="1"/>
  <c r="L142" i="1"/>
  <c r="L122" i="1"/>
  <c r="L126" i="1"/>
  <c r="L61" i="1"/>
  <c r="L50" i="1"/>
  <c r="L33" i="1"/>
  <c r="L7" i="1"/>
  <c r="L151" i="1"/>
  <c r="L149" i="1"/>
  <c r="L13" i="1"/>
  <c r="L135" i="1"/>
  <c r="L141" i="1"/>
  <c r="L124" i="1"/>
  <c r="L60" i="1"/>
  <c r="L129" i="1"/>
  <c r="L103" i="1"/>
  <c r="L6" i="1"/>
  <c r="L123" i="1"/>
  <c r="L59" i="1"/>
  <c r="L137" i="1"/>
  <c r="L119" i="1"/>
  <c r="L146" i="1"/>
  <c r="L82" i="1"/>
  <c r="L18" i="1"/>
  <c r="L71" i="1"/>
  <c r="L39" i="1"/>
  <c r="L17" i="1"/>
  <c r="L134" i="1"/>
  <c r="L144" i="1"/>
  <c r="L27" i="1"/>
  <c r="L136" i="1"/>
  <c r="L121" i="1"/>
  <c r="L111" i="1"/>
  <c r="L117" i="1"/>
  <c r="L5" i="1"/>
  <c r="L95" i="1"/>
  <c r="L125" i="1"/>
  <c r="L116" i="1"/>
  <c r="L52" i="1"/>
  <c r="L89" i="1"/>
  <c r="L63" i="1"/>
  <c r="L133" i="1"/>
  <c r="L115" i="1"/>
  <c r="L51" i="1"/>
  <c r="L113" i="1"/>
  <c r="L10" i="1"/>
  <c r="L31" i="1"/>
  <c r="L85" i="1"/>
  <c r="L58" i="1"/>
  <c r="L53" i="1"/>
  <c r="L91" i="1"/>
  <c r="L96" i="1"/>
  <c r="L81" i="1"/>
  <c r="L79" i="1"/>
  <c r="L93" i="1"/>
  <c r="L105" i="1"/>
  <c r="L55" i="1"/>
  <c r="L101" i="1"/>
  <c r="L108" i="1"/>
  <c r="L44" i="1"/>
  <c r="L57" i="1"/>
  <c r="L23" i="1"/>
  <c r="L109" i="1"/>
  <c r="L107" i="1"/>
  <c r="L43" i="1"/>
  <c r="L65" i="1"/>
  <c r="L15" i="1"/>
  <c r="L130" i="1"/>
  <c r="L66" i="1"/>
  <c r="L56" i="1"/>
  <c r="L69" i="1"/>
  <c r="L36" i="1"/>
  <c r="L99" i="1"/>
  <c r="L150" i="1"/>
  <c r="L92" i="1"/>
  <c r="L128" i="1"/>
  <c r="L16" i="1"/>
  <c r="L110" i="1"/>
  <c r="K55" i="1"/>
  <c r="M55" i="1" s="1"/>
  <c r="N55" i="1" s="1"/>
  <c r="K58" i="1"/>
  <c r="M58" i="1" s="1"/>
  <c r="N58" i="1" s="1"/>
  <c r="K125" i="1"/>
  <c r="M125" i="1" s="1"/>
  <c r="N125" i="1" s="1"/>
  <c r="N6" i="6"/>
  <c r="N10" i="6" s="1"/>
  <c r="O10" i="6" s="1"/>
  <c r="P10" i="6" s="1"/>
  <c r="O7" i="6"/>
  <c r="N11" i="6" s="1"/>
  <c r="O11" i="6" s="1"/>
  <c r="P11" i="6" s="1"/>
  <c r="N7" i="6"/>
  <c r="O6" i="6"/>
  <c r="K66" i="1"/>
  <c r="M66" i="1" s="1"/>
  <c r="N66" i="1" s="1"/>
  <c r="K2" i="1"/>
  <c r="K86" i="1"/>
  <c r="M86" i="1" s="1"/>
  <c r="N86" i="1" s="1"/>
  <c r="K65" i="1"/>
  <c r="M65" i="1" s="1"/>
  <c r="N65" i="1" s="1"/>
  <c r="K150" i="1"/>
  <c r="M150" i="1" s="1"/>
  <c r="N150" i="1" s="1"/>
  <c r="K94" i="1"/>
  <c r="M94" i="1" s="1"/>
  <c r="N94" i="1" s="1"/>
  <c r="K83" i="1"/>
  <c r="M83" i="1" s="1"/>
  <c r="N83" i="1" s="1"/>
  <c r="K95" i="1"/>
  <c r="M95" i="1" s="1"/>
  <c r="N95" i="1" s="1"/>
  <c r="K122" i="1"/>
  <c r="M122" i="1" s="1"/>
  <c r="N122" i="1" s="1"/>
  <c r="K84" i="1"/>
  <c r="M84" i="1" s="1"/>
  <c r="N84" i="1" s="1"/>
  <c r="K151" i="1"/>
  <c r="M151" i="1" s="1"/>
  <c r="N151" i="1" s="1"/>
  <c r="K48" i="1"/>
  <c r="M48" i="1" s="1"/>
  <c r="N48" i="1" s="1"/>
  <c r="K9" i="1"/>
  <c r="M9" i="1" s="1"/>
  <c r="N9" i="1" s="1"/>
  <c r="K138" i="1"/>
  <c r="M138" i="1" s="1"/>
  <c r="N138" i="1" s="1"/>
  <c r="K3" i="1"/>
  <c r="M3" i="1" s="1"/>
  <c r="N3" i="1" s="1"/>
  <c r="K30" i="1"/>
  <c r="M30" i="1" s="1"/>
  <c r="N30" i="1" s="1"/>
  <c r="K129" i="1"/>
  <c r="M129" i="1" s="1"/>
  <c r="N129" i="1" s="1"/>
  <c r="K14" i="1"/>
  <c r="M14" i="1" s="1"/>
  <c r="N14" i="1" s="1"/>
  <c r="K12" i="1"/>
  <c r="M12" i="1" s="1"/>
  <c r="N12" i="1" s="1"/>
  <c r="K127" i="1"/>
  <c r="M127" i="1" s="1"/>
  <c r="N127" i="1" s="1"/>
  <c r="K111" i="1"/>
  <c r="M111" i="1" s="1"/>
  <c r="N111" i="1" s="1"/>
  <c r="K109" i="1"/>
  <c r="M109" i="1" s="1"/>
  <c r="N109" i="1" s="1"/>
  <c r="K121" i="1"/>
  <c r="M121" i="1" s="1"/>
  <c r="N121" i="1" s="1"/>
  <c r="K93" i="1"/>
  <c r="M93" i="1" s="1"/>
  <c r="N93" i="1" s="1"/>
  <c r="K139" i="1"/>
  <c r="M139" i="1" s="1"/>
  <c r="N139" i="1" s="1"/>
  <c r="K137" i="1"/>
  <c r="M137" i="1" s="1"/>
  <c r="N137" i="1" s="1"/>
  <c r="K142" i="1"/>
  <c r="M142" i="1" s="1"/>
  <c r="N142" i="1" s="1"/>
  <c r="K77" i="1"/>
  <c r="M77" i="1" s="1"/>
  <c r="N77" i="1" s="1"/>
  <c r="K120" i="1"/>
  <c r="M120" i="1" s="1"/>
  <c r="N120" i="1" s="1"/>
  <c r="K85" i="1"/>
  <c r="M85" i="1" s="1"/>
  <c r="N85" i="1" s="1"/>
  <c r="K75" i="1"/>
  <c r="M75" i="1" s="1"/>
  <c r="N75" i="1" s="1"/>
  <c r="K10" i="1"/>
  <c r="M10" i="1" s="1"/>
  <c r="N10" i="1" s="1"/>
  <c r="K61" i="1"/>
  <c r="M61" i="1" s="1"/>
  <c r="N61" i="1" s="1"/>
  <c r="K112" i="1"/>
  <c r="M112" i="1" s="1"/>
  <c r="N112" i="1" s="1"/>
  <c r="K132" i="1"/>
  <c r="M132" i="1" s="1"/>
  <c r="N132" i="1" s="1"/>
  <c r="K67" i="1"/>
  <c r="M67" i="1" s="1"/>
  <c r="N67" i="1" s="1"/>
  <c r="K124" i="1"/>
  <c r="M124" i="1" s="1"/>
  <c r="N124" i="1" s="1"/>
  <c r="K104" i="1"/>
  <c r="M104" i="1" s="1"/>
  <c r="N104" i="1" s="1"/>
  <c r="K116" i="1"/>
  <c r="M116" i="1" s="1"/>
  <c r="N116" i="1" s="1"/>
  <c r="K19" i="1"/>
  <c r="M19" i="1" s="1"/>
  <c r="N19" i="1" s="1"/>
  <c r="K34" i="1"/>
  <c r="M34" i="1" s="1"/>
  <c r="N34" i="1" s="1"/>
  <c r="K31" i="1"/>
  <c r="M31" i="1" s="1"/>
  <c r="N31" i="1" s="1"/>
  <c r="K73" i="1"/>
  <c r="M73" i="1" s="1"/>
  <c r="N73" i="1" s="1"/>
  <c r="K78" i="1"/>
  <c r="M78" i="1" s="1"/>
  <c r="N78" i="1" s="1"/>
  <c r="K108" i="1"/>
  <c r="M108" i="1" s="1"/>
  <c r="N108" i="1" s="1"/>
  <c r="K56" i="1"/>
  <c r="M56" i="1" s="1"/>
  <c r="N56" i="1" s="1"/>
  <c r="K100" i="1"/>
  <c r="M100" i="1" s="1"/>
  <c r="N100" i="1" s="1"/>
  <c r="K11" i="1"/>
  <c r="M11" i="1" s="1"/>
  <c r="N11" i="1" s="1"/>
  <c r="K57" i="1"/>
  <c r="M57" i="1" s="1"/>
  <c r="N57" i="1" s="1"/>
  <c r="K22" i="1"/>
  <c r="M22" i="1" s="1"/>
  <c r="N22" i="1" s="1"/>
  <c r="K115" i="1"/>
  <c r="M115" i="1" s="1"/>
  <c r="N115" i="1" s="1"/>
  <c r="K40" i="1"/>
  <c r="M40" i="1" s="1"/>
  <c r="N40" i="1" s="1"/>
  <c r="K147" i="1"/>
  <c r="M147" i="1" s="1"/>
  <c r="N147" i="1" s="1"/>
  <c r="K74" i="1"/>
  <c r="M74" i="1" s="1"/>
  <c r="N74" i="1" s="1"/>
  <c r="K87" i="1"/>
  <c r="M87" i="1" s="1"/>
  <c r="N87" i="1" s="1"/>
  <c r="K49" i="1"/>
  <c r="M49" i="1" s="1"/>
  <c r="N49" i="1" s="1"/>
  <c r="K6" i="1"/>
  <c r="M6" i="1" s="1"/>
  <c r="N6" i="1" s="1"/>
  <c r="K96" i="1"/>
  <c r="M96" i="1" s="1"/>
  <c r="N96" i="1" s="1"/>
  <c r="K92" i="1"/>
  <c r="M92" i="1" s="1"/>
  <c r="N92" i="1" s="1"/>
  <c r="K50" i="1"/>
  <c r="M50" i="1" s="1"/>
  <c r="N50" i="1" s="1"/>
  <c r="K23" i="1"/>
  <c r="M23" i="1" s="1"/>
  <c r="N23" i="1" s="1"/>
  <c r="K41" i="1"/>
  <c r="M41" i="1" s="1"/>
  <c r="N41" i="1" s="1"/>
  <c r="K21" i="1"/>
  <c r="M21" i="1" s="1"/>
  <c r="N21" i="1" s="1"/>
  <c r="K47" i="1"/>
  <c r="M47" i="1" s="1"/>
  <c r="N47" i="1" s="1"/>
  <c r="K15" i="1"/>
  <c r="M15" i="1" s="1"/>
  <c r="N15" i="1" s="1"/>
  <c r="K25" i="1"/>
  <c r="M25" i="1" s="1"/>
  <c r="N25" i="1" s="1"/>
  <c r="K110" i="1"/>
  <c r="M110" i="1" s="1"/>
  <c r="N110" i="1" s="1"/>
  <c r="K117" i="1"/>
  <c r="M117" i="1" s="1"/>
  <c r="N117" i="1" s="1"/>
  <c r="K148" i="1"/>
  <c r="M148" i="1" s="1"/>
  <c r="N148" i="1" s="1"/>
  <c r="K20" i="1"/>
  <c r="M20" i="1" s="1"/>
  <c r="N20" i="1" s="1"/>
  <c r="K136" i="1"/>
  <c r="M136" i="1" s="1"/>
  <c r="N136" i="1" s="1"/>
  <c r="K72" i="1"/>
  <c r="M72" i="1" s="1"/>
  <c r="N72" i="1" s="1"/>
  <c r="K8" i="1"/>
  <c r="M8" i="1" s="1"/>
  <c r="N8" i="1" s="1"/>
  <c r="K29" i="1"/>
  <c r="M29" i="1" s="1"/>
  <c r="N29" i="1" s="1"/>
  <c r="K36" i="1"/>
  <c r="M36" i="1" s="1"/>
  <c r="N36" i="1" s="1"/>
  <c r="K99" i="1"/>
  <c r="M99" i="1" s="1"/>
  <c r="N99" i="1" s="1"/>
  <c r="K35" i="1"/>
  <c r="M35" i="1" s="1"/>
  <c r="N35" i="1" s="1"/>
  <c r="K98" i="1"/>
  <c r="M98" i="1" s="1"/>
  <c r="N98" i="1" s="1"/>
  <c r="K26" i="1"/>
  <c r="M26" i="1" s="1"/>
  <c r="N26" i="1" s="1"/>
  <c r="K39" i="1"/>
  <c r="M39" i="1" s="1"/>
  <c r="N39" i="1" s="1"/>
  <c r="K134" i="1"/>
  <c r="M134" i="1" s="1"/>
  <c r="N134" i="1" s="1"/>
  <c r="K37" i="1"/>
  <c r="M37" i="1" s="1"/>
  <c r="N37" i="1" s="1"/>
  <c r="K106" i="1"/>
  <c r="M106" i="1" s="1"/>
  <c r="N106" i="1" s="1"/>
  <c r="K69" i="1"/>
  <c r="M69" i="1" s="1"/>
  <c r="N69" i="1" s="1"/>
  <c r="K59" i="1"/>
  <c r="M59" i="1" s="1"/>
  <c r="N59" i="1" s="1"/>
  <c r="K143" i="1"/>
  <c r="M143" i="1" s="1"/>
  <c r="N143" i="1" s="1"/>
  <c r="K62" i="1"/>
  <c r="M62" i="1" s="1"/>
  <c r="N62" i="1" s="1"/>
  <c r="K82" i="1"/>
  <c r="M82" i="1" s="1"/>
  <c r="N82" i="1" s="1"/>
  <c r="K71" i="1"/>
  <c r="M71" i="1" s="1"/>
  <c r="N71" i="1" s="1"/>
  <c r="K89" i="1"/>
  <c r="M89" i="1" s="1"/>
  <c r="N89" i="1" s="1"/>
  <c r="K46" i="1"/>
  <c r="M46" i="1" s="1"/>
  <c r="N46" i="1" s="1"/>
  <c r="K103" i="1"/>
  <c r="M103" i="1" s="1"/>
  <c r="N103" i="1" s="1"/>
  <c r="K7" i="1"/>
  <c r="M7" i="1" s="1"/>
  <c r="N7" i="1" s="1"/>
  <c r="K145" i="1"/>
  <c r="M145" i="1" s="1"/>
  <c r="N145" i="1" s="1"/>
  <c r="K81" i="1"/>
  <c r="M81" i="1" s="1"/>
  <c r="N81" i="1" s="1"/>
  <c r="K17" i="1"/>
  <c r="M17" i="1" s="1"/>
  <c r="N17" i="1" s="1"/>
  <c r="K102" i="1"/>
  <c r="M102" i="1" s="1"/>
  <c r="N102" i="1" s="1"/>
  <c r="K38" i="1"/>
  <c r="M38" i="1" s="1"/>
  <c r="N38" i="1" s="1"/>
  <c r="K101" i="1"/>
  <c r="M101" i="1" s="1"/>
  <c r="N101" i="1" s="1"/>
  <c r="K140" i="1"/>
  <c r="M140" i="1" s="1"/>
  <c r="N140" i="1" s="1"/>
  <c r="K4" i="1"/>
  <c r="M4" i="1" s="1"/>
  <c r="N4" i="1" s="1"/>
  <c r="K128" i="1"/>
  <c r="M128" i="1" s="1"/>
  <c r="N128" i="1" s="1"/>
  <c r="K64" i="1"/>
  <c r="M64" i="1" s="1"/>
  <c r="N64" i="1" s="1"/>
  <c r="K141" i="1"/>
  <c r="M141" i="1" s="1"/>
  <c r="N141" i="1" s="1"/>
  <c r="K13" i="1"/>
  <c r="M13" i="1" s="1"/>
  <c r="N13" i="1" s="1"/>
  <c r="K28" i="1"/>
  <c r="M28" i="1" s="1"/>
  <c r="N28" i="1" s="1"/>
  <c r="K91" i="1"/>
  <c r="M91" i="1" s="1"/>
  <c r="N91" i="1" s="1"/>
  <c r="K27" i="1"/>
  <c r="M27" i="1" s="1"/>
  <c r="N27" i="1" s="1"/>
  <c r="K90" i="1"/>
  <c r="M90" i="1" s="1"/>
  <c r="N90" i="1" s="1"/>
  <c r="K18" i="1"/>
  <c r="M18" i="1" s="1"/>
  <c r="N18" i="1" s="1"/>
  <c r="K113" i="1"/>
  <c r="M113" i="1" s="1"/>
  <c r="N113" i="1" s="1"/>
  <c r="K70" i="1"/>
  <c r="M70" i="1" s="1"/>
  <c r="N70" i="1" s="1"/>
  <c r="K76" i="1"/>
  <c r="M76" i="1" s="1"/>
  <c r="N76" i="1" s="1"/>
  <c r="K32" i="1"/>
  <c r="M32" i="1" s="1"/>
  <c r="N32" i="1" s="1"/>
  <c r="K131" i="1"/>
  <c r="M131" i="1" s="1"/>
  <c r="N131" i="1" s="1"/>
  <c r="K146" i="1"/>
  <c r="M146" i="1" s="1"/>
  <c r="N146" i="1" s="1"/>
  <c r="K63" i="1"/>
  <c r="M63" i="1" s="1"/>
  <c r="N63" i="1" s="1"/>
  <c r="K105" i="1"/>
  <c r="M105" i="1" s="1"/>
  <c r="N105" i="1" s="1"/>
  <c r="K126" i="1"/>
  <c r="M126" i="1" s="1"/>
  <c r="N126" i="1" s="1"/>
  <c r="K149" i="1"/>
  <c r="M149" i="1" s="1"/>
  <c r="N149" i="1" s="1"/>
  <c r="K60" i="1"/>
  <c r="M60" i="1" s="1"/>
  <c r="N60" i="1" s="1"/>
  <c r="K88" i="1"/>
  <c r="M88" i="1" s="1"/>
  <c r="N88" i="1" s="1"/>
  <c r="K24" i="1"/>
  <c r="M24" i="1" s="1"/>
  <c r="N24" i="1" s="1"/>
  <c r="K53" i="1"/>
  <c r="M53" i="1" s="1"/>
  <c r="N53" i="1" s="1"/>
  <c r="K68" i="1"/>
  <c r="M68" i="1" s="1"/>
  <c r="N68" i="1" s="1"/>
  <c r="K123" i="1"/>
  <c r="M123" i="1" s="1"/>
  <c r="N123" i="1" s="1"/>
  <c r="K51" i="1"/>
  <c r="M51" i="1" s="1"/>
  <c r="N51" i="1" s="1"/>
  <c r="K130" i="1"/>
  <c r="M130" i="1" s="1"/>
  <c r="N130" i="1" s="1"/>
  <c r="K42" i="1"/>
  <c r="M42" i="1" s="1"/>
  <c r="N42" i="1" s="1"/>
  <c r="K119" i="1"/>
  <c r="M119" i="1" s="1"/>
  <c r="N119" i="1" s="1"/>
  <c r="K135" i="1"/>
  <c r="M135" i="1" s="1"/>
  <c r="N135" i="1" s="1"/>
  <c r="K79" i="1"/>
  <c r="M79" i="1" s="1"/>
  <c r="N79" i="1" s="1"/>
  <c r="K97" i="1"/>
  <c r="M97" i="1" s="1"/>
  <c r="N97" i="1" s="1"/>
  <c r="K33" i="1"/>
  <c r="M33" i="1" s="1"/>
  <c r="N33" i="1" s="1"/>
  <c r="K118" i="1"/>
  <c r="M118" i="1" s="1"/>
  <c r="N118" i="1" s="1"/>
  <c r="K54" i="1"/>
  <c r="M54" i="1" s="1"/>
  <c r="N54" i="1" s="1"/>
  <c r="K133" i="1"/>
  <c r="M133" i="1" s="1"/>
  <c r="N133" i="1" s="1"/>
  <c r="K5" i="1"/>
  <c r="M5" i="1" s="1"/>
  <c r="N5" i="1" s="1"/>
  <c r="K44" i="1"/>
  <c r="M44" i="1" s="1"/>
  <c r="N44" i="1" s="1"/>
  <c r="K144" i="1"/>
  <c r="M144" i="1" s="1"/>
  <c r="N144" i="1" s="1"/>
  <c r="K80" i="1"/>
  <c r="M80" i="1" s="1"/>
  <c r="N80" i="1" s="1"/>
  <c r="K16" i="1"/>
  <c r="M16" i="1" s="1"/>
  <c r="N16" i="1" s="1"/>
  <c r="K45" i="1"/>
  <c r="M45" i="1" s="1"/>
  <c r="N45" i="1" s="1"/>
  <c r="K52" i="1"/>
  <c r="M52" i="1" s="1"/>
  <c r="N52" i="1" s="1"/>
  <c r="K107" i="1"/>
  <c r="M107" i="1" s="1"/>
  <c r="N107" i="1" s="1"/>
  <c r="K43" i="1"/>
  <c r="M43" i="1" s="1"/>
  <c r="N43" i="1" s="1"/>
  <c r="K114" i="1"/>
  <c r="M114" i="1" s="1"/>
  <c r="N114" i="1" s="1"/>
  <c r="AF2" i="1" l="1"/>
  <c r="M2" i="1"/>
  <c r="N2" i="1" s="1"/>
  <c r="AF9" i="1"/>
  <c r="AF17" i="1"/>
  <c r="AF25" i="1"/>
  <c r="AF33" i="1"/>
  <c r="AF41" i="1"/>
  <c r="AF49" i="1"/>
  <c r="AF57" i="1"/>
  <c r="AF65" i="1"/>
  <c r="AF73" i="1"/>
  <c r="AF81" i="1"/>
  <c r="AF89" i="1"/>
  <c r="AF97" i="1"/>
  <c r="AF105" i="1"/>
  <c r="AF113" i="1"/>
  <c r="AF121" i="1"/>
  <c r="AF129" i="1"/>
  <c r="AF137" i="1"/>
  <c r="AF145" i="1"/>
  <c r="AF10" i="1"/>
  <c r="AF18" i="1"/>
  <c r="AF26" i="1"/>
  <c r="AF34" i="1"/>
  <c r="AF42" i="1"/>
  <c r="AF50" i="1"/>
  <c r="AF58" i="1"/>
  <c r="AF66" i="1"/>
  <c r="AF74" i="1"/>
  <c r="AF82" i="1"/>
  <c r="AF90" i="1"/>
  <c r="AF98" i="1"/>
  <c r="AF106" i="1"/>
  <c r="AF114" i="1"/>
  <c r="AF122" i="1"/>
  <c r="AF130" i="1"/>
  <c r="AF138" i="1"/>
  <c r="AF146" i="1"/>
  <c r="AF3" i="1"/>
  <c r="AF11" i="1"/>
  <c r="AF19" i="1"/>
  <c r="AF27" i="1"/>
  <c r="AF35" i="1"/>
  <c r="AF43" i="1"/>
  <c r="AF51" i="1"/>
  <c r="AF59" i="1"/>
  <c r="AF67" i="1"/>
  <c r="AF75" i="1"/>
  <c r="AF83" i="1"/>
  <c r="AF91" i="1"/>
  <c r="AF99" i="1"/>
  <c r="AF107" i="1"/>
  <c r="AF115" i="1"/>
  <c r="AF123" i="1"/>
  <c r="AF131" i="1"/>
  <c r="AF139" i="1"/>
  <c r="AF147" i="1"/>
  <c r="AF4" i="1"/>
  <c r="AF12" i="1"/>
  <c r="AF20" i="1"/>
  <c r="AF28" i="1"/>
  <c r="AF36" i="1"/>
  <c r="AF44" i="1"/>
  <c r="AF52" i="1"/>
  <c r="AF60" i="1"/>
  <c r="AF68" i="1"/>
  <c r="AF76" i="1"/>
  <c r="AF84" i="1"/>
  <c r="AF92" i="1"/>
  <c r="AF100" i="1"/>
  <c r="AF108" i="1"/>
  <c r="AF116" i="1"/>
  <c r="AF124" i="1"/>
  <c r="AF132" i="1"/>
  <c r="AF140" i="1"/>
  <c r="AF148" i="1"/>
  <c r="AF5" i="1"/>
  <c r="AF13" i="1"/>
  <c r="AF21" i="1"/>
  <c r="AF29" i="1"/>
  <c r="AF37" i="1"/>
  <c r="AF45" i="1"/>
  <c r="AF53" i="1"/>
  <c r="AF61" i="1"/>
  <c r="AF69" i="1"/>
  <c r="AF77" i="1"/>
  <c r="AF85" i="1"/>
  <c r="AF93" i="1"/>
  <c r="AF101" i="1"/>
  <c r="AF109" i="1"/>
  <c r="AF117" i="1"/>
  <c r="AF125" i="1"/>
  <c r="AF133" i="1"/>
  <c r="AF141" i="1"/>
  <c r="AF149" i="1"/>
  <c r="AF6" i="1"/>
  <c r="AF14" i="1"/>
  <c r="AF22" i="1"/>
  <c r="AF30" i="1"/>
  <c r="AF38" i="1"/>
  <c r="AF46" i="1"/>
  <c r="AF54" i="1"/>
  <c r="AF62" i="1"/>
  <c r="AF70" i="1"/>
  <c r="AF78" i="1"/>
  <c r="AF86" i="1"/>
  <c r="AF94" i="1"/>
  <c r="AF102" i="1"/>
  <c r="AF110" i="1"/>
  <c r="AF118" i="1"/>
  <c r="AF126" i="1"/>
  <c r="AF134" i="1"/>
  <c r="AF142" i="1"/>
  <c r="AF150" i="1"/>
  <c r="AF7" i="1"/>
  <c r="AF15" i="1"/>
  <c r="AF23" i="1"/>
  <c r="AF31" i="1"/>
  <c r="AF39" i="1"/>
  <c r="AF47" i="1"/>
  <c r="AF55" i="1"/>
  <c r="AF63" i="1"/>
  <c r="AF71" i="1"/>
  <c r="AF79" i="1"/>
  <c r="AF87" i="1"/>
  <c r="AF95" i="1"/>
  <c r="AF103" i="1"/>
  <c r="AF111" i="1"/>
  <c r="AF119" i="1"/>
  <c r="AF127" i="1"/>
  <c r="AF135" i="1"/>
  <c r="AF8" i="1"/>
  <c r="AF16" i="1"/>
  <c r="AF80" i="1"/>
  <c r="AF143" i="1"/>
  <c r="AF144" i="1"/>
  <c r="AF24" i="1"/>
  <c r="AF88" i="1"/>
  <c r="AF151" i="1"/>
  <c r="AF32" i="1"/>
  <c r="AF96" i="1"/>
  <c r="AF40" i="1"/>
  <c r="AF104" i="1"/>
  <c r="AF64" i="1"/>
  <c r="AF48" i="1"/>
  <c r="AF112" i="1"/>
  <c r="AF136" i="1"/>
  <c r="AF56" i="1"/>
  <c r="AF120" i="1"/>
  <c r="AF128" i="1"/>
  <c r="AF72" i="1"/>
  <c r="Q20" i="1" a="1"/>
  <c r="Q20" i="1" s="1"/>
  <c r="Q19" i="1"/>
  <c r="Q18" i="1" s="1"/>
  <c r="X2" i="1" s="1" a="1"/>
  <c r="Q23" i="1" l="1"/>
  <c r="U18" i="1"/>
  <c r="U19" i="1" s="1"/>
  <c r="U17" i="1" s="1"/>
  <c r="X2" i="1"/>
  <c r="X10" i="1" s="1"/>
  <c r="Y10" i="1" s="1"/>
  <c r="AB5" i="1"/>
  <c r="AB6" i="1"/>
  <c r="X14" i="1" s="1"/>
  <c r="Y14" i="1" s="1"/>
  <c r="Z14" i="1" s="1"/>
  <c r="AC3" i="1"/>
  <c r="Y6" i="1"/>
  <c r="Z3" i="1"/>
  <c r="Y7" i="1"/>
  <c r="AC2" i="1"/>
  <c r="Z4" i="1"/>
  <c r="Z5" i="1"/>
  <c r="AA2" i="1"/>
  <c r="AC4" i="1"/>
  <c r="X6" i="1"/>
  <c r="X7" i="1"/>
  <c r="X3" i="1"/>
  <c r="X4" i="1"/>
  <c r="AB7" i="1"/>
  <c r="AA3" i="1"/>
  <c r="AA6" i="1"/>
  <c r="AA7" i="1"/>
  <c r="Y3" i="1"/>
  <c r="X11" i="1" s="1"/>
  <c r="Y11" i="1" s="1"/>
  <c r="Z11" i="1" s="1"/>
  <c r="AB2" i="1"/>
  <c r="Z6" i="1"/>
  <c r="Y2" i="1"/>
  <c r="AC6" i="1"/>
  <c r="AA4" i="1"/>
  <c r="X5" i="1"/>
  <c r="AC5" i="1"/>
  <c r="Y4" i="1"/>
  <c r="AB4" i="1"/>
  <c r="AA5" i="1"/>
  <c r="X13" i="1" s="1"/>
  <c r="Y13" i="1" s="1"/>
  <c r="Z13" i="1" s="1"/>
  <c r="AC7" i="1"/>
  <c r="X15" i="1" s="1"/>
  <c r="Y15" i="1" s="1"/>
  <c r="Z15" i="1" s="1"/>
  <c r="AB3" i="1"/>
  <c r="Z7" i="1"/>
  <c r="Z2" i="1"/>
  <c r="Y5" i="1"/>
  <c r="Q24" i="1"/>
  <c r="R21" i="1"/>
  <c r="X12" i="1"/>
  <c r="Y12" i="1" s="1"/>
  <c r="Z12" i="1" s="1"/>
  <c r="Z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<sst xmlns="http://schemas.openxmlformats.org/spreadsheetml/2006/main" count="236" uniqueCount="64">
  <si>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</si>
  <si>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</si>
  <si>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</si>
  <si>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</si>
  <si>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</si>
  <si>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</si>
  <si>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</si>
  <si>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</si>
  <si>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L.P.</t>
  </si>
  <si>
    <t>Prognoza</t>
  </si>
  <si>
    <t>Eps</t>
  </si>
  <si>
    <t>XTX</t>
  </si>
  <si>
    <t>e =</t>
  </si>
  <si>
    <t>d =</t>
  </si>
  <si>
    <t>c =</t>
  </si>
  <si>
    <t>b =</t>
  </si>
  <si>
    <t>a =</t>
  </si>
  <si>
    <t>śr P.L.</t>
  </si>
  <si>
    <t>War Eps</t>
  </si>
  <si>
    <t>SSE</t>
  </si>
  <si>
    <t>SSR</t>
  </si>
  <si>
    <t>SST</t>
  </si>
  <si>
    <t>R^2</t>
  </si>
  <si>
    <t>R^2 skor</t>
  </si>
  <si>
    <t>V =</t>
  </si>
  <si>
    <t>p-wartość</t>
  </si>
  <si>
    <t>Test F</t>
  </si>
  <si>
    <t>F</t>
  </si>
  <si>
    <t>alfa =</t>
  </si>
  <si>
    <t>Stat test. T</t>
  </si>
  <si>
    <t>Dziecko</t>
  </si>
  <si>
    <t>Ojciec</t>
  </si>
  <si>
    <t>Matka</t>
  </si>
  <si>
    <t>Wwolny</t>
  </si>
  <si>
    <t>śr Dziecka</t>
  </si>
  <si>
    <t>Współczynniki regresji (podgląd)</t>
  </si>
  <si>
    <t>Normalnośc reszt</t>
  </si>
  <si>
    <t>G^(-1)(*)</t>
  </si>
  <si>
    <t>Dźwignia</t>
  </si>
  <si>
    <t>H</t>
  </si>
  <si>
    <t>Prognoza II</t>
  </si>
  <si>
    <t>Prognoza I</t>
  </si>
  <si>
    <t>std.eps</t>
  </si>
  <si>
    <t>Setosa</t>
  </si>
  <si>
    <t>Versicolor</t>
  </si>
  <si>
    <t>f =</t>
  </si>
  <si>
    <t>W.wolny</t>
  </si>
  <si>
    <t>Dźwignia II</t>
  </si>
  <si>
    <t>(|std.eps|)^(-1/2)</t>
  </si>
  <si>
    <t>dopasowanie R^2</t>
  </si>
  <si>
    <t>statystyka testowa</t>
  </si>
  <si>
    <t>st. Swobody</t>
  </si>
  <si>
    <t>błąd oceny W</t>
  </si>
  <si>
    <t>wartości współczynników</t>
  </si>
  <si>
    <t>standardowe wartości błedu</t>
  </si>
  <si>
    <t>1. Zaczynamy od testu F</t>
  </si>
  <si>
    <t>2. Sprawdzamy czy reszty są losowe i czy nie zależą od zmiennych objaśnianych (wykresy)</t>
  </si>
  <si>
    <t>3. Badamy normalność reszt</t>
  </si>
  <si>
    <t>4. Obliczamy dźwignię, która mówi o wpływie pojedyńczej obserwacji na kształ linii regresji</t>
  </si>
  <si>
    <t>|std.eps|^(-1/2)</t>
  </si>
  <si>
    <t>5. Studentyzujemy reszty i rysujemy wykresy</t>
  </si>
  <si>
    <t>6. Przyrównujemy graficznie dźwignię i studentyzowane reszty</t>
  </si>
  <si>
    <t>Wariancja współczynnika</t>
  </si>
  <si>
    <t>Kowariancje między współczynnikami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</si>
</sst>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"/>
    <numFmt numFmtId="165" formatCode="0.00000"/>
    <numFmt numFmtId="166" formatCode="0.00000%"/>
  </numFmts>
  <fonts count="2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5"/>
      <name val="Calibri"/>
      <family val="2"/>
      <charset val="238"/>
      <scheme val="minor"/>
    </font>
    <font>
      <sz val="11"/>
      <color theme="7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6">
    <xf numFmtId="0" fontId="0" fillId="0" borderId="0" xfId="0"/>
    <xf numFmtId="0" fontId="0" fillId="0" borderId="0" xfId="0" applyBorder="1"/>
    <xf numFmtId="0" fontId="16" fillId="0" borderId="10" xfId="0" applyFont="1" applyBorder="1"/>
    <xf numFmtId="0" fontId="0" fillId="0" borderId="10" xfId="0" applyBorder="1"/>
    <xf numFmtId="0" fontId="16" fillId="0" borderId="0" xfId="0" applyFont="1" applyAlignment="1">
      <alignment horizontal="right"/>
    </xf>
    <xf numFmtId="0" fontId="16" fillId="0" borderId="11" xfId="0" applyFont="1" applyBorder="1"/>
    <xf numFmtId="0" fontId="0" fillId="0" borderId="15" xfId="0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0" fillId="0" borderId="13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1" xfId="0" applyBorder="1"/>
    <xf numFmtId="0" fontId="16" fillId="0" borderId="15" xfId="0" applyFont="1" applyBorder="1"/>
    <xf numFmtId="164" fontId="0" fillId="0" borderId="16" xfId="0" applyNumberFormat="1" applyBorder="1"/>
    <xf numFmtId="0" fontId="16" fillId="0" borderId="17" xfId="0" applyFont="1" applyBorder="1"/>
    <xf numFmtId="0" fontId="16" fillId="0" borderId="18" xfId="0" applyFont="1" applyBorder="1"/>
    <xf numFmtId="165" fontId="0" fillId="0" borderId="20" xfId="0" applyNumberFormat="1" applyBorder="1"/>
    <xf numFmtId="165" fontId="0" fillId="0" borderId="11" xfId="0" applyNumberFormat="1" applyBorder="1"/>
    <xf numFmtId="0" fontId="0" fillId="0" borderId="21" xfId="0" applyBorder="1"/>
    <xf numFmtId="0" fontId="16" fillId="0" borderId="22" xfId="0" applyFont="1" applyBorder="1"/>
    <xf numFmtId="0" fontId="16" fillId="0" borderId="23" xfId="0" applyFont="1" applyBorder="1"/>
    <xf numFmtId="0" fontId="16" fillId="0" borderId="24" xfId="0" applyFont="1" applyBorder="1"/>
    <xf numFmtId="0" fontId="0" fillId="0" borderId="25" xfId="0" applyBorder="1" applyAlignment="1">
      <alignment horizontal="center"/>
    </xf>
    <xf numFmtId="0" fontId="16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16" fillId="0" borderId="0" xfId="0" applyFont="1" applyBorder="1" applyAlignment="1">
      <alignment horizontal="right"/>
    </xf>
    <xf numFmtId="0" fontId="16" fillId="0" borderId="27" xfId="0" applyFont="1" applyBorder="1"/>
    <xf numFmtId="0" fontId="0" fillId="0" borderId="22" xfId="0" applyBorder="1"/>
    <xf numFmtId="0" fontId="16" fillId="0" borderId="28" xfId="0" applyFont="1" applyBorder="1"/>
    <xf numFmtId="0" fontId="16" fillId="0" borderId="29" xfId="0" applyFont="1" applyBorder="1"/>
    <xf numFmtId="0" fontId="16" fillId="0" borderId="30" xfId="0" applyFont="1" applyBorder="1"/>
    <xf numFmtId="0" fontId="16" fillId="0" borderId="12" xfId="0" applyFont="1" applyBorder="1"/>
    <xf numFmtId="0" fontId="16" fillId="0" borderId="31" xfId="0" applyFont="1" applyBorder="1" applyAlignment="1">
      <alignment horizontal="center"/>
    </xf>
    <xf numFmtId="0" fontId="16" fillId="0" borderId="32" xfId="0" applyFont="1" applyBorder="1"/>
    <xf numFmtId="0" fontId="16" fillId="0" borderId="11" xfId="0" applyFont="1" applyBorder="1" applyAlignment="1">
      <alignment horizontal="center"/>
    </xf>
    <xf numFmtId="0" fontId="16" fillId="0" borderId="32" xfId="0" applyFont="1" applyBorder="1" applyAlignment="1">
      <alignment horizontal="left"/>
    </xf>
    <xf numFmtId="0" fontId="16" fillId="0" borderId="34" xfId="0" applyFont="1" applyBorder="1" applyAlignment="1">
      <alignment horizontal="center"/>
    </xf>
    <xf numFmtId="0" fontId="1" fillId="11" borderId="18" xfId="20" applyBorder="1"/>
    <xf numFmtId="0" fontId="1" fillId="11" borderId="17" xfId="20" applyBorder="1"/>
    <xf numFmtId="0" fontId="1" fillId="15" borderId="0" xfId="24" applyBorder="1"/>
    <xf numFmtId="0" fontId="1" fillId="23" borderId="0" xfId="32" applyBorder="1"/>
    <xf numFmtId="0" fontId="1" fillId="27" borderId="14" xfId="36" applyBorder="1"/>
    <xf numFmtId="0" fontId="1" fillId="31" borderId="14" xfId="40" applyBorder="1"/>
    <xf numFmtId="0" fontId="1" fillId="19" borderId="16" xfId="28" applyBorder="1"/>
    <xf numFmtId="0" fontId="1" fillId="19" borderId="15" xfId="28" applyBorder="1"/>
    <xf numFmtId="0" fontId="1" fillId="31" borderId="17" xfId="40" applyBorder="1"/>
    <xf numFmtId="0" fontId="1" fillId="27" borderId="17" xfId="36" applyBorder="1"/>
    <xf numFmtId="0" fontId="1" fillId="23" borderId="17" xfId="32" applyBorder="1"/>
    <xf numFmtId="0" fontId="1" fillId="15" borderId="17" xfId="24" applyBorder="1"/>
    <xf numFmtId="166" fontId="11" fillId="6" borderId="4" xfId="11" applyNumberFormat="1"/>
    <xf numFmtId="0" fontId="7" fillId="3" borderId="0" xfId="7" applyBorder="1"/>
    <xf numFmtId="0" fontId="0" fillId="0" borderId="36" xfId="0" applyBorder="1"/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7" fillId="17" borderId="11" xfId="26" applyBorder="1" applyAlignment="1">
      <alignment horizontal="right"/>
    </xf>
    <xf numFmtId="0" fontId="17" fillId="17" borderId="11" xfId="26" applyBorder="1" applyAlignment="1">
      <alignment horizontal="center"/>
    </xf>
    <xf numFmtId="0" fontId="0" fillId="0" borderId="33" xfId="0" applyBorder="1"/>
    <xf numFmtId="0" fontId="0" fillId="0" borderId="42" xfId="0" applyBorder="1"/>
    <xf numFmtId="0" fontId="16" fillId="0" borderId="26" xfId="0" applyFont="1" applyBorder="1"/>
    <xf numFmtId="0" fontId="16" fillId="0" borderId="31" xfId="0" applyFont="1" applyBorder="1"/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16" fillId="0" borderId="31" xfId="0" applyFont="1" applyFill="1" applyBorder="1" applyAlignment="1">
      <alignment horizontal="center"/>
    </xf>
    <xf numFmtId="0" fontId="7" fillId="3" borderId="13" xfId="7" applyBorder="1"/>
    <xf numFmtId="0" fontId="1" fillId="11" borderId="15" xfId="20" applyBorder="1"/>
    <xf numFmtId="0" fontId="1" fillId="23" borderId="18" xfId="32" applyBorder="1"/>
    <xf numFmtId="0" fontId="1" fillId="27" borderId="13" xfId="36" applyBorder="1"/>
    <xf numFmtId="0" fontId="16" fillId="0" borderId="0" xfId="0" applyFont="1" applyBorder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15" fillId="0" borderId="0" xfId="16"/>
    <xf numFmtId="0" fontId="15" fillId="0" borderId="0" xfId="16" applyBorder="1" applyAlignment="1">
      <alignment horizontal="right"/>
    </xf>
    <xf numFmtId="0" fontId="15" fillId="0" borderId="0" xfId="16" applyAlignment="1">
      <alignment horizontal="right"/>
    </xf>
    <xf numFmtId="0" fontId="15" fillId="0" borderId="0" xfId="16" applyAlignment="1">
      <alignment horizontal="left"/>
    </xf>
    <xf numFmtId="0" fontId="9" fillId="5" borderId="46" xfId="9" applyBorder="1"/>
    <xf numFmtId="0" fontId="9" fillId="5" borderId="4" xfId="9" applyBorder="1"/>
    <xf numFmtId="0" fontId="9" fillId="5" borderId="47" xfId="9" applyBorder="1"/>
    <xf numFmtId="0" fontId="18" fillId="0" borderId="0" xfId="0" applyFont="1"/>
    <xf numFmtId="0" fontId="19" fillId="0" borderId="0" xfId="0" applyFont="1"/>
    <xf numFmtId="0" fontId="6" fillId="2" borderId="17" xfId="6" applyBorder="1"/>
    <xf numFmtId="0" fontId="6" fillId="2" borderId="18" xfId="6" applyBorder="1"/>
    <xf numFmtId="0" fontId="6" fillId="2" borderId="0" xfId="6" applyBorder="1"/>
    <xf numFmtId="0" fontId="6" fillId="2" borderId="19" xfId="6" applyBorder="1"/>
    <xf numFmtId="0" fontId="6" fillId="2" borderId="16" xfId="6" applyBorder="1"/>
    <xf numFmtId="0" fontId="6" fillId="2" borderId="13" xfId="6" applyBorder="1"/>
    <xf numFmtId="0" fontId="6" fillId="2" borderId="14" xfId="6" applyBorder="1"/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Reszty </a:t>
            </a:r>
            <a:r>
              <a:rPr lang="pl-PL"/>
              <a:t>vs Prognoza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Irysy!$K$1</c:f>
              <c:strCache>
                <c:ptCount val="1"/>
                <c:pt idx="0">
                  <c:v>Eps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xVal>
            <c:numRef>
              <c:f>Irysy!$J$2:$J$151</c:f>
              <c:numCache>
                <c:formatCode>General</c:formatCode>
                <c:ptCount val="150"/>
                <c:pt idx="0">
                  <c:v>1.4784526605116348</c:v>
                </c:pt>
                <c:pt idx="1">
                  <c:v>1.4471132898210779</c:v>
                </c:pt>
                <c:pt idx="2">
                  <c:v>1.2894074093404371</c:v>
                </c:pt>
                <c:pt idx="3">
                  <c:v>1.2466591861829974</c:v>
                </c:pt>
                <c:pt idx="4">
                  <c:v>1.3995997202713146</c:v>
                </c:pt>
                <c:pt idx="5">
                  <c:v>1.7090892676840637</c:v>
                </c:pt>
                <c:pt idx="6">
                  <c:v>1.2527242586794516</c:v>
                </c:pt>
                <c:pt idx="7">
                  <c:v>1.4357044373541952</c:v>
                </c:pt>
                <c:pt idx="8">
                  <c:v>1.161162739868119</c:v>
                </c:pt>
                <c:pt idx="9">
                  <c:v>1.3688387831588618</c:v>
                </c:pt>
                <c:pt idx="10">
                  <c:v>1.6247496885253934</c:v>
                </c:pt>
                <c:pt idx="11">
                  <c:v>1.3141032739564358</c:v>
                </c:pt>
                <c:pt idx="12">
                  <c:v>1.3260905600014221</c:v>
                </c:pt>
                <c:pt idx="13">
                  <c:v>1.0220876515070232</c:v>
                </c:pt>
                <c:pt idx="14">
                  <c:v>1.8137949396965911</c:v>
                </c:pt>
                <c:pt idx="15">
                  <c:v>1.8012292200735007</c:v>
                </c:pt>
                <c:pt idx="16">
                  <c:v>1.7090892676840637</c:v>
                </c:pt>
                <c:pt idx="17">
                  <c:v>1.53867480863241</c:v>
                </c:pt>
                <c:pt idx="18">
                  <c:v>1.8493212232013676</c:v>
                </c:pt>
                <c:pt idx="19">
                  <c:v>1.484517733008089</c:v>
                </c:pt>
                <c:pt idx="20">
                  <c:v>1.6789067641497144</c:v>
                </c:pt>
                <c:pt idx="21">
                  <c:v>1.5627922396703051</c:v>
                </c:pt>
                <c:pt idx="22">
                  <c:v>1.1563973934757954</c:v>
                </c:pt>
                <c:pt idx="23">
                  <c:v>1.6952238219568423</c:v>
                </c:pt>
                <c:pt idx="24">
                  <c:v>1.3141032739564358</c:v>
                </c:pt>
                <c:pt idx="25">
                  <c:v>1.5079138715199571</c:v>
                </c:pt>
                <c:pt idx="26">
                  <c:v>1.5561487335957465</c:v>
                </c:pt>
                <c:pt idx="27">
                  <c:v>1.539253242210515</c:v>
                </c:pt>
                <c:pt idx="28">
                  <c:v>1.557305600751955</c:v>
                </c:pt>
                <c:pt idx="29">
                  <c:v>1.2894074093404371</c:v>
                </c:pt>
                <c:pt idx="30">
                  <c:v>1.3682603495807573</c:v>
                </c:pt>
                <c:pt idx="31">
                  <c:v>1.7993510603912657</c:v>
                </c:pt>
                <c:pt idx="32">
                  <c:v>1.3707169428410972</c:v>
                </c:pt>
                <c:pt idx="33">
                  <c:v>1.595288477517071</c:v>
                </c:pt>
                <c:pt idx="34">
                  <c:v>1.4290609312796374</c:v>
                </c:pt>
                <c:pt idx="35">
                  <c:v>1.4718091544370762</c:v>
                </c:pt>
                <c:pt idx="36">
                  <c:v>1.721654987307154</c:v>
                </c:pt>
                <c:pt idx="37">
                  <c:v>1.2785769904516597</c:v>
                </c:pt>
                <c:pt idx="38">
                  <c:v>1.143110381326679</c:v>
                </c:pt>
                <c:pt idx="39">
                  <c:v>1.4965050190530749</c:v>
                </c:pt>
                <c:pt idx="40">
                  <c:v>1.4778742269335303</c:v>
                </c:pt>
                <c:pt idx="41">
                  <c:v>1.3904996209364164</c:v>
                </c:pt>
                <c:pt idx="42">
                  <c:v>1.107005664243798</c:v>
                </c:pt>
                <c:pt idx="43">
                  <c:v>1.6585406712958572</c:v>
                </c:pt>
                <c:pt idx="44">
                  <c:v>1.5447398811288646</c:v>
                </c:pt>
                <c:pt idx="45">
                  <c:v>1.446534856242973</c:v>
                </c:pt>
                <c:pt idx="46">
                  <c:v>1.4242955848873138</c:v>
                </c:pt>
                <c:pt idx="47">
                  <c:v>1.2286068276415569</c:v>
                </c:pt>
                <c:pt idx="48">
                  <c:v>1.5639491068265132</c:v>
                </c:pt>
                <c:pt idx="49">
                  <c:v>1.4537567958956357</c:v>
                </c:pt>
                <c:pt idx="50">
                  <c:v>4.8738574371573291</c:v>
                </c:pt>
                <c:pt idx="51">
                  <c:v>4.5692760950848266</c:v>
                </c:pt>
                <c:pt idx="52">
                  <c:v>4.891331362120666</c:v>
                </c:pt>
                <c:pt idx="53">
                  <c:v>4.0640977904263211</c:v>
                </c:pt>
                <c:pt idx="54">
                  <c:v>4.7022861109494674</c:v>
                </c:pt>
                <c:pt idx="55">
                  <c:v>4.0954371611168785</c:v>
                </c:pt>
                <c:pt idx="56">
                  <c:v>4.5506453029652825</c:v>
                </c:pt>
                <c:pt idx="57">
                  <c:v>3.500575497329276</c:v>
                </c:pt>
                <c:pt idx="58">
                  <c:v>4.6245900378653557</c:v>
                </c:pt>
                <c:pt idx="59">
                  <c:v>3.8697087592846957</c:v>
                </c:pt>
                <c:pt idx="60">
                  <c:v>3.6335855131939168</c:v>
                </c:pt>
                <c:pt idx="61">
                  <c:v>4.3013779036733091</c:v>
                </c:pt>
                <c:pt idx="62">
                  <c:v>4.2054866130998336</c:v>
                </c:pt>
                <c:pt idx="63">
                  <c:v>4.3808092774917329</c:v>
                </c:pt>
                <c:pt idx="64">
                  <c:v>4.0165842208765588</c:v>
                </c:pt>
                <c:pt idx="65">
                  <c:v>4.7095080506021301</c:v>
                </c:pt>
                <c:pt idx="66">
                  <c:v>4.1189761585766691</c:v>
                </c:pt>
                <c:pt idx="67">
                  <c:v>3.9936236569948722</c:v>
                </c:pt>
                <c:pt idx="68">
                  <c:v>4.6281985171014712</c:v>
                </c:pt>
                <c:pt idx="69">
                  <c:v>3.9683493588007686</c:v>
                </c:pt>
                <c:pt idx="70">
                  <c:v>4.445939630952755</c:v>
                </c:pt>
                <c:pt idx="71">
                  <c:v>4.3386394879123973</c:v>
                </c:pt>
                <c:pt idx="72">
                  <c:v>4.6348420231760299</c:v>
                </c:pt>
                <c:pt idx="73">
                  <c:v>4.2784173397916216</c:v>
                </c:pt>
                <c:pt idx="74">
                  <c:v>4.5029888744675963</c:v>
                </c:pt>
                <c:pt idx="75">
                  <c:v>4.6667598274446913</c:v>
                </c:pt>
                <c:pt idx="76">
                  <c:v>4.8244657079253308</c:v>
                </c:pt>
                <c:pt idx="77">
                  <c:v>4.908226853505897</c:v>
                </c:pt>
                <c:pt idx="78">
                  <c:v>4.3802308439136288</c:v>
                </c:pt>
                <c:pt idx="79">
                  <c:v>3.9508754338374326</c:v>
                </c:pt>
                <c:pt idx="80">
                  <c:v>3.9256011356433298</c:v>
                </c:pt>
                <c:pt idx="81">
                  <c:v>3.8653789875225542</c:v>
                </c:pt>
                <c:pt idx="82">
                  <c:v>4.1140679532364226</c:v>
                </c:pt>
                <c:pt idx="83">
                  <c:v>4.4765577091172855</c:v>
                </c:pt>
                <c:pt idx="84">
                  <c:v>3.9973749951789097</c:v>
                </c:pt>
                <c:pt idx="85">
                  <c:v>4.3501911993272024</c:v>
                </c:pt>
                <c:pt idx="86">
                  <c:v>4.7697301987229057</c:v>
                </c:pt>
                <c:pt idx="87">
                  <c:v>4.5505024440173596</c:v>
                </c:pt>
                <c:pt idx="88">
                  <c:v>3.9985318623351178</c:v>
                </c:pt>
                <c:pt idx="89">
                  <c:v>4.0279930733434401</c:v>
                </c:pt>
                <c:pt idx="90">
                  <c:v>3.9497185666812245</c:v>
                </c:pt>
                <c:pt idx="91">
                  <c:v>4.3627569189502919</c:v>
                </c:pt>
                <c:pt idx="92">
                  <c:v>4.1321203117778635</c:v>
                </c:pt>
                <c:pt idx="93">
                  <c:v>3.5794284375695957</c:v>
                </c:pt>
                <c:pt idx="94">
                  <c:v>4.0526889379594389</c:v>
                </c:pt>
                <c:pt idx="95">
                  <c:v>3.9991102959132219</c:v>
                </c:pt>
                <c:pt idx="96">
                  <c:v>4.0773848025754384</c:v>
                </c:pt>
                <c:pt idx="97">
                  <c:v>4.3813877110698369</c:v>
                </c:pt>
                <c:pt idx="98">
                  <c:v>3.6643464503063701</c:v>
                </c:pt>
                <c:pt idx="99">
                  <c:v>4.0954371611168785</c:v>
                </c:pt>
                <c:pt idx="100">
                  <c:v>5.6034966179545762</c:v>
                </c:pt>
                <c:pt idx="101">
                  <c:v>5.0464749719841659</c:v>
                </c:pt>
                <c:pt idx="102">
                  <c:v>5.9031697546868331</c:v>
                </c:pt>
                <c:pt idx="103">
                  <c:v>5.2541510152749087</c:v>
                </c:pt>
                <c:pt idx="104">
                  <c:v>5.5985884126143306</c:v>
                </c:pt>
                <c:pt idx="105">
                  <c:v>6.2071726631812325</c:v>
                </c:pt>
                <c:pt idx="106">
                  <c:v>4.4149301575355784</c:v>
                </c:pt>
                <c:pt idx="107">
                  <c:v>5.8621568322637057</c:v>
                </c:pt>
                <c:pt idx="108">
                  <c:v>5.5695627762361894</c:v>
                </c:pt>
                <c:pt idx="109">
                  <c:v>6.0965447776201733</c:v>
                </c:pt>
                <c:pt idx="110">
                  <c:v>5.4420393992898983</c:v>
                </c:pt>
                <c:pt idx="111">
                  <c:v>5.411278462177445</c:v>
                </c:pt>
                <c:pt idx="112">
                  <c:v>5.720768009590194</c:v>
                </c:pt>
                <c:pt idx="113">
                  <c:v>5.0820012554889429</c:v>
                </c:pt>
                <c:pt idx="114">
                  <c:v>5.3295333540466041</c:v>
                </c:pt>
                <c:pt idx="115">
                  <c:v>5.5619052619533456</c:v>
                </c:pt>
                <c:pt idx="116">
                  <c:v>5.357699820131228</c:v>
                </c:pt>
                <c:pt idx="117">
                  <c:v>6.1837765246693648</c:v>
                </c:pt>
                <c:pt idx="118">
                  <c:v>6.4606269752874246</c:v>
                </c:pt>
                <c:pt idx="119">
                  <c:v>5.0174493356060257</c:v>
                </c:pt>
                <c:pt idx="120">
                  <c:v>5.8659081704477449</c:v>
                </c:pt>
                <c:pt idx="121">
                  <c:v>4.9670435981657421</c:v>
                </c:pt>
                <c:pt idx="122">
                  <c:v>6.2438558138422176</c:v>
                </c:pt>
                <c:pt idx="123">
                  <c:v>5.2902557323577897</c:v>
                </c:pt>
                <c:pt idx="124">
                  <c:v>5.6058103522669933</c:v>
                </c:pt>
                <c:pt idx="125">
                  <c:v>5.7471991749405058</c:v>
                </c:pt>
                <c:pt idx="126">
                  <c:v>5.2114027921174699</c:v>
                </c:pt>
                <c:pt idx="127">
                  <c:v>5.1144974933357092</c:v>
                </c:pt>
                <c:pt idx="128">
                  <c:v>5.5136703998775554</c:v>
                </c:pt>
                <c:pt idx="129">
                  <c:v>5.6628595957818355</c:v>
                </c:pt>
                <c:pt idx="130">
                  <c:v>6.0012319206248028</c:v>
                </c:pt>
                <c:pt idx="131">
                  <c:v>6.1849333918255729</c:v>
                </c:pt>
                <c:pt idx="132">
                  <c:v>5.573892547998331</c:v>
                </c:pt>
                <c:pt idx="133">
                  <c:v>5.0915369294540227</c:v>
                </c:pt>
                <c:pt idx="134">
                  <c:v>4.9458183350183678</c:v>
                </c:pt>
                <c:pt idx="135">
                  <c:v>6.3884175411216626</c:v>
                </c:pt>
                <c:pt idx="136">
                  <c:v>5.5252221112923605</c:v>
                </c:pt>
                <c:pt idx="137">
                  <c:v>5.2788468798909083</c:v>
                </c:pt>
                <c:pt idx="138">
                  <c:v>5.0536969116368295</c:v>
                </c:pt>
                <c:pt idx="139">
                  <c:v>5.7635162327476337</c:v>
                </c:pt>
                <c:pt idx="140">
                  <c:v>5.8225815137122003</c:v>
                </c:pt>
                <c:pt idx="141">
                  <c:v>5.883960528989185</c:v>
                </c:pt>
                <c:pt idx="142">
                  <c:v>5.0464749719841659</c:v>
                </c:pt>
                <c:pt idx="143">
                  <c:v>5.8051075887488643</c:v>
                </c:pt>
                <c:pt idx="144">
                  <c:v>5.846698944750095</c:v>
                </c:pt>
                <c:pt idx="145">
                  <c:v>5.7804117241328656</c:v>
                </c:pt>
                <c:pt idx="146">
                  <c:v>5.3865825975614463</c:v>
                </c:pt>
                <c:pt idx="147">
                  <c:v>5.4781441163727793</c:v>
                </c:pt>
                <c:pt idx="148">
                  <c:v>5.4041993814727052</c:v>
                </c:pt>
                <c:pt idx="149">
                  <c:v>4.9928963299379499</c:v>
                </c:pt>
              </c:numCache>
            </c:numRef>
          </c:xVal>
          <c:yVal>
            <c:numRef>
              <c:f>Irysy!$K$2:$K$151</c:f>
              <c:numCache>
                <c:formatCode>General</c:formatCode>
                <c:ptCount val="150"/>
                <c:pt idx="0">
                  <c:v>7.8452660511634909E-2</c:v>
                </c:pt>
                <c:pt idx="1">
                  <c:v>4.7113289821077986E-2</c:v>
                </c:pt>
                <c:pt idx="2">
                  <c:v>-1.0592590659562973E-2</c:v>
                </c:pt>
                <c:pt idx="3">
                  <c:v>-0.25334081381700257</c:v>
                </c:pt>
                <c:pt idx="4">
                  <c:v>-4.0027972868528217E-4</c:v>
                </c:pt>
                <c:pt idx="5">
                  <c:v>9.0892676840637066E-3</c:v>
                </c:pt>
                <c:pt idx="6">
                  <c:v>-0.14727574132054833</c:v>
                </c:pt>
                <c:pt idx="7">
                  <c:v>-6.4295562645804827E-2</c:v>
                </c:pt>
                <c:pt idx="8">
                  <c:v>-0.23883726013188089</c:v>
                </c:pt>
                <c:pt idx="9">
                  <c:v>-0.13116121684113824</c:v>
                </c:pt>
                <c:pt idx="10">
                  <c:v>0.12474968852539337</c:v>
                </c:pt>
                <c:pt idx="11">
                  <c:v>-0.28589672604356431</c:v>
                </c:pt>
                <c:pt idx="12">
                  <c:v>-7.3909439998577797E-2</c:v>
                </c:pt>
                <c:pt idx="13">
                  <c:v>-7.7912348492976902E-2</c:v>
                </c:pt>
                <c:pt idx="14">
                  <c:v>0.61379493969659116</c:v>
                </c:pt>
                <c:pt idx="15">
                  <c:v>0.30122922007350073</c:v>
                </c:pt>
                <c:pt idx="16">
                  <c:v>0.40908926768406362</c:v>
                </c:pt>
                <c:pt idx="17">
                  <c:v>0.13867480863241011</c:v>
                </c:pt>
                <c:pt idx="18">
                  <c:v>0.14932122320136765</c:v>
                </c:pt>
                <c:pt idx="19">
                  <c:v>-1.548226699191102E-2</c:v>
                </c:pt>
                <c:pt idx="20">
                  <c:v>-2.1093235850285552E-2</c:v>
                </c:pt>
                <c:pt idx="21">
                  <c:v>6.2792239670305117E-2</c:v>
                </c:pt>
                <c:pt idx="22">
                  <c:v>0.1563973934757954</c:v>
                </c:pt>
                <c:pt idx="23">
                  <c:v>-4.7761780431576639E-3</c:v>
                </c:pt>
                <c:pt idx="24">
                  <c:v>-0.58589672604356413</c:v>
                </c:pt>
                <c:pt idx="25">
                  <c:v>-9.2086128480042939E-2</c:v>
                </c:pt>
                <c:pt idx="26">
                  <c:v>-4.385126640425363E-2</c:v>
                </c:pt>
                <c:pt idx="27">
                  <c:v>3.925324221051496E-2</c:v>
                </c:pt>
                <c:pt idx="28">
                  <c:v>0.1573056007519551</c:v>
                </c:pt>
                <c:pt idx="29">
                  <c:v>-0.31059259065956302</c:v>
                </c:pt>
                <c:pt idx="30">
                  <c:v>-0.23173965041924283</c:v>
                </c:pt>
                <c:pt idx="31">
                  <c:v>0.29935106039126569</c:v>
                </c:pt>
                <c:pt idx="32">
                  <c:v>-0.12928305715890276</c:v>
                </c:pt>
                <c:pt idx="33">
                  <c:v>0.19528847751707112</c:v>
                </c:pt>
                <c:pt idx="34">
                  <c:v>-7.0939068720362597E-2</c:v>
                </c:pt>
                <c:pt idx="35">
                  <c:v>0.27180915443707621</c:v>
                </c:pt>
                <c:pt idx="36">
                  <c:v>0.42165498730715401</c:v>
                </c:pt>
                <c:pt idx="37">
                  <c:v>-0.12142300954834018</c:v>
                </c:pt>
                <c:pt idx="38">
                  <c:v>-0.15688961867332107</c:v>
                </c:pt>
                <c:pt idx="39">
                  <c:v>-3.4949809469251303E-3</c:v>
                </c:pt>
                <c:pt idx="40">
                  <c:v>0.17787422693353028</c:v>
                </c:pt>
                <c:pt idx="41">
                  <c:v>9.0499620936416392E-2</c:v>
                </c:pt>
                <c:pt idx="42">
                  <c:v>-0.19299433575620206</c:v>
                </c:pt>
                <c:pt idx="43">
                  <c:v>5.8540671295857161E-2</c:v>
                </c:pt>
                <c:pt idx="44">
                  <c:v>-0.35526011887113529</c:v>
                </c:pt>
                <c:pt idx="45">
                  <c:v>4.6534856242973044E-2</c:v>
                </c:pt>
                <c:pt idx="46">
                  <c:v>-0.17570441511268631</c:v>
                </c:pt>
                <c:pt idx="47">
                  <c:v>-0.17139317235844298</c:v>
                </c:pt>
                <c:pt idx="48">
                  <c:v>6.3949106826513225E-2</c:v>
                </c:pt>
                <c:pt idx="49">
                  <c:v>5.3756795895635756E-2</c:v>
                </c:pt>
                <c:pt idx="50">
                  <c:v>0.17385743715732893</c:v>
                </c:pt>
                <c:pt idx="51">
                  <c:v>6.9276095084826572E-2</c:v>
                </c:pt>
                <c:pt idx="52">
                  <c:v>-8.6686378793343621E-3</c:v>
                </c:pt>
                <c:pt idx="53">
                  <c:v>6.4097790426321133E-2</c:v>
                </c:pt>
                <c:pt idx="54">
                  <c:v>0.10228611094946771</c:v>
                </c:pt>
                <c:pt idx="55">
                  <c:v>-0.4045628388831215</c:v>
                </c:pt>
                <c:pt idx="56">
                  <c:v>-0.14935469703471771</c:v>
                </c:pt>
                <c:pt idx="57">
                  <c:v>0.20057549732927615</c:v>
                </c:pt>
                <c:pt idx="58">
                  <c:v>2.4590037865356074E-2</c:v>
                </c:pt>
                <c:pt idx="59">
                  <c:v>-3.0291240715304202E-2</c:v>
                </c:pt>
                <c:pt idx="60">
                  <c:v>0.13358551319391676</c:v>
                </c:pt>
                <c:pt idx="61">
                  <c:v>0.1013779036733089</c:v>
                </c:pt>
                <c:pt idx="62">
                  <c:v>0.20548661309983363</c:v>
                </c:pt>
                <c:pt idx="63">
                  <c:v>-0.3191907225082673</c:v>
                </c:pt>
                <c:pt idx="64">
                  <c:v>0.41658422087655866</c:v>
                </c:pt>
                <c:pt idx="65">
                  <c:v>0.30950805060212971</c:v>
                </c:pt>
                <c:pt idx="66">
                  <c:v>-0.3810238414233309</c:v>
                </c:pt>
                <c:pt idx="67">
                  <c:v>-0.10637634300512744</c:v>
                </c:pt>
                <c:pt idx="68">
                  <c:v>0.12819851710147123</c:v>
                </c:pt>
                <c:pt idx="69">
                  <c:v>6.8349358800768645E-2</c:v>
                </c:pt>
                <c:pt idx="70">
                  <c:v>-0.35406036904724481</c:v>
                </c:pt>
                <c:pt idx="71">
                  <c:v>0.33863948791239729</c:v>
                </c:pt>
                <c:pt idx="72">
                  <c:v>-0.26515797682397046</c:v>
                </c:pt>
                <c:pt idx="73">
                  <c:v>-0.42158266020837853</c:v>
                </c:pt>
                <c:pt idx="74">
                  <c:v>0.2029888744675965</c:v>
                </c:pt>
                <c:pt idx="75">
                  <c:v>0.26675982744469096</c:v>
                </c:pt>
                <c:pt idx="76">
                  <c:v>2.4465707925330982E-2</c:v>
                </c:pt>
                <c:pt idx="77">
                  <c:v>-9.1773146494102953E-2</c:v>
                </c:pt>
                <c:pt idx="78">
                  <c:v>-0.11976915608637118</c:v>
                </c:pt>
                <c:pt idx="79">
                  <c:v>0.45087543383743256</c:v>
                </c:pt>
                <c:pt idx="80">
                  <c:v>0.12560113564332998</c:v>
                </c:pt>
                <c:pt idx="81">
                  <c:v>0.16537898752255398</c:v>
                </c:pt>
                <c:pt idx="82">
                  <c:v>0.21406795323642269</c:v>
                </c:pt>
                <c:pt idx="83">
                  <c:v>-0.62344229088271419</c:v>
                </c:pt>
                <c:pt idx="84">
                  <c:v>-0.50262500482109029</c:v>
                </c:pt>
                <c:pt idx="85">
                  <c:v>-0.14980880067279756</c:v>
                </c:pt>
                <c:pt idx="86">
                  <c:v>6.9730198722905534E-2</c:v>
                </c:pt>
                <c:pt idx="87">
                  <c:v>0.15050244401735924</c:v>
                </c:pt>
                <c:pt idx="88">
                  <c:v>-0.10146813766488183</c:v>
                </c:pt>
                <c:pt idx="89">
                  <c:v>2.7993073343440145E-2</c:v>
                </c:pt>
                <c:pt idx="90">
                  <c:v>-0.4502814333187759</c:v>
                </c:pt>
                <c:pt idx="91">
                  <c:v>-0.2372430810497077</c:v>
                </c:pt>
                <c:pt idx="92">
                  <c:v>0.13212031177786354</c:v>
                </c:pt>
                <c:pt idx="93">
                  <c:v>0.2794284375695959</c:v>
                </c:pt>
                <c:pt idx="94">
                  <c:v>-0.14731106204056132</c:v>
                </c:pt>
                <c:pt idx="95">
                  <c:v>-0.20088970408677831</c:v>
                </c:pt>
                <c:pt idx="96">
                  <c:v>-0.12261519742456173</c:v>
                </c:pt>
                <c:pt idx="97">
                  <c:v>8.138771106983711E-2</c:v>
                </c:pt>
                <c:pt idx="98">
                  <c:v>0.66434645030637007</c:v>
                </c:pt>
                <c:pt idx="99">
                  <c:v>-4.5628388831211453E-3</c:v>
                </c:pt>
                <c:pt idx="100">
                  <c:v>-0.39650338204542379</c:v>
                </c:pt>
                <c:pt idx="101">
                  <c:v>-5.3525028015833698E-2</c:v>
                </c:pt>
                <c:pt idx="102">
                  <c:v>3.1697546868327819E-3</c:v>
                </c:pt>
                <c:pt idx="103">
                  <c:v>-0.34584898472509096</c:v>
                </c:pt>
                <c:pt idx="104">
                  <c:v>-0.20141158738566922</c:v>
                </c:pt>
                <c:pt idx="105">
                  <c:v>-0.39282733681876714</c:v>
                </c:pt>
                <c:pt idx="106">
                  <c:v>-8.5069842464421619E-2</c:v>
                </c:pt>
                <c:pt idx="107">
                  <c:v>-0.43784316773629417</c:v>
                </c:pt>
                <c:pt idx="108">
                  <c:v>-0.23043722376381037</c:v>
                </c:pt>
                <c:pt idx="109">
                  <c:v>-3.4552223798263171E-3</c:v>
                </c:pt>
                <c:pt idx="110">
                  <c:v>0.34203939928989868</c:v>
                </c:pt>
                <c:pt idx="111">
                  <c:v>0.11127846217744519</c:v>
                </c:pt>
                <c:pt idx="112">
                  <c:v>0.22076800959019405</c:v>
                </c:pt>
                <c:pt idx="113">
                  <c:v>8.2001255488942881E-2</c:v>
                </c:pt>
                <c:pt idx="114">
                  <c:v>0.22953335404660447</c:v>
                </c:pt>
                <c:pt idx="115">
                  <c:v>0.26190526195334574</c:v>
                </c:pt>
                <c:pt idx="116">
                  <c:v>-0.14230017986877197</c:v>
                </c:pt>
                <c:pt idx="117">
                  <c:v>-0.5162234753306354</c:v>
                </c:pt>
                <c:pt idx="118">
                  <c:v>-0.43937302471257578</c:v>
                </c:pt>
                <c:pt idx="119">
                  <c:v>1.7449335606025684E-2</c:v>
                </c:pt>
                <c:pt idx="120">
                  <c:v>0.16590817044774475</c:v>
                </c:pt>
                <c:pt idx="121">
                  <c:v>6.7043598165741791E-2</c:v>
                </c:pt>
                <c:pt idx="122">
                  <c:v>-0.45614418615778263</c:v>
                </c:pt>
                <c:pt idx="123">
                  <c:v>0.39025573235778932</c:v>
                </c:pt>
                <c:pt idx="124">
                  <c:v>-9.4189647733006865E-2</c:v>
                </c:pt>
                <c:pt idx="125">
                  <c:v>-0.25280082505949419</c:v>
                </c:pt>
                <c:pt idx="126">
                  <c:v>0.41140279211747011</c:v>
                </c:pt>
                <c:pt idx="127">
                  <c:v>0.21449749333570889</c:v>
                </c:pt>
                <c:pt idx="128">
                  <c:v>-8.6329600122444283E-2</c:v>
                </c:pt>
                <c:pt idx="129">
                  <c:v>-0.13714040421816431</c:v>
                </c:pt>
                <c:pt idx="130">
                  <c:v>-9.8768079375196827E-2</c:v>
                </c:pt>
                <c:pt idx="131">
                  <c:v>-0.21506660817442746</c:v>
                </c:pt>
                <c:pt idx="132">
                  <c:v>-2.6107452001668641E-2</c:v>
                </c:pt>
                <c:pt idx="133">
                  <c:v>-8.4630705459769473E-3</c:v>
                </c:pt>
                <c:pt idx="134">
                  <c:v>-0.65418166498163188</c:v>
                </c:pt>
                <c:pt idx="135">
                  <c:v>0.28841754112166296</c:v>
                </c:pt>
                <c:pt idx="136">
                  <c:v>-7.4777888707639129E-2</c:v>
                </c:pt>
                <c:pt idx="137">
                  <c:v>-0.22115312010909172</c:v>
                </c:pt>
                <c:pt idx="138">
                  <c:v>0.25369691163682973</c:v>
                </c:pt>
                <c:pt idx="139">
                  <c:v>0.36351623274763334</c:v>
                </c:pt>
                <c:pt idx="140">
                  <c:v>0.2225815137122007</c:v>
                </c:pt>
                <c:pt idx="141">
                  <c:v>0.78396052898918533</c:v>
                </c:pt>
                <c:pt idx="142">
                  <c:v>-5.3525028015833698E-2</c:v>
                </c:pt>
                <c:pt idx="143">
                  <c:v>-9.4892411251136011E-2</c:v>
                </c:pt>
                <c:pt idx="144">
                  <c:v>0.14669894475009482</c:v>
                </c:pt>
                <c:pt idx="145">
                  <c:v>0.58041172413286546</c:v>
                </c:pt>
                <c:pt idx="146">
                  <c:v>0.38658259756144631</c:v>
                </c:pt>
                <c:pt idx="147">
                  <c:v>0.27814411637277914</c:v>
                </c:pt>
                <c:pt idx="148">
                  <c:v>4.1993814727048218E-3</c:v>
                </c:pt>
                <c:pt idx="149">
                  <c:v>-0.10710367006204979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1-4EB9-9AC7-9E7A5C95F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7404703"/>
        <c:axId val="1054312351"/>
      </c:scatterChart>
      <c:valAx>
        <c:axId val="1107404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54312351"/>
        <c:crosses val="autoZero"/>
        <c:crossBetween val="midCat"/>
      </c:valAx>
      <c:valAx>
        <c:axId val="1054312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07404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Normalność reszt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Irysy!$AF$2:$AF$151</c:f>
              <c:numCache>
                <c:formatCode>General</c:formatCode>
                <c:ptCount val="150"/>
                <c:pt idx="0">
                  <c:v>-0.65418166498163188</c:v>
                </c:pt>
                <c:pt idx="1">
                  <c:v>-0.62344229088271419</c:v>
                </c:pt>
                <c:pt idx="2">
                  <c:v>-0.58589672604356413</c:v>
                </c:pt>
                <c:pt idx="3">
                  <c:v>-0.5162234753306354</c:v>
                </c:pt>
                <c:pt idx="4">
                  <c:v>-0.50262500482109029</c:v>
                </c:pt>
                <c:pt idx="5">
                  <c:v>-0.45614418615778263</c:v>
                </c:pt>
                <c:pt idx="6">
                  <c:v>-0.4502814333187759</c:v>
                </c:pt>
                <c:pt idx="7">
                  <c:v>-0.43937302471257578</c:v>
                </c:pt>
                <c:pt idx="8">
                  <c:v>-0.43784316773629417</c:v>
                </c:pt>
                <c:pt idx="9">
                  <c:v>-0.42158266020837853</c:v>
                </c:pt>
                <c:pt idx="10">
                  <c:v>-0.4045628388831215</c:v>
                </c:pt>
                <c:pt idx="11">
                  <c:v>-0.39650338204542379</c:v>
                </c:pt>
                <c:pt idx="12">
                  <c:v>-0.39282733681876714</c:v>
                </c:pt>
                <c:pt idx="13">
                  <c:v>-0.3810238414233309</c:v>
                </c:pt>
                <c:pt idx="14">
                  <c:v>-0.35526011887113529</c:v>
                </c:pt>
                <c:pt idx="15">
                  <c:v>-0.35406036904724481</c:v>
                </c:pt>
                <c:pt idx="16">
                  <c:v>-0.34584898472509096</c:v>
                </c:pt>
                <c:pt idx="17">
                  <c:v>-0.3191907225082673</c:v>
                </c:pt>
                <c:pt idx="18">
                  <c:v>-0.31059259065956302</c:v>
                </c:pt>
                <c:pt idx="19">
                  <c:v>-0.28589672604356431</c:v>
                </c:pt>
                <c:pt idx="20">
                  <c:v>-0.26515797682397046</c:v>
                </c:pt>
                <c:pt idx="21">
                  <c:v>-0.25334081381700257</c:v>
                </c:pt>
                <c:pt idx="22">
                  <c:v>-0.25280082505949419</c:v>
                </c:pt>
                <c:pt idx="23">
                  <c:v>-0.23883726013188089</c:v>
                </c:pt>
                <c:pt idx="24">
                  <c:v>-0.2372430810497077</c:v>
                </c:pt>
                <c:pt idx="25">
                  <c:v>-0.23173965041924283</c:v>
                </c:pt>
                <c:pt idx="26">
                  <c:v>-0.23043722376381037</c:v>
                </c:pt>
                <c:pt idx="27">
                  <c:v>-0.22115312010909172</c:v>
                </c:pt>
                <c:pt idx="28">
                  <c:v>-0.21506660817442746</c:v>
                </c:pt>
                <c:pt idx="29">
                  <c:v>-0.20141158738566922</c:v>
                </c:pt>
                <c:pt idx="30">
                  <c:v>-0.20088970408677831</c:v>
                </c:pt>
                <c:pt idx="31">
                  <c:v>-0.19299433575620206</c:v>
                </c:pt>
                <c:pt idx="32">
                  <c:v>-0.17570441511268631</c:v>
                </c:pt>
                <c:pt idx="33">
                  <c:v>-0.17139317235844298</c:v>
                </c:pt>
                <c:pt idx="34">
                  <c:v>-0.15688961867332107</c:v>
                </c:pt>
                <c:pt idx="35">
                  <c:v>-0.14980880067279756</c:v>
                </c:pt>
                <c:pt idx="36">
                  <c:v>-0.14935469703471771</c:v>
                </c:pt>
                <c:pt idx="37">
                  <c:v>-0.14731106204056132</c:v>
                </c:pt>
                <c:pt idx="38">
                  <c:v>-0.14727574132054833</c:v>
                </c:pt>
                <c:pt idx="39">
                  <c:v>-0.14230017986877197</c:v>
                </c:pt>
                <c:pt idx="40">
                  <c:v>-0.13714040421816431</c:v>
                </c:pt>
                <c:pt idx="41">
                  <c:v>-0.13116121684113824</c:v>
                </c:pt>
                <c:pt idx="42">
                  <c:v>-0.12928305715890276</c:v>
                </c:pt>
                <c:pt idx="43">
                  <c:v>-0.12261519742456173</c:v>
                </c:pt>
                <c:pt idx="44">
                  <c:v>-0.12142300954834018</c:v>
                </c:pt>
                <c:pt idx="45">
                  <c:v>-0.11976915608637118</c:v>
                </c:pt>
                <c:pt idx="46">
                  <c:v>-0.10710367006204979</c:v>
                </c:pt>
                <c:pt idx="47">
                  <c:v>-0.10637634300512744</c:v>
                </c:pt>
                <c:pt idx="48">
                  <c:v>-0.10146813766488183</c:v>
                </c:pt>
                <c:pt idx="49">
                  <c:v>-9.8768079375196827E-2</c:v>
                </c:pt>
                <c:pt idx="50">
                  <c:v>-9.4892411251136011E-2</c:v>
                </c:pt>
                <c:pt idx="51">
                  <c:v>-9.4189647733006865E-2</c:v>
                </c:pt>
                <c:pt idx="52">
                  <c:v>-9.2086128480042939E-2</c:v>
                </c:pt>
                <c:pt idx="53">
                  <c:v>-9.1773146494102953E-2</c:v>
                </c:pt>
                <c:pt idx="54">
                  <c:v>-8.6329600122444283E-2</c:v>
                </c:pt>
                <c:pt idx="55">
                  <c:v>-8.5069842464421619E-2</c:v>
                </c:pt>
                <c:pt idx="56">
                  <c:v>-7.7912348492976902E-2</c:v>
                </c:pt>
                <c:pt idx="57">
                  <c:v>-7.4777888707639129E-2</c:v>
                </c:pt>
                <c:pt idx="58">
                  <c:v>-7.3909439998577797E-2</c:v>
                </c:pt>
                <c:pt idx="59">
                  <c:v>-7.0939068720362597E-2</c:v>
                </c:pt>
                <c:pt idx="60">
                  <c:v>-6.4295562645804827E-2</c:v>
                </c:pt>
                <c:pt idx="61">
                  <c:v>-5.3525028015833698E-2</c:v>
                </c:pt>
                <c:pt idx="62">
                  <c:v>-5.3525028015833698E-2</c:v>
                </c:pt>
                <c:pt idx="63">
                  <c:v>-4.385126640425363E-2</c:v>
                </c:pt>
                <c:pt idx="64">
                  <c:v>-3.0291240715304202E-2</c:v>
                </c:pt>
                <c:pt idx="65">
                  <c:v>-2.6107452001668641E-2</c:v>
                </c:pt>
                <c:pt idx="66">
                  <c:v>-2.1093235850285552E-2</c:v>
                </c:pt>
                <c:pt idx="67">
                  <c:v>-1.548226699191102E-2</c:v>
                </c:pt>
                <c:pt idx="68">
                  <c:v>-1.0592590659562973E-2</c:v>
                </c:pt>
                <c:pt idx="69">
                  <c:v>-8.6686378793343621E-3</c:v>
                </c:pt>
                <c:pt idx="70">
                  <c:v>-8.4630705459769473E-3</c:v>
                </c:pt>
                <c:pt idx="71">
                  <c:v>-4.7761780431576639E-3</c:v>
                </c:pt>
                <c:pt idx="72">
                  <c:v>-4.5628388831211453E-3</c:v>
                </c:pt>
                <c:pt idx="73">
                  <c:v>-3.4949809469251303E-3</c:v>
                </c:pt>
                <c:pt idx="74">
                  <c:v>-3.4552223798263171E-3</c:v>
                </c:pt>
                <c:pt idx="75">
                  <c:v>-4.0027972868528217E-4</c:v>
                </c:pt>
                <c:pt idx="76">
                  <c:v>3.1697546868327819E-3</c:v>
                </c:pt>
                <c:pt idx="77">
                  <c:v>4.1993814727048218E-3</c:v>
                </c:pt>
                <c:pt idx="78">
                  <c:v>9.0892676840637066E-3</c:v>
                </c:pt>
                <c:pt idx="79">
                  <c:v>1.7449335606025684E-2</c:v>
                </c:pt>
                <c:pt idx="80">
                  <c:v>2.4465707925330982E-2</c:v>
                </c:pt>
                <c:pt idx="81">
                  <c:v>2.4590037865356074E-2</c:v>
                </c:pt>
                <c:pt idx="82">
                  <c:v>2.7993073343440145E-2</c:v>
                </c:pt>
                <c:pt idx="83">
                  <c:v>3.925324221051496E-2</c:v>
                </c:pt>
                <c:pt idx="84">
                  <c:v>4.6534856242973044E-2</c:v>
                </c:pt>
                <c:pt idx="85">
                  <c:v>4.7113289821077986E-2</c:v>
                </c:pt>
                <c:pt idx="86">
                  <c:v>5.3756795895635756E-2</c:v>
                </c:pt>
                <c:pt idx="87">
                  <c:v>5.8540671295857161E-2</c:v>
                </c:pt>
                <c:pt idx="88">
                  <c:v>6.2792239670305117E-2</c:v>
                </c:pt>
                <c:pt idx="89">
                  <c:v>6.3949106826513225E-2</c:v>
                </c:pt>
                <c:pt idx="90">
                  <c:v>6.4097790426321133E-2</c:v>
                </c:pt>
                <c:pt idx="91">
                  <c:v>6.7043598165741791E-2</c:v>
                </c:pt>
                <c:pt idx="92">
                  <c:v>6.8349358800768645E-2</c:v>
                </c:pt>
                <c:pt idx="93">
                  <c:v>6.9276095084826572E-2</c:v>
                </c:pt>
                <c:pt idx="94">
                  <c:v>6.9730198722905534E-2</c:v>
                </c:pt>
                <c:pt idx="95">
                  <c:v>7.8452660511634909E-2</c:v>
                </c:pt>
                <c:pt idx="96">
                  <c:v>8.138771106983711E-2</c:v>
                </c:pt>
                <c:pt idx="97">
                  <c:v>8.2001255488942881E-2</c:v>
                </c:pt>
                <c:pt idx="98">
                  <c:v>9.0499620936416392E-2</c:v>
                </c:pt>
                <c:pt idx="99">
                  <c:v>0.1013779036733089</c:v>
                </c:pt>
                <c:pt idx="100">
                  <c:v>0.10228611094946771</c:v>
                </c:pt>
                <c:pt idx="101">
                  <c:v>0.11127846217744519</c:v>
                </c:pt>
                <c:pt idx="102">
                  <c:v>0.12474968852539337</c:v>
                </c:pt>
                <c:pt idx="103">
                  <c:v>0.12560113564332998</c:v>
                </c:pt>
                <c:pt idx="104">
                  <c:v>0.12819851710147123</c:v>
                </c:pt>
                <c:pt idx="105">
                  <c:v>0.13212031177786354</c:v>
                </c:pt>
                <c:pt idx="106">
                  <c:v>0.13358551319391676</c:v>
                </c:pt>
                <c:pt idx="107">
                  <c:v>0.13867480863241011</c:v>
                </c:pt>
                <c:pt idx="108">
                  <c:v>0.14669894475009482</c:v>
                </c:pt>
                <c:pt idx="109">
                  <c:v>0.14932122320136765</c:v>
                </c:pt>
                <c:pt idx="110">
                  <c:v>0.15050244401735924</c:v>
                </c:pt>
                <c:pt idx="111">
                  <c:v>0.1563973934757954</c:v>
                </c:pt>
                <c:pt idx="112">
                  <c:v>0.1573056007519551</c:v>
                </c:pt>
                <c:pt idx="113">
                  <c:v>0.16537898752255398</c:v>
                </c:pt>
                <c:pt idx="114">
                  <c:v>0.16590817044774475</c:v>
                </c:pt>
                <c:pt idx="115">
                  <c:v>0.17385743715732893</c:v>
                </c:pt>
                <c:pt idx="116">
                  <c:v>0.17787422693353028</c:v>
                </c:pt>
                <c:pt idx="117">
                  <c:v>0.19528847751707112</c:v>
                </c:pt>
                <c:pt idx="118">
                  <c:v>0.20057549732927615</c:v>
                </c:pt>
                <c:pt idx="119">
                  <c:v>0.2029888744675965</c:v>
                </c:pt>
                <c:pt idx="120">
                  <c:v>0.20548661309983363</c:v>
                </c:pt>
                <c:pt idx="121">
                  <c:v>0.21406795323642269</c:v>
                </c:pt>
                <c:pt idx="122">
                  <c:v>0.21449749333570889</c:v>
                </c:pt>
                <c:pt idx="123">
                  <c:v>0.22076800959019405</c:v>
                </c:pt>
                <c:pt idx="124">
                  <c:v>0.2225815137122007</c:v>
                </c:pt>
                <c:pt idx="125">
                  <c:v>0.22953335404660447</c:v>
                </c:pt>
                <c:pt idx="126">
                  <c:v>0.25369691163682973</c:v>
                </c:pt>
                <c:pt idx="127">
                  <c:v>0.26190526195334574</c:v>
                </c:pt>
                <c:pt idx="128">
                  <c:v>0.26675982744469096</c:v>
                </c:pt>
                <c:pt idx="129">
                  <c:v>0.27180915443707621</c:v>
                </c:pt>
                <c:pt idx="130">
                  <c:v>0.27814411637277914</c:v>
                </c:pt>
                <c:pt idx="131">
                  <c:v>0.2794284375695959</c:v>
                </c:pt>
                <c:pt idx="132">
                  <c:v>0.28841754112166296</c:v>
                </c:pt>
                <c:pt idx="133">
                  <c:v>0.29935106039126569</c:v>
                </c:pt>
                <c:pt idx="134">
                  <c:v>0.30122922007350073</c:v>
                </c:pt>
                <c:pt idx="135">
                  <c:v>0.30950805060212971</c:v>
                </c:pt>
                <c:pt idx="136">
                  <c:v>0.33863948791239729</c:v>
                </c:pt>
                <c:pt idx="137">
                  <c:v>0.34203939928989868</c:v>
                </c:pt>
                <c:pt idx="138">
                  <c:v>0.36351623274763334</c:v>
                </c:pt>
                <c:pt idx="139">
                  <c:v>0.38658259756144631</c:v>
                </c:pt>
                <c:pt idx="140">
                  <c:v>0.39025573235778932</c:v>
                </c:pt>
                <c:pt idx="141">
                  <c:v>0.40908926768406362</c:v>
                </c:pt>
                <c:pt idx="142">
                  <c:v>0.41140279211747011</c:v>
                </c:pt>
                <c:pt idx="143">
                  <c:v>0.41658422087655866</c:v>
                </c:pt>
                <c:pt idx="144">
                  <c:v>0.42165498730715401</c:v>
                </c:pt>
                <c:pt idx="145">
                  <c:v>0.45087543383743256</c:v>
                </c:pt>
                <c:pt idx="146">
                  <c:v>0.58041172413286546</c:v>
                </c:pt>
                <c:pt idx="147">
                  <c:v>0.61379493969659116</c:v>
                </c:pt>
                <c:pt idx="148">
                  <c:v>0.66434645030637007</c:v>
                </c:pt>
                <c:pt idx="149">
                  <c:v>0.78396052898918533</c:v>
                </c:pt>
              </c:numCache>
            </c:numRef>
          </c:xVal>
          <c:yVal>
            <c:numRef>
              <c:f>Irysy!$AG$2:$AG$151</c:f>
              <c:numCache>
                <c:formatCode>General</c:formatCode>
                <c:ptCount val="150"/>
                <c:pt idx="0">
                  <c:v>-0.71279250647537584</c:v>
                </c:pt>
                <c:pt idx="1">
                  <c:v>-0.61119484633399335</c:v>
                </c:pt>
                <c:pt idx="2">
                  <c:v>-0.55909535044742165</c:v>
                </c:pt>
                <c:pt idx="3">
                  <c:v>-0.52264661761923759</c:v>
                </c:pt>
                <c:pt idx="4">
                  <c:v>-0.49413562483380324</c:v>
                </c:pt>
                <c:pt idx="5">
                  <c:v>-0.47047886577086956</c:v>
                </c:pt>
                <c:pt idx="6">
                  <c:v>-0.45011720579047526</c:v>
                </c:pt>
                <c:pt idx="7">
                  <c:v>-0.43214777591292763</c:v>
                </c:pt>
                <c:pt idx="8">
                  <c:v>-0.41599876487582432</c:v>
                </c:pt>
                <c:pt idx="9">
                  <c:v>-0.40128413292075388</c:v>
                </c:pt>
                <c:pt idx="10">
                  <c:v>-0.38773043393647616</c:v>
                </c:pt>
                <c:pt idx="11">
                  <c:v>-0.37513657760230829</c:v>
                </c:pt>
                <c:pt idx="12">
                  <c:v>-0.36335016461912473</c:v>
                </c:pt>
                <c:pt idx="13">
                  <c:v>-0.35225280618260335</c:v>
                </c:pt>
                <c:pt idx="14">
                  <c:v>-0.34175061263037826</c:v>
                </c:pt>
                <c:pt idx="15">
                  <c:v>-0.33176780475640094</c:v>
                </c:pt>
                <c:pt idx="16">
                  <c:v>-0.32224228982055381</c:v>
                </c:pt>
                <c:pt idx="17">
                  <c:v>-0.31312251707389738</c:v>
                </c:pt>
                <c:pt idx="18">
                  <c:v>-0.30436519164510045</c:v>
                </c:pt>
                <c:pt idx="19">
                  <c:v>-0.29593357928409175</c:v>
                </c:pt>
                <c:pt idx="20">
                  <c:v>-0.28779622712308245</c:v>
                </c:pt>
                <c:pt idx="21">
                  <c:v>-0.27992598326837986</c:v>
                </c:pt>
                <c:pt idx="22">
                  <c:v>-0.27229923490623903</c:v>
                </c:pt>
                <c:pt idx="23">
                  <c:v>-0.26489530876758866</c:v>
                </c:pt>
                <c:pt idx="24">
                  <c:v>-0.25769599397993237</c:v>
                </c:pt>
                <c:pt idx="25">
                  <c:v>-0.25068515838989547</c:v>
                </c:pt>
                <c:pt idx="26">
                  <c:v>-0.24384843712754339</c:v>
                </c:pt>
                <c:pt idx="27">
                  <c:v>-0.23717297761694708</c:v>
                </c:pt>
                <c:pt idx="28">
                  <c:v>-0.23064722913474195</c:v>
                </c:pt>
                <c:pt idx="29">
                  <c:v>-0.22426076785224322</c:v>
                </c:pt>
                <c:pt idx="30">
                  <c:v>-0.21800415038310575</c:v>
                </c:pt>
                <c:pt idx="31">
                  <c:v>-0.21186879041252449</c:v>
                </c:pt>
                <c:pt idx="32">
                  <c:v>-0.20584685415392537</c:v>
                </c:pt>
                <c:pt idx="33">
                  <c:v>-0.19993117126870324</c:v>
                </c:pt>
                <c:pt idx="34">
                  <c:v>-0.19411515856728837</c:v>
                </c:pt>
                <c:pt idx="35">
                  <c:v>-0.18839275433837224</c:v>
                </c:pt>
                <c:pt idx="36">
                  <c:v>-0.18275836156561995</c:v>
                </c:pt>
                <c:pt idx="37">
                  <c:v>-0.17720679861558425</c:v>
                </c:pt>
                <c:pt idx="38">
                  <c:v>-0.17173325623748273</c:v>
                </c:pt>
                <c:pt idx="39">
                  <c:v>-0.1663332599203779</c:v>
                </c:pt>
                <c:pt idx="40">
                  <c:v>-0.16100263681772423</c:v>
                </c:pt>
                <c:pt idx="41">
                  <c:v>-0.15573748658198411</c:v>
                </c:pt>
                <c:pt idx="42">
                  <c:v>-0.15053415555978963</c:v>
                </c:pt>
                <c:pt idx="43">
                  <c:v>-0.14538921388610504</c:v>
                </c:pt>
                <c:pt idx="44">
                  <c:v>-0.14029943508802836</c:v>
                </c:pt>
                <c:pt idx="45">
                  <c:v>-0.13526177786838131</c:v>
                </c:pt>
                <c:pt idx="46">
                  <c:v>-0.13027336978853044</c:v>
                </c:pt>
                <c:pt idx="47">
                  <c:v>-0.12533149261088936</c:v>
                </c:pt>
                <c:pt idx="48">
                  <c:v>-0.12043356909580478</c:v>
                </c:pt>
                <c:pt idx="49">
                  <c:v>-0.1155771510762592</c:v>
                </c:pt>
                <c:pt idx="50">
                  <c:v>-0.11075990865800941</c:v>
                </c:pt>
                <c:pt idx="51">
                  <c:v>-0.10597962041321127</c:v>
                </c:pt>
                <c:pt idx="52">
                  <c:v>-0.10123416445290485</c:v>
                </c:pt>
                <c:pt idx="53">
                  <c:v>-9.6521510278464367E-2</c:v>
                </c:pt>
                <c:pt idx="54">
                  <c:v>-9.1839711324685908E-2</c:v>
                </c:pt>
                <c:pt idx="55">
                  <c:v>-8.7186898117934175E-2</c:v>
                </c:pt>
                <c:pt idx="56">
                  <c:v>-8.2561271981995407E-2</c:v>
                </c:pt>
                <c:pt idx="57">
                  <c:v>-7.7961099232210423E-2</c:v>
                </c:pt>
                <c:pt idx="58">
                  <c:v>-7.3384705805299544E-2</c:v>
                </c:pt>
                <c:pt idx="59">
                  <c:v>-6.8830472278192154E-2</c:v>
                </c:pt>
                <c:pt idx="60">
                  <c:v>-6.4296829234283412E-2</c:v>
                </c:pt>
                <c:pt idx="61">
                  <c:v>-5.9782252939965037E-2</c:v>
                </c:pt>
                <c:pt idx="62">
                  <c:v>-5.5285261298118046E-2</c:v>
                </c:pt>
                <c:pt idx="63">
                  <c:v>-5.0804410048589703E-2</c:v>
                </c:pt>
                <c:pt idx="64">
                  <c:v>-4.6338289188572357E-2</c:v>
                </c:pt>
                <c:pt idx="65">
                  <c:v>-4.1885519588319139E-2</c:v>
                </c:pt>
                <c:pt idx="66">
                  <c:v>-3.7444749779812402E-2</c:v>
                </c:pt>
                <c:pt idx="67">
                  <c:v>-3.3014652897892974E-2</c:v>
                </c:pt>
                <c:pt idx="68">
                  <c:v>-2.8593923754990286E-2</c:v>
                </c:pt>
                <c:pt idx="69">
                  <c:v>-2.4181276031999613E-2</c:v>
                </c:pt>
                <c:pt idx="70">
                  <c:v>-1.9775439569051641E-2</c:v>
                </c:pt>
                <c:pt idx="71">
                  <c:v>-1.5375157740937352E-2</c:v>
                </c:pt>
                <c:pt idx="72">
                  <c:v>-1.0979184902801245E-2</c:v>
                </c:pt>
                <c:pt idx="73">
                  <c:v>-6.5862838924127705E-3</c:v>
                </c:pt>
                <c:pt idx="74">
                  <c:v>-2.1952235758831151E-3</c:v>
                </c:pt>
                <c:pt idx="75">
                  <c:v>2.1952235758830783E-3</c:v>
                </c:pt>
                <c:pt idx="76">
                  <c:v>6.5862838924127705E-3</c:v>
                </c:pt>
                <c:pt idx="77">
                  <c:v>1.0979184902801281E-2</c:v>
                </c:pt>
                <c:pt idx="78">
                  <c:v>1.5375157740937352E-2</c:v>
                </c:pt>
                <c:pt idx="79">
                  <c:v>1.9775439569051641E-2</c:v>
                </c:pt>
                <c:pt idx="80">
                  <c:v>2.4181276031999571E-2</c:v>
                </c:pt>
                <c:pt idx="81">
                  <c:v>2.8593923754990286E-2</c:v>
                </c:pt>
                <c:pt idx="82">
                  <c:v>3.3014652897893008E-2</c:v>
                </c:pt>
                <c:pt idx="83">
                  <c:v>3.7444749779812402E-2</c:v>
                </c:pt>
                <c:pt idx="84">
                  <c:v>4.1885519588319139E-2</c:v>
                </c:pt>
                <c:pt idx="85">
                  <c:v>4.6338289188572315E-2</c:v>
                </c:pt>
                <c:pt idx="86">
                  <c:v>5.0804410048589703E-2</c:v>
                </c:pt>
                <c:pt idx="87">
                  <c:v>5.5285261298118088E-2</c:v>
                </c:pt>
                <c:pt idx="88">
                  <c:v>5.9782252939964996E-2</c:v>
                </c:pt>
                <c:pt idx="89">
                  <c:v>6.4296829234283412E-2</c:v>
                </c:pt>
                <c:pt idx="90">
                  <c:v>6.8830472278192195E-2</c:v>
                </c:pt>
                <c:pt idx="91">
                  <c:v>7.3384705805299544E-2</c:v>
                </c:pt>
                <c:pt idx="92">
                  <c:v>7.7961099232210465E-2</c:v>
                </c:pt>
                <c:pt idx="93">
                  <c:v>8.2561271981995366E-2</c:v>
                </c:pt>
                <c:pt idx="94">
                  <c:v>8.7186898117934175E-2</c:v>
                </c:pt>
                <c:pt idx="95">
                  <c:v>9.1839711324685963E-2</c:v>
                </c:pt>
                <c:pt idx="96">
                  <c:v>9.6521510278464367E-2</c:v>
                </c:pt>
                <c:pt idx="97">
                  <c:v>0.10123416445290485</c:v>
                </c:pt>
                <c:pt idx="98">
                  <c:v>0.10597962041321124</c:v>
                </c:pt>
                <c:pt idx="99">
                  <c:v>0.11075990865800941</c:v>
                </c:pt>
                <c:pt idx="100">
                  <c:v>0.11557715107625925</c:v>
                </c:pt>
                <c:pt idx="101">
                  <c:v>0.12043356909580473</c:v>
                </c:pt>
                <c:pt idx="102">
                  <c:v>0.12533149261088936</c:v>
                </c:pt>
                <c:pt idx="103">
                  <c:v>0.13027336978853038</c:v>
                </c:pt>
                <c:pt idx="104">
                  <c:v>0.13526177786838131</c:v>
                </c:pt>
                <c:pt idx="105">
                  <c:v>0.14029943508802845</c:v>
                </c:pt>
                <c:pt idx="106">
                  <c:v>0.14538921388610496</c:v>
                </c:pt>
                <c:pt idx="107">
                  <c:v>0.15053415555978963</c:v>
                </c:pt>
                <c:pt idx="108">
                  <c:v>0.15573748658198414</c:v>
                </c:pt>
                <c:pt idx="109">
                  <c:v>0.16100263681772423</c:v>
                </c:pt>
                <c:pt idx="110">
                  <c:v>0.1663332599203779</c:v>
                </c:pt>
                <c:pt idx="111">
                  <c:v>0.17173325623748265</c:v>
                </c:pt>
                <c:pt idx="112">
                  <c:v>0.17720679861558425</c:v>
                </c:pt>
                <c:pt idx="113">
                  <c:v>0.18275836156561992</c:v>
                </c:pt>
                <c:pt idx="114">
                  <c:v>0.18839275433837224</c:v>
                </c:pt>
                <c:pt idx="115">
                  <c:v>0.19411515856728837</c:v>
                </c:pt>
                <c:pt idx="116">
                  <c:v>0.19993117126870322</c:v>
                </c:pt>
                <c:pt idx="117">
                  <c:v>0.20584685415392537</c:v>
                </c:pt>
                <c:pt idx="118">
                  <c:v>0.21186879041252449</c:v>
                </c:pt>
                <c:pt idx="119">
                  <c:v>0.21800415038310575</c:v>
                </c:pt>
                <c:pt idx="120">
                  <c:v>0.22426076785224322</c:v>
                </c:pt>
                <c:pt idx="121">
                  <c:v>0.230647229134742</c:v>
                </c:pt>
                <c:pt idx="122">
                  <c:v>0.23717297761694708</c:v>
                </c:pt>
                <c:pt idx="123">
                  <c:v>0.24384843712754339</c:v>
                </c:pt>
                <c:pt idx="124">
                  <c:v>0.25068515838989547</c:v>
                </c:pt>
                <c:pt idx="125">
                  <c:v>0.25769599397993237</c:v>
                </c:pt>
                <c:pt idx="126">
                  <c:v>0.26489530876758843</c:v>
                </c:pt>
                <c:pt idx="127">
                  <c:v>0.27229923490623903</c:v>
                </c:pt>
                <c:pt idx="128">
                  <c:v>0.27992598326837986</c:v>
                </c:pt>
                <c:pt idx="129">
                  <c:v>0.28779622712308239</c:v>
                </c:pt>
                <c:pt idx="130">
                  <c:v>0.29593357928409175</c:v>
                </c:pt>
                <c:pt idx="131">
                  <c:v>0.30436519164510056</c:v>
                </c:pt>
                <c:pt idx="132">
                  <c:v>0.31312251707389738</c:v>
                </c:pt>
                <c:pt idx="133">
                  <c:v>0.32224228982055381</c:v>
                </c:pt>
                <c:pt idx="134">
                  <c:v>0.33176780475640066</c:v>
                </c:pt>
                <c:pt idx="135">
                  <c:v>0.34175061263037826</c:v>
                </c:pt>
                <c:pt idx="136">
                  <c:v>0.35225280618260335</c:v>
                </c:pt>
                <c:pt idx="137">
                  <c:v>0.36335016461912423</c:v>
                </c:pt>
                <c:pt idx="138">
                  <c:v>0.37513657760230829</c:v>
                </c:pt>
                <c:pt idx="139">
                  <c:v>0.38773043393647644</c:v>
                </c:pt>
                <c:pt idx="140">
                  <c:v>0.40128413292075393</c:v>
                </c:pt>
                <c:pt idx="141">
                  <c:v>0.41599876487582432</c:v>
                </c:pt>
                <c:pt idx="142">
                  <c:v>0.43214777591292736</c:v>
                </c:pt>
                <c:pt idx="143">
                  <c:v>0.45011720579047526</c:v>
                </c:pt>
                <c:pt idx="144">
                  <c:v>0.47047886577086967</c:v>
                </c:pt>
                <c:pt idx="145">
                  <c:v>0.49413562483380308</c:v>
                </c:pt>
                <c:pt idx="146">
                  <c:v>0.52264661761923759</c:v>
                </c:pt>
                <c:pt idx="147">
                  <c:v>0.55909535044742165</c:v>
                </c:pt>
                <c:pt idx="148">
                  <c:v>0.61119484633399335</c:v>
                </c:pt>
                <c:pt idx="149">
                  <c:v>0.71279250647537662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57-46C5-A93C-7E89BFBCF538}"/>
            </c:ext>
          </c:extLst>
        </c:ser>
        <c:ser>
          <c:idx val="1"/>
          <c:order val="1"/>
          <c:tx>
            <c:v>Identyczność 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Irysy!$AF$2:$AF$151</c:f>
              <c:numCache>
                <c:formatCode>General</c:formatCode>
                <c:ptCount val="150"/>
                <c:pt idx="0">
                  <c:v>-0.65418166498163188</c:v>
                </c:pt>
                <c:pt idx="1">
                  <c:v>-0.62344229088271419</c:v>
                </c:pt>
                <c:pt idx="2">
                  <c:v>-0.58589672604356413</c:v>
                </c:pt>
                <c:pt idx="3">
                  <c:v>-0.5162234753306354</c:v>
                </c:pt>
                <c:pt idx="4">
                  <c:v>-0.50262500482109029</c:v>
                </c:pt>
                <c:pt idx="5">
                  <c:v>-0.45614418615778263</c:v>
                </c:pt>
                <c:pt idx="6">
                  <c:v>-0.4502814333187759</c:v>
                </c:pt>
                <c:pt idx="7">
                  <c:v>-0.43937302471257578</c:v>
                </c:pt>
                <c:pt idx="8">
                  <c:v>-0.43784316773629417</c:v>
                </c:pt>
                <c:pt idx="9">
                  <c:v>-0.42158266020837853</c:v>
                </c:pt>
                <c:pt idx="10">
                  <c:v>-0.4045628388831215</c:v>
                </c:pt>
                <c:pt idx="11">
                  <c:v>-0.39650338204542379</c:v>
                </c:pt>
                <c:pt idx="12">
                  <c:v>-0.39282733681876714</c:v>
                </c:pt>
                <c:pt idx="13">
                  <c:v>-0.3810238414233309</c:v>
                </c:pt>
                <c:pt idx="14">
                  <c:v>-0.35526011887113529</c:v>
                </c:pt>
                <c:pt idx="15">
                  <c:v>-0.35406036904724481</c:v>
                </c:pt>
                <c:pt idx="16">
                  <c:v>-0.34584898472509096</c:v>
                </c:pt>
                <c:pt idx="17">
                  <c:v>-0.3191907225082673</c:v>
                </c:pt>
                <c:pt idx="18">
                  <c:v>-0.31059259065956302</c:v>
                </c:pt>
                <c:pt idx="19">
                  <c:v>-0.28589672604356431</c:v>
                </c:pt>
                <c:pt idx="20">
                  <c:v>-0.26515797682397046</c:v>
                </c:pt>
                <c:pt idx="21">
                  <c:v>-0.25334081381700257</c:v>
                </c:pt>
                <c:pt idx="22">
                  <c:v>-0.25280082505949419</c:v>
                </c:pt>
                <c:pt idx="23">
                  <c:v>-0.23883726013188089</c:v>
                </c:pt>
                <c:pt idx="24">
                  <c:v>-0.2372430810497077</c:v>
                </c:pt>
                <c:pt idx="25">
                  <c:v>-0.23173965041924283</c:v>
                </c:pt>
                <c:pt idx="26">
                  <c:v>-0.23043722376381037</c:v>
                </c:pt>
                <c:pt idx="27">
                  <c:v>-0.22115312010909172</c:v>
                </c:pt>
                <c:pt idx="28">
                  <c:v>-0.21506660817442746</c:v>
                </c:pt>
                <c:pt idx="29">
                  <c:v>-0.20141158738566922</c:v>
                </c:pt>
                <c:pt idx="30">
                  <c:v>-0.20088970408677831</c:v>
                </c:pt>
                <c:pt idx="31">
                  <c:v>-0.19299433575620206</c:v>
                </c:pt>
                <c:pt idx="32">
                  <c:v>-0.17570441511268631</c:v>
                </c:pt>
                <c:pt idx="33">
                  <c:v>-0.17139317235844298</c:v>
                </c:pt>
                <c:pt idx="34">
                  <c:v>-0.15688961867332107</c:v>
                </c:pt>
                <c:pt idx="35">
                  <c:v>-0.14980880067279756</c:v>
                </c:pt>
                <c:pt idx="36">
                  <c:v>-0.14935469703471771</c:v>
                </c:pt>
                <c:pt idx="37">
                  <c:v>-0.14731106204056132</c:v>
                </c:pt>
                <c:pt idx="38">
                  <c:v>-0.14727574132054833</c:v>
                </c:pt>
                <c:pt idx="39">
                  <c:v>-0.14230017986877197</c:v>
                </c:pt>
                <c:pt idx="40">
                  <c:v>-0.13714040421816431</c:v>
                </c:pt>
                <c:pt idx="41">
                  <c:v>-0.13116121684113824</c:v>
                </c:pt>
                <c:pt idx="42">
                  <c:v>-0.12928305715890276</c:v>
                </c:pt>
                <c:pt idx="43">
                  <c:v>-0.12261519742456173</c:v>
                </c:pt>
                <c:pt idx="44">
                  <c:v>-0.12142300954834018</c:v>
                </c:pt>
                <c:pt idx="45">
                  <c:v>-0.11976915608637118</c:v>
                </c:pt>
                <c:pt idx="46">
                  <c:v>-0.10710367006204979</c:v>
                </c:pt>
                <c:pt idx="47">
                  <c:v>-0.10637634300512744</c:v>
                </c:pt>
                <c:pt idx="48">
                  <c:v>-0.10146813766488183</c:v>
                </c:pt>
                <c:pt idx="49">
                  <c:v>-9.8768079375196827E-2</c:v>
                </c:pt>
                <c:pt idx="50">
                  <c:v>-9.4892411251136011E-2</c:v>
                </c:pt>
                <c:pt idx="51">
                  <c:v>-9.4189647733006865E-2</c:v>
                </c:pt>
                <c:pt idx="52">
                  <c:v>-9.2086128480042939E-2</c:v>
                </c:pt>
                <c:pt idx="53">
                  <c:v>-9.1773146494102953E-2</c:v>
                </c:pt>
                <c:pt idx="54">
                  <c:v>-8.6329600122444283E-2</c:v>
                </c:pt>
                <c:pt idx="55">
                  <c:v>-8.5069842464421619E-2</c:v>
                </c:pt>
                <c:pt idx="56">
                  <c:v>-7.7912348492976902E-2</c:v>
                </c:pt>
                <c:pt idx="57">
                  <c:v>-7.4777888707639129E-2</c:v>
                </c:pt>
                <c:pt idx="58">
                  <c:v>-7.3909439998577797E-2</c:v>
                </c:pt>
                <c:pt idx="59">
                  <c:v>-7.0939068720362597E-2</c:v>
                </c:pt>
                <c:pt idx="60">
                  <c:v>-6.4295562645804827E-2</c:v>
                </c:pt>
                <c:pt idx="61">
                  <c:v>-5.3525028015833698E-2</c:v>
                </c:pt>
                <c:pt idx="62">
                  <c:v>-5.3525028015833698E-2</c:v>
                </c:pt>
                <c:pt idx="63">
                  <c:v>-4.385126640425363E-2</c:v>
                </c:pt>
                <c:pt idx="64">
                  <c:v>-3.0291240715304202E-2</c:v>
                </c:pt>
                <c:pt idx="65">
                  <c:v>-2.6107452001668641E-2</c:v>
                </c:pt>
                <c:pt idx="66">
                  <c:v>-2.1093235850285552E-2</c:v>
                </c:pt>
                <c:pt idx="67">
                  <c:v>-1.548226699191102E-2</c:v>
                </c:pt>
                <c:pt idx="68">
                  <c:v>-1.0592590659562973E-2</c:v>
                </c:pt>
                <c:pt idx="69">
                  <c:v>-8.6686378793343621E-3</c:v>
                </c:pt>
                <c:pt idx="70">
                  <c:v>-8.4630705459769473E-3</c:v>
                </c:pt>
                <c:pt idx="71">
                  <c:v>-4.7761780431576639E-3</c:v>
                </c:pt>
                <c:pt idx="72">
                  <c:v>-4.5628388831211453E-3</c:v>
                </c:pt>
                <c:pt idx="73">
                  <c:v>-3.4949809469251303E-3</c:v>
                </c:pt>
                <c:pt idx="74">
                  <c:v>-3.4552223798263171E-3</c:v>
                </c:pt>
                <c:pt idx="75">
                  <c:v>-4.0027972868528217E-4</c:v>
                </c:pt>
                <c:pt idx="76">
                  <c:v>3.1697546868327819E-3</c:v>
                </c:pt>
                <c:pt idx="77">
                  <c:v>4.1993814727048218E-3</c:v>
                </c:pt>
                <c:pt idx="78">
                  <c:v>9.0892676840637066E-3</c:v>
                </c:pt>
                <c:pt idx="79">
                  <c:v>1.7449335606025684E-2</c:v>
                </c:pt>
                <c:pt idx="80">
                  <c:v>2.4465707925330982E-2</c:v>
                </c:pt>
                <c:pt idx="81">
                  <c:v>2.4590037865356074E-2</c:v>
                </c:pt>
                <c:pt idx="82">
                  <c:v>2.7993073343440145E-2</c:v>
                </c:pt>
                <c:pt idx="83">
                  <c:v>3.925324221051496E-2</c:v>
                </c:pt>
                <c:pt idx="84">
                  <c:v>4.6534856242973044E-2</c:v>
                </c:pt>
                <c:pt idx="85">
                  <c:v>4.7113289821077986E-2</c:v>
                </c:pt>
                <c:pt idx="86">
                  <c:v>5.3756795895635756E-2</c:v>
                </c:pt>
                <c:pt idx="87">
                  <c:v>5.8540671295857161E-2</c:v>
                </c:pt>
                <c:pt idx="88">
                  <c:v>6.2792239670305117E-2</c:v>
                </c:pt>
                <c:pt idx="89">
                  <c:v>6.3949106826513225E-2</c:v>
                </c:pt>
                <c:pt idx="90">
                  <c:v>6.4097790426321133E-2</c:v>
                </c:pt>
                <c:pt idx="91">
                  <c:v>6.7043598165741791E-2</c:v>
                </c:pt>
                <c:pt idx="92">
                  <c:v>6.8349358800768645E-2</c:v>
                </c:pt>
                <c:pt idx="93">
                  <c:v>6.9276095084826572E-2</c:v>
                </c:pt>
                <c:pt idx="94">
                  <c:v>6.9730198722905534E-2</c:v>
                </c:pt>
                <c:pt idx="95">
                  <c:v>7.8452660511634909E-2</c:v>
                </c:pt>
                <c:pt idx="96">
                  <c:v>8.138771106983711E-2</c:v>
                </c:pt>
                <c:pt idx="97">
                  <c:v>8.2001255488942881E-2</c:v>
                </c:pt>
                <c:pt idx="98">
                  <c:v>9.0499620936416392E-2</c:v>
                </c:pt>
                <c:pt idx="99">
                  <c:v>0.1013779036733089</c:v>
                </c:pt>
                <c:pt idx="100">
                  <c:v>0.10228611094946771</c:v>
                </c:pt>
                <c:pt idx="101">
                  <c:v>0.11127846217744519</c:v>
                </c:pt>
                <c:pt idx="102">
                  <c:v>0.12474968852539337</c:v>
                </c:pt>
                <c:pt idx="103">
                  <c:v>0.12560113564332998</c:v>
                </c:pt>
                <c:pt idx="104">
                  <c:v>0.12819851710147123</c:v>
                </c:pt>
                <c:pt idx="105">
                  <c:v>0.13212031177786354</c:v>
                </c:pt>
                <c:pt idx="106">
                  <c:v>0.13358551319391676</c:v>
                </c:pt>
                <c:pt idx="107">
                  <c:v>0.13867480863241011</c:v>
                </c:pt>
                <c:pt idx="108">
                  <c:v>0.14669894475009482</c:v>
                </c:pt>
                <c:pt idx="109">
                  <c:v>0.14932122320136765</c:v>
                </c:pt>
                <c:pt idx="110">
                  <c:v>0.15050244401735924</c:v>
                </c:pt>
                <c:pt idx="111">
                  <c:v>0.1563973934757954</c:v>
                </c:pt>
                <c:pt idx="112">
                  <c:v>0.1573056007519551</c:v>
                </c:pt>
                <c:pt idx="113">
                  <c:v>0.16537898752255398</c:v>
                </c:pt>
                <c:pt idx="114">
                  <c:v>0.16590817044774475</c:v>
                </c:pt>
                <c:pt idx="115">
                  <c:v>0.17385743715732893</c:v>
                </c:pt>
                <c:pt idx="116">
                  <c:v>0.17787422693353028</c:v>
                </c:pt>
                <c:pt idx="117">
                  <c:v>0.19528847751707112</c:v>
                </c:pt>
                <c:pt idx="118">
                  <c:v>0.20057549732927615</c:v>
                </c:pt>
                <c:pt idx="119">
                  <c:v>0.2029888744675965</c:v>
                </c:pt>
                <c:pt idx="120">
                  <c:v>0.20548661309983363</c:v>
                </c:pt>
                <c:pt idx="121">
                  <c:v>0.21406795323642269</c:v>
                </c:pt>
                <c:pt idx="122">
                  <c:v>0.21449749333570889</c:v>
                </c:pt>
                <c:pt idx="123">
                  <c:v>0.22076800959019405</c:v>
                </c:pt>
                <c:pt idx="124">
                  <c:v>0.2225815137122007</c:v>
                </c:pt>
                <c:pt idx="125">
                  <c:v>0.22953335404660447</c:v>
                </c:pt>
                <c:pt idx="126">
                  <c:v>0.25369691163682973</c:v>
                </c:pt>
                <c:pt idx="127">
                  <c:v>0.26190526195334574</c:v>
                </c:pt>
                <c:pt idx="128">
                  <c:v>0.26675982744469096</c:v>
                </c:pt>
                <c:pt idx="129">
                  <c:v>0.27180915443707621</c:v>
                </c:pt>
                <c:pt idx="130">
                  <c:v>0.27814411637277914</c:v>
                </c:pt>
                <c:pt idx="131">
                  <c:v>0.2794284375695959</c:v>
                </c:pt>
                <c:pt idx="132">
                  <c:v>0.28841754112166296</c:v>
                </c:pt>
                <c:pt idx="133">
                  <c:v>0.29935106039126569</c:v>
                </c:pt>
                <c:pt idx="134">
                  <c:v>0.30122922007350073</c:v>
                </c:pt>
                <c:pt idx="135">
                  <c:v>0.30950805060212971</c:v>
                </c:pt>
                <c:pt idx="136">
                  <c:v>0.33863948791239729</c:v>
                </c:pt>
                <c:pt idx="137">
                  <c:v>0.34203939928989868</c:v>
                </c:pt>
                <c:pt idx="138">
                  <c:v>0.36351623274763334</c:v>
                </c:pt>
                <c:pt idx="139">
                  <c:v>0.38658259756144631</c:v>
                </c:pt>
                <c:pt idx="140">
                  <c:v>0.39025573235778932</c:v>
                </c:pt>
                <c:pt idx="141">
                  <c:v>0.40908926768406362</c:v>
                </c:pt>
                <c:pt idx="142">
                  <c:v>0.41140279211747011</c:v>
                </c:pt>
                <c:pt idx="143">
                  <c:v>0.41658422087655866</c:v>
                </c:pt>
                <c:pt idx="144">
                  <c:v>0.42165498730715401</c:v>
                </c:pt>
                <c:pt idx="145">
                  <c:v>0.45087543383743256</c:v>
                </c:pt>
                <c:pt idx="146">
                  <c:v>0.58041172413286546</c:v>
                </c:pt>
                <c:pt idx="147">
                  <c:v>0.61379493969659116</c:v>
                </c:pt>
                <c:pt idx="148">
                  <c:v>0.66434645030637007</c:v>
                </c:pt>
                <c:pt idx="149">
                  <c:v>0.78396052898918533</c:v>
                </c:pt>
              </c:numCache>
            </c:numRef>
          </c:xVal>
          <c:yVal>
            <c:numRef>
              <c:f>Irysy!$AF$2:$AF$151</c:f>
              <c:numCache>
                <c:formatCode>General</c:formatCode>
                <c:ptCount val="150"/>
                <c:pt idx="0">
                  <c:v>-0.65418166498163188</c:v>
                </c:pt>
                <c:pt idx="1">
                  <c:v>-0.62344229088271419</c:v>
                </c:pt>
                <c:pt idx="2">
                  <c:v>-0.58589672604356413</c:v>
                </c:pt>
                <c:pt idx="3">
                  <c:v>-0.5162234753306354</c:v>
                </c:pt>
                <c:pt idx="4">
                  <c:v>-0.50262500482109029</c:v>
                </c:pt>
                <c:pt idx="5">
                  <c:v>-0.45614418615778263</c:v>
                </c:pt>
                <c:pt idx="6">
                  <c:v>-0.4502814333187759</c:v>
                </c:pt>
                <c:pt idx="7">
                  <c:v>-0.43937302471257578</c:v>
                </c:pt>
                <c:pt idx="8">
                  <c:v>-0.43784316773629417</c:v>
                </c:pt>
                <c:pt idx="9">
                  <c:v>-0.42158266020837853</c:v>
                </c:pt>
                <c:pt idx="10">
                  <c:v>-0.4045628388831215</c:v>
                </c:pt>
                <c:pt idx="11">
                  <c:v>-0.39650338204542379</c:v>
                </c:pt>
                <c:pt idx="12">
                  <c:v>-0.39282733681876714</c:v>
                </c:pt>
                <c:pt idx="13">
                  <c:v>-0.3810238414233309</c:v>
                </c:pt>
                <c:pt idx="14">
                  <c:v>-0.35526011887113529</c:v>
                </c:pt>
                <c:pt idx="15">
                  <c:v>-0.35406036904724481</c:v>
                </c:pt>
                <c:pt idx="16">
                  <c:v>-0.34584898472509096</c:v>
                </c:pt>
                <c:pt idx="17">
                  <c:v>-0.3191907225082673</c:v>
                </c:pt>
                <c:pt idx="18">
                  <c:v>-0.31059259065956302</c:v>
                </c:pt>
                <c:pt idx="19">
                  <c:v>-0.28589672604356431</c:v>
                </c:pt>
                <c:pt idx="20">
                  <c:v>-0.26515797682397046</c:v>
                </c:pt>
                <c:pt idx="21">
                  <c:v>-0.25334081381700257</c:v>
                </c:pt>
                <c:pt idx="22">
                  <c:v>-0.25280082505949419</c:v>
                </c:pt>
                <c:pt idx="23">
                  <c:v>-0.23883726013188089</c:v>
                </c:pt>
                <c:pt idx="24">
                  <c:v>-0.2372430810497077</c:v>
                </c:pt>
                <c:pt idx="25">
                  <c:v>-0.23173965041924283</c:v>
                </c:pt>
                <c:pt idx="26">
                  <c:v>-0.23043722376381037</c:v>
                </c:pt>
                <c:pt idx="27">
                  <c:v>-0.22115312010909172</c:v>
                </c:pt>
                <c:pt idx="28">
                  <c:v>-0.21506660817442746</c:v>
                </c:pt>
                <c:pt idx="29">
                  <c:v>-0.20141158738566922</c:v>
                </c:pt>
                <c:pt idx="30">
                  <c:v>-0.20088970408677831</c:v>
                </c:pt>
                <c:pt idx="31">
                  <c:v>-0.19299433575620206</c:v>
                </c:pt>
                <c:pt idx="32">
                  <c:v>-0.17570441511268631</c:v>
                </c:pt>
                <c:pt idx="33">
                  <c:v>-0.17139317235844298</c:v>
                </c:pt>
                <c:pt idx="34">
                  <c:v>-0.15688961867332107</c:v>
                </c:pt>
                <c:pt idx="35">
                  <c:v>-0.14980880067279756</c:v>
                </c:pt>
                <c:pt idx="36">
                  <c:v>-0.14935469703471771</c:v>
                </c:pt>
                <c:pt idx="37">
                  <c:v>-0.14731106204056132</c:v>
                </c:pt>
                <c:pt idx="38">
                  <c:v>-0.14727574132054833</c:v>
                </c:pt>
                <c:pt idx="39">
                  <c:v>-0.14230017986877197</c:v>
                </c:pt>
                <c:pt idx="40">
                  <c:v>-0.13714040421816431</c:v>
                </c:pt>
                <c:pt idx="41">
                  <c:v>-0.13116121684113824</c:v>
                </c:pt>
                <c:pt idx="42">
                  <c:v>-0.12928305715890276</c:v>
                </c:pt>
                <c:pt idx="43">
                  <c:v>-0.12261519742456173</c:v>
                </c:pt>
                <c:pt idx="44">
                  <c:v>-0.12142300954834018</c:v>
                </c:pt>
                <c:pt idx="45">
                  <c:v>-0.11976915608637118</c:v>
                </c:pt>
                <c:pt idx="46">
                  <c:v>-0.10710367006204979</c:v>
                </c:pt>
                <c:pt idx="47">
                  <c:v>-0.10637634300512744</c:v>
                </c:pt>
                <c:pt idx="48">
                  <c:v>-0.10146813766488183</c:v>
                </c:pt>
                <c:pt idx="49">
                  <c:v>-9.8768079375196827E-2</c:v>
                </c:pt>
                <c:pt idx="50">
                  <c:v>-9.4892411251136011E-2</c:v>
                </c:pt>
                <c:pt idx="51">
                  <c:v>-9.4189647733006865E-2</c:v>
                </c:pt>
                <c:pt idx="52">
                  <c:v>-9.2086128480042939E-2</c:v>
                </c:pt>
                <c:pt idx="53">
                  <c:v>-9.1773146494102953E-2</c:v>
                </c:pt>
                <c:pt idx="54">
                  <c:v>-8.6329600122444283E-2</c:v>
                </c:pt>
                <c:pt idx="55">
                  <c:v>-8.5069842464421619E-2</c:v>
                </c:pt>
                <c:pt idx="56">
                  <c:v>-7.7912348492976902E-2</c:v>
                </c:pt>
                <c:pt idx="57">
                  <c:v>-7.4777888707639129E-2</c:v>
                </c:pt>
                <c:pt idx="58">
                  <c:v>-7.3909439998577797E-2</c:v>
                </c:pt>
                <c:pt idx="59">
                  <c:v>-7.0939068720362597E-2</c:v>
                </c:pt>
                <c:pt idx="60">
                  <c:v>-6.4295562645804827E-2</c:v>
                </c:pt>
                <c:pt idx="61">
                  <c:v>-5.3525028015833698E-2</c:v>
                </c:pt>
                <c:pt idx="62">
                  <c:v>-5.3525028015833698E-2</c:v>
                </c:pt>
                <c:pt idx="63">
                  <c:v>-4.385126640425363E-2</c:v>
                </c:pt>
                <c:pt idx="64">
                  <c:v>-3.0291240715304202E-2</c:v>
                </c:pt>
                <c:pt idx="65">
                  <c:v>-2.6107452001668641E-2</c:v>
                </c:pt>
                <c:pt idx="66">
                  <c:v>-2.1093235850285552E-2</c:v>
                </c:pt>
                <c:pt idx="67">
                  <c:v>-1.548226699191102E-2</c:v>
                </c:pt>
                <c:pt idx="68">
                  <c:v>-1.0592590659562973E-2</c:v>
                </c:pt>
                <c:pt idx="69">
                  <c:v>-8.6686378793343621E-3</c:v>
                </c:pt>
                <c:pt idx="70">
                  <c:v>-8.4630705459769473E-3</c:v>
                </c:pt>
                <c:pt idx="71">
                  <c:v>-4.7761780431576639E-3</c:v>
                </c:pt>
                <c:pt idx="72">
                  <c:v>-4.5628388831211453E-3</c:v>
                </c:pt>
                <c:pt idx="73">
                  <c:v>-3.4949809469251303E-3</c:v>
                </c:pt>
                <c:pt idx="74">
                  <c:v>-3.4552223798263171E-3</c:v>
                </c:pt>
                <c:pt idx="75">
                  <c:v>-4.0027972868528217E-4</c:v>
                </c:pt>
                <c:pt idx="76">
                  <c:v>3.1697546868327819E-3</c:v>
                </c:pt>
                <c:pt idx="77">
                  <c:v>4.1993814727048218E-3</c:v>
                </c:pt>
                <c:pt idx="78">
                  <c:v>9.0892676840637066E-3</c:v>
                </c:pt>
                <c:pt idx="79">
                  <c:v>1.7449335606025684E-2</c:v>
                </c:pt>
                <c:pt idx="80">
                  <c:v>2.4465707925330982E-2</c:v>
                </c:pt>
                <c:pt idx="81">
                  <c:v>2.4590037865356074E-2</c:v>
                </c:pt>
                <c:pt idx="82">
                  <c:v>2.7993073343440145E-2</c:v>
                </c:pt>
                <c:pt idx="83">
                  <c:v>3.925324221051496E-2</c:v>
                </c:pt>
                <c:pt idx="84">
                  <c:v>4.6534856242973044E-2</c:v>
                </c:pt>
                <c:pt idx="85">
                  <c:v>4.7113289821077986E-2</c:v>
                </c:pt>
                <c:pt idx="86">
                  <c:v>5.3756795895635756E-2</c:v>
                </c:pt>
                <c:pt idx="87">
                  <c:v>5.8540671295857161E-2</c:v>
                </c:pt>
                <c:pt idx="88">
                  <c:v>6.2792239670305117E-2</c:v>
                </c:pt>
                <c:pt idx="89">
                  <c:v>6.3949106826513225E-2</c:v>
                </c:pt>
                <c:pt idx="90">
                  <c:v>6.4097790426321133E-2</c:v>
                </c:pt>
                <c:pt idx="91">
                  <c:v>6.7043598165741791E-2</c:v>
                </c:pt>
                <c:pt idx="92">
                  <c:v>6.8349358800768645E-2</c:v>
                </c:pt>
                <c:pt idx="93">
                  <c:v>6.9276095084826572E-2</c:v>
                </c:pt>
                <c:pt idx="94">
                  <c:v>6.9730198722905534E-2</c:v>
                </c:pt>
                <c:pt idx="95">
                  <c:v>7.8452660511634909E-2</c:v>
                </c:pt>
                <c:pt idx="96">
                  <c:v>8.138771106983711E-2</c:v>
                </c:pt>
                <c:pt idx="97">
                  <c:v>8.2001255488942881E-2</c:v>
                </c:pt>
                <c:pt idx="98">
                  <c:v>9.0499620936416392E-2</c:v>
                </c:pt>
                <c:pt idx="99">
                  <c:v>0.1013779036733089</c:v>
                </c:pt>
                <c:pt idx="100">
                  <c:v>0.10228611094946771</c:v>
                </c:pt>
                <c:pt idx="101">
                  <c:v>0.11127846217744519</c:v>
                </c:pt>
                <c:pt idx="102">
                  <c:v>0.12474968852539337</c:v>
                </c:pt>
                <c:pt idx="103">
                  <c:v>0.12560113564332998</c:v>
                </c:pt>
                <c:pt idx="104">
                  <c:v>0.12819851710147123</c:v>
                </c:pt>
                <c:pt idx="105">
                  <c:v>0.13212031177786354</c:v>
                </c:pt>
                <c:pt idx="106">
                  <c:v>0.13358551319391676</c:v>
                </c:pt>
                <c:pt idx="107">
                  <c:v>0.13867480863241011</c:v>
                </c:pt>
                <c:pt idx="108">
                  <c:v>0.14669894475009482</c:v>
                </c:pt>
                <c:pt idx="109">
                  <c:v>0.14932122320136765</c:v>
                </c:pt>
                <c:pt idx="110">
                  <c:v>0.15050244401735924</c:v>
                </c:pt>
                <c:pt idx="111">
                  <c:v>0.1563973934757954</c:v>
                </c:pt>
                <c:pt idx="112">
                  <c:v>0.1573056007519551</c:v>
                </c:pt>
                <c:pt idx="113">
                  <c:v>0.16537898752255398</c:v>
                </c:pt>
                <c:pt idx="114">
                  <c:v>0.16590817044774475</c:v>
                </c:pt>
                <c:pt idx="115">
                  <c:v>0.17385743715732893</c:v>
                </c:pt>
                <c:pt idx="116">
                  <c:v>0.17787422693353028</c:v>
                </c:pt>
                <c:pt idx="117">
                  <c:v>0.19528847751707112</c:v>
                </c:pt>
                <c:pt idx="118">
                  <c:v>0.20057549732927615</c:v>
                </c:pt>
                <c:pt idx="119">
                  <c:v>0.2029888744675965</c:v>
                </c:pt>
                <c:pt idx="120">
                  <c:v>0.20548661309983363</c:v>
                </c:pt>
                <c:pt idx="121">
                  <c:v>0.21406795323642269</c:v>
                </c:pt>
                <c:pt idx="122">
                  <c:v>0.21449749333570889</c:v>
                </c:pt>
                <c:pt idx="123">
                  <c:v>0.22076800959019405</c:v>
                </c:pt>
                <c:pt idx="124">
                  <c:v>0.2225815137122007</c:v>
                </c:pt>
                <c:pt idx="125">
                  <c:v>0.22953335404660447</c:v>
                </c:pt>
                <c:pt idx="126">
                  <c:v>0.25369691163682973</c:v>
                </c:pt>
                <c:pt idx="127">
                  <c:v>0.26190526195334574</c:v>
                </c:pt>
                <c:pt idx="128">
                  <c:v>0.26675982744469096</c:v>
                </c:pt>
                <c:pt idx="129">
                  <c:v>0.27180915443707621</c:v>
                </c:pt>
                <c:pt idx="130">
                  <c:v>0.27814411637277914</c:v>
                </c:pt>
                <c:pt idx="131">
                  <c:v>0.2794284375695959</c:v>
                </c:pt>
                <c:pt idx="132">
                  <c:v>0.28841754112166296</c:v>
                </c:pt>
                <c:pt idx="133">
                  <c:v>0.29935106039126569</c:v>
                </c:pt>
                <c:pt idx="134">
                  <c:v>0.30122922007350073</c:v>
                </c:pt>
                <c:pt idx="135">
                  <c:v>0.30950805060212971</c:v>
                </c:pt>
                <c:pt idx="136">
                  <c:v>0.33863948791239729</c:v>
                </c:pt>
                <c:pt idx="137">
                  <c:v>0.34203939928989868</c:v>
                </c:pt>
                <c:pt idx="138">
                  <c:v>0.36351623274763334</c:v>
                </c:pt>
                <c:pt idx="139">
                  <c:v>0.38658259756144631</c:v>
                </c:pt>
                <c:pt idx="140">
                  <c:v>0.39025573235778932</c:v>
                </c:pt>
                <c:pt idx="141">
                  <c:v>0.40908926768406362</c:v>
                </c:pt>
                <c:pt idx="142">
                  <c:v>0.41140279211747011</c:v>
                </c:pt>
                <c:pt idx="143">
                  <c:v>0.41658422087655866</c:v>
                </c:pt>
                <c:pt idx="144">
                  <c:v>0.42165498730715401</c:v>
                </c:pt>
                <c:pt idx="145">
                  <c:v>0.45087543383743256</c:v>
                </c:pt>
                <c:pt idx="146">
                  <c:v>0.58041172413286546</c:v>
                </c:pt>
                <c:pt idx="147">
                  <c:v>0.61379493969659116</c:v>
                </c:pt>
                <c:pt idx="148">
                  <c:v>0.66434645030637007</c:v>
                </c:pt>
                <c:pt idx="149">
                  <c:v>0.78396052898918533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57-46C5-A93C-7E89BFBCF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639615"/>
        <c:axId val="958588335"/>
      </c:scatterChart>
      <c:valAx>
        <c:axId val="10036396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58588335"/>
        <c:crosses val="autoZero"/>
        <c:crossBetween val="midCat"/>
      </c:valAx>
      <c:valAx>
        <c:axId val="958588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03639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Prognoza vs |std.eps|^(1/2)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Irysy!$N$1</c:f>
              <c:strCache>
                <c:ptCount val="1"/>
                <c:pt idx="0">
                  <c:v>|std.eps|^(-1/2)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xVal>
            <c:numRef>
              <c:f>Irysy!$L$2:$L$151</c:f>
              <c:numCache>
                <c:formatCode>General</c:formatCode>
                <c:ptCount val="150"/>
                <c:pt idx="0">
                  <c:v>1.478452660511705</c:v>
                </c:pt>
                <c:pt idx="1">
                  <c:v>1.4471132898210777</c:v>
                </c:pt>
                <c:pt idx="2">
                  <c:v>1.2894074093404491</c:v>
                </c:pt>
                <c:pt idx="3">
                  <c:v>1.246659186183027</c:v>
                </c:pt>
                <c:pt idx="4">
                  <c:v>1.3995997202714403</c:v>
                </c:pt>
                <c:pt idx="5">
                  <c:v>1.7090892676841181</c:v>
                </c:pt>
                <c:pt idx="6">
                  <c:v>1.2527242586794161</c:v>
                </c:pt>
                <c:pt idx="7">
                  <c:v>1.4357044373542183</c:v>
                </c:pt>
                <c:pt idx="8">
                  <c:v>1.1611627398682249</c:v>
                </c:pt>
                <c:pt idx="9">
                  <c:v>1.3688387831587938</c:v>
                </c:pt>
                <c:pt idx="10">
                  <c:v>1.6247496885254205</c:v>
                </c:pt>
                <c:pt idx="11">
                  <c:v>1.3141032739564125</c:v>
                </c:pt>
                <c:pt idx="12">
                  <c:v>1.3260905600013753</c:v>
                </c:pt>
                <c:pt idx="13">
                  <c:v>1.0220876515070518</c:v>
                </c:pt>
                <c:pt idx="14">
                  <c:v>1.8137949396967081</c:v>
                </c:pt>
                <c:pt idx="15">
                  <c:v>1.8012292200734166</c:v>
                </c:pt>
                <c:pt idx="16">
                  <c:v>1.7090892676841181</c:v>
                </c:pt>
                <c:pt idx="17">
                  <c:v>1.5386748086324245</c:v>
                </c:pt>
                <c:pt idx="18">
                  <c:v>1.8493212232013507</c:v>
                </c:pt>
                <c:pt idx="19">
                  <c:v>1.4845177330080903</c:v>
                </c:pt>
                <c:pt idx="20">
                  <c:v>1.6789067641497142</c:v>
                </c:pt>
                <c:pt idx="21">
                  <c:v>1.5627922396702822</c:v>
                </c:pt>
                <c:pt idx="22">
                  <c:v>1.1563973934758114</c:v>
                </c:pt>
                <c:pt idx="23">
                  <c:v>1.6952238219568154</c:v>
                </c:pt>
                <c:pt idx="24">
                  <c:v>1.3141032739564125</c:v>
                </c:pt>
                <c:pt idx="25">
                  <c:v>1.5079138715200449</c:v>
                </c:pt>
                <c:pt idx="26">
                  <c:v>1.556148733595776</c:v>
                </c:pt>
                <c:pt idx="27">
                  <c:v>1.5392532422105831</c:v>
                </c:pt>
                <c:pt idx="28">
                  <c:v>1.5573056007519217</c:v>
                </c:pt>
                <c:pt idx="29">
                  <c:v>1.2894074093404491</c:v>
                </c:pt>
                <c:pt idx="30">
                  <c:v>1.3682603495807784</c:v>
                </c:pt>
                <c:pt idx="31">
                  <c:v>1.7993510603912652</c:v>
                </c:pt>
                <c:pt idx="32">
                  <c:v>1.370716942841159</c:v>
                </c:pt>
                <c:pt idx="33">
                  <c:v>1.5952884775171767</c:v>
                </c:pt>
                <c:pt idx="34">
                  <c:v>1.429060931279637</c:v>
                </c:pt>
                <c:pt idx="35">
                  <c:v>1.4718091544371281</c:v>
                </c:pt>
                <c:pt idx="36">
                  <c:v>1.7216549873072968</c:v>
                </c:pt>
                <c:pt idx="37">
                  <c:v>1.2785769904516386</c:v>
                </c:pt>
                <c:pt idx="38">
                  <c:v>1.1431103813267947</c:v>
                </c:pt>
                <c:pt idx="39">
                  <c:v>1.4965050190530191</c:v>
                </c:pt>
                <c:pt idx="40">
                  <c:v>1.4778742269335985</c:v>
                </c:pt>
                <c:pt idx="41">
                  <c:v>1.3904996209364242</c:v>
                </c:pt>
                <c:pt idx="42">
                  <c:v>1.1070056642438257</c:v>
                </c:pt>
                <c:pt idx="43">
                  <c:v>1.6585406712959558</c:v>
                </c:pt>
                <c:pt idx="44">
                  <c:v>1.5447398811288677</c:v>
                </c:pt>
                <c:pt idx="45">
                  <c:v>1.4465348562429488</c:v>
                </c:pt>
                <c:pt idx="46">
                  <c:v>1.4242955848873706</c:v>
                </c:pt>
                <c:pt idx="47">
                  <c:v>1.2286068276415463</c:v>
                </c:pt>
                <c:pt idx="48">
                  <c:v>1.5639491068265861</c:v>
                </c:pt>
                <c:pt idx="49">
                  <c:v>1.4537567958956967</c:v>
                </c:pt>
                <c:pt idx="50">
                  <c:v>4.873857437157266</c:v>
                </c:pt>
                <c:pt idx="51">
                  <c:v>4.5692760950848337</c:v>
                </c:pt>
                <c:pt idx="52">
                  <c:v>4.8913313621205852</c:v>
                </c:pt>
                <c:pt idx="53">
                  <c:v>4.0640977904263984</c:v>
                </c:pt>
                <c:pt idx="54">
                  <c:v>4.702286110949399</c:v>
                </c:pt>
                <c:pt idx="55">
                  <c:v>4.095437161116859</c:v>
                </c:pt>
                <c:pt idx="56">
                  <c:v>4.5506453029653402</c:v>
                </c:pt>
                <c:pt idx="57">
                  <c:v>3.5005754973292893</c:v>
                </c:pt>
                <c:pt idx="58">
                  <c:v>4.6245900378654339</c:v>
                </c:pt>
                <c:pt idx="59">
                  <c:v>3.869708759284705</c:v>
                </c:pt>
                <c:pt idx="60">
                  <c:v>3.6335855131939394</c:v>
                </c:pt>
                <c:pt idx="61">
                  <c:v>4.3013779036733206</c:v>
                </c:pt>
                <c:pt idx="62">
                  <c:v>4.2054866130997315</c:v>
                </c:pt>
                <c:pt idx="63">
                  <c:v>4.3808092774917622</c:v>
                </c:pt>
                <c:pt idx="64">
                  <c:v>4.0165842208765685</c:v>
                </c:pt>
                <c:pt idx="65">
                  <c:v>4.7095080506021239</c:v>
                </c:pt>
                <c:pt idx="66">
                  <c:v>4.1189761585766487</c:v>
                </c:pt>
                <c:pt idx="67">
                  <c:v>3.993623656994937</c:v>
                </c:pt>
                <c:pt idx="68">
                  <c:v>4.6281985171014108</c:v>
                </c:pt>
                <c:pt idx="69">
                  <c:v>3.9683493588007188</c:v>
                </c:pt>
                <c:pt idx="70">
                  <c:v>4.4459396309527106</c:v>
                </c:pt>
                <c:pt idx="71">
                  <c:v>4.3386394879124737</c:v>
                </c:pt>
                <c:pt idx="72">
                  <c:v>4.6348420231760912</c:v>
                </c:pt>
                <c:pt idx="73">
                  <c:v>4.2784173397916758</c:v>
                </c:pt>
                <c:pt idx="74">
                  <c:v>4.5029888744677189</c:v>
                </c:pt>
                <c:pt idx="75">
                  <c:v>4.6667598274447553</c:v>
                </c:pt>
                <c:pt idx="76">
                  <c:v>4.8244657079254258</c:v>
                </c:pt>
                <c:pt idx="77">
                  <c:v>4.9082268535059352</c:v>
                </c:pt>
                <c:pt idx="78">
                  <c:v>4.3802308439135533</c:v>
                </c:pt>
                <c:pt idx="79">
                  <c:v>3.9508754338373153</c:v>
                </c:pt>
                <c:pt idx="80">
                  <c:v>3.9256011356433924</c:v>
                </c:pt>
                <c:pt idx="81">
                  <c:v>3.8653789875226159</c:v>
                </c:pt>
                <c:pt idx="82">
                  <c:v>4.114067953236491</c:v>
                </c:pt>
                <c:pt idx="83">
                  <c:v>4.4765577091171957</c:v>
                </c:pt>
                <c:pt idx="84">
                  <c:v>3.9973749951789346</c:v>
                </c:pt>
                <c:pt idx="85">
                  <c:v>4.350191199327047</c:v>
                </c:pt>
                <c:pt idx="86">
                  <c:v>4.7697301987228666</c:v>
                </c:pt>
                <c:pt idx="87">
                  <c:v>4.5505024440174546</c:v>
                </c:pt>
                <c:pt idx="88">
                  <c:v>3.9985318623351427</c:v>
                </c:pt>
                <c:pt idx="89">
                  <c:v>4.0279930733435245</c:v>
                </c:pt>
                <c:pt idx="90">
                  <c:v>3.9497185666812666</c:v>
                </c:pt>
                <c:pt idx="91">
                  <c:v>4.3627569189502813</c:v>
                </c:pt>
                <c:pt idx="92">
                  <c:v>4.1321203117778813</c:v>
                </c:pt>
                <c:pt idx="93">
                  <c:v>3.5794284375696366</c:v>
                </c:pt>
                <c:pt idx="94">
                  <c:v>4.052688937959374</c:v>
                </c:pt>
                <c:pt idx="95">
                  <c:v>3.9991102959131974</c:v>
                </c:pt>
                <c:pt idx="96">
                  <c:v>4.0773848025754331</c:v>
                </c:pt>
                <c:pt idx="97">
                  <c:v>4.3813877110698449</c:v>
                </c:pt>
                <c:pt idx="98">
                  <c:v>3.6643464503063452</c:v>
                </c:pt>
                <c:pt idx="99">
                  <c:v>4.095437161116859</c:v>
                </c:pt>
                <c:pt idx="100">
                  <c:v>5.6034966179546046</c:v>
                </c:pt>
                <c:pt idx="101">
                  <c:v>5.0464749719842592</c:v>
                </c:pt>
                <c:pt idx="102">
                  <c:v>5.9031697546868509</c:v>
                </c:pt>
                <c:pt idx="103">
                  <c:v>5.2541510152750091</c:v>
                </c:pt>
                <c:pt idx="104">
                  <c:v>5.5985884126143413</c:v>
                </c:pt>
                <c:pt idx="105">
                  <c:v>6.2071726631811632</c:v>
                </c:pt>
                <c:pt idx="106">
                  <c:v>4.4149301575355659</c:v>
                </c:pt>
                <c:pt idx="107">
                  <c:v>5.8621568322638558</c:v>
                </c:pt>
                <c:pt idx="108">
                  <c:v>5.5695627762361353</c:v>
                </c:pt>
                <c:pt idx="109">
                  <c:v>6.0965447776202009</c:v>
                </c:pt>
                <c:pt idx="110">
                  <c:v>5.4420393992897926</c:v>
                </c:pt>
                <c:pt idx="111">
                  <c:v>5.4112784621774841</c:v>
                </c:pt>
                <c:pt idx="112">
                  <c:v>5.7207680095901834</c:v>
                </c:pt>
                <c:pt idx="113">
                  <c:v>5.0820012554888692</c:v>
                </c:pt>
                <c:pt idx="114">
                  <c:v>5.3295333540467418</c:v>
                </c:pt>
                <c:pt idx="115">
                  <c:v>5.561905261953342</c:v>
                </c:pt>
                <c:pt idx="116">
                  <c:v>5.3576998201311845</c:v>
                </c:pt>
                <c:pt idx="117">
                  <c:v>6.1837765246693177</c:v>
                </c:pt>
                <c:pt idx="118">
                  <c:v>6.4606269752872381</c:v>
                </c:pt>
                <c:pt idx="119">
                  <c:v>5.0174493356059093</c:v>
                </c:pt>
                <c:pt idx="120">
                  <c:v>5.8659081704476232</c:v>
                </c:pt>
                <c:pt idx="121">
                  <c:v>4.9670435981657262</c:v>
                </c:pt>
                <c:pt idx="122">
                  <c:v>6.2438558138421199</c:v>
                </c:pt>
                <c:pt idx="123">
                  <c:v>5.2902557323578057</c:v>
                </c:pt>
                <c:pt idx="124">
                  <c:v>5.6058103522669382</c:v>
                </c:pt>
                <c:pt idx="125">
                  <c:v>5.747199174940449</c:v>
                </c:pt>
                <c:pt idx="126">
                  <c:v>5.2114027921174717</c:v>
                </c:pt>
                <c:pt idx="127">
                  <c:v>5.1144974933356542</c:v>
                </c:pt>
                <c:pt idx="128">
                  <c:v>5.5136703998776309</c:v>
                </c:pt>
                <c:pt idx="129">
                  <c:v>5.6628595957818497</c:v>
                </c:pt>
                <c:pt idx="130">
                  <c:v>6.0012319206249227</c:v>
                </c:pt>
                <c:pt idx="131">
                  <c:v>6.1849333918255862</c:v>
                </c:pt>
                <c:pt idx="132">
                  <c:v>5.5738925479984527</c:v>
                </c:pt>
                <c:pt idx="133">
                  <c:v>5.0915369294541186</c:v>
                </c:pt>
                <c:pt idx="134">
                  <c:v>4.9458183350183225</c:v>
                </c:pt>
                <c:pt idx="135">
                  <c:v>6.3884175411215747</c:v>
                </c:pt>
                <c:pt idx="136">
                  <c:v>5.5252221112924431</c:v>
                </c:pt>
                <c:pt idx="137">
                  <c:v>5.2788468798909376</c:v>
                </c:pt>
                <c:pt idx="138">
                  <c:v>5.0536969116366972</c:v>
                </c:pt>
                <c:pt idx="139">
                  <c:v>5.7635162327475475</c:v>
                </c:pt>
                <c:pt idx="140">
                  <c:v>5.8225815137121986</c:v>
                </c:pt>
                <c:pt idx="141">
                  <c:v>5.8839605289891006</c:v>
                </c:pt>
                <c:pt idx="142">
                  <c:v>5.0464749719842592</c:v>
                </c:pt>
                <c:pt idx="143">
                  <c:v>5.8051075887488164</c:v>
                </c:pt>
                <c:pt idx="144">
                  <c:v>5.8466989447500302</c:v>
                </c:pt>
                <c:pt idx="145">
                  <c:v>5.7804117241328745</c:v>
                </c:pt>
                <c:pt idx="146">
                  <c:v>5.3865825975615502</c:v>
                </c:pt>
                <c:pt idx="147">
                  <c:v>5.4781441163727651</c:v>
                </c:pt>
                <c:pt idx="148">
                  <c:v>5.4041993814725808</c:v>
                </c:pt>
                <c:pt idx="149">
                  <c:v>4.9928963299379481</c:v>
                </c:pt>
              </c:numCache>
            </c:numRef>
          </c:xVal>
          <c:yVal>
            <c:numRef>
              <c:f>Irysy!$N$2:$N$151</c:f>
              <c:numCache>
                <c:formatCode>General</c:formatCode>
                <c:ptCount val="150"/>
                <c:pt idx="0">
                  <c:v>0.54940890466470871</c:v>
                </c:pt>
                <c:pt idx="1">
                  <c:v>0.42709988193397569</c:v>
                </c:pt>
                <c:pt idx="2">
                  <c:v>0.20200336400058658</c:v>
                </c:pt>
                <c:pt idx="3">
                  <c:v>0.9889042726890318</c:v>
                </c:pt>
                <c:pt idx="4">
                  <c:v>3.9271058177687203E-2</c:v>
                </c:pt>
                <c:pt idx="5">
                  <c:v>0.18757725069377934</c:v>
                </c:pt>
                <c:pt idx="6">
                  <c:v>0.75382870603018237</c:v>
                </c:pt>
                <c:pt idx="7">
                  <c:v>0.49724896405646629</c:v>
                </c:pt>
                <c:pt idx="8">
                  <c:v>0.96334509243263133</c:v>
                </c:pt>
                <c:pt idx="9">
                  <c:v>0.71161057387781124</c:v>
                </c:pt>
                <c:pt idx="10">
                  <c:v>0.69422038897715388</c:v>
                </c:pt>
                <c:pt idx="11">
                  <c:v>1.0488188738780626</c:v>
                </c:pt>
                <c:pt idx="12">
                  <c:v>0.53468373382295853</c:v>
                </c:pt>
                <c:pt idx="13">
                  <c:v>0.54950673707057263</c:v>
                </c:pt>
                <c:pt idx="14">
                  <c:v>1.550054212447677</c:v>
                </c:pt>
                <c:pt idx="15">
                  <c:v>1.0929819330842683</c:v>
                </c:pt>
                <c:pt idx="16">
                  <c:v>1.2584175381422913</c:v>
                </c:pt>
                <c:pt idx="17">
                  <c:v>0.7303011407289135</c:v>
                </c:pt>
                <c:pt idx="18">
                  <c:v>0.76063232661003333</c:v>
                </c:pt>
                <c:pt idx="19">
                  <c:v>0.24460698816719495</c:v>
                </c:pt>
                <c:pt idx="20">
                  <c:v>0.28530246577281199</c:v>
                </c:pt>
                <c:pt idx="21">
                  <c:v>0.49216557826188345</c:v>
                </c:pt>
                <c:pt idx="22">
                  <c:v>0.77806534491915236</c:v>
                </c:pt>
                <c:pt idx="23">
                  <c:v>0.1361721264761539</c:v>
                </c:pt>
                <c:pt idx="24">
                  <c:v>1.5014346650543346</c:v>
                </c:pt>
                <c:pt idx="25">
                  <c:v>0.59740474460781701</c:v>
                </c:pt>
                <c:pt idx="26">
                  <c:v>0.41119966418224385</c:v>
                </c:pt>
                <c:pt idx="27">
                  <c:v>0.38870452306805697</c:v>
                </c:pt>
                <c:pt idx="28">
                  <c:v>0.77815751410160949</c:v>
                </c:pt>
                <c:pt idx="29">
                  <c:v>1.0938381156631021</c:v>
                </c:pt>
                <c:pt idx="30">
                  <c:v>0.9455925654825198</c:v>
                </c:pt>
                <c:pt idx="31">
                  <c:v>1.0756300823758422</c:v>
                </c:pt>
                <c:pt idx="32">
                  <c:v>0.71471829309049606</c:v>
                </c:pt>
                <c:pt idx="33">
                  <c:v>0.87789280486885612</c:v>
                </c:pt>
                <c:pt idx="34">
                  <c:v>0.52326318748887857</c:v>
                </c:pt>
                <c:pt idx="35">
                  <c:v>1.0233850590632025</c:v>
                </c:pt>
                <c:pt idx="36">
                  <c:v>1.2762050191664325</c:v>
                </c:pt>
                <c:pt idx="37">
                  <c:v>0.68515304682468992</c:v>
                </c:pt>
                <c:pt idx="38">
                  <c:v>0.77968575426420361</c:v>
                </c:pt>
                <c:pt idx="39">
                  <c:v>0.11595011696879133</c:v>
                </c:pt>
                <c:pt idx="40">
                  <c:v>0.82714388317094867</c:v>
                </c:pt>
                <c:pt idx="41">
                  <c:v>0.60712055773322071</c:v>
                </c:pt>
                <c:pt idx="42">
                  <c:v>0.86360390055045122</c:v>
                </c:pt>
                <c:pt idx="43">
                  <c:v>0.47747868086802991</c:v>
                </c:pt>
                <c:pt idx="44">
                  <c:v>1.1718720892564087</c:v>
                </c:pt>
                <c:pt idx="45">
                  <c:v>0.42488942698401039</c:v>
                </c:pt>
                <c:pt idx="46">
                  <c:v>0.82483421395428991</c:v>
                </c:pt>
                <c:pt idx="47">
                  <c:v>0.81283156988125915</c:v>
                </c:pt>
                <c:pt idx="48">
                  <c:v>0.49688388271448852</c:v>
                </c:pt>
                <c:pt idx="49">
                  <c:v>0.45478680244507474</c:v>
                </c:pt>
                <c:pt idx="50">
                  <c:v>0.82423511285506534</c:v>
                </c:pt>
                <c:pt idx="51">
                  <c:v>0.51766747686615555</c:v>
                </c:pt>
                <c:pt idx="52">
                  <c:v>0.18370624257015722</c:v>
                </c:pt>
                <c:pt idx="53">
                  <c:v>0.49845319808136779</c:v>
                </c:pt>
                <c:pt idx="54">
                  <c:v>0.62940033907674742</c:v>
                </c:pt>
                <c:pt idx="55">
                  <c:v>1.2480026391252246</c:v>
                </c:pt>
                <c:pt idx="56">
                  <c:v>0.76174499859228728</c:v>
                </c:pt>
                <c:pt idx="57">
                  <c:v>0.88596711133340911</c:v>
                </c:pt>
                <c:pt idx="58">
                  <c:v>0.30861040418365793</c:v>
                </c:pt>
                <c:pt idx="59">
                  <c:v>0.34310666603095319</c:v>
                </c:pt>
                <c:pt idx="60">
                  <c:v>0.72421367796709191</c:v>
                </c:pt>
                <c:pt idx="61">
                  <c:v>0.62562197674791975</c:v>
                </c:pt>
                <c:pt idx="62">
                  <c:v>0.8975070216250487</c:v>
                </c:pt>
                <c:pt idx="63">
                  <c:v>1.1081969645465135</c:v>
                </c:pt>
                <c:pt idx="64">
                  <c:v>1.268244063499341</c:v>
                </c:pt>
                <c:pt idx="65">
                  <c:v>1.0953408422168767</c:v>
                </c:pt>
                <c:pt idx="66">
                  <c:v>1.2157079862414457</c:v>
                </c:pt>
                <c:pt idx="67">
                  <c:v>0.64281974503020067</c:v>
                </c:pt>
                <c:pt idx="68">
                  <c:v>0.71241904486338115</c:v>
                </c:pt>
                <c:pt idx="69">
                  <c:v>0.51383264691523611</c:v>
                </c:pt>
                <c:pt idx="70">
                  <c:v>1.1809783464909887</c:v>
                </c:pt>
                <c:pt idx="71">
                  <c:v>1.1413996568879055</c:v>
                </c:pt>
                <c:pt idx="72">
                  <c:v>1.0165385932496871</c:v>
                </c:pt>
                <c:pt idx="73">
                  <c:v>1.2748348736607937</c:v>
                </c:pt>
                <c:pt idx="74">
                  <c:v>0.88506619656983732</c:v>
                </c:pt>
                <c:pt idx="75">
                  <c:v>1.0157192168250684</c:v>
                </c:pt>
                <c:pt idx="76">
                  <c:v>0.30871430262298627</c:v>
                </c:pt>
                <c:pt idx="77">
                  <c:v>0.59879394094725813</c:v>
                </c:pt>
                <c:pt idx="78">
                  <c:v>0.67950709457068159</c:v>
                </c:pt>
                <c:pt idx="79">
                  <c:v>1.3226957893285427</c:v>
                </c:pt>
                <c:pt idx="80">
                  <c:v>0.6969698284978032</c:v>
                </c:pt>
                <c:pt idx="81">
                  <c:v>0.80119381382187937</c:v>
                </c:pt>
                <c:pt idx="82">
                  <c:v>0.90785450736028617</c:v>
                </c:pt>
                <c:pt idx="83">
                  <c:v>1.5555586743998882</c:v>
                </c:pt>
                <c:pt idx="84">
                  <c:v>1.3998179233263224</c:v>
                </c:pt>
                <c:pt idx="85">
                  <c:v>0.76560107910536268</c:v>
                </c:pt>
                <c:pt idx="86">
                  <c:v>0.51989736607994219</c:v>
                </c:pt>
                <c:pt idx="87">
                  <c:v>0.76732950885163043</c:v>
                </c:pt>
                <c:pt idx="88">
                  <c:v>0.62677945215309627</c:v>
                </c:pt>
                <c:pt idx="89">
                  <c:v>0.32864976380971883</c:v>
                </c:pt>
                <c:pt idx="90">
                  <c:v>1.317679936721007</c:v>
                </c:pt>
                <c:pt idx="91">
                  <c:v>0.95584610360762157</c:v>
                </c:pt>
                <c:pt idx="92">
                  <c:v>0.71327744667773429</c:v>
                </c:pt>
                <c:pt idx="93">
                  <c:v>1.0444501846034282</c:v>
                </c:pt>
                <c:pt idx="94">
                  <c:v>0.75318909896328468</c:v>
                </c:pt>
                <c:pt idx="95">
                  <c:v>0.88230598302911345</c:v>
                </c:pt>
                <c:pt idx="96">
                  <c:v>0.68758118472753571</c:v>
                </c:pt>
                <c:pt idx="97">
                  <c:v>0.55983253739547545</c:v>
                </c:pt>
                <c:pt idx="98">
                  <c:v>1.60672533825828</c:v>
                </c:pt>
                <c:pt idx="99">
                  <c:v>0.13253789739188879</c:v>
                </c:pt>
                <c:pt idx="100">
                  <c:v>1.252376544643145</c:v>
                </c:pt>
                <c:pt idx="101">
                  <c:v>0.45551584236536619</c:v>
                </c:pt>
                <c:pt idx="102">
                  <c:v>0.11064876761490713</c:v>
                </c:pt>
                <c:pt idx="103">
                  <c:v>1.1560887556860169</c:v>
                </c:pt>
                <c:pt idx="104">
                  <c:v>0.88155671199957075</c:v>
                </c:pt>
                <c:pt idx="105">
                  <c:v>1.2402355275884351</c:v>
                </c:pt>
                <c:pt idx="106">
                  <c:v>0.58369500064142321</c:v>
                </c:pt>
                <c:pt idx="107">
                  <c:v>1.3094574135404473</c:v>
                </c:pt>
                <c:pt idx="108">
                  <c:v>0.94741511360516395</c:v>
                </c:pt>
                <c:pt idx="109">
                  <c:v>0.11651207099650769</c:v>
                </c:pt>
                <c:pt idx="110">
                  <c:v>1.1487582928294728</c:v>
                </c:pt>
                <c:pt idx="111">
                  <c:v>0.65494144899287077</c:v>
                </c:pt>
                <c:pt idx="112">
                  <c:v>0.92178239906365267</c:v>
                </c:pt>
                <c:pt idx="113">
                  <c:v>0.56538611069457467</c:v>
                </c:pt>
                <c:pt idx="114">
                  <c:v>0.95513789044613073</c:v>
                </c:pt>
                <c:pt idx="115">
                  <c:v>1.0085536367873962</c:v>
                </c:pt>
                <c:pt idx="116">
                  <c:v>0.74185029049860807</c:v>
                </c:pt>
                <c:pt idx="117">
                  <c:v>1.4270465669935846</c:v>
                </c:pt>
                <c:pt idx="118">
                  <c:v>1.3342399354712398</c:v>
                </c:pt>
                <c:pt idx="119">
                  <c:v>0.26283724162444222</c:v>
                </c:pt>
                <c:pt idx="120">
                  <c:v>0.80121085846544005</c:v>
                </c:pt>
                <c:pt idx="121">
                  <c:v>0.51150813884420632</c:v>
                </c:pt>
                <c:pt idx="122">
                  <c:v>1.3448238602798115</c:v>
                </c:pt>
                <c:pt idx="123">
                  <c:v>1.2277777358169795</c:v>
                </c:pt>
                <c:pt idx="124">
                  <c:v>0.60287933168662844</c:v>
                </c:pt>
                <c:pt idx="125">
                  <c:v>0.99388956755784474</c:v>
                </c:pt>
                <c:pt idx="126">
                  <c:v>1.2607643470766896</c:v>
                </c:pt>
                <c:pt idx="127">
                  <c:v>0.91233811210376015</c:v>
                </c:pt>
                <c:pt idx="128">
                  <c:v>0.57690924053472303</c:v>
                </c:pt>
                <c:pt idx="129">
                  <c:v>0.73768788118117179</c:v>
                </c:pt>
                <c:pt idx="130">
                  <c:v>0.62238830637155407</c:v>
                </c:pt>
                <c:pt idx="131">
                  <c:v>0.92753108437967458</c:v>
                </c:pt>
                <c:pt idx="132">
                  <c:v>0.31787235391745494</c:v>
                </c:pt>
                <c:pt idx="133">
                  <c:v>0.18272557441157866</c:v>
                </c:pt>
                <c:pt idx="134">
                  <c:v>1.6132444190857458</c:v>
                </c:pt>
                <c:pt idx="135">
                  <c:v>1.0671820841373723</c:v>
                </c:pt>
                <c:pt idx="136">
                  <c:v>0.5422886682282323</c:v>
                </c:pt>
                <c:pt idx="137">
                  <c:v>0.92606057726480806</c:v>
                </c:pt>
                <c:pt idx="138">
                  <c:v>0.99309953753671609</c:v>
                </c:pt>
                <c:pt idx="139">
                  <c:v>1.1830343052195644</c:v>
                </c:pt>
                <c:pt idx="140">
                  <c:v>0.93116016619624753</c:v>
                </c:pt>
                <c:pt idx="141">
                  <c:v>1.7421064508003483</c:v>
                </c:pt>
                <c:pt idx="142">
                  <c:v>0.45551584236536619</c:v>
                </c:pt>
                <c:pt idx="143">
                  <c:v>0.60593595027568414</c:v>
                </c:pt>
                <c:pt idx="144">
                  <c:v>0.75884079733795995</c:v>
                </c:pt>
                <c:pt idx="145">
                  <c:v>1.4995793415764038</c:v>
                </c:pt>
                <c:pt idx="146">
                  <c:v>1.2234166284775494</c:v>
                </c:pt>
                <c:pt idx="147">
                  <c:v>1.0342935331601473</c:v>
                </c:pt>
                <c:pt idx="148">
                  <c:v>0.1283388054015962</c:v>
                </c:pt>
                <c:pt idx="149">
                  <c:v>0.64597013001267922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AF-48B2-94D8-0E75D66BB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099599"/>
        <c:axId val="1372521759"/>
      </c:scatterChart>
      <c:valAx>
        <c:axId val="1491099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72521759"/>
        <c:crosses val="autoZero"/>
        <c:crossBetween val="midCat"/>
      </c:valAx>
      <c:valAx>
        <c:axId val="137252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91099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Dźwignia</a:t>
            </a:r>
            <a:r>
              <a:rPr lang="pl-PL" baseline="0"/>
              <a:t> vs </a:t>
            </a:r>
            <a:r>
              <a:rPr lang="pl-PL"/>
              <a:t>std.eps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Irysy!$M$1</c:f>
              <c:strCache>
                <c:ptCount val="1"/>
                <c:pt idx="0">
                  <c:v>std.eps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'Dźwignia I'!$A$2:$A$151</c:f>
              <c:numCache>
                <c:formatCode>General</c:formatCode>
                <c:ptCount val="150"/>
                <c:pt idx="0">
                  <c:v>2.1360986084099136E-2</c:v>
                </c:pt>
                <c:pt idx="1">
                  <c:v>3.3595361015980499E-2</c:v>
                </c:pt>
                <c:pt idx="2">
                  <c:v>2.3752530822274631E-2</c:v>
                </c:pt>
                <c:pt idx="3">
                  <c:v>2.7738119872282214E-2</c:v>
                </c:pt>
                <c:pt idx="4">
                  <c:v>2.4051888908765501E-2</c:v>
                </c:pt>
                <c:pt idx="5">
                  <c:v>3.3221302790191823E-2</c:v>
                </c:pt>
                <c:pt idx="6">
                  <c:v>2.6890531999820076E-2</c:v>
                </c:pt>
                <c:pt idx="7">
                  <c:v>2.0382796328037085E-2</c:v>
                </c:pt>
                <c:pt idx="8">
                  <c:v>4.0452335159009395E-2</c:v>
                </c:pt>
                <c:pt idx="9">
                  <c:v>2.8078357950521694E-2</c:v>
                </c:pt>
                <c:pt idx="10">
                  <c:v>2.9312514048670836E-2</c:v>
                </c:pt>
                <c:pt idx="11">
                  <c:v>2.1397463478501969E-2</c:v>
                </c:pt>
                <c:pt idx="12">
                  <c:v>3.171794351024905E-2</c:v>
                </c:pt>
                <c:pt idx="13">
                  <c:v>3.5481738701061832E-2</c:v>
                </c:pt>
                <c:pt idx="14">
                  <c:v>5.4527273034183671E-2</c:v>
                </c:pt>
                <c:pt idx="15">
                  <c:v>7.8846065862220177E-2</c:v>
                </c:pt>
                <c:pt idx="16">
                  <c:v>3.3221302790191823E-2</c:v>
                </c:pt>
                <c:pt idx="17">
                  <c:v>2.0561472391976726E-2</c:v>
                </c:pt>
                <c:pt idx="18">
                  <c:v>3.4985338510717175E-2</c:v>
                </c:pt>
                <c:pt idx="19">
                  <c:v>2.9973467287160438E-2</c:v>
                </c:pt>
                <c:pt idx="20">
                  <c:v>2.7131221890268765E-2</c:v>
                </c:pt>
                <c:pt idx="21">
                  <c:v>2.6452934610762681E-2</c:v>
                </c:pt>
                <c:pt idx="22">
                  <c:v>3.3093050117994724E-2</c:v>
                </c:pt>
                <c:pt idx="23">
                  <c:v>3.8834692925999476E-2</c:v>
                </c:pt>
                <c:pt idx="24">
                  <c:v>2.1397463478501969E-2</c:v>
                </c:pt>
                <c:pt idx="25">
                  <c:v>3.5496720912002649E-2</c:v>
                </c:pt>
                <c:pt idx="26">
                  <c:v>2.55866528074025E-2</c:v>
                </c:pt>
                <c:pt idx="27">
                  <c:v>2.2171614111119731E-2</c:v>
                </c:pt>
                <c:pt idx="28">
                  <c:v>2.2294049131959339E-2</c:v>
                </c:pt>
                <c:pt idx="29">
                  <c:v>2.3752530822274631E-2</c:v>
                </c:pt>
                <c:pt idx="30">
                  <c:v>2.6861962982864165E-2</c:v>
                </c:pt>
                <c:pt idx="31">
                  <c:v>3.0160670208012941E-2</c:v>
                </c:pt>
                <c:pt idx="32">
                  <c:v>7.2030752606399462E-2</c:v>
                </c:pt>
                <c:pt idx="33">
                  <c:v>6.9798083296515517E-2</c:v>
                </c:pt>
                <c:pt idx="34">
                  <c:v>2.7521104521050294E-2</c:v>
                </c:pt>
                <c:pt idx="35">
                  <c:v>2.4197740329116129E-2</c:v>
                </c:pt>
                <c:pt idx="36">
                  <c:v>2.8992378123762173E-2</c:v>
                </c:pt>
                <c:pt idx="37">
                  <c:v>3.0737162695524137E-2</c:v>
                </c:pt>
                <c:pt idx="38">
                  <c:v>3.5060761364822557E-2</c:v>
                </c:pt>
                <c:pt idx="39">
                  <c:v>2.0972682735699723E-2</c:v>
                </c:pt>
                <c:pt idx="40">
                  <c:v>2.0754125373755768E-2</c:v>
                </c:pt>
                <c:pt idx="41">
                  <c:v>0.12665927103632429</c:v>
                </c:pt>
                <c:pt idx="42">
                  <c:v>2.9890641212804291E-2</c:v>
                </c:pt>
                <c:pt idx="43">
                  <c:v>4.4810798206324498E-2</c:v>
                </c:pt>
                <c:pt idx="44">
                  <c:v>3.04682853803676E-2</c:v>
                </c:pt>
                <c:pt idx="45">
                  <c:v>3.7406320514916172E-2</c:v>
                </c:pt>
                <c:pt idx="46">
                  <c:v>3.3751951002008021E-2</c:v>
                </c:pt>
                <c:pt idx="47">
                  <c:v>2.5067087630521016E-2</c:v>
                </c:pt>
                <c:pt idx="48">
                  <c:v>2.8060402782934819E-2</c:v>
                </c:pt>
                <c:pt idx="49">
                  <c:v>2.1354763755850693E-2</c:v>
                </c:pt>
                <c:pt idx="50">
                  <c:v>5.1205739457076668E-2</c:v>
                </c:pt>
                <c:pt idx="51">
                  <c:v>3.1826423711540583E-2</c:v>
                </c:pt>
                <c:pt idx="52">
                  <c:v>4.4136201229972027E-2</c:v>
                </c:pt>
                <c:pt idx="53">
                  <c:v>3.5774706520038703E-2</c:v>
                </c:pt>
                <c:pt idx="54">
                  <c:v>3.4137306014645444E-2</c:v>
                </c:pt>
                <c:pt idx="55">
                  <c:v>2.2537937364917843E-2</c:v>
                </c:pt>
                <c:pt idx="56">
                  <c:v>4.0181152238945438E-2</c:v>
                </c:pt>
                <c:pt idx="57">
                  <c:v>5.4034488463351932E-2</c:v>
                </c:pt>
                <c:pt idx="58">
                  <c:v>3.4246944682205044E-2</c:v>
                </c:pt>
                <c:pt idx="59">
                  <c:v>4.080379829286418E-2</c:v>
                </c:pt>
                <c:pt idx="60">
                  <c:v>6.0186273341046925E-2</c:v>
                </c:pt>
                <c:pt idx="61">
                  <c:v>2.808434488848386E-2</c:v>
                </c:pt>
                <c:pt idx="62">
                  <c:v>5.7230340715945766E-2</c:v>
                </c:pt>
                <c:pt idx="63">
                  <c:v>2.1360718742994549E-2</c:v>
                </c:pt>
                <c:pt idx="64">
                  <c:v>2.8183589016797822E-2</c:v>
                </c:pt>
                <c:pt idx="65">
                  <c:v>3.5867500391660395E-2</c:v>
                </c:pt>
                <c:pt idx="66">
                  <c:v>3.710889929806109E-2</c:v>
                </c:pt>
                <c:pt idx="67">
                  <c:v>3.9885057953758712E-2</c:v>
                </c:pt>
                <c:pt idx="68">
                  <c:v>7.5698050018195809E-2</c:v>
                </c:pt>
                <c:pt idx="69">
                  <c:v>2.9105452993243075E-2</c:v>
                </c:pt>
                <c:pt idx="70">
                  <c:v>6.6365599226348437E-2</c:v>
                </c:pt>
                <c:pt idx="71">
                  <c:v>2.1154393199262472E-2</c:v>
                </c:pt>
                <c:pt idx="72">
                  <c:v>4.6097786047574627E-2</c:v>
                </c:pt>
                <c:pt idx="73">
                  <c:v>2.514575324878885E-2</c:v>
                </c:pt>
                <c:pt idx="74">
                  <c:v>2.718243364034929E-2</c:v>
                </c:pt>
                <c:pt idx="75">
                  <c:v>3.1418592416605592E-2</c:v>
                </c:pt>
                <c:pt idx="76">
                  <c:v>4.5274505087452017E-2</c:v>
                </c:pt>
                <c:pt idx="77">
                  <c:v>5.0900806245801428E-2</c:v>
                </c:pt>
                <c:pt idx="78">
                  <c:v>2.5225978770165171E-2</c:v>
                </c:pt>
                <c:pt idx="79">
                  <c:v>3.7804743546664021E-2</c:v>
                </c:pt>
                <c:pt idx="80">
                  <c:v>3.1451954405067713E-2</c:v>
                </c:pt>
                <c:pt idx="81">
                  <c:v>3.8387151919187235E-2</c:v>
                </c:pt>
                <c:pt idx="82">
                  <c:v>2.269921856690808E-2</c:v>
                </c:pt>
                <c:pt idx="83">
                  <c:v>3.8306060024296415E-2</c:v>
                </c:pt>
                <c:pt idx="84">
                  <c:v>4.6782668847430056E-2</c:v>
                </c:pt>
                <c:pt idx="85">
                  <c:v>5.3644183035671839E-2</c:v>
                </c:pt>
                <c:pt idx="86">
                  <c:v>3.581296781430212E-2</c:v>
                </c:pt>
                <c:pt idx="87">
                  <c:v>5.3437152958288645E-2</c:v>
                </c:pt>
                <c:pt idx="88">
                  <c:v>3.3525663801223744E-2</c:v>
                </c:pt>
                <c:pt idx="89">
                  <c:v>2.6899232227398324E-2</c:v>
                </c:pt>
                <c:pt idx="90">
                  <c:v>2.5642582712416241E-2</c:v>
                </c:pt>
                <c:pt idx="91">
                  <c:v>2.3156111673650236E-2</c:v>
                </c:pt>
                <c:pt idx="92">
                  <c:v>2.2998657949740604E-2</c:v>
                </c:pt>
                <c:pt idx="93">
                  <c:v>4.943847891795837E-2</c:v>
                </c:pt>
                <c:pt idx="94">
                  <c:v>2.3112466884301425E-2</c:v>
                </c:pt>
                <c:pt idx="95">
                  <c:v>3.521973703370565E-2</c:v>
                </c:pt>
                <c:pt idx="96">
                  <c:v>2.5498264634652899E-2</c:v>
                </c:pt>
                <c:pt idx="97">
                  <c:v>2.3043842552880431E-2</c:v>
                </c:pt>
                <c:pt idx="98">
                  <c:v>4.057149714611278E-2</c:v>
                </c:pt>
                <c:pt idx="99">
                  <c:v>2.2537937364917843E-2</c:v>
                </c:pt>
                <c:pt idx="100">
                  <c:v>7.4142731752183388E-2</c:v>
                </c:pt>
                <c:pt idx="101">
                  <c:v>3.597163565794026E-2</c:v>
                </c:pt>
                <c:pt idx="102">
                  <c:v>2.8920178750765139E-2</c:v>
                </c:pt>
                <c:pt idx="103">
                  <c:v>2.9940773688657968E-2</c:v>
                </c:pt>
                <c:pt idx="104">
                  <c:v>2.6899203419323107E-2</c:v>
                </c:pt>
                <c:pt idx="105">
                  <c:v>5.5119942661542548E-2</c:v>
                </c:pt>
                <c:pt idx="106">
                  <c:v>9.6772166934799217E-2</c:v>
                </c:pt>
                <c:pt idx="107">
                  <c:v>5.5370316435858755E-2</c:v>
                </c:pt>
                <c:pt idx="108">
                  <c:v>4.5152569384240775E-2</c:v>
                </c:pt>
                <c:pt idx="109">
                  <c:v>6.1448150940713139E-2</c:v>
                </c:pt>
                <c:pt idx="110">
                  <c:v>2.6742899132122994E-2</c:v>
                </c:pt>
                <c:pt idx="111">
                  <c:v>2.5005256094847109E-2</c:v>
                </c:pt>
                <c:pt idx="112">
                  <c:v>2.1978080267460221E-2</c:v>
                </c:pt>
                <c:pt idx="113">
                  <c:v>4.6654302017600159E-2</c:v>
                </c:pt>
                <c:pt idx="114">
                  <c:v>8.2898805403101877E-2</c:v>
                </c:pt>
                <c:pt idx="115">
                  <c:v>3.9533110194161253E-2</c:v>
                </c:pt>
                <c:pt idx="116">
                  <c:v>3.1419407316464962E-2</c:v>
                </c:pt>
                <c:pt idx="117">
                  <c:v>6.9078910348903941E-2</c:v>
                </c:pt>
                <c:pt idx="118">
                  <c:v>0.11748725300739113</c:v>
                </c:pt>
                <c:pt idx="119">
                  <c:v>7.5727275304019154E-2</c:v>
                </c:pt>
                <c:pt idx="120">
                  <c:v>3.230568060963368E-2</c:v>
                </c:pt>
                <c:pt idx="121">
                  <c:v>4.8750624751553978E-2</c:v>
                </c:pt>
                <c:pt idx="122">
                  <c:v>7.8420907785383964E-2</c:v>
                </c:pt>
                <c:pt idx="123">
                  <c:v>2.9021717673774192E-2</c:v>
                </c:pt>
                <c:pt idx="124">
                  <c:v>2.7085416967411489E-2</c:v>
                </c:pt>
                <c:pt idx="125">
                  <c:v>5.115691885621336E-2</c:v>
                </c:pt>
                <c:pt idx="126">
                  <c:v>2.9515188401813414E-2</c:v>
                </c:pt>
                <c:pt idx="127">
                  <c:v>3.7920143466476861E-2</c:v>
                </c:pt>
                <c:pt idx="128">
                  <c:v>2.5281011274883476E-2</c:v>
                </c:pt>
                <c:pt idx="129">
                  <c:v>7.9910225694657111E-2</c:v>
                </c:pt>
                <c:pt idx="130">
                  <c:v>5.8159267276281568E-2</c:v>
                </c:pt>
                <c:pt idx="131">
                  <c:v>9.463848688169349E-2</c:v>
                </c:pt>
                <c:pt idx="132">
                  <c:v>3.2818694048032795E-2</c:v>
                </c:pt>
                <c:pt idx="133">
                  <c:v>6.9216816849254098E-2</c:v>
                </c:pt>
                <c:pt idx="134">
                  <c:v>8.4652500864370234E-2</c:v>
                </c:pt>
                <c:pt idx="135">
                  <c:v>7.0864216208272296E-2</c:v>
                </c:pt>
                <c:pt idx="136">
                  <c:v>6.3270430834519678E-2</c:v>
                </c:pt>
                <c:pt idx="137">
                  <c:v>3.6573683872905285E-2</c:v>
                </c:pt>
                <c:pt idx="138">
                  <c:v>4.1374027475471697E-2</c:v>
                </c:pt>
                <c:pt idx="139">
                  <c:v>2.2654283739543715E-2</c:v>
                </c:pt>
                <c:pt idx="140">
                  <c:v>4.5291969281887862E-2</c:v>
                </c:pt>
                <c:pt idx="141">
                  <c:v>3.3327000846419902E-2</c:v>
                </c:pt>
                <c:pt idx="142">
                  <c:v>3.597163565794026E-2</c:v>
                </c:pt>
                <c:pt idx="143">
                  <c:v>3.2288206549345708E-2</c:v>
                </c:pt>
                <c:pt idx="144">
                  <c:v>5.9754546514403123E-2</c:v>
                </c:pt>
                <c:pt idx="145">
                  <c:v>3.487290861972249E-2</c:v>
                </c:pt>
                <c:pt idx="146">
                  <c:v>3.3555246632611231E-2</c:v>
                </c:pt>
                <c:pt idx="147">
                  <c:v>2.061270175178477E-2</c:v>
                </c:pt>
                <c:pt idx="148">
                  <c:v>5.8265166080279124E-2</c:v>
                </c:pt>
                <c:pt idx="149">
                  <c:v>4.5559391473063718E-2</c:v>
                </c:pt>
              </c:numCache>
            </c:numRef>
          </c:xVal>
          <c:yVal>
            <c:numRef>
              <c:f>Irysy!$M$2:$M$151</c:f>
              <c:numCache>
                <c:formatCode>General</c:formatCode>
                <c:ptCount val="150"/>
                <c:pt idx="0">
                  <c:v>0.30185014452487496</c:v>
                </c:pt>
                <c:pt idx="1">
                  <c:v>0.18241430914801596</c:v>
                </c:pt>
                <c:pt idx="2">
                  <c:v>-4.0805359067553476E-2</c:v>
                </c:pt>
                <c:pt idx="3">
                  <c:v>-0.97793166054262293</c:v>
                </c:pt>
                <c:pt idx="4">
                  <c:v>-1.542216010395293E-3</c:v>
                </c:pt>
                <c:pt idx="5">
                  <c:v>3.5185224977836937E-2</c:v>
                </c:pt>
                <c:pt idx="6">
                  <c:v>-0.56825771803513914</c:v>
                </c:pt>
                <c:pt idx="7">
                  <c:v>-0.24725653225522892</c:v>
                </c:pt>
                <c:pt idx="8">
                  <c:v>-0.92803376711403507</c:v>
                </c:pt>
                <c:pt idx="9">
                  <c:v>-0.50638960885470785</c:v>
                </c:pt>
                <c:pt idx="10">
                  <c:v>0.48194194847159089</c:v>
                </c:pt>
                <c:pt idx="11">
                  <c:v>-1.1000210302028472</c:v>
                </c:pt>
                <c:pt idx="12">
                  <c:v>-0.28588669521486038</c:v>
                </c:pt>
                <c:pt idx="13">
                  <c:v>-0.30195765408594749</c:v>
                </c:pt>
                <c:pt idx="14">
                  <c:v>2.4026680615267884</c:v>
                </c:pt>
                <c:pt idx="15">
                  <c:v>1.1946095060486237</c:v>
                </c:pt>
                <c:pt idx="16">
                  <c:v>1.5836147003041052</c:v>
                </c:pt>
                <c:pt idx="17">
                  <c:v>0.53333975614995233</c:v>
                </c:pt>
                <c:pt idx="18">
                  <c:v>0.57856153628419249</c:v>
                </c:pt>
                <c:pt idx="19">
                  <c:v>-5.9832578660226253E-2</c:v>
                </c:pt>
                <c:pt idx="20">
                  <c:v>-8.1397496976046563E-2</c:v>
                </c:pt>
                <c:pt idx="21">
                  <c:v>0.24222695642585412</c:v>
                </c:pt>
                <c:pt idx="22">
                  <c:v>0.60538568096415957</c:v>
                </c:pt>
                <c:pt idx="23">
                  <c:v>-1.8542848029037655E-2</c:v>
                </c:pt>
                <c:pt idx="24">
                  <c:v>-2.2543060534268222</c:v>
                </c:pt>
                <c:pt idx="25">
                  <c:v>-0.356892428879931</c:v>
                </c:pt>
                <c:pt idx="26">
                  <c:v>-0.16908516382359012</c:v>
                </c:pt>
                <c:pt idx="27">
                  <c:v>0.15109120625356565</c:v>
                </c:pt>
                <c:pt idx="28">
                  <c:v>0.60552911675279653</c:v>
                </c:pt>
                <c:pt idx="29">
                  <c:v>-1.1964818232774057</c:v>
                </c:pt>
                <c:pt idx="30">
                  <c:v>-0.89414529989581359</c:v>
                </c:pt>
                <c:pt idx="31">
                  <c:v>1.156980074111861</c:v>
                </c:pt>
                <c:pt idx="32">
                  <c:v>-0.51082223847819219</c:v>
                </c:pt>
                <c:pt idx="33">
                  <c:v>0.7706957768405075</c:v>
                </c:pt>
                <c:pt idx="34">
                  <c:v>-0.27380436338102132</c:v>
                </c:pt>
                <c:pt idx="35">
                  <c:v>1.0473169791137946</c:v>
                </c:pt>
                <c:pt idx="36">
                  <c:v>1.6286992509455942</c:v>
                </c:pt>
                <c:pt idx="37">
                  <c:v>-0.46943469757315576</c:v>
                </c:pt>
                <c:pt idx="38">
                  <c:v>-0.60790987540254005</c:v>
                </c:pt>
                <c:pt idx="39">
                  <c:v>-1.3444429625076391E-2</c:v>
                </c:pt>
                <c:pt idx="40">
                  <c:v>0.6841670034671159</c:v>
                </c:pt>
                <c:pt idx="41">
                  <c:v>0.368595371622297</c:v>
                </c:pt>
                <c:pt idx="42">
                  <c:v>-0.74581169704595374</c:v>
                </c:pt>
                <c:pt idx="43">
                  <c:v>0.22798589068347397</c:v>
                </c:pt>
                <c:pt idx="44">
                  <c:v>-1.3732841935781805</c:v>
                </c:pt>
                <c:pt idx="45">
                  <c:v>0.1805310251628007</c:v>
                </c:pt>
                <c:pt idx="46">
                  <c:v>-0.68035148050959127</c:v>
                </c:pt>
                <c:pt idx="47">
                  <c:v>-0.66069516099563219</c:v>
                </c:pt>
                <c:pt idx="48">
                  <c:v>0.24689359290142557</c:v>
                </c:pt>
                <c:pt idx="49">
                  <c:v>0.20683103567821545</c:v>
                </c:pt>
                <c:pt idx="50">
                  <c:v>0.67936352126320232</c:v>
                </c:pt>
                <c:pt idx="51">
                  <c:v>0.26797961660497172</c:v>
                </c:pt>
                <c:pt idx="52">
                  <c:v>-3.3747983559245444E-2</c:v>
                </c:pt>
                <c:pt idx="53">
                  <c:v>0.24845559067754325</c:v>
                </c:pt>
                <c:pt idx="54">
                  <c:v>0.39614478682992466</c:v>
                </c:pt>
                <c:pt idx="55">
                  <c:v>-1.5575105872635255</c:v>
                </c:pt>
                <c:pt idx="56">
                  <c:v>-0.58025544288036379</c:v>
                </c:pt>
                <c:pt idx="57">
                  <c:v>0.78493772236446535</c:v>
                </c:pt>
                <c:pt idx="58">
                  <c:v>9.5240381570400726E-2</c:v>
                </c:pt>
                <c:pt idx="59">
                  <c:v>-0.11772218427487606</c:v>
                </c:pt>
                <c:pt idx="60">
                  <c:v>0.52448545135462266</c:v>
                </c:pt>
                <c:pt idx="61">
                  <c:v>0.39140285778997458</c:v>
                </c:pt>
                <c:pt idx="62">
                  <c:v>0.80551885386626565</c:v>
                </c:pt>
                <c:pt idx="63">
                  <c:v>-1.2281005122301065</c:v>
                </c:pt>
                <c:pt idx="64">
                  <c:v>1.6084430046013205</c:v>
                </c:pt>
                <c:pt idx="65">
                  <c:v>1.1997715606283768</c:v>
                </c:pt>
                <c:pt idx="66">
                  <c:v>-1.4779459078112309</c:v>
                </c:pt>
                <c:pt idx="67">
                  <c:v>-0.41321722460069227</c:v>
                </c:pt>
                <c:pt idx="68">
                  <c:v>0.50754089548405235</c:v>
                </c:pt>
                <c:pt idx="69">
                  <c:v>0.26402398903591767</c:v>
                </c:pt>
                <c:pt idx="70">
                  <c:v>-1.3947098548805894</c:v>
                </c:pt>
                <c:pt idx="71">
                  <c:v>1.3027931767438286</c:v>
                </c:pt>
                <c:pt idx="72">
                  <c:v>-1.033350711566053</c:v>
                </c:pt>
                <c:pt idx="73">
                  <c:v>-1.6252039551017317</c:v>
                </c:pt>
                <c:pt idx="74">
                  <c:v>0.783342172310598</c:v>
                </c:pt>
                <c:pt idx="75">
                  <c:v>1.0316855274277301</c:v>
                </c:pt>
                <c:pt idx="76">
                  <c:v>9.5304520643996748E-2</c:v>
                </c:pt>
                <c:pt idx="77">
                  <c:v>-0.35855418371514847</c:v>
                </c:pt>
                <c:pt idx="78">
                  <c:v>-0.46172989157188921</c:v>
                </c:pt>
                <c:pt idx="79">
                  <c:v>1.7495241511074564</c:v>
                </c:pt>
                <c:pt idx="80">
                  <c:v>0.48576694183625718</c:v>
                </c:pt>
                <c:pt idx="81">
                  <c:v>0.64191152730644829</c:v>
                </c:pt>
                <c:pt idx="82">
                  <c:v>0.82419980653438785</c:v>
                </c:pt>
                <c:pt idx="83">
                  <c:v>-2.4197627895007372</c:v>
                </c:pt>
                <c:pt idx="84">
                  <c:v>-1.9594902184656176</c:v>
                </c:pt>
                <c:pt idx="85">
                  <c:v>-0.58614501232729577</c:v>
                </c:pt>
                <c:pt idx="86">
                  <c:v>0.27029327125686142</c:v>
                </c:pt>
                <c:pt idx="87">
                  <c:v>0.58879457515448441</c:v>
                </c:pt>
                <c:pt idx="88">
                  <c:v>-0.39285248164133546</c:v>
                </c:pt>
                <c:pt idx="89">
                  <c:v>0.10801066725218399</c:v>
                </c:pt>
                <c:pt idx="90">
                  <c:v>-1.7362804156370768</c:v>
                </c:pt>
                <c:pt idx="91">
                  <c:v>-0.91364177378187206</c:v>
                </c:pt>
                <c:pt idx="92">
                  <c:v>0.5087647159391081</c:v>
                </c:pt>
                <c:pt idx="93">
                  <c:v>1.0908761881181352</c:v>
                </c:pt>
                <c:pt idx="94">
                  <c:v>-0.5672938187971247</c:v>
                </c:pt>
                <c:pt idx="95">
                  <c:v>-0.77846384768897015</c:v>
                </c:pt>
                <c:pt idx="96">
                  <c:v>-0.47276788559132166</c:v>
                </c:pt>
                <c:pt idx="97">
                  <c:v>0.31341246992665645</c:v>
                </c:pt>
                <c:pt idx="98">
                  <c:v>2.5815663126011845</c:v>
                </c:pt>
                <c:pt idx="99">
                  <c:v>-1.7566294245062841E-2</c:v>
                </c:pt>
                <c:pt idx="100">
                  <c:v>-1.5684470095723035</c:v>
                </c:pt>
                <c:pt idx="101">
                  <c:v>-0.20749468264582915</c:v>
                </c:pt>
                <c:pt idx="102">
                  <c:v>1.2243149774697721E-2</c:v>
                </c:pt>
                <c:pt idx="103">
                  <c:v>-1.3365412110236428</c:v>
                </c:pt>
                <c:pt idx="104">
                  <c:v>-0.77714223647149416</c:v>
                </c:pt>
                <c:pt idx="105">
                  <c:v>-1.538184163892564</c:v>
                </c:pt>
                <c:pt idx="106">
                  <c:v>-0.34069985377379108</c:v>
                </c:pt>
                <c:pt idx="107">
                  <c:v>-1.7146787178760383</c:v>
                </c:pt>
                <c:pt idx="108">
                  <c:v>-0.89759539748748574</c:v>
                </c:pt>
                <c:pt idx="109">
                  <c:v>-1.357506268789525E-2</c:v>
                </c:pt>
                <c:pt idx="110">
                  <c:v>1.3196456153444851</c:v>
                </c:pt>
                <c:pt idx="111">
                  <c:v>0.42894830160888114</c:v>
                </c:pt>
                <c:pt idx="112">
                  <c:v>0.84968279122354307</c:v>
                </c:pt>
                <c:pt idx="113">
                  <c:v>0.31966145416633784</c:v>
                </c:pt>
                <c:pt idx="114">
                  <c:v>0.91228838976588489</c:v>
                </c:pt>
                <c:pt idx="115">
                  <c:v>1.0171804382770833</c:v>
                </c:pt>
                <c:pt idx="116">
                  <c:v>-0.55034185351286913</c:v>
                </c:pt>
                <c:pt idx="117">
                  <c:v>-2.0364619043681751</c:v>
                </c:pt>
                <c:pt idx="118">
                  <c:v>-1.7801962054062979</c:v>
                </c:pt>
                <c:pt idx="119">
                  <c:v>6.9083415584745428E-2</c:v>
                </c:pt>
                <c:pt idx="120">
                  <c:v>0.64193883972292731</c:v>
                </c:pt>
                <c:pt idx="121">
                  <c:v>0.26164057610386388</c:v>
                </c:pt>
                <c:pt idx="122">
                  <c:v>-1.8085512151778937</c:v>
                </c:pt>
                <c:pt idx="123">
                  <c:v>1.5074381685678688</c:v>
                </c:pt>
                <c:pt idx="124">
                  <c:v>-0.36346348857491578</c:v>
                </c:pt>
                <c:pt idx="125">
                  <c:v>-0.98781647250031956</c:v>
                </c:pt>
                <c:pt idx="126">
                  <c:v>1.5895267388597112</c:v>
                </c:pt>
                <c:pt idx="127">
                  <c:v>0.83236083079705325</c:v>
                </c:pt>
                <c:pt idx="128">
                  <c:v>-0.33282427181435098</c:v>
                </c:pt>
                <c:pt idx="129">
                  <c:v>-0.54418341004156667</c:v>
                </c:pt>
                <c:pt idx="130">
                  <c:v>-0.38736720390805152</c:v>
                </c:pt>
                <c:pt idx="131">
                  <c:v>-0.86031391249053502</c:v>
                </c:pt>
                <c:pt idx="132">
                  <c:v>-0.10104283338502375</c:v>
                </c:pt>
                <c:pt idx="133">
                  <c:v>-3.3388635544041367E-2</c:v>
                </c:pt>
                <c:pt idx="134">
                  <c:v>-2.6025575557113054</c:v>
                </c:pt>
                <c:pt idx="135">
                  <c:v>1.1388776007037853</c:v>
                </c:pt>
                <c:pt idx="136">
                  <c:v>-0.29407699968874984</c:v>
                </c:pt>
                <c:pt idx="137">
                  <c:v>-0.85758819276402953</c:v>
                </c:pt>
                <c:pt idx="138">
                  <c:v>0.98624669145563948</c:v>
                </c:pt>
                <c:pt idx="139">
                  <c:v>1.3995701673263377</c:v>
                </c:pt>
                <c:pt idx="140">
                  <c:v>0.86705925511062332</c:v>
                </c:pt>
                <c:pt idx="141">
                  <c:v>3.0349348859201868</c:v>
                </c:pt>
                <c:pt idx="142">
                  <c:v>-0.20749468264582915</c:v>
                </c:pt>
                <c:pt idx="143">
                  <c:v>-0.36715837583649635</c:v>
                </c:pt>
                <c:pt idx="144">
                  <c:v>0.57583935570451072</c:v>
                </c:pt>
                <c:pt idx="145">
                  <c:v>2.2487382016827211</c:v>
                </c:pt>
                <c:pt idx="146">
                  <c:v>1.4967482468353743</c:v>
                </c:pt>
                <c:pt idx="147">
                  <c:v>1.0697631127369007</c:v>
                </c:pt>
                <c:pt idx="148">
                  <c:v>1.6470848971908779E-2</c:v>
                </c:pt>
                <c:pt idx="149">
                  <c:v>-0.41727740886859771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9D-4A26-BD0F-9D9BAA211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658927"/>
        <c:axId val="1128336511"/>
      </c:scatterChart>
      <c:valAx>
        <c:axId val="1490658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28336511"/>
        <c:crosses val="autoZero"/>
        <c:crossBetween val="midCat"/>
      </c:valAx>
      <c:valAx>
        <c:axId val="1128336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90658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Wykres rozrzutu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Wzrost!$D$1</c:f>
              <c:strCache>
                <c:ptCount val="1"/>
                <c:pt idx="0">
                  <c:v>Dziecko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5048862642169727"/>
                  <c:y val="-6.038385826771653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l-PL"/>
                </a:p>
              </c:txPr>
            </c:trendlineLbl>
          </c:trendline>
          <c:xVal>
            <c:numRef>
              <c:f>Wzrost!$C$2:$C$31</c:f>
              <c:numCache>
                <c:formatCode>General</c:formatCode>
                <c:ptCount val="30"/>
                <c:pt idx="0">
                  <c:v>172</c:v>
                </c:pt>
                <c:pt idx="1">
                  <c:v>168</c:v>
                </c:pt>
                <c:pt idx="2">
                  <c:v>170</c:v>
                </c:pt>
                <c:pt idx="3">
                  <c:v>170</c:v>
                </c:pt>
                <c:pt idx="4">
                  <c:v>173</c:v>
                </c:pt>
                <c:pt idx="5">
                  <c:v>162</c:v>
                </c:pt>
                <c:pt idx="6">
                  <c:v>159</c:v>
                </c:pt>
                <c:pt idx="7">
                  <c:v>164</c:v>
                </c:pt>
                <c:pt idx="8">
                  <c:v>169</c:v>
                </c:pt>
                <c:pt idx="9">
                  <c:v>167</c:v>
                </c:pt>
                <c:pt idx="10">
                  <c:v>177</c:v>
                </c:pt>
                <c:pt idx="11">
                  <c:v>172</c:v>
                </c:pt>
                <c:pt idx="12">
                  <c:v>159</c:v>
                </c:pt>
                <c:pt idx="13">
                  <c:v>160</c:v>
                </c:pt>
                <c:pt idx="14">
                  <c:v>168</c:v>
                </c:pt>
                <c:pt idx="15">
                  <c:v>166</c:v>
                </c:pt>
                <c:pt idx="16">
                  <c:v>172</c:v>
                </c:pt>
                <c:pt idx="17">
                  <c:v>164</c:v>
                </c:pt>
                <c:pt idx="18">
                  <c:v>171</c:v>
                </c:pt>
                <c:pt idx="19">
                  <c:v>161</c:v>
                </c:pt>
                <c:pt idx="20">
                  <c:v>172</c:v>
                </c:pt>
                <c:pt idx="21">
                  <c:v>166</c:v>
                </c:pt>
                <c:pt idx="22">
                  <c:v>156</c:v>
                </c:pt>
                <c:pt idx="23">
                  <c:v>172</c:v>
                </c:pt>
                <c:pt idx="24">
                  <c:v>170</c:v>
                </c:pt>
                <c:pt idx="25">
                  <c:v>157</c:v>
                </c:pt>
                <c:pt idx="26">
                  <c:v>159</c:v>
                </c:pt>
                <c:pt idx="27">
                  <c:v>163</c:v>
                </c:pt>
                <c:pt idx="28">
                  <c:v>164</c:v>
                </c:pt>
                <c:pt idx="29">
                  <c:v>171</c:v>
                </c:pt>
              </c:numCache>
            </c:numRef>
          </c:xVal>
          <c:yVal>
            <c:numRef>
              <c:f>Wzrost!$D$2:$D$31</c:f>
              <c:numCache>
                <c:formatCode>General</c:formatCode>
                <c:ptCount val="30"/>
                <c:pt idx="0">
                  <c:v>79</c:v>
                </c:pt>
                <c:pt idx="1">
                  <c:v>80</c:v>
                </c:pt>
                <c:pt idx="2">
                  <c:v>75</c:v>
                </c:pt>
                <c:pt idx="3">
                  <c:v>78</c:v>
                </c:pt>
                <c:pt idx="4">
                  <c:v>81</c:v>
                </c:pt>
                <c:pt idx="5">
                  <c:v>73</c:v>
                </c:pt>
                <c:pt idx="6">
                  <c:v>72</c:v>
                </c:pt>
                <c:pt idx="7">
                  <c:v>75</c:v>
                </c:pt>
                <c:pt idx="8">
                  <c:v>76</c:v>
                </c:pt>
                <c:pt idx="9">
                  <c:v>75</c:v>
                </c:pt>
                <c:pt idx="10">
                  <c:v>79</c:v>
                </c:pt>
                <c:pt idx="11">
                  <c:v>76</c:v>
                </c:pt>
                <c:pt idx="12">
                  <c:v>72</c:v>
                </c:pt>
                <c:pt idx="13">
                  <c:v>72</c:v>
                </c:pt>
                <c:pt idx="14">
                  <c:v>79</c:v>
                </c:pt>
                <c:pt idx="15">
                  <c:v>77</c:v>
                </c:pt>
                <c:pt idx="16">
                  <c:v>77</c:v>
                </c:pt>
                <c:pt idx="17">
                  <c:v>75</c:v>
                </c:pt>
                <c:pt idx="18">
                  <c:v>76</c:v>
                </c:pt>
                <c:pt idx="19">
                  <c:v>75</c:v>
                </c:pt>
                <c:pt idx="20">
                  <c:v>80</c:v>
                </c:pt>
                <c:pt idx="21">
                  <c:v>76</c:v>
                </c:pt>
                <c:pt idx="22">
                  <c:v>76</c:v>
                </c:pt>
                <c:pt idx="23">
                  <c:v>78</c:v>
                </c:pt>
                <c:pt idx="24">
                  <c:v>78</c:v>
                </c:pt>
                <c:pt idx="25">
                  <c:v>75</c:v>
                </c:pt>
                <c:pt idx="26">
                  <c:v>73</c:v>
                </c:pt>
                <c:pt idx="27">
                  <c:v>74</c:v>
                </c:pt>
                <c:pt idx="28">
                  <c:v>73</c:v>
                </c:pt>
                <c:pt idx="29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0E-46F3-9913-20BD49548F7A}"/>
            </c:ext>
          </c:extLst>
        </c:ser>
        <c:ser>
          <c:idx val="1"/>
          <c:order val="1"/>
          <c:tx>
            <c:strRef>
              <c:f>Wzrost!$E$1</c:f>
              <c:strCache>
                <c:ptCount val="1"/>
                <c:pt idx="0">
                  <c:v>Prognoza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Wzrost!$C$2:$C$31</c:f>
              <c:numCache>
                <c:formatCode>General</c:formatCode>
                <c:ptCount val="30"/>
                <c:pt idx="0">
                  <c:v>172</c:v>
                </c:pt>
                <c:pt idx="1">
                  <c:v>168</c:v>
                </c:pt>
                <c:pt idx="2">
                  <c:v>170</c:v>
                </c:pt>
                <c:pt idx="3">
                  <c:v>170</c:v>
                </c:pt>
                <c:pt idx="4">
                  <c:v>173</c:v>
                </c:pt>
                <c:pt idx="5">
                  <c:v>162</c:v>
                </c:pt>
                <c:pt idx="6">
                  <c:v>159</c:v>
                </c:pt>
                <c:pt idx="7">
                  <c:v>164</c:v>
                </c:pt>
                <c:pt idx="8">
                  <c:v>169</c:v>
                </c:pt>
                <c:pt idx="9">
                  <c:v>167</c:v>
                </c:pt>
                <c:pt idx="10">
                  <c:v>177</c:v>
                </c:pt>
                <c:pt idx="11">
                  <c:v>172</c:v>
                </c:pt>
                <c:pt idx="12">
                  <c:v>159</c:v>
                </c:pt>
                <c:pt idx="13">
                  <c:v>160</c:v>
                </c:pt>
                <c:pt idx="14">
                  <c:v>168</c:v>
                </c:pt>
                <c:pt idx="15">
                  <c:v>166</c:v>
                </c:pt>
                <c:pt idx="16">
                  <c:v>172</c:v>
                </c:pt>
                <c:pt idx="17">
                  <c:v>164</c:v>
                </c:pt>
                <c:pt idx="18">
                  <c:v>171</c:v>
                </c:pt>
                <c:pt idx="19">
                  <c:v>161</c:v>
                </c:pt>
                <c:pt idx="20">
                  <c:v>172</c:v>
                </c:pt>
                <c:pt idx="21">
                  <c:v>166</c:v>
                </c:pt>
                <c:pt idx="22">
                  <c:v>156</c:v>
                </c:pt>
                <c:pt idx="23">
                  <c:v>172</c:v>
                </c:pt>
                <c:pt idx="24">
                  <c:v>170</c:v>
                </c:pt>
                <c:pt idx="25">
                  <c:v>157</c:v>
                </c:pt>
                <c:pt idx="26">
                  <c:v>159</c:v>
                </c:pt>
                <c:pt idx="27">
                  <c:v>163</c:v>
                </c:pt>
                <c:pt idx="28">
                  <c:v>164</c:v>
                </c:pt>
                <c:pt idx="29">
                  <c:v>171</c:v>
                </c:pt>
              </c:numCache>
            </c:numRef>
          </c:xVal>
          <c:yVal>
            <c:numRef>
              <c:f>Wzrost!$E$2:$E$31</c:f>
              <c:numCache>
                <c:formatCode>General</c:formatCode>
                <c:ptCount val="30"/>
                <c:pt idx="0">
                  <c:v>78.065125734080596</c:v>
                </c:pt>
                <c:pt idx="1">
                  <c:v>76.668649299808493</c:v>
                </c:pt>
                <c:pt idx="2">
                  <c:v>77.366887516944558</c:v>
                </c:pt>
                <c:pt idx="3">
                  <c:v>77.366887516944558</c:v>
                </c:pt>
                <c:pt idx="4">
                  <c:v>78.414244842648628</c:v>
                </c:pt>
                <c:pt idx="5">
                  <c:v>74.573934648400353</c:v>
                </c:pt>
                <c:pt idx="6">
                  <c:v>73.526577322696284</c:v>
                </c:pt>
                <c:pt idx="7">
                  <c:v>75.27217286553639</c:v>
                </c:pt>
                <c:pt idx="8">
                  <c:v>77.017768408376526</c:v>
                </c:pt>
                <c:pt idx="9">
                  <c:v>76.319530191240474</c:v>
                </c:pt>
                <c:pt idx="10">
                  <c:v>79.810721276920731</c:v>
                </c:pt>
                <c:pt idx="11">
                  <c:v>78.065125734080596</c:v>
                </c:pt>
                <c:pt idx="12">
                  <c:v>73.526577322696284</c:v>
                </c:pt>
                <c:pt idx="13">
                  <c:v>73.875696431264302</c:v>
                </c:pt>
                <c:pt idx="14">
                  <c:v>76.668649299808493</c:v>
                </c:pt>
                <c:pt idx="15">
                  <c:v>75.970411082672456</c:v>
                </c:pt>
                <c:pt idx="16">
                  <c:v>78.065125734080596</c:v>
                </c:pt>
                <c:pt idx="17">
                  <c:v>75.27217286553639</c:v>
                </c:pt>
                <c:pt idx="18">
                  <c:v>77.716006625512577</c:v>
                </c:pt>
                <c:pt idx="19">
                  <c:v>74.224815539832321</c:v>
                </c:pt>
                <c:pt idx="20">
                  <c:v>78.065125734080596</c:v>
                </c:pt>
                <c:pt idx="21">
                  <c:v>75.970411082672456</c:v>
                </c:pt>
                <c:pt idx="22">
                  <c:v>72.4792199969922</c:v>
                </c:pt>
                <c:pt idx="23">
                  <c:v>78.065125734080596</c:v>
                </c:pt>
                <c:pt idx="24">
                  <c:v>77.366887516944558</c:v>
                </c:pt>
                <c:pt idx="25">
                  <c:v>72.828339105560218</c:v>
                </c:pt>
                <c:pt idx="26">
                  <c:v>73.526577322696284</c:v>
                </c:pt>
                <c:pt idx="27">
                  <c:v>74.923053756968372</c:v>
                </c:pt>
                <c:pt idx="28">
                  <c:v>75.27217286553639</c:v>
                </c:pt>
                <c:pt idx="29">
                  <c:v>77.716006625512577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80E-46F3-9913-20BD4954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9970495"/>
        <c:axId val="940864911"/>
      </c:scatterChart>
      <c:valAx>
        <c:axId val="959970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40864911"/>
        <c:crosses val="autoZero"/>
        <c:crossBetween val="midCat"/>
      </c:valAx>
      <c:valAx>
        <c:axId val="940864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959970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Reszty vs Prognoza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Wzrost!$F$1</c:f>
              <c:strCache>
                <c:ptCount val="1"/>
                <c:pt idx="0">
                  <c:v>Eps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xVal>
            <c:numRef>
              <c:f>Wzrost!$E$2:$E$31</c:f>
              <c:numCache>
                <c:formatCode>General</c:formatCode>
                <c:ptCount val="30"/>
                <c:pt idx="0">
                  <c:v>78.065125734080596</c:v>
                </c:pt>
                <c:pt idx="1">
                  <c:v>76.668649299808493</c:v>
                </c:pt>
                <c:pt idx="2">
                  <c:v>77.366887516944558</c:v>
                </c:pt>
                <c:pt idx="3">
                  <c:v>77.366887516944558</c:v>
                </c:pt>
                <c:pt idx="4">
                  <c:v>78.414244842648628</c:v>
                </c:pt>
                <c:pt idx="5">
                  <c:v>74.573934648400353</c:v>
                </c:pt>
                <c:pt idx="6">
                  <c:v>73.526577322696284</c:v>
                </c:pt>
                <c:pt idx="7">
                  <c:v>75.27217286553639</c:v>
                </c:pt>
                <c:pt idx="8">
                  <c:v>77.017768408376526</c:v>
                </c:pt>
                <c:pt idx="9">
                  <c:v>76.319530191240474</c:v>
                </c:pt>
                <c:pt idx="10">
                  <c:v>79.810721276920731</c:v>
                </c:pt>
                <c:pt idx="11">
                  <c:v>78.065125734080596</c:v>
                </c:pt>
                <c:pt idx="12">
                  <c:v>73.526577322696284</c:v>
                </c:pt>
                <c:pt idx="13">
                  <c:v>73.875696431264302</c:v>
                </c:pt>
                <c:pt idx="14">
                  <c:v>76.668649299808493</c:v>
                </c:pt>
                <c:pt idx="15">
                  <c:v>75.970411082672456</c:v>
                </c:pt>
                <c:pt idx="16">
                  <c:v>78.065125734080596</c:v>
                </c:pt>
                <c:pt idx="17">
                  <c:v>75.27217286553639</c:v>
                </c:pt>
                <c:pt idx="18">
                  <c:v>77.716006625512577</c:v>
                </c:pt>
                <c:pt idx="19">
                  <c:v>74.224815539832321</c:v>
                </c:pt>
                <c:pt idx="20">
                  <c:v>78.065125734080596</c:v>
                </c:pt>
                <c:pt idx="21">
                  <c:v>75.970411082672456</c:v>
                </c:pt>
                <c:pt idx="22">
                  <c:v>72.4792199969922</c:v>
                </c:pt>
                <c:pt idx="23">
                  <c:v>78.065125734080596</c:v>
                </c:pt>
                <c:pt idx="24">
                  <c:v>77.366887516944558</c:v>
                </c:pt>
                <c:pt idx="25">
                  <c:v>72.828339105560218</c:v>
                </c:pt>
                <c:pt idx="26">
                  <c:v>73.526577322696284</c:v>
                </c:pt>
                <c:pt idx="27">
                  <c:v>74.923053756968372</c:v>
                </c:pt>
                <c:pt idx="28">
                  <c:v>75.27217286553639</c:v>
                </c:pt>
                <c:pt idx="29">
                  <c:v>77.716006625512577</c:v>
                </c:pt>
              </c:numCache>
            </c:numRef>
          </c:xVal>
          <c:yVal>
            <c:numRef>
              <c:f>Wzrost!$F$2:$F$31</c:f>
              <c:numCache>
                <c:formatCode>General</c:formatCode>
                <c:ptCount val="30"/>
                <c:pt idx="0">
                  <c:v>0.93487426591940448</c:v>
                </c:pt>
                <c:pt idx="1">
                  <c:v>3.331350700191507</c:v>
                </c:pt>
                <c:pt idx="2">
                  <c:v>-2.3668875169445585</c:v>
                </c:pt>
                <c:pt idx="3">
                  <c:v>0.63311248305544154</c:v>
                </c:pt>
                <c:pt idx="4">
                  <c:v>2.5857551573513717</c:v>
                </c:pt>
                <c:pt idx="5">
                  <c:v>-1.5739346484003534</c:v>
                </c:pt>
                <c:pt idx="6">
                  <c:v>-1.5265773226962835</c:v>
                </c:pt>
                <c:pt idx="7">
                  <c:v>-0.27217286553639042</c:v>
                </c:pt>
                <c:pt idx="8">
                  <c:v>-1.0177684083765257</c:v>
                </c:pt>
                <c:pt idx="9">
                  <c:v>-1.3195301912404744</c:v>
                </c:pt>
                <c:pt idx="10">
                  <c:v>-0.81072127692073082</c:v>
                </c:pt>
                <c:pt idx="11">
                  <c:v>-2.0651257340805955</c:v>
                </c:pt>
                <c:pt idx="12">
                  <c:v>-1.5265773226962835</c:v>
                </c:pt>
                <c:pt idx="13">
                  <c:v>-1.8756964312643021</c:v>
                </c:pt>
                <c:pt idx="14">
                  <c:v>2.331350700191507</c:v>
                </c:pt>
                <c:pt idx="15">
                  <c:v>1.0295889173275441</c:v>
                </c:pt>
                <c:pt idx="16">
                  <c:v>-1.0651257340805955</c:v>
                </c:pt>
                <c:pt idx="17">
                  <c:v>-0.27217286553639042</c:v>
                </c:pt>
                <c:pt idx="18">
                  <c:v>-1.716006625512577</c:v>
                </c:pt>
                <c:pt idx="19">
                  <c:v>0.77518446016767939</c:v>
                </c:pt>
                <c:pt idx="20">
                  <c:v>1.9348742659194045</c:v>
                </c:pt>
                <c:pt idx="21">
                  <c:v>2.9588917327544095E-2</c:v>
                </c:pt>
                <c:pt idx="22">
                  <c:v>3.5207800030078005</c:v>
                </c:pt>
                <c:pt idx="23">
                  <c:v>-6.5125734080595521E-2</c:v>
                </c:pt>
                <c:pt idx="24">
                  <c:v>0.63311248305544154</c:v>
                </c:pt>
                <c:pt idx="25">
                  <c:v>2.1716608944397819</c:v>
                </c:pt>
                <c:pt idx="26">
                  <c:v>-0.52657732269628355</c:v>
                </c:pt>
                <c:pt idx="27">
                  <c:v>-0.92305375696837189</c:v>
                </c:pt>
                <c:pt idx="28">
                  <c:v>-2.2721728655363904</c:v>
                </c:pt>
                <c:pt idx="29">
                  <c:v>1.283993374487423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3-41D3-87AD-F1E6CF367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0993296"/>
        <c:axId val="1637901776"/>
      </c:scatterChart>
      <c:valAx>
        <c:axId val="1690993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7901776"/>
        <c:crosses val="autoZero"/>
        <c:crossBetween val="midCat"/>
      </c:valAx>
      <c:valAx>
        <c:axId val="163790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90993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Normalność reszt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Wzrost!$AA$1</c:f>
              <c:strCache>
                <c:ptCount val="1"/>
                <c:pt idx="0">
                  <c:v>G^(-1)(*)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Wzrost!$Z$2:$Z$31</c:f>
              <c:numCache>
                <c:formatCode>General</c:formatCode>
                <c:ptCount val="30"/>
                <c:pt idx="0">
                  <c:v>-2.3668875169445585</c:v>
                </c:pt>
                <c:pt idx="1">
                  <c:v>-2.2721728655363904</c:v>
                </c:pt>
                <c:pt idx="2">
                  <c:v>-2.0651257340805955</c:v>
                </c:pt>
                <c:pt idx="3">
                  <c:v>-1.8756964312643021</c:v>
                </c:pt>
                <c:pt idx="4">
                  <c:v>-1.716006625512577</c:v>
                </c:pt>
                <c:pt idx="5">
                  <c:v>-1.5739346484003534</c:v>
                </c:pt>
                <c:pt idx="6">
                  <c:v>-1.5265773226962835</c:v>
                </c:pt>
                <c:pt idx="7">
                  <c:v>-1.5265773226962835</c:v>
                </c:pt>
                <c:pt idx="8">
                  <c:v>-1.3195301912404744</c:v>
                </c:pt>
                <c:pt idx="9">
                  <c:v>-1.0651257340805955</c:v>
                </c:pt>
                <c:pt idx="10">
                  <c:v>-1.0177684083765257</c:v>
                </c:pt>
                <c:pt idx="11">
                  <c:v>-0.92305375696837189</c:v>
                </c:pt>
                <c:pt idx="12">
                  <c:v>-0.81072127692073082</c:v>
                </c:pt>
                <c:pt idx="13">
                  <c:v>-0.52657732269628355</c:v>
                </c:pt>
                <c:pt idx="14">
                  <c:v>-0.27217286553639042</c:v>
                </c:pt>
                <c:pt idx="15">
                  <c:v>-0.27217286553639042</c:v>
                </c:pt>
                <c:pt idx="16">
                  <c:v>-6.5125734080595521E-2</c:v>
                </c:pt>
                <c:pt idx="17">
                  <c:v>2.9588917327544095E-2</c:v>
                </c:pt>
                <c:pt idx="18">
                  <c:v>0.63311248305544154</c:v>
                </c:pt>
                <c:pt idx="19">
                  <c:v>0.63311248305544154</c:v>
                </c:pt>
                <c:pt idx="20">
                  <c:v>0.77518446016767939</c:v>
                </c:pt>
                <c:pt idx="21">
                  <c:v>0.93487426591940448</c:v>
                </c:pt>
                <c:pt idx="22">
                  <c:v>1.0295889173275441</c:v>
                </c:pt>
                <c:pt idx="23">
                  <c:v>1.283993374487423</c:v>
                </c:pt>
                <c:pt idx="24">
                  <c:v>1.9348742659194045</c:v>
                </c:pt>
                <c:pt idx="25">
                  <c:v>2.1716608944397819</c:v>
                </c:pt>
                <c:pt idx="26">
                  <c:v>2.331350700191507</c:v>
                </c:pt>
                <c:pt idx="27">
                  <c:v>2.5857551573513717</c:v>
                </c:pt>
                <c:pt idx="28">
                  <c:v>3.331350700191507</c:v>
                </c:pt>
                <c:pt idx="29">
                  <c:v>3.5207800030078005</c:v>
                </c:pt>
              </c:numCache>
            </c:numRef>
          </c:xVal>
          <c:yVal>
            <c:numRef>
              <c:f>Wzrost!$AA$2:$AA$31</c:f>
              <c:numCache>
                <c:formatCode>General</c:formatCode>
                <c:ptCount val="30"/>
                <c:pt idx="0">
                  <c:v>-3.6758271981631268</c:v>
                </c:pt>
                <c:pt idx="1">
                  <c:v>-2.8411979227786999</c:v>
                </c:pt>
                <c:pt idx="2">
                  <c:v>-2.388881282048207</c:v>
                </c:pt>
                <c:pt idx="3">
                  <c:v>-2.0586546886795669</c:v>
                </c:pt>
                <c:pt idx="4">
                  <c:v>-1.7902580175391616</c:v>
                </c:pt>
                <c:pt idx="5">
                  <c:v>-1.5593169950278365</c:v>
                </c:pt>
                <c:pt idx="6">
                  <c:v>-1.3533603249424175</c:v>
                </c:pt>
                <c:pt idx="7">
                  <c:v>-1.1650634717840274</c:v>
                </c:pt>
                <c:pt idx="8">
                  <c:v>-0.98970156488759908</c:v>
                </c:pt>
                <c:pt idx="9">
                  <c:v>-0.82400418632852301</c:v>
                </c:pt>
                <c:pt idx="10">
                  <c:v>-0.66557393972515477</c:v>
                </c:pt>
                <c:pt idx="11">
                  <c:v>-0.51256289061807048</c:v>
                </c:pt>
                <c:pt idx="12">
                  <c:v>-0.36347837086205337</c:v>
                </c:pt>
                <c:pt idx="13">
                  <c:v>-0.21705807240728009</c:v>
                </c:pt>
                <c:pt idx="14">
                  <c:v>-7.2183727600457132E-2</c:v>
                </c:pt>
                <c:pt idx="15">
                  <c:v>7.2183727600457367E-2</c:v>
                </c:pt>
                <c:pt idx="16">
                  <c:v>0.21705807240728034</c:v>
                </c:pt>
                <c:pt idx="17">
                  <c:v>0.36347837086205365</c:v>
                </c:pt>
                <c:pt idx="18">
                  <c:v>0.5125628906180707</c:v>
                </c:pt>
                <c:pt idx="19">
                  <c:v>0.66557393972515477</c:v>
                </c:pt>
                <c:pt idx="20">
                  <c:v>0.82400418632852301</c:v>
                </c:pt>
                <c:pt idx="21">
                  <c:v>0.98970156488759908</c:v>
                </c:pt>
                <c:pt idx="22">
                  <c:v>1.1650634717840274</c:v>
                </c:pt>
                <c:pt idx="23">
                  <c:v>1.3533603249424175</c:v>
                </c:pt>
                <c:pt idx="24">
                  <c:v>1.5593169950278365</c:v>
                </c:pt>
                <c:pt idx="25">
                  <c:v>1.7902580175391616</c:v>
                </c:pt>
                <c:pt idx="26">
                  <c:v>2.0586546886795669</c:v>
                </c:pt>
                <c:pt idx="27">
                  <c:v>2.3888812820482039</c:v>
                </c:pt>
                <c:pt idx="28">
                  <c:v>2.8411979227786981</c:v>
                </c:pt>
                <c:pt idx="29">
                  <c:v>3.6758271981631268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7F-490B-875F-A35C399BAC0F}"/>
            </c:ext>
          </c:extLst>
        </c:ser>
        <c:ser>
          <c:idx val="1"/>
          <c:order val="1"/>
          <c:tx>
            <c:v>Identyczność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Wzrost!$Z$2:$Z$31</c:f>
              <c:numCache>
                <c:formatCode>General</c:formatCode>
                <c:ptCount val="30"/>
                <c:pt idx="0">
                  <c:v>-2.3668875169445585</c:v>
                </c:pt>
                <c:pt idx="1">
                  <c:v>-2.2721728655363904</c:v>
                </c:pt>
                <c:pt idx="2">
                  <c:v>-2.0651257340805955</c:v>
                </c:pt>
                <c:pt idx="3">
                  <c:v>-1.8756964312643021</c:v>
                </c:pt>
                <c:pt idx="4">
                  <c:v>-1.716006625512577</c:v>
                </c:pt>
                <c:pt idx="5">
                  <c:v>-1.5739346484003534</c:v>
                </c:pt>
                <c:pt idx="6">
                  <c:v>-1.5265773226962835</c:v>
                </c:pt>
                <c:pt idx="7">
                  <c:v>-1.5265773226962835</c:v>
                </c:pt>
                <c:pt idx="8">
                  <c:v>-1.3195301912404744</c:v>
                </c:pt>
                <c:pt idx="9">
                  <c:v>-1.0651257340805955</c:v>
                </c:pt>
                <c:pt idx="10">
                  <c:v>-1.0177684083765257</c:v>
                </c:pt>
                <c:pt idx="11">
                  <c:v>-0.92305375696837189</c:v>
                </c:pt>
                <c:pt idx="12">
                  <c:v>-0.81072127692073082</c:v>
                </c:pt>
                <c:pt idx="13">
                  <c:v>-0.52657732269628355</c:v>
                </c:pt>
                <c:pt idx="14">
                  <c:v>-0.27217286553639042</c:v>
                </c:pt>
                <c:pt idx="15">
                  <c:v>-0.27217286553639042</c:v>
                </c:pt>
                <c:pt idx="16">
                  <c:v>-6.5125734080595521E-2</c:v>
                </c:pt>
                <c:pt idx="17">
                  <c:v>2.9588917327544095E-2</c:v>
                </c:pt>
                <c:pt idx="18">
                  <c:v>0.63311248305544154</c:v>
                </c:pt>
                <c:pt idx="19">
                  <c:v>0.63311248305544154</c:v>
                </c:pt>
                <c:pt idx="20">
                  <c:v>0.77518446016767939</c:v>
                </c:pt>
                <c:pt idx="21">
                  <c:v>0.93487426591940448</c:v>
                </c:pt>
                <c:pt idx="22">
                  <c:v>1.0295889173275441</c:v>
                </c:pt>
                <c:pt idx="23">
                  <c:v>1.283993374487423</c:v>
                </c:pt>
                <c:pt idx="24">
                  <c:v>1.9348742659194045</c:v>
                </c:pt>
                <c:pt idx="25">
                  <c:v>2.1716608944397819</c:v>
                </c:pt>
                <c:pt idx="26">
                  <c:v>2.331350700191507</c:v>
                </c:pt>
                <c:pt idx="27">
                  <c:v>2.5857551573513717</c:v>
                </c:pt>
                <c:pt idx="28">
                  <c:v>3.331350700191507</c:v>
                </c:pt>
                <c:pt idx="29">
                  <c:v>3.5207800030078005</c:v>
                </c:pt>
              </c:numCache>
            </c:numRef>
          </c:xVal>
          <c:yVal>
            <c:numRef>
              <c:f>Wzrost!$Z$2:$Z$31</c:f>
              <c:numCache>
                <c:formatCode>General</c:formatCode>
                <c:ptCount val="30"/>
                <c:pt idx="0">
                  <c:v>-2.3668875169445585</c:v>
                </c:pt>
                <c:pt idx="1">
                  <c:v>-2.2721728655363904</c:v>
                </c:pt>
                <c:pt idx="2">
                  <c:v>-2.0651257340805955</c:v>
                </c:pt>
                <c:pt idx="3">
                  <c:v>-1.8756964312643021</c:v>
                </c:pt>
                <c:pt idx="4">
                  <c:v>-1.716006625512577</c:v>
                </c:pt>
                <c:pt idx="5">
                  <c:v>-1.5739346484003534</c:v>
                </c:pt>
                <c:pt idx="6">
                  <c:v>-1.5265773226962835</c:v>
                </c:pt>
                <c:pt idx="7">
                  <c:v>-1.5265773226962835</c:v>
                </c:pt>
                <c:pt idx="8">
                  <c:v>-1.3195301912404744</c:v>
                </c:pt>
                <c:pt idx="9">
                  <c:v>-1.0651257340805955</c:v>
                </c:pt>
                <c:pt idx="10">
                  <c:v>-1.0177684083765257</c:v>
                </c:pt>
                <c:pt idx="11">
                  <c:v>-0.92305375696837189</c:v>
                </c:pt>
                <c:pt idx="12">
                  <c:v>-0.81072127692073082</c:v>
                </c:pt>
                <c:pt idx="13">
                  <c:v>-0.52657732269628355</c:v>
                </c:pt>
                <c:pt idx="14">
                  <c:v>-0.27217286553639042</c:v>
                </c:pt>
                <c:pt idx="15">
                  <c:v>-0.27217286553639042</c:v>
                </c:pt>
                <c:pt idx="16">
                  <c:v>-6.5125734080595521E-2</c:v>
                </c:pt>
                <c:pt idx="17">
                  <c:v>2.9588917327544095E-2</c:v>
                </c:pt>
                <c:pt idx="18">
                  <c:v>0.63311248305544154</c:v>
                </c:pt>
                <c:pt idx="19">
                  <c:v>0.63311248305544154</c:v>
                </c:pt>
                <c:pt idx="20">
                  <c:v>0.77518446016767939</c:v>
                </c:pt>
                <c:pt idx="21">
                  <c:v>0.93487426591940448</c:v>
                </c:pt>
                <c:pt idx="22">
                  <c:v>1.0295889173275441</c:v>
                </c:pt>
                <c:pt idx="23">
                  <c:v>1.283993374487423</c:v>
                </c:pt>
                <c:pt idx="24">
                  <c:v>1.9348742659194045</c:v>
                </c:pt>
                <c:pt idx="25">
                  <c:v>2.1716608944397819</c:v>
                </c:pt>
                <c:pt idx="26">
                  <c:v>2.331350700191507</c:v>
                </c:pt>
                <c:pt idx="27">
                  <c:v>2.5857551573513717</c:v>
                </c:pt>
                <c:pt idx="28">
                  <c:v>3.331350700191507</c:v>
                </c:pt>
                <c:pt idx="29">
                  <c:v>3.5207800030078005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7F-490B-875F-A35C399BA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1219584"/>
        <c:axId val="1759842176"/>
      </c:scatterChart>
      <c:valAx>
        <c:axId val="169121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59842176"/>
        <c:crosses val="autoZero"/>
        <c:crossBetween val="midCat"/>
      </c:valAx>
      <c:valAx>
        <c:axId val="175984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9121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Prognoza</a:t>
            </a:r>
            <a:r>
              <a:rPr lang="pl-PL" baseline="0"/>
              <a:t> vs Pierwiastek(|std.eps|)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0"/>
          </c:trendline>
          <c:xVal>
            <c:numRef>
              <c:f>Wzrost!$E$2:$E$31</c:f>
              <c:numCache>
                <c:formatCode>General</c:formatCode>
                <c:ptCount val="30"/>
                <c:pt idx="0">
                  <c:v>78.065125734080596</c:v>
                </c:pt>
                <c:pt idx="1">
                  <c:v>76.668649299808493</c:v>
                </c:pt>
                <c:pt idx="2">
                  <c:v>77.366887516944558</c:v>
                </c:pt>
                <c:pt idx="3">
                  <c:v>77.366887516944558</c:v>
                </c:pt>
                <c:pt idx="4">
                  <c:v>78.414244842648628</c:v>
                </c:pt>
                <c:pt idx="5">
                  <c:v>74.573934648400353</c:v>
                </c:pt>
                <c:pt idx="6">
                  <c:v>73.526577322696284</c:v>
                </c:pt>
                <c:pt idx="7">
                  <c:v>75.27217286553639</c:v>
                </c:pt>
                <c:pt idx="8">
                  <c:v>77.017768408376526</c:v>
                </c:pt>
                <c:pt idx="9">
                  <c:v>76.319530191240474</c:v>
                </c:pt>
                <c:pt idx="10">
                  <c:v>79.810721276920731</c:v>
                </c:pt>
                <c:pt idx="11">
                  <c:v>78.065125734080596</c:v>
                </c:pt>
                <c:pt idx="12">
                  <c:v>73.526577322696284</c:v>
                </c:pt>
                <c:pt idx="13">
                  <c:v>73.875696431264302</c:v>
                </c:pt>
                <c:pt idx="14">
                  <c:v>76.668649299808493</c:v>
                </c:pt>
                <c:pt idx="15">
                  <c:v>75.970411082672456</c:v>
                </c:pt>
                <c:pt idx="16">
                  <c:v>78.065125734080596</c:v>
                </c:pt>
                <c:pt idx="17">
                  <c:v>75.27217286553639</c:v>
                </c:pt>
                <c:pt idx="18">
                  <c:v>77.716006625512577</c:v>
                </c:pt>
                <c:pt idx="19">
                  <c:v>74.224815539832321</c:v>
                </c:pt>
                <c:pt idx="20">
                  <c:v>78.065125734080596</c:v>
                </c:pt>
                <c:pt idx="21">
                  <c:v>75.970411082672456</c:v>
                </c:pt>
                <c:pt idx="22">
                  <c:v>72.4792199969922</c:v>
                </c:pt>
                <c:pt idx="23">
                  <c:v>78.065125734080596</c:v>
                </c:pt>
                <c:pt idx="24">
                  <c:v>77.366887516944558</c:v>
                </c:pt>
                <c:pt idx="25">
                  <c:v>72.828339105560218</c:v>
                </c:pt>
                <c:pt idx="26">
                  <c:v>73.526577322696284</c:v>
                </c:pt>
                <c:pt idx="27">
                  <c:v>74.923053756968372</c:v>
                </c:pt>
                <c:pt idx="28">
                  <c:v>75.27217286553639</c:v>
                </c:pt>
                <c:pt idx="29">
                  <c:v>77.716006625512577</c:v>
                </c:pt>
              </c:numCache>
            </c:numRef>
          </c:xVal>
          <c:yVal>
            <c:numRef>
              <c:f>Wzrost!$H$2:$H$31</c:f>
              <c:numCache>
                <c:formatCode>General</c:formatCode>
                <c:ptCount val="30"/>
                <c:pt idx="0">
                  <c:v>0.74872993077208416</c:v>
                </c:pt>
                <c:pt idx="1">
                  <c:v>1.4015303731698687</c:v>
                </c:pt>
                <c:pt idx="2">
                  <c:v>1.1848892706891261</c:v>
                </c:pt>
                <c:pt idx="3">
                  <c:v>0.61281501204412292</c:v>
                </c:pt>
                <c:pt idx="4">
                  <c:v>1.2498025173495635</c:v>
                </c:pt>
                <c:pt idx="5">
                  <c:v>0.96838424916668808</c:v>
                </c:pt>
                <c:pt idx="6">
                  <c:v>0.96419684246737114</c:v>
                </c:pt>
                <c:pt idx="7">
                  <c:v>0.40104273399730012</c:v>
                </c:pt>
                <c:pt idx="8">
                  <c:v>0.77559556217795644</c:v>
                </c:pt>
                <c:pt idx="9">
                  <c:v>0.88153477799953639</c:v>
                </c:pt>
                <c:pt idx="10">
                  <c:v>0.71532376819804022</c:v>
                </c:pt>
                <c:pt idx="11">
                  <c:v>1.1128121051367068</c:v>
                </c:pt>
                <c:pt idx="12">
                  <c:v>0.96419684246737114</c:v>
                </c:pt>
                <c:pt idx="13">
                  <c:v>1.0641756816461803</c:v>
                </c:pt>
                <c:pt idx="14">
                  <c:v>1.1724548864365394</c:v>
                </c:pt>
                <c:pt idx="15">
                  <c:v>0.77866966421699713</c:v>
                </c:pt>
                <c:pt idx="16">
                  <c:v>0.79918814085370593</c:v>
                </c:pt>
                <c:pt idx="17">
                  <c:v>0.40104273399730012</c:v>
                </c:pt>
                <c:pt idx="18">
                  <c:v>1.0113274629033933</c:v>
                </c:pt>
                <c:pt idx="19">
                  <c:v>0.68163941159007901</c:v>
                </c:pt>
                <c:pt idx="20">
                  <c:v>1.0771469751577805</c:v>
                </c:pt>
                <c:pt idx="21">
                  <c:v>0.13200362668393378</c:v>
                </c:pt>
                <c:pt idx="22">
                  <c:v>1.4899869858687598</c:v>
                </c:pt>
                <c:pt idx="23">
                  <c:v>0.19761727562036785</c:v>
                </c:pt>
                <c:pt idx="24">
                  <c:v>0.61281501204412292</c:v>
                </c:pt>
                <c:pt idx="25">
                  <c:v>1.1625121877572868</c:v>
                </c:pt>
                <c:pt idx="26">
                  <c:v>0.56628802463432315</c:v>
                </c:pt>
                <c:pt idx="27">
                  <c:v>0.73984782312055319</c:v>
                </c:pt>
                <c:pt idx="28">
                  <c:v>1.1587478037543788</c:v>
                </c:pt>
                <c:pt idx="29">
                  <c:v>0.87480994595174477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2F-4151-BCEE-109F76109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9239728"/>
        <c:axId val="1758760512"/>
      </c:scatterChart>
      <c:valAx>
        <c:axId val="175923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58760512"/>
        <c:crosses val="autoZero"/>
        <c:crossBetween val="midCat"/>
      </c:valAx>
      <c:valAx>
        <c:axId val="175876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75923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Dźwignia vs std.eps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'Dźwignia II'!$A$2:$A$31</c:f>
              <c:numCache>
                <c:formatCode>General</c:formatCode>
                <c:ptCount val="30"/>
                <c:pt idx="0">
                  <c:v>6.7911459117604878E-2</c:v>
                </c:pt>
                <c:pt idx="1">
                  <c:v>3.5988555940368983E-2</c:v>
                </c:pt>
                <c:pt idx="2">
                  <c:v>4.7432615569947156E-2</c:v>
                </c:pt>
                <c:pt idx="3">
                  <c:v>4.7432615569947156E-2</c:v>
                </c:pt>
                <c:pt idx="4">
                  <c:v>8.153892486071701E-2</c:v>
                </c:pt>
                <c:pt idx="5">
                  <c:v>5.5865080560157598E-2</c:v>
                </c:pt>
                <c:pt idx="6">
                  <c:v>9.6295738593581648E-2</c:v>
                </c:pt>
                <c:pt idx="7">
                  <c:v>4.0204788435478367E-2</c:v>
                </c:pt>
                <c:pt idx="8">
                  <c:v>4.0581237765396905E-2</c:v>
                </c:pt>
                <c:pt idx="9">
                  <c:v>3.3654570094865638E-2</c:v>
                </c:pt>
                <c:pt idx="10">
                  <c:v>0.15863574762836219</c:v>
                </c:pt>
                <c:pt idx="11">
                  <c:v>6.7911459117604878E-2</c:v>
                </c:pt>
                <c:pt idx="12">
                  <c:v>9.6295738593581648E-2</c:v>
                </c:pt>
                <c:pt idx="13">
                  <c:v>8.0560156602924593E-2</c:v>
                </c:pt>
                <c:pt idx="14">
                  <c:v>3.5988555940368983E-2</c:v>
                </c:pt>
                <c:pt idx="15">
                  <c:v>3.3579280228883346E-2</c:v>
                </c:pt>
                <c:pt idx="16">
                  <c:v>6.7911459117604878E-2</c:v>
                </c:pt>
                <c:pt idx="17">
                  <c:v>4.0204788435478367E-2</c:v>
                </c:pt>
                <c:pt idx="18">
                  <c:v>5.6542689354013631E-2</c:v>
                </c:pt>
                <c:pt idx="19">
                  <c:v>6.7083270591780542E-2</c:v>
                </c:pt>
                <c:pt idx="20">
                  <c:v>6.7911459117604878E-2</c:v>
                </c:pt>
                <c:pt idx="21">
                  <c:v>3.3579280228883346E-2</c:v>
                </c:pt>
                <c:pt idx="22">
                  <c:v>0.15705466044269967</c:v>
                </c:pt>
                <c:pt idx="23">
                  <c:v>6.7911459117604878E-2</c:v>
                </c:pt>
                <c:pt idx="24">
                  <c:v>4.7432615569947156E-2</c:v>
                </c:pt>
                <c:pt idx="25">
                  <c:v>0.13454299051347141</c:v>
                </c:pt>
                <c:pt idx="26">
                  <c:v>9.6295738593581648E-2</c:v>
                </c:pt>
                <c:pt idx="27">
                  <c:v>4.6905586508059205E-2</c:v>
                </c:pt>
                <c:pt idx="28">
                  <c:v>4.0204788435478367E-2</c:v>
                </c:pt>
                <c:pt idx="29">
                  <c:v>5.6542689354013631E-2</c:v>
                </c:pt>
              </c:numCache>
            </c:numRef>
          </c:xVal>
          <c:yVal>
            <c:numRef>
              <c:f>Wzrost!$G$2:$G$31</c:f>
              <c:numCache>
                <c:formatCode>General</c:formatCode>
                <c:ptCount val="30"/>
                <c:pt idx="0">
                  <c:v>0.56059650923396998</c:v>
                </c:pt>
                <c:pt idx="1">
                  <c:v>1.9642873869176718</c:v>
                </c:pt>
                <c:pt idx="2">
                  <c:v>-1.4039625837942089</c:v>
                </c:pt>
                <c:pt idx="3">
                  <c:v>0.37554223898663858</c:v>
                </c:pt>
                <c:pt idx="4">
                  <c:v>1.562006332373306</c:v>
                </c:pt>
                <c:pt idx="5">
                  <c:v>-0.93776805403413033</c:v>
                </c:pt>
                <c:pt idx="6">
                  <c:v>-0.92967555102404842</c:v>
                </c:pt>
                <c:pt idx="7">
                  <c:v>-0.16083527449202922</c:v>
                </c:pt>
                <c:pt idx="8">
                  <c:v>-0.60154847607014028</c:v>
                </c:pt>
                <c:pt idx="9">
                  <c:v>-0.77710356482269183</c:v>
                </c:pt>
                <c:pt idx="10">
                  <c:v>-0.51168809334904353</c:v>
                </c:pt>
                <c:pt idx="11">
                  <c:v>-1.2383507813387891</c:v>
                </c:pt>
                <c:pt idx="12">
                  <c:v>-0.92967555102404842</c:v>
                </c:pt>
                <c:pt idx="13">
                  <c:v>-1.1324698814071126</c:v>
                </c:pt>
                <c:pt idx="14">
                  <c:v>1.3746504607289185</c:v>
                </c:pt>
                <c:pt idx="15">
                  <c:v>0.60632644597181107</c:v>
                </c:pt>
                <c:pt idx="16">
                  <c:v>-0.6387016844812029</c:v>
                </c:pt>
                <c:pt idx="17">
                  <c:v>-0.16083527449202922</c:v>
                </c:pt>
                <c:pt idx="18">
                  <c:v>-1.0227832372226142</c:v>
                </c:pt>
                <c:pt idx="19">
                  <c:v>0.46463228743286911</c:v>
                </c:pt>
                <c:pt idx="20">
                  <c:v>1.1602456060915562</c:v>
                </c:pt>
                <c:pt idx="21">
                  <c:v>1.7424957457711353E-2</c:v>
                </c:pt>
                <c:pt idx="22">
                  <c:v>2.2200612180582717</c:v>
                </c:pt>
                <c:pt idx="23">
                  <c:v>-3.9052587623616436E-2</c:v>
                </c:pt>
                <c:pt idx="24">
                  <c:v>0.37554223898663858</c:v>
                </c:pt>
                <c:pt idx="25">
                  <c:v>1.3514345866842334</c:v>
                </c:pt>
                <c:pt idx="26">
                  <c:v>-0.32068212684424374</c:v>
                </c:pt>
                <c:pt idx="27">
                  <c:v>-0.54737480137622141</c:v>
                </c:pt>
                <c:pt idx="28">
                  <c:v>-1.3426964727055966</c:v>
                </c:pt>
                <c:pt idx="29">
                  <c:v>0.76529244153609466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6-45BE-9604-B6DB7AE01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306080"/>
        <c:axId val="1680683536"/>
      </c:scatterChart>
      <c:valAx>
        <c:axId val="1349306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80683536"/>
        <c:crosses val="autoZero"/>
        <c:crossBetween val="midCat"/>
      </c:valAx>
      <c:valAx>
        <c:axId val="168068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4930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85725</xdr:colOff>
      <xdr:row>25</xdr:row>
      <xdr:rowOff>80962</xdr:rowOff>
    </xdr:from>
    <xdr:to>
      <xdr:col>21</xdr:col>
      <xdr:colOff>552450</xdr:colOff>
      <xdr:row>39</xdr:row>
      <xdr:rowOff>157162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01E000D-690A-4764-8736-BCE555A176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95250</xdr:colOff>
      <xdr:row>25</xdr:row>
      <xdr:rowOff>71437</xdr:rowOff>
    </xdr:from>
    <xdr:to>
      <xdr:col>29</xdr:col>
      <xdr:colOff>304800</xdr:colOff>
      <xdr:row>39</xdr:row>
      <xdr:rowOff>147637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A6830E6-9C18-43C0-BC4D-9C403E8B08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85725</xdr:colOff>
      <xdr:row>41</xdr:row>
      <xdr:rowOff>61912</xdr:rowOff>
    </xdr:from>
    <xdr:to>
      <xdr:col>21</xdr:col>
      <xdr:colOff>552450</xdr:colOff>
      <xdr:row>55</xdr:row>
      <xdr:rowOff>138112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865988F3-AA39-4600-AA0E-444B77C87C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114300</xdr:colOff>
      <xdr:row>41</xdr:row>
      <xdr:rowOff>61912</xdr:rowOff>
    </xdr:from>
    <xdr:to>
      <xdr:col>29</xdr:col>
      <xdr:colOff>323850</xdr:colOff>
      <xdr:row>55</xdr:row>
      <xdr:rowOff>138112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702773AB-6AD5-4669-8B38-F9DBF69680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32</xdr:row>
      <xdr:rowOff>80962</xdr:rowOff>
    </xdr:from>
    <xdr:to>
      <xdr:col>7</xdr:col>
      <xdr:colOff>552450</xdr:colOff>
      <xdr:row>46</xdr:row>
      <xdr:rowOff>157162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A34D6914-0EEC-42EA-9FB1-E7BF716BBA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47625</xdr:colOff>
      <xdr:row>17</xdr:row>
      <xdr:rowOff>61912</xdr:rowOff>
    </xdr:from>
    <xdr:to>
      <xdr:col>15</xdr:col>
      <xdr:colOff>571500</xdr:colOff>
      <xdr:row>31</xdr:row>
      <xdr:rowOff>138112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1AFD375D-D80B-4CC8-9F00-7B2A9E40B1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57150</xdr:colOff>
      <xdr:row>17</xdr:row>
      <xdr:rowOff>71437</xdr:rowOff>
    </xdr:from>
    <xdr:to>
      <xdr:col>23</xdr:col>
      <xdr:colOff>361950</xdr:colOff>
      <xdr:row>31</xdr:row>
      <xdr:rowOff>147637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AB47AE42-4C33-430B-8C7E-031B9F7B5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47625</xdr:colOff>
      <xdr:row>32</xdr:row>
      <xdr:rowOff>42862</xdr:rowOff>
    </xdr:from>
    <xdr:to>
      <xdr:col>15</xdr:col>
      <xdr:colOff>571500</xdr:colOff>
      <xdr:row>46</xdr:row>
      <xdr:rowOff>119062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38843920-1A90-460F-9BC2-A28F34C3AE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76200</xdr:colOff>
      <xdr:row>32</xdr:row>
      <xdr:rowOff>52387</xdr:rowOff>
    </xdr:from>
    <xdr:to>
      <xdr:col>23</xdr:col>
      <xdr:colOff>381000</xdr:colOff>
      <xdr:row>46</xdr:row>
      <xdr:rowOff>128587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DB92EC0-0620-4B76-9B70-A4F1C9C9B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G151"/>
  <sheetViews>
    <sheetView tabSelected="1" topLeftCell="J1" workbookViewId="0">
      <selection activeCell="V11" sqref="V11"/>
    </sheetView>
  </sheetViews>
  <sheetFormatPr defaultRowHeight="15" x14ac:dyDescent="0.25"/>
  <cols>
    <col min="3" max="3" width="12.42578125" bestFit="1" customWidth="1"/>
    <col min="4" max="4" width="11.85546875" bestFit="1" customWidth="1"/>
    <col min="5" max="5" width="11.5703125" bestFit="1" customWidth="1"/>
    <col min="6" max="7" width="11.5703125" customWidth="1"/>
    <col min="8" max="8" width="0" hidden="1" customWidth="1"/>
    <col min="9" max="9" width="12.140625" bestFit="1" customWidth="1"/>
    <col min="10" max="10" width="10.42578125" customWidth="1"/>
    <col min="12" max="12" width="10.5703125" customWidth="1"/>
    <col min="13" max="13" width="9.5703125" customWidth="1"/>
    <col min="14" max="14" width="10.5703125" customWidth="1"/>
    <col min="15" max="15" width="18.5703125" bestFit="1" customWidth="1"/>
    <col min="17" max="17" width="12.5703125" bestFit="1" customWidth="1"/>
    <col min="18" max="18" width="9.5703125" bestFit="1" customWidth="1"/>
    <col min="20" max="20" width="12" bestFit="1" customWidth="1"/>
    <col min="22" max="22" width="28.7109375" bestFit="1" customWidth="1"/>
    <col min="23" max="23" width="10.5703125" customWidth="1"/>
    <col min="24" max="24" width="10.140625" customWidth="1"/>
    <col min="25" max="25" width="9.7109375" customWidth="1"/>
    <col min="30" max="30" width="13.28515625" customWidth="1"/>
    <col min="32" max="32" width="9.85546875" customWidth="1"/>
  </cols>
  <sheetData>
    <row r="1" spans="1:33" ht="15.75" thickBot="1" x14ac:dyDescent="0.3">
      <c r="A1" s="63" t="s">
        <v>8</v>
      </c>
      <c r="B1" s="40" t="s">
        <v>46</v>
      </c>
      <c r="C1" s="36" t="s">
        <v>0</v>
      </c>
      <c r="D1" s="36" t="s">
        <v>1</v>
      </c>
      <c r="E1" s="36" t="s">
        <v>3</v>
      </c>
      <c r="F1" s="36" t="s">
        <v>43</v>
      </c>
      <c r="G1" s="36" t="s">
        <v>44</v>
      </c>
      <c r="H1" s="36" t="s">
        <v>4</v>
      </c>
      <c r="I1" s="36" t="s">
        <v>2</v>
      </c>
      <c r="J1" s="36" t="s">
        <v>41</v>
      </c>
      <c r="K1" s="36" t="s">
        <v>10</v>
      </c>
      <c r="L1" s="36" t="s">
        <v>40</v>
      </c>
      <c r="M1" s="36" t="s">
        <v>42</v>
      </c>
      <c r="N1" s="39" t="s">
        <v>59</v>
      </c>
      <c r="P1" s="1"/>
      <c r="S1" s="1"/>
      <c r="X1" s="80" t="s">
        <v>62</v>
      </c>
      <c r="Y1" s="87"/>
      <c r="Z1" s="87"/>
      <c r="AE1" s="33" t="s">
        <v>36</v>
      </c>
      <c r="AF1" s="34"/>
      <c r="AG1" s="37" t="s">
        <v>37</v>
      </c>
    </row>
    <row r="2" spans="1:33" ht="15.75" thickBot="1" x14ac:dyDescent="0.3">
      <c r="A2" s="28">
        <v>1</v>
      </c>
      <c r="B2" s="56">
        <v>1</v>
      </c>
      <c r="C2" s="57">
        <v>5.0999999999999996</v>
      </c>
      <c r="D2" s="57">
        <v>3.5</v>
      </c>
      <c r="E2" s="57">
        <v>0.2</v>
      </c>
      <c r="F2" s="57">
        <f>IF(H2="setosa",1,0)</f>
        <v>1</v>
      </c>
      <c r="G2" s="58">
        <f>IF(H2="versicolor",1,0)</f>
        <v>0</v>
      </c>
      <c r="H2" s="27" t="s">
        <v>5</v>
      </c>
      <c r="I2" s="72">
        <v>1.4</v>
      </c>
      <c r="J2" s="27">
        <f>G2*$W$15+F2*$W$14+E2*$W$13+D2*$W$12+C2*$W$11+$W$10</f>
        <v>1.4784526605116348</v>
      </c>
      <c r="K2" s="27">
        <f t="shared" ref="K2:K33" si="0">(J2-I2)</f>
        <v>7.8452660511634909E-2</v>
      </c>
      <c r="L2" s="27">
        <f t="array" ref="L2:L151">MMULT('Dźwignia I'!C2:EV151,Irysy!I2:I151)</f>
        <v>1.478452660511705</v>
      </c>
      <c r="M2" s="27">
        <f ca="1">K2/$Q$5/SQRT(1-'Dźwignia I'!A2)</f>
        <v>0.30185014452487496</v>
      </c>
      <c r="N2" s="27">
        <f ca="1">SQRT(ABS(M2))</f>
        <v>0.54940890466470871</v>
      </c>
      <c r="O2" s="1"/>
      <c r="P2" s="2" t="s">
        <v>35</v>
      </c>
      <c r="Q2" s="3"/>
      <c r="R2" s="3"/>
      <c r="S2" s="1"/>
      <c r="W2" s="78" t="s">
        <v>24</v>
      </c>
      <c r="X2" s="84">
        <f t="array" ref="X2:AC7">Q18*MINVERSE(P10:U15)</f>
        <v>9.191215076888401E-2</v>
      </c>
      <c r="Y2" s="95">
        <v>-9.3589108784380998E-3</v>
      </c>
      <c r="Z2" s="95">
        <v>-6.3940438918829497E-4</v>
      </c>
      <c r="AA2" s="95">
        <v>-1.332302902723019E-2</v>
      </c>
      <c r="AB2" s="95">
        <v>-3.9592099524586692E-2</v>
      </c>
      <c r="AC2" s="93">
        <v>-1.6920169146316531E-2</v>
      </c>
      <c r="AE2" s="67">
        <v>1</v>
      </c>
      <c r="AF2" s="55">
        <f>SMALL($K$2:$K$151,AE2)</f>
        <v>-0.65418166498163188</v>
      </c>
      <c r="AG2" s="66">
        <f>_xlfn.NORM.INV((AE2-1/2)/150,0,$Q$5)</f>
        <v>-0.71279250647537584</v>
      </c>
    </row>
    <row r="3" spans="1:33" ht="15.75" thickTop="1" x14ac:dyDescent="0.25">
      <c r="A3" s="28">
        <v>2</v>
      </c>
      <c r="B3" s="59">
        <v>1</v>
      </c>
      <c r="C3" s="28">
        <v>4.9000000000000004</v>
      </c>
      <c r="D3" s="28">
        <v>3</v>
      </c>
      <c r="E3" s="28">
        <v>0.2</v>
      </c>
      <c r="F3" s="28">
        <f t="shared" ref="F3:F66" si="1">IF(H3="setosa",1,0)</f>
        <v>1</v>
      </c>
      <c r="G3" s="60">
        <f t="shared" ref="G3:G66" si="2">IF(H3="versicolor",1,0)</f>
        <v>0</v>
      </c>
      <c r="H3" s="27" t="s">
        <v>5</v>
      </c>
      <c r="I3" s="70">
        <v>1.4</v>
      </c>
      <c r="J3" s="27">
        <f t="shared" ref="J3:J66" si="3">G3*$W$15+F3*$W$14+E3*$W$13+D3*$W$12+C3*$W$11+$W$10</f>
        <v>1.4471132898210779</v>
      </c>
      <c r="K3" s="27">
        <f t="shared" si="0"/>
        <v>4.7113289821077986E-2</v>
      </c>
      <c r="L3" s="27">
        <v>1.4471132898210777</v>
      </c>
      <c r="M3" s="27">
        <f ca="1">K3/$Q$5/SQRT(1-'Dźwignia I'!A3)</f>
        <v>0.18241430914801596</v>
      </c>
      <c r="N3" s="27">
        <f t="shared" ref="N3:N66" ca="1" si="4">SQRT(ABS(M3))</f>
        <v>0.42709988193397569</v>
      </c>
      <c r="O3" s="1"/>
      <c r="P3" s="42">
        <f t="array" ref="P3:U7">LINEST(I2:I151,C2:G151,TRUE,TRUE)</f>
        <v>-0.51085198190232084</v>
      </c>
      <c r="Q3" s="43">
        <v>-1.9742228531956694</v>
      </c>
      <c r="R3" s="44">
        <v>0.60222148120786834</v>
      </c>
      <c r="S3" s="45">
        <v>-0.18052358541427499</v>
      </c>
      <c r="T3" s="46">
        <v>0.60800581698877609</v>
      </c>
      <c r="U3" s="47">
        <v>0.8632340997728567</v>
      </c>
      <c r="V3" s="83" t="s">
        <v>53</v>
      </c>
      <c r="W3" s="78"/>
      <c r="X3" s="89">
        <v>-9.3589108784381449E-3</v>
      </c>
      <c r="Y3" s="85">
        <v>2.4899586842009841E-3</v>
      </c>
      <c r="Z3" s="91">
        <v>-1.7385539695773189E-3</v>
      </c>
      <c r="AA3" s="91">
        <v>-9.2521097115251961E-4</v>
      </c>
      <c r="AB3" s="91">
        <v>3.0815426119425817E-3</v>
      </c>
      <c r="AC3" s="94">
        <v>6.2114037249851029E-4</v>
      </c>
      <c r="AE3" s="9">
        <v>2</v>
      </c>
      <c r="AF3" s="1">
        <f t="shared" ref="AF3:AF66" si="5">SMALL($K$2:$K$151,AE3)</f>
        <v>-0.62344229088271419</v>
      </c>
      <c r="AG3" s="10">
        <f t="shared" ref="AG2:AG33" si="6">_xlfn.NORM.INV((AE3-1/2)/150,0,$Q$5)</f>
        <v>-0.61119484633399335</v>
      </c>
    </row>
    <row r="4" spans="1:33" x14ac:dyDescent="0.25">
      <c r="A4" s="28">
        <v>3</v>
      </c>
      <c r="B4" s="59">
        <v>1</v>
      </c>
      <c r="C4" s="28">
        <v>4.7</v>
      </c>
      <c r="D4" s="28">
        <v>3.2</v>
      </c>
      <c r="E4" s="28">
        <v>0.2</v>
      </c>
      <c r="F4" s="28">
        <f t="shared" si="1"/>
        <v>1</v>
      </c>
      <c r="G4" s="60">
        <f t="shared" si="2"/>
        <v>0</v>
      </c>
      <c r="H4" s="27" t="s">
        <v>5</v>
      </c>
      <c r="I4" s="70">
        <v>1.3</v>
      </c>
      <c r="J4" s="27">
        <f t="shared" si="3"/>
        <v>1.2894074093404371</v>
      </c>
      <c r="K4" s="27">
        <f t="shared" si="0"/>
        <v>-1.0592590659562973E-2</v>
      </c>
      <c r="L4" s="27">
        <v>1.2894074093404491</v>
      </c>
      <c r="M4" s="27">
        <f ca="1">K4/$Q$5/SQRT(1-'Dźwignia I'!A4)</f>
        <v>-4.0805359067553476E-2</v>
      </c>
      <c r="N4" s="27">
        <f t="shared" ca="1" si="4"/>
        <v>0.20200336400058658</v>
      </c>
      <c r="O4" s="1"/>
      <c r="P4" s="9">
        <v>9.5003663720578793E-2</v>
      </c>
      <c r="Q4" s="1">
        <v>0.24479963868172275</v>
      </c>
      <c r="R4" s="1">
        <v>0.12144281092042794</v>
      </c>
      <c r="S4" s="1">
        <v>8.0357789717202893E-2</v>
      </c>
      <c r="T4" s="1">
        <v>5.0244815092737594E-2</v>
      </c>
      <c r="U4" s="10">
        <v>0.30526825648671679</v>
      </c>
      <c r="V4" s="83" t="s">
        <v>54</v>
      </c>
      <c r="W4" s="78"/>
      <c r="X4" s="89">
        <v>-6.3940438918822212E-4</v>
      </c>
      <c r="Y4" s="91">
        <v>-1.7385539695773341E-3</v>
      </c>
      <c r="Z4" s="85">
        <v>6.3689171851086593E-3</v>
      </c>
      <c r="AA4" s="91">
        <v>-3.380139075888178E-3</v>
      </c>
      <c r="AB4" s="91">
        <v>-1.1658528336991646E-2</v>
      </c>
      <c r="AC4" s="94">
        <v>-2.2003754355240019E-3</v>
      </c>
      <c r="AE4" s="9">
        <v>3</v>
      </c>
      <c r="AF4" s="1">
        <f t="shared" si="5"/>
        <v>-0.58589672604356413</v>
      </c>
      <c r="AG4" s="10">
        <f t="shared" si="6"/>
        <v>-0.55909535044742165</v>
      </c>
    </row>
    <row r="5" spans="1:33" x14ac:dyDescent="0.25">
      <c r="A5" s="28">
        <v>4</v>
      </c>
      <c r="B5" s="59">
        <v>1</v>
      </c>
      <c r="C5" s="28">
        <v>4.5999999999999996</v>
      </c>
      <c r="D5" s="28">
        <v>3.1</v>
      </c>
      <c r="E5" s="28">
        <v>0.2</v>
      </c>
      <c r="F5" s="28">
        <f t="shared" si="1"/>
        <v>1</v>
      </c>
      <c r="G5" s="60">
        <f t="shared" si="2"/>
        <v>0</v>
      </c>
      <c r="H5" s="27" t="s">
        <v>5</v>
      </c>
      <c r="I5" s="70">
        <v>1.5</v>
      </c>
      <c r="J5" s="27">
        <f t="shared" si="3"/>
        <v>1.2466591861829974</v>
      </c>
      <c r="K5" s="27">
        <f t="shared" si="0"/>
        <v>-0.25334081381700257</v>
      </c>
      <c r="L5" s="27">
        <v>1.246659186183027</v>
      </c>
      <c r="M5" s="27">
        <f ca="1">K5/$Q$5/SQRT(1-'Dźwignia I'!A5)</f>
        <v>-0.97793166054262293</v>
      </c>
      <c r="N5" s="27">
        <f t="shared" ca="1" si="4"/>
        <v>0.9889042726890318</v>
      </c>
      <c r="O5" s="81" t="s">
        <v>49</v>
      </c>
      <c r="P5" s="9">
        <v>0.97859328133767631</v>
      </c>
      <c r="Q5" s="54">
        <v>0.26272719276174056</v>
      </c>
      <c r="R5" s="1" t="e">
        <v>#N/A</v>
      </c>
      <c r="S5" s="1" t="e">
        <v>#N/A</v>
      </c>
      <c r="T5" s="1" t="e">
        <v>#N/A</v>
      </c>
      <c r="U5" s="10" t="e">
        <v>#N/A</v>
      </c>
      <c r="V5" s="83" t="s">
        <v>52</v>
      </c>
      <c r="W5" s="78"/>
      <c r="X5" s="89">
        <v>-1.3323029027230187E-2</v>
      </c>
      <c r="Y5" s="91">
        <v>-9.2521097115251603E-4</v>
      </c>
      <c r="Z5" s="91">
        <v>-3.3801390758881893E-3</v>
      </c>
      <c r="AA5" s="85">
        <v>1.4546324045841261E-2</v>
      </c>
      <c r="AB5" s="91">
        <v>2.5963356185687434E-2</v>
      </c>
      <c r="AC5" s="94">
        <v>8.8896409074162852E-3</v>
      </c>
      <c r="AE5" s="9">
        <v>4</v>
      </c>
      <c r="AF5" s="1">
        <f t="shared" si="5"/>
        <v>-0.5162234753306354</v>
      </c>
      <c r="AG5" s="10">
        <f t="shared" si="6"/>
        <v>-0.52264661761923759</v>
      </c>
    </row>
    <row r="6" spans="1:33" x14ac:dyDescent="0.25">
      <c r="A6" s="28">
        <v>5</v>
      </c>
      <c r="B6" s="59">
        <v>1</v>
      </c>
      <c r="C6" s="28">
        <v>5</v>
      </c>
      <c r="D6" s="28">
        <v>3.6</v>
      </c>
      <c r="E6" s="28">
        <v>0.2</v>
      </c>
      <c r="F6" s="28">
        <f t="shared" si="1"/>
        <v>1</v>
      </c>
      <c r="G6" s="60">
        <f t="shared" si="2"/>
        <v>0</v>
      </c>
      <c r="H6" s="27" t="s">
        <v>5</v>
      </c>
      <c r="I6" s="70">
        <v>1.4</v>
      </c>
      <c r="J6" s="27">
        <f t="shared" si="3"/>
        <v>1.3995997202713146</v>
      </c>
      <c r="K6" s="27">
        <f t="shared" si="0"/>
        <v>-4.0027972868528217E-4</v>
      </c>
      <c r="L6" s="27">
        <v>1.3995997202714403</v>
      </c>
      <c r="M6" s="27">
        <f ca="1">K6/$Q$5/SQRT(1-'Dźwignia I'!A6)</f>
        <v>-1.542216010395293E-3</v>
      </c>
      <c r="N6" s="27">
        <f t="shared" ca="1" si="4"/>
        <v>3.9271058177687203E-2</v>
      </c>
      <c r="O6" s="82" t="s">
        <v>50</v>
      </c>
      <c r="P6" s="9">
        <v>1316.5720046635922</v>
      </c>
      <c r="Q6" s="1">
        <v>144</v>
      </c>
      <c r="R6" s="1" t="e">
        <v>#N/A</v>
      </c>
      <c r="S6" s="1" t="e">
        <v>#N/A</v>
      </c>
      <c r="T6" s="1" t="e">
        <v>#N/A</v>
      </c>
      <c r="U6" s="10" t="e">
        <v>#N/A</v>
      </c>
      <c r="V6" s="83" t="s">
        <v>51</v>
      </c>
      <c r="W6" s="78"/>
      <c r="X6" s="89">
        <v>-3.9592099524586817E-2</v>
      </c>
      <c r="Y6" s="91">
        <v>3.0815426119425969E-3</v>
      </c>
      <c r="Z6" s="91">
        <v>-1.1658528336991641E-2</v>
      </c>
      <c r="AA6" s="91">
        <v>2.5963356185687431E-2</v>
      </c>
      <c r="AB6" s="85">
        <v>5.9105947165849708E-2</v>
      </c>
      <c r="AC6" s="94">
        <v>1.9166775771340867E-2</v>
      </c>
      <c r="AE6" s="9">
        <v>5</v>
      </c>
      <c r="AF6" s="1">
        <f t="shared" si="5"/>
        <v>-0.50262500482109029</v>
      </c>
      <c r="AG6" s="10">
        <f t="shared" si="6"/>
        <v>-0.49413562483380324</v>
      </c>
    </row>
    <row r="7" spans="1:33" x14ac:dyDescent="0.25">
      <c r="A7" s="28">
        <v>6</v>
      </c>
      <c r="B7" s="59">
        <v>1</v>
      </c>
      <c r="C7" s="28">
        <v>5.4</v>
      </c>
      <c r="D7" s="28">
        <v>3.9</v>
      </c>
      <c r="E7" s="28">
        <v>0.4</v>
      </c>
      <c r="F7" s="28">
        <f t="shared" si="1"/>
        <v>1</v>
      </c>
      <c r="G7" s="60">
        <f t="shared" si="2"/>
        <v>0</v>
      </c>
      <c r="H7" s="27" t="s">
        <v>5</v>
      </c>
      <c r="I7" s="70">
        <v>1.7</v>
      </c>
      <c r="J7" s="27">
        <f t="shared" si="3"/>
        <v>1.7090892676840637</v>
      </c>
      <c r="K7" s="27">
        <f t="shared" si="0"/>
        <v>9.0892676840637066E-3</v>
      </c>
      <c r="L7" s="27">
        <v>1.7090892676841181</v>
      </c>
      <c r="M7" s="27">
        <f ca="1">K7/$Q$5/SQRT(1-'Dźwignia I'!A7)</f>
        <v>3.5185224977836937E-2</v>
      </c>
      <c r="N7" s="27">
        <f t="shared" ca="1" si="4"/>
        <v>0.18757725069377934</v>
      </c>
      <c r="O7" s="82" t="s">
        <v>20</v>
      </c>
      <c r="P7" s="11">
        <v>454.38571679442919</v>
      </c>
      <c r="Q7" s="12">
        <v>9.9396832055709297</v>
      </c>
      <c r="R7" s="12" t="e">
        <v>#N/A</v>
      </c>
      <c r="S7" s="12" t="e">
        <v>#N/A</v>
      </c>
      <c r="T7" s="12" t="e">
        <v>#N/A</v>
      </c>
      <c r="U7" s="13" t="e">
        <v>#N/A</v>
      </c>
      <c r="V7" s="83" t="s">
        <v>19</v>
      </c>
      <c r="W7" s="78"/>
      <c r="X7" s="90">
        <v>-1.6920169146316583E-2</v>
      </c>
      <c r="Y7" s="92">
        <v>6.2114037249851148E-4</v>
      </c>
      <c r="Z7" s="92">
        <v>-2.2003754355239893E-3</v>
      </c>
      <c r="AA7" s="92">
        <v>8.8896409074162904E-3</v>
      </c>
      <c r="AB7" s="92">
        <v>1.9166775771340863E-2</v>
      </c>
      <c r="AC7" s="86">
        <v>8.9020564474521745E-3</v>
      </c>
      <c r="AE7" s="9">
        <v>6</v>
      </c>
      <c r="AF7" s="1">
        <f t="shared" si="5"/>
        <v>-0.45614418615778263</v>
      </c>
      <c r="AG7" s="10">
        <f t="shared" si="6"/>
        <v>-0.47047886577086956</v>
      </c>
    </row>
    <row r="8" spans="1:33" ht="15.75" thickBot="1" x14ac:dyDescent="0.3">
      <c r="A8" s="28">
        <v>7</v>
      </c>
      <c r="B8" s="59">
        <v>1</v>
      </c>
      <c r="C8" s="28">
        <v>4.5999999999999996</v>
      </c>
      <c r="D8" s="28">
        <v>3.4</v>
      </c>
      <c r="E8" s="28">
        <v>0.3</v>
      </c>
      <c r="F8" s="28">
        <f t="shared" si="1"/>
        <v>1</v>
      </c>
      <c r="G8" s="60">
        <f t="shared" si="2"/>
        <v>0</v>
      </c>
      <c r="H8" s="27" t="s">
        <v>5</v>
      </c>
      <c r="I8" s="70">
        <v>1.4</v>
      </c>
      <c r="J8" s="27">
        <f t="shared" si="3"/>
        <v>1.2527242586794516</v>
      </c>
      <c r="K8" s="27">
        <f t="shared" si="0"/>
        <v>-0.14727574132054833</v>
      </c>
      <c r="L8" s="27">
        <v>1.2527242586794161</v>
      </c>
      <c r="M8" s="27">
        <f ca="1">K8/$Q$5/SQRT(1-'Dźwignia I'!A8)</f>
        <v>-0.56825771803513914</v>
      </c>
      <c r="N8" s="27">
        <f t="shared" ca="1" si="4"/>
        <v>0.75382870603018237</v>
      </c>
      <c r="X8" s="80" t="s">
        <v>63</v>
      </c>
      <c r="Y8" s="88"/>
      <c r="Z8" s="88"/>
      <c r="AA8" s="88"/>
      <c r="AE8" s="9">
        <v>7</v>
      </c>
      <c r="AF8" s="1">
        <f t="shared" si="5"/>
        <v>-0.4502814333187759</v>
      </c>
      <c r="AG8" s="10">
        <f t="shared" si="6"/>
        <v>-0.45011720579047526</v>
      </c>
    </row>
    <row r="9" spans="1:33" ht="15.75" thickBot="1" x14ac:dyDescent="0.3">
      <c r="A9" s="28">
        <v>8</v>
      </c>
      <c r="B9" s="59">
        <v>1</v>
      </c>
      <c r="C9" s="28">
        <v>5</v>
      </c>
      <c r="D9" s="28">
        <v>3.4</v>
      </c>
      <c r="E9" s="28">
        <v>0.2</v>
      </c>
      <c r="F9" s="28">
        <f t="shared" si="1"/>
        <v>1</v>
      </c>
      <c r="G9" s="60">
        <f t="shared" si="2"/>
        <v>0</v>
      </c>
      <c r="H9" s="27" t="s">
        <v>5</v>
      </c>
      <c r="I9" s="70">
        <v>1.5</v>
      </c>
      <c r="J9" s="27">
        <f t="shared" si="3"/>
        <v>1.4357044373541952</v>
      </c>
      <c r="K9" s="27">
        <f t="shared" si="0"/>
        <v>-6.4295562645804827E-2</v>
      </c>
      <c r="L9" s="27">
        <v>1.4357044373542183</v>
      </c>
      <c r="M9" s="27">
        <f ca="1">K9/$Q$5/SQRT(1-'Dźwignia I'!A9)</f>
        <v>-0.24725653225522892</v>
      </c>
      <c r="N9" s="27">
        <f t="shared" ca="1" si="4"/>
        <v>0.49724896405646629</v>
      </c>
      <c r="P9" s="2" t="s">
        <v>11</v>
      </c>
      <c r="X9" s="23" t="s">
        <v>29</v>
      </c>
      <c r="Y9" s="24" t="s">
        <v>25</v>
      </c>
      <c r="AE9" s="9">
        <v>8</v>
      </c>
      <c r="AF9" s="1">
        <f t="shared" si="5"/>
        <v>-0.43937302471257578</v>
      </c>
      <c r="AG9" s="10">
        <f t="shared" si="6"/>
        <v>-0.43214777591292763</v>
      </c>
    </row>
    <row r="10" spans="1:33" ht="15.75" thickTop="1" x14ac:dyDescent="0.25">
      <c r="A10" s="28">
        <v>9</v>
      </c>
      <c r="B10" s="59">
        <v>1</v>
      </c>
      <c r="C10" s="28">
        <v>4.4000000000000004</v>
      </c>
      <c r="D10" s="28">
        <v>2.9</v>
      </c>
      <c r="E10" s="28">
        <v>0.2</v>
      </c>
      <c r="F10" s="28">
        <f t="shared" si="1"/>
        <v>1</v>
      </c>
      <c r="G10" s="60">
        <f t="shared" si="2"/>
        <v>0</v>
      </c>
      <c r="H10" s="27" t="s">
        <v>5</v>
      </c>
      <c r="I10" s="70">
        <v>1.4</v>
      </c>
      <c r="J10" s="27">
        <f t="shared" si="3"/>
        <v>1.161162739868119</v>
      </c>
      <c r="K10" s="27">
        <f t="shared" si="0"/>
        <v>-0.23883726013188089</v>
      </c>
      <c r="L10" s="27">
        <v>1.1611627398682249</v>
      </c>
      <c r="M10" s="27">
        <f ca="1">K10/$Q$5/SQRT(1-'Dźwignia I'!A10)</f>
        <v>-0.92803376711403507</v>
      </c>
      <c r="N10" s="27">
        <f t="shared" ca="1" si="4"/>
        <v>0.96334509243263133</v>
      </c>
      <c r="P10" s="9">
        <f t="array" ref="P10:U15">MMULT(TRANSPOSE(B2:G151),B2:G151)</f>
        <v>150</v>
      </c>
      <c r="Q10" s="7">
        <v>876.50000000000023</v>
      </c>
      <c r="R10" s="7">
        <v>458.60000000000014</v>
      </c>
      <c r="S10" s="7">
        <v>179.90000000000012</v>
      </c>
      <c r="T10" s="7">
        <v>50</v>
      </c>
      <c r="U10" s="8">
        <v>50</v>
      </c>
      <c r="V10" s="29" t="s">
        <v>45</v>
      </c>
      <c r="W10" s="48">
        <f t="array" ref="W10:W15">MMULT(MMULT(MINVERSE(P10:U15),TRANSPOSE(B2:G151)),I2:I151)</f>
        <v>0.86323409977329502</v>
      </c>
      <c r="X10" s="7">
        <f>W10/SQRT(X2)</f>
        <v>2.8473583184337317</v>
      </c>
      <c r="Y10" s="8">
        <f>_xlfn.T.DIST.2T(ABS(X10),$P$10-5)</f>
        <v>5.0488187380211304E-3</v>
      </c>
      <c r="Z10" s="1" t="str">
        <f t="shared" ref="Z10:Z15" si="7">IF(Y10&gt;$U$20,"Dany współczynnik może być zerowy","Odrzucamy hipotezę o zerowości tego współczynnika")</f>
        <v>Odrzucamy hipotezę o zerowości tego współczynnika</v>
      </c>
      <c r="AA10" s="1"/>
      <c r="AE10" s="9">
        <v>9</v>
      </c>
      <c r="AF10" s="1">
        <f t="shared" si="5"/>
        <v>-0.43784316773629417</v>
      </c>
      <c r="AG10" s="10">
        <f t="shared" si="6"/>
        <v>-0.41599876487582432</v>
      </c>
    </row>
    <row r="11" spans="1:33" x14ac:dyDescent="0.25">
      <c r="A11" s="28">
        <v>10</v>
      </c>
      <c r="B11" s="59">
        <v>1</v>
      </c>
      <c r="C11" s="28">
        <v>4.9000000000000004</v>
      </c>
      <c r="D11" s="28">
        <v>3.1</v>
      </c>
      <c r="E11" s="28">
        <v>0.1</v>
      </c>
      <c r="F11" s="28">
        <f t="shared" si="1"/>
        <v>1</v>
      </c>
      <c r="G11" s="60">
        <f t="shared" si="2"/>
        <v>0</v>
      </c>
      <c r="H11" s="27" t="s">
        <v>5</v>
      </c>
      <c r="I11" s="70">
        <v>1.5</v>
      </c>
      <c r="J11" s="27">
        <f t="shared" si="3"/>
        <v>1.3688387831588618</v>
      </c>
      <c r="K11" s="27">
        <f t="shared" si="0"/>
        <v>-0.13116121684113824</v>
      </c>
      <c r="L11" s="27">
        <v>1.3688387831587938</v>
      </c>
      <c r="M11" s="27">
        <f ca="1">K11/$Q$5/SQRT(1-'Dźwignia I'!A11)</f>
        <v>-0.50638960885470785</v>
      </c>
      <c r="N11" s="27">
        <f t="shared" ca="1" si="4"/>
        <v>0.71161057387781124</v>
      </c>
      <c r="P11" s="9">
        <v>876.50000000000023</v>
      </c>
      <c r="Q11" s="1">
        <v>5223.8499999999976</v>
      </c>
      <c r="R11" s="1">
        <v>2673.4300000000003</v>
      </c>
      <c r="S11" s="1">
        <v>1128.1400000000003</v>
      </c>
      <c r="T11" s="1">
        <v>250.29999999999998</v>
      </c>
      <c r="U11" s="10">
        <v>296.8</v>
      </c>
      <c r="V11" s="29" t="s">
        <v>12</v>
      </c>
      <c r="W11" s="49">
        <v>0.60800581698879752</v>
      </c>
      <c r="X11" s="1">
        <f>W11/SQRT(Y3)</f>
        <v>12.184610865367155</v>
      </c>
      <c r="Y11" s="10">
        <f t="shared" ref="Y11:Y15" si="8">_xlfn.T.DIST.2T(ABS(X11),$P$10-5)</f>
        <v>5.8480226416436644E-24</v>
      </c>
      <c r="Z11" s="1" t="str">
        <f t="shared" si="7"/>
        <v>Odrzucamy hipotezę o zerowości tego współczynnika</v>
      </c>
      <c r="AA11" s="1"/>
      <c r="AE11" s="9">
        <v>10</v>
      </c>
      <c r="AF11" s="1">
        <f t="shared" si="5"/>
        <v>-0.42158266020837853</v>
      </c>
      <c r="AG11" s="10">
        <f t="shared" si="6"/>
        <v>-0.40128413292075388</v>
      </c>
    </row>
    <row r="12" spans="1:33" x14ac:dyDescent="0.25">
      <c r="A12" s="28">
        <v>11</v>
      </c>
      <c r="B12" s="59">
        <v>1</v>
      </c>
      <c r="C12" s="28">
        <v>5.4</v>
      </c>
      <c r="D12" s="28">
        <v>3.7</v>
      </c>
      <c r="E12" s="28">
        <v>0.2</v>
      </c>
      <c r="F12" s="28">
        <f t="shared" si="1"/>
        <v>1</v>
      </c>
      <c r="G12" s="60">
        <f t="shared" si="2"/>
        <v>0</v>
      </c>
      <c r="H12" s="27" t="s">
        <v>5</v>
      </c>
      <c r="I12" s="70">
        <v>1.5</v>
      </c>
      <c r="J12" s="27">
        <f t="shared" si="3"/>
        <v>1.6247496885253934</v>
      </c>
      <c r="K12" s="27">
        <f t="shared" si="0"/>
        <v>0.12474968852539337</v>
      </c>
      <c r="L12" s="27">
        <v>1.6247496885254205</v>
      </c>
      <c r="M12" s="27">
        <f ca="1">K12/$Q$5/SQRT(1-'Dźwignia I'!A12)</f>
        <v>0.48194194847159089</v>
      </c>
      <c r="N12" s="27">
        <f t="shared" ca="1" si="4"/>
        <v>0.69422038897715388</v>
      </c>
      <c r="P12" s="9">
        <v>458.60000000000014</v>
      </c>
      <c r="Q12" s="1">
        <v>2673.4300000000003</v>
      </c>
      <c r="R12" s="1">
        <v>1430.399999999999</v>
      </c>
      <c r="S12" s="1">
        <v>531.8900000000001</v>
      </c>
      <c r="T12" s="1">
        <v>171.40000000000003</v>
      </c>
      <c r="U12" s="10">
        <v>138.50000000000003</v>
      </c>
      <c r="V12" s="29" t="s">
        <v>13</v>
      </c>
      <c r="W12" s="50">
        <v>-0.18052358541440383</v>
      </c>
      <c r="X12" s="1">
        <f>W12/SQRT(Z4)</f>
        <v>-2.2620445277267667</v>
      </c>
      <c r="Y12" s="10">
        <f t="shared" si="8"/>
        <v>2.518134825233492E-2</v>
      </c>
      <c r="Z12" s="1" t="str">
        <f t="shared" si="7"/>
        <v>Odrzucamy hipotezę o zerowości tego współczynnika</v>
      </c>
      <c r="AA12" s="1"/>
      <c r="AE12" s="9">
        <v>11</v>
      </c>
      <c r="AF12" s="1">
        <f t="shared" si="5"/>
        <v>-0.4045628388831215</v>
      </c>
      <c r="AG12" s="10">
        <f t="shared" si="6"/>
        <v>-0.38773043393647616</v>
      </c>
    </row>
    <row r="13" spans="1:33" x14ac:dyDescent="0.25">
      <c r="A13" s="28">
        <v>12</v>
      </c>
      <c r="B13" s="59">
        <v>1</v>
      </c>
      <c r="C13" s="28">
        <v>4.8</v>
      </c>
      <c r="D13" s="28">
        <v>3.4</v>
      </c>
      <c r="E13" s="28">
        <v>0.2</v>
      </c>
      <c r="F13" s="28">
        <f t="shared" si="1"/>
        <v>1</v>
      </c>
      <c r="G13" s="60">
        <f t="shared" si="2"/>
        <v>0</v>
      </c>
      <c r="H13" s="27" t="s">
        <v>5</v>
      </c>
      <c r="I13" s="70">
        <v>1.6</v>
      </c>
      <c r="J13" s="27">
        <f t="shared" si="3"/>
        <v>1.3141032739564358</v>
      </c>
      <c r="K13" s="27">
        <f t="shared" si="0"/>
        <v>-0.28589672604356431</v>
      </c>
      <c r="L13" s="27">
        <v>1.3141032739564125</v>
      </c>
      <c r="M13" s="27">
        <f ca="1">K13/$Q$5/SQRT(1-'Dźwignia I'!A13)</f>
        <v>-1.1000210302028472</v>
      </c>
      <c r="N13" s="27">
        <f t="shared" ca="1" si="4"/>
        <v>1.0488188738780626</v>
      </c>
      <c r="P13" s="9">
        <v>179.90000000000012</v>
      </c>
      <c r="Q13" s="1">
        <v>1128.1400000000003</v>
      </c>
      <c r="R13" s="1">
        <v>531.8900000000001</v>
      </c>
      <c r="S13" s="1">
        <v>302.3300000000001</v>
      </c>
      <c r="T13" s="1">
        <v>12.299999999999995</v>
      </c>
      <c r="U13" s="10">
        <v>66.3</v>
      </c>
      <c r="V13" s="29" t="s">
        <v>14</v>
      </c>
      <c r="W13" s="51">
        <v>0.60222148120775598</v>
      </c>
      <c r="X13" s="1">
        <f>W13/SQRT(AA5)</f>
        <v>4.9932074945185159</v>
      </c>
      <c r="Y13" s="10">
        <f t="shared" si="8"/>
        <v>1.6815556503089622E-6</v>
      </c>
      <c r="Z13" s="1" t="str">
        <f t="shared" si="7"/>
        <v>Odrzucamy hipotezę o zerowości tego współczynnika</v>
      </c>
      <c r="AA13" s="1"/>
      <c r="AE13" s="9">
        <v>12</v>
      </c>
      <c r="AF13" s="1">
        <f t="shared" si="5"/>
        <v>-0.39650338204542379</v>
      </c>
      <c r="AG13" s="10">
        <f t="shared" si="6"/>
        <v>-0.37513657760230829</v>
      </c>
    </row>
    <row r="14" spans="1:33" x14ac:dyDescent="0.25">
      <c r="A14" s="28">
        <v>13</v>
      </c>
      <c r="B14" s="59">
        <v>1</v>
      </c>
      <c r="C14" s="28">
        <v>4.8</v>
      </c>
      <c r="D14" s="28">
        <v>3</v>
      </c>
      <c r="E14" s="28">
        <v>0.1</v>
      </c>
      <c r="F14" s="28">
        <f t="shared" si="1"/>
        <v>1</v>
      </c>
      <c r="G14" s="60">
        <f t="shared" si="2"/>
        <v>0</v>
      </c>
      <c r="H14" s="27" t="s">
        <v>5</v>
      </c>
      <c r="I14" s="70">
        <v>1.4</v>
      </c>
      <c r="J14" s="27">
        <f t="shared" si="3"/>
        <v>1.3260905600014221</v>
      </c>
      <c r="K14" s="27">
        <f t="shared" si="0"/>
        <v>-7.3909439998577797E-2</v>
      </c>
      <c r="L14" s="27">
        <v>1.3260905600013753</v>
      </c>
      <c r="M14" s="27">
        <f ca="1">K14/$Q$5/SQRT(1-'Dźwignia I'!A14)</f>
        <v>-0.28588669521486038</v>
      </c>
      <c r="N14" s="27">
        <f t="shared" ca="1" si="4"/>
        <v>0.53468373382295853</v>
      </c>
      <c r="P14" s="9">
        <v>50</v>
      </c>
      <c r="Q14" s="1">
        <v>250.29999999999998</v>
      </c>
      <c r="R14" s="1">
        <v>171.40000000000003</v>
      </c>
      <c r="S14" s="1">
        <v>12.299999999999995</v>
      </c>
      <c r="T14" s="1">
        <v>50</v>
      </c>
      <c r="U14" s="10">
        <v>0</v>
      </c>
      <c r="V14" s="29" t="s">
        <v>15</v>
      </c>
      <c r="W14" s="52">
        <v>-1.9742228531956654</v>
      </c>
      <c r="X14" s="1">
        <f>W14/SQRT(AB6)</f>
        <v>-8.1204591183709578</v>
      </c>
      <c r="Y14" s="10">
        <f t="shared" si="8"/>
        <v>1.8370244482815628E-13</v>
      </c>
      <c r="Z14" s="1" t="str">
        <f t="shared" si="7"/>
        <v>Odrzucamy hipotezę o zerowości tego współczynnika</v>
      </c>
      <c r="AA14" s="1"/>
      <c r="AE14" s="9">
        <v>13</v>
      </c>
      <c r="AF14" s="1">
        <f t="shared" si="5"/>
        <v>-0.39282733681876714</v>
      </c>
      <c r="AG14" s="10">
        <f t="shared" si="6"/>
        <v>-0.36335016461912473</v>
      </c>
    </row>
    <row r="15" spans="1:33" x14ac:dyDescent="0.25">
      <c r="A15" s="28">
        <v>14</v>
      </c>
      <c r="B15" s="59">
        <v>1</v>
      </c>
      <c r="C15" s="28">
        <v>4.3</v>
      </c>
      <c r="D15" s="28">
        <v>3</v>
      </c>
      <c r="E15" s="28">
        <v>0.1</v>
      </c>
      <c r="F15" s="28">
        <f t="shared" si="1"/>
        <v>1</v>
      </c>
      <c r="G15" s="60">
        <f t="shared" si="2"/>
        <v>0</v>
      </c>
      <c r="H15" s="27" t="s">
        <v>5</v>
      </c>
      <c r="I15" s="70">
        <v>1.1000000000000001</v>
      </c>
      <c r="J15" s="27">
        <f t="shared" si="3"/>
        <v>1.0220876515070232</v>
      </c>
      <c r="K15" s="27">
        <f t="shared" si="0"/>
        <v>-7.7912348492976902E-2</v>
      </c>
      <c r="L15" s="27">
        <v>1.0220876515070518</v>
      </c>
      <c r="M15" s="27">
        <f ca="1">K15/$Q$5/SQRT(1-'Dźwignia I'!A15)</f>
        <v>-0.30195765408594749</v>
      </c>
      <c r="N15" s="27">
        <f t="shared" ca="1" si="4"/>
        <v>0.54950673707057263</v>
      </c>
      <c r="P15" s="11">
        <v>50</v>
      </c>
      <c r="Q15" s="12">
        <v>296.8</v>
      </c>
      <c r="R15" s="12">
        <v>138.50000000000003</v>
      </c>
      <c r="S15" s="12">
        <v>66.3</v>
      </c>
      <c r="T15" s="12">
        <v>0</v>
      </c>
      <c r="U15" s="13">
        <v>50</v>
      </c>
      <c r="V15" s="29" t="s">
        <v>16</v>
      </c>
      <c r="W15" s="41">
        <v>-0.51085198190231429</v>
      </c>
      <c r="X15" s="12">
        <f>W15/SQRT(AC7)</f>
        <v>-5.4143946851549059</v>
      </c>
      <c r="Y15" s="13">
        <f t="shared" si="8"/>
        <v>2.4908719514487541E-7</v>
      </c>
      <c r="Z15" s="1" t="str">
        <f t="shared" si="7"/>
        <v>Odrzucamy hipotezę o zerowości tego współczynnika</v>
      </c>
      <c r="AA15" s="1"/>
      <c r="AE15" s="9">
        <v>14</v>
      </c>
      <c r="AF15" s="1">
        <f t="shared" si="5"/>
        <v>-0.3810238414233309</v>
      </c>
      <c r="AG15" s="10">
        <f t="shared" si="6"/>
        <v>-0.35225280618260335</v>
      </c>
    </row>
    <row r="16" spans="1:33" x14ac:dyDescent="0.25">
      <c r="A16" s="28">
        <v>15</v>
      </c>
      <c r="B16" s="59">
        <v>1</v>
      </c>
      <c r="C16" s="28">
        <v>5.8</v>
      </c>
      <c r="D16" s="28">
        <v>4</v>
      </c>
      <c r="E16" s="28">
        <v>0.2</v>
      </c>
      <c r="F16" s="28">
        <f t="shared" si="1"/>
        <v>1</v>
      </c>
      <c r="G16" s="60">
        <f t="shared" si="2"/>
        <v>0</v>
      </c>
      <c r="H16" s="27" t="s">
        <v>5</v>
      </c>
      <c r="I16" s="70">
        <v>1.2</v>
      </c>
      <c r="J16" s="27">
        <f t="shared" si="3"/>
        <v>1.8137949396965911</v>
      </c>
      <c r="K16" s="27">
        <f t="shared" si="0"/>
        <v>0.61379493969659116</v>
      </c>
      <c r="L16" s="27">
        <v>1.8137949396967081</v>
      </c>
      <c r="M16" s="27">
        <f ca="1">K16/$Q$5/SQRT(1-'Dźwignia I'!A16)</f>
        <v>2.4026680615267884</v>
      </c>
      <c r="N16" s="27">
        <f t="shared" ca="1" si="4"/>
        <v>1.550054212447677</v>
      </c>
      <c r="AE16" s="9">
        <v>15</v>
      </c>
      <c r="AF16" s="1">
        <f t="shared" si="5"/>
        <v>-0.35526011887113529</v>
      </c>
      <c r="AG16" s="10">
        <f t="shared" si="6"/>
        <v>-0.34175061263037826</v>
      </c>
    </row>
    <row r="17" spans="1:33" ht="15.75" thickBot="1" x14ac:dyDescent="0.3">
      <c r="A17" s="28">
        <v>16</v>
      </c>
      <c r="B17" s="59">
        <v>1</v>
      </c>
      <c r="C17" s="28">
        <v>5.7</v>
      </c>
      <c r="D17" s="28">
        <v>4.4000000000000004</v>
      </c>
      <c r="E17" s="28">
        <v>0.4</v>
      </c>
      <c r="F17" s="28">
        <f t="shared" si="1"/>
        <v>1</v>
      </c>
      <c r="G17" s="60">
        <f t="shared" si="2"/>
        <v>0</v>
      </c>
      <c r="H17" s="27" t="s">
        <v>5</v>
      </c>
      <c r="I17" s="70">
        <v>1.5</v>
      </c>
      <c r="J17" s="27">
        <f t="shared" si="3"/>
        <v>1.8012292200735007</v>
      </c>
      <c r="K17" s="27">
        <f t="shared" si="0"/>
        <v>0.30122922007350073</v>
      </c>
      <c r="L17" s="27">
        <v>1.8012292200734166</v>
      </c>
      <c r="M17" s="27">
        <f ca="1">K17/$Q$5/SQRT(1-'Dźwignia I'!A17)</f>
        <v>1.1946095060486237</v>
      </c>
      <c r="N17" s="27">
        <f t="shared" ca="1" si="4"/>
        <v>1.0929819330842683</v>
      </c>
      <c r="P17" s="5" t="s">
        <v>17</v>
      </c>
      <c r="Q17" s="14">
        <f>AVERAGE(I2:I151)</f>
        <v>3.7580000000000027</v>
      </c>
      <c r="T17" s="32" t="s">
        <v>26</v>
      </c>
      <c r="U17" s="11" t="str">
        <f>IF(U19&gt;$U$20,"Któryś ze współczynników jest zerowy","Odrzucamy hipotezę o zerowości któregokolwiek ze współczynników")</f>
        <v>Odrzucamy hipotezę o zerowości któregokolwiek ze współczynników</v>
      </c>
      <c r="AE17" s="9">
        <v>16</v>
      </c>
      <c r="AF17" s="1">
        <f t="shared" si="5"/>
        <v>-0.35406036904724481</v>
      </c>
      <c r="AG17" s="10">
        <f t="shared" si="6"/>
        <v>-0.33176780475640094</v>
      </c>
    </row>
    <row r="18" spans="1:33" ht="15.75" thickTop="1" x14ac:dyDescent="0.25">
      <c r="A18" s="28">
        <v>17</v>
      </c>
      <c r="B18" s="59">
        <v>1</v>
      </c>
      <c r="C18" s="28">
        <v>5.4</v>
      </c>
      <c r="D18" s="28">
        <v>3.9</v>
      </c>
      <c r="E18" s="28">
        <v>0.4</v>
      </c>
      <c r="F18" s="28">
        <f t="shared" si="1"/>
        <v>1</v>
      </c>
      <c r="G18" s="60">
        <f t="shared" si="2"/>
        <v>0</v>
      </c>
      <c r="H18" s="27" t="s">
        <v>5</v>
      </c>
      <c r="I18" s="70">
        <v>1.3</v>
      </c>
      <c r="J18" s="27">
        <f t="shared" si="3"/>
        <v>1.7090892676840637</v>
      </c>
      <c r="K18" s="27">
        <f t="shared" si="0"/>
        <v>0.40908926768406362</v>
      </c>
      <c r="L18" s="27">
        <v>1.7090892676841181</v>
      </c>
      <c r="M18" s="27">
        <f ca="1">K18/$Q$5/SQRT(1-'Dźwignia I'!A18)</f>
        <v>1.5836147003041052</v>
      </c>
      <c r="N18" s="27">
        <f t="shared" ca="1" si="4"/>
        <v>1.2584175381422913</v>
      </c>
      <c r="P18" s="5" t="s">
        <v>18</v>
      </c>
      <c r="Q18" s="14">
        <f>Q19/(P10-4)</f>
        <v>6.8080021955965256E-2</v>
      </c>
      <c r="T18" s="22" t="s">
        <v>27</v>
      </c>
      <c r="U18" s="31">
        <f>(Q20/4)/(Q19/(P10-5))</f>
        <v>1657.1435822587771</v>
      </c>
      <c r="AE18" s="9">
        <v>17</v>
      </c>
      <c r="AF18" s="1">
        <f t="shared" si="5"/>
        <v>-0.34584898472509096</v>
      </c>
      <c r="AG18" s="10">
        <f t="shared" si="6"/>
        <v>-0.32224228982055381</v>
      </c>
    </row>
    <row r="19" spans="1:33" x14ac:dyDescent="0.25">
      <c r="A19" s="28">
        <v>18</v>
      </c>
      <c r="B19" s="59">
        <v>1</v>
      </c>
      <c r="C19" s="28">
        <v>5.0999999999999996</v>
      </c>
      <c r="D19" s="28">
        <v>3.5</v>
      </c>
      <c r="E19" s="28">
        <v>0.3</v>
      </c>
      <c r="F19" s="28">
        <f t="shared" si="1"/>
        <v>1</v>
      </c>
      <c r="G19" s="60">
        <f t="shared" si="2"/>
        <v>0</v>
      </c>
      <c r="H19" s="27" t="s">
        <v>5</v>
      </c>
      <c r="I19" s="70">
        <v>1.4</v>
      </c>
      <c r="J19" s="27">
        <f t="shared" si="3"/>
        <v>1.53867480863241</v>
      </c>
      <c r="K19" s="27">
        <f t="shared" si="0"/>
        <v>0.13867480863241011</v>
      </c>
      <c r="L19" s="27">
        <v>1.5386748086324245</v>
      </c>
      <c r="M19" s="27">
        <f ca="1">K19/$Q$5/SQRT(1-'Dźwignia I'!A19)</f>
        <v>0.53333975614995233</v>
      </c>
      <c r="N19" s="27">
        <f t="shared" ca="1" si="4"/>
        <v>0.7303011407289135</v>
      </c>
      <c r="P19" s="15" t="s">
        <v>19</v>
      </c>
      <c r="Q19" s="16">
        <f>SUMSQ(K2:K151)</f>
        <v>9.9396832055709279</v>
      </c>
      <c r="T19" s="5" t="s">
        <v>25</v>
      </c>
      <c r="U19" s="14">
        <f>_xlfn.F.DIST.RT(U18,4,P10-5)</f>
        <v>6.6359201947818128E-120</v>
      </c>
      <c r="W19" s="80" t="s">
        <v>55</v>
      </c>
      <c r="AE19" s="9">
        <v>18</v>
      </c>
      <c r="AF19" s="1">
        <f t="shared" si="5"/>
        <v>-0.3191907225082673</v>
      </c>
      <c r="AG19" s="10">
        <f t="shared" si="6"/>
        <v>-0.31312251707389738</v>
      </c>
    </row>
    <row r="20" spans="1:33" x14ac:dyDescent="0.25">
      <c r="A20" s="28">
        <v>19</v>
      </c>
      <c r="B20" s="59">
        <v>1</v>
      </c>
      <c r="C20" s="28">
        <v>5.7</v>
      </c>
      <c r="D20" s="28">
        <v>3.8</v>
      </c>
      <c r="E20" s="28">
        <v>0.3</v>
      </c>
      <c r="F20" s="28">
        <f t="shared" si="1"/>
        <v>1</v>
      </c>
      <c r="G20" s="60">
        <f t="shared" si="2"/>
        <v>0</v>
      </c>
      <c r="H20" s="27" t="s">
        <v>5</v>
      </c>
      <c r="I20" s="70">
        <v>1.7</v>
      </c>
      <c r="J20" s="27">
        <f t="shared" si="3"/>
        <v>1.8493212232013676</v>
      </c>
      <c r="K20" s="27">
        <f t="shared" si="0"/>
        <v>0.14932122320136765</v>
      </c>
      <c r="L20" s="27">
        <v>1.8493212232013507</v>
      </c>
      <c r="M20" s="27">
        <f ca="1">K20/$Q$5/SQRT(1-'Dźwignia I'!A20)</f>
        <v>0.57856153628419249</v>
      </c>
      <c r="N20" s="27">
        <f t="shared" ca="1" si="4"/>
        <v>0.76063232661003333</v>
      </c>
      <c r="P20" s="17" t="s">
        <v>20</v>
      </c>
      <c r="Q20" s="10" cm="1">
        <f t="array" ref="Q20">SUM((J2:J151-Q17)^2)</f>
        <v>454.38571679440588</v>
      </c>
      <c r="T20" s="64" t="s">
        <v>28</v>
      </c>
      <c r="U20" s="65">
        <v>0.05</v>
      </c>
      <c r="W20" s="80" t="s">
        <v>56</v>
      </c>
      <c r="AE20" s="9">
        <v>19</v>
      </c>
      <c r="AF20" s="1">
        <f t="shared" si="5"/>
        <v>-0.31059259065956302</v>
      </c>
      <c r="AG20" s="10">
        <f t="shared" si="6"/>
        <v>-0.30436519164510045</v>
      </c>
    </row>
    <row r="21" spans="1:33" x14ac:dyDescent="0.25">
      <c r="A21" s="28">
        <v>20</v>
      </c>
      <c r="B21" s="59">
        <v>1</v>
      </c>
      <c r="C21" s="28">
        <v>5.0999999999999996</v>
      </c>
      <c r="D21" s="28">
        <v>3.8</v>
      </c>
      <c r="E21" s="28">
        <v>0.3</v>
      </c>
      <c r="F21" s="28">
        <f t="shared" si="1"/>
        <v>1</v>
      </c>
      <c r="G21" s="60">
        <f t="shared" si="2"/>
        <v>0</v>
      </c>
      <c r="H21" s="27" t="s">
        <v>5</v>
      </c>
      <c r="I21" s="70">
        <v>1.5</v>
      </c>
      <c r="J21" s="27">
        <f t="shared" si="3"/>
        <v>1.484517733008089</v>
      </c>
      <c r="K21" s="27">
        <f t="shared" si="0"/>
        <v>-1.548226699191102E-2</v>
      </c>
      <c r="L21" s="27">
        <v>1.4845177330080903</v>
      </c>
      <c r="M21" s="27">
        <f ca="1">K21/$Q$5/SQRT(1-'Dźwignia I'!A21)</f>
        <v>-5.9832578660226253E-2</v>
      </c>
      <c r="N21" s="27">
        <f t="shared" ca="1" si="4"/>
        <v>0.24460698816719495</v>
      </c>
      <c r="P21" s="18" t="s">
        <v>21</v>
      </c>
      <c r="Q21" s="19" cm="1">
        <f t="array" ref="Q21">SUM((I2:I151-Q17)^2)</f>
        <v>464.32540000000012</v>
      </c>
      <c r="R21" s="20">
        <f>SUM(Q19:Q20)</f>
        <v>464.32539999997681</v>
      </c>
      <c r="W21" s="80" t="s">
        <v>57</v>
      </c>
      <c r="AE21" s="9">
        <v>20</v>
      </c>
      <c r="AF21" s="1">
        <f t="shared" si="5"/>
        <v>-0.28589672604356431</v>
      </c>
      <c r="AG21" s="10">
        <f t="shared" si="6"/>
        <v>-0.29593357928409175</v>
      </c>
    </row>
    <row r="22" spans="1:33" x14ac:dyDescent="0.25">
      <c r="A22" s="28">
        <v>21</v>
      </c>
      <c r="B22" s="59">
        <v>1</v>
      </c>
      <c r="C22" s="28">
        <v>5.4</v>
      </c>
      <c r="D22" s="28">
        <v>3.4</v>
      </c>
      <c r="E22" s="28">
        <v>0.2</v>
      </c>
      <c r="F22" s="28">
        <f t="shared" si="1"/>
        <v>1</v>
      </c>
      <c r="G22" s="60">
        <f t="shared" si="2"/>
        <v>0</v>
      </c>
      <c r="H22" s="27" t="s">
        <v>5</v>
      </c>
      <c r="I22" s="70">
        <v>1.7</v>
      </c>
      <c r="J22" s="27">
        <f t="shared" si="3"/>
        <v>1.6789067641497144</v>
      </c>
      <c r="K22" s="27">
        <f t="shared" si="0"/>
        <v>-2.1093235850285552E-2</v>
      </c>
      <c r="L22" s="27">
        <v>1.6789067641497142</v>
      </c>
      <c r="M22" s="27">
        <f ca="1">K22/$Q$5/SQRT(1-'Dźwignia I'!A22)</f>
        <v>-8.1397496976046563E-2</v>
      </c>
      <c r="N22" s="27">
        <f t="shared" ca="1" si="4"/>
        <v>0.28530246577281199</v>
      </c>
      <c r="W22" s="80" t="s">
        <v>58</v>
      </c>
      <c r="AE22" s="9">
        <v>21</v>
      </c>
      <c r="AF22" s="1">
        <f t="shared" si="5"/>
        <v>-0.26515797682397046</v>
      </c>
      <c r="AG22" s="10">
        <f t="shared" si="6"/>
        <v>-0.28779622712308245</v>
      </c>
    </row>
    <row r="23" spans="1:33" x14ac:dyDescent="0.25">
      <c r="A23" s="28">
        <v>22</v>
      </c>
      <c r="B23" s="59">
        <v>1</v>
      </c>
      <c r="C23" s="28">
        <v>5.0999999999999996</v>
      </c>
      <c r="D23" s="28">
        <v>3.7</v>
      </c>
      <c r="E23" s="28">
        <v>0.4</v>
      </c>
      <c r="F23" s="28">
        <f t="shared" si="1"/>
        <v>1</v>
      </c>
      <c r="G23" s="60">
        <f t="shared" si="2"/>
        <v>0</v>
      </c>
      <c r="H23" s="27" t="s">
        <v>5</v>
      </c>
      <c r="I23" s="70">
        <v>1.5</v>
      </c>
      <c r="J23" s="27">
        <f t="shared" si="3"/>
        <v>1.5627922396703051</v>
      </c>
      <c r="K23" s="27">
        <f t="shared" si="0"/>
        <v>6.2792239670305117E-2</v>
      </c>
      <c r="L23" s="27">
        <v>1.5627922396702822</v>
      </c>
      <c r="M23" s="27">
        <f ca="1">K23/$Q$5/SQRT(1-'Dźwignia I'!A23)</f>
        <v>0.24222695642585412</v>
      </c>
      <c r="N23" s="27">
        <f t="shared" ca="1" si="4"/>
        <v>0.49216557826188345</v>
      </c>
      <c r="P23" s="5" t="s">
        <v>22</v>
      </c>
      <c r="Q23" s="53">
        <f>Q20/Q21</f>
        <v>0.97859328133762613</v>
      </c>
      <c r="W23" s="80" t="s">
        <v>60</v>
      </c>
      <c r="AE23" s="9">
        <v>22</v>
      </c>
      <c r="AF23" s="1">
        <f t="shared" si="5"/>
        <v>-0.25334081381700257</v>
      </c>
      <c r="AG23" s="10">
        <f t="shared" si="6"/>
        <v>-0.27992598326837986</v>
      </c>
    </row>
    <row r="24" spans="1:33" x14ac:dyDescent="0.25">
      <c r="A24" s="28">
        <v>23</v>
      </c>
      <c r="B24" s="59">
        <v>1</v>
      </c>
      <c r="C24" s="28">
        <v>4.5999999999999996</v>
      </c>
      <c r="D24" s="28">
        <v>3.6</v>
      </c>
      <c r="E24" s="28">
        <v>0.2</v>
      </c>
      <c r="F24" s="28">
        <f t="shared" si="1"/>
        <v>1</v>
      </c>
      <c r="G24" s="60">
        <f t="shared" si="2"/>
        <v>0</v>
      </c>
      <c r="H24" s="27" t="s">
        <v>5</v>
      </c>
      <c r="I24" s="70">
        <v>1</v>
      </c>
      <c r="J24" s="27">
        <f t="shared" si="3"/>
        <v>1.1563973934757954</v>
      </c>
      <c r="K24" s="27">
        <f t="shared" si="0"/>
        <v>0.1563973934757954</v>
      </c>
      <c r="L24" s="27">
        <v>1.1563973934758114</v>
      </c>
      <c r="M24" s="27">
        <f ca="1">K24/$Q$5/SQRT(1-'Dźwignia I'!A24)</f>
        <v>0.60538568096415957</v>
      </c>
      <c r="N24" s="27">
        <f t="shared" ca="1" si="4"/>
        <v>0.77806534491915236</v>
      </c>
      <c r="P24" s="5" t="s">
        <v>23</v>
      </c>
      <c r="Q24" s="53">
        <f>1-Q19/(P10-4)/Q21*(P10-1)</f>
        <v>0.9781534172555737</v>
      </c>
      <c r="W24" s="80" t="s">
        <v>61</v>
      </c>
      <c r="AE24" s="9">
        <v>23</v>
      </c>
      <c r="AF24" s="1">
        <f t="shared" si="5"/>
        <v>-0.25280082505949419</v>
      </c>
      <c r="AG24" s="10">
        <f t="shared" si="6"/>
        <v>-0.27229923490623903</v>
      </c>
    </row>
    <row r="25" spans="1:33" x14ac:dyDescent="0.25">
      <c r="A25" s="28">
        <v>24</v>
      </c>
      <c r="B25" s="59">
        <v>1</v>
      </c>
      <c r="C25" s="28">
        <v>5.0999999999999996</v>
      </c>
      <c r="D25" s="28">
        <v>3.3</v>
      </c>
      <c r="E25" s="28">
        <v>0.5</v>
      </c>
      <c r="F25" s="28">
        <f t="shared" si="1"/>
        <v>1</v>
      </c>
      <c r="G25" s="60">
        <f t="shared" si="2"/>
        <v>0</v>
      </c>
      <c r="H25" s="27" t="s">
        <v>5</v>
      </c>
      <c r="I25" s="70">
        <v>1.7</v>
      </c>
      <c r="J25" s="27">
        <f t="shared" si="3"/>
        <v>1.6952238219568423</v>
      </c>
      <c r="K25" s="27">
        <f t="shared" si="0"/>
        <v>-4.7761780431576639E-3</v>
      </c>
      <c r="L25" s="27">
        <v>1.6952238219568154</v>
      </c>
      <c r="M25" s="27">
        <f ca="1">K25/$Q$5/SQRT(1-'Dźwignia I'!A25)</f>
        <v>-1.8542848029037655E-2</v>
      </c>
      <c r="N25" s="27">
        <f t="shared" ca="1" si="4"/>
        <v>0.1361721264761539</v>
      </c>
      <c r="W25" s="80"/>
      <c r="AE25" s="9">
        <v>24</v>
      </c>
      <c r="AF25" s="1">
        <f t="shared" si="5"/>
        <v>-0.23883726013188089</v>
      </c>
      <c r="AG25" s="10">
        <f t="shared" si="6"/>
        <v>-0.26489530876758866</v>
      </c>
    </row>
    <row r="26" spans="1:33" x14ac:dyDescent="0.25">
      <c r="A26" s="28">
        <v>25</v>
      </c>
      <c r="B26" s="59">
        <v>1</v>
      </c>
      <c r="C26" s="28">
        <v>4.8</v>
      </c>
      <c r="D26" s="28">
        <v>3.4</v>
      </c>
      <c r="E26" s="28">
        <v>0.2</v>
      </c>
      <c r="F26" s="28">
        <f t="shared" si="1"/>
        <v>1</v>
      </c>
      <c r="G26" s="60">
        <f t="shared" si="2"/>
        <v>0</v>
      </c>
      <c r="H26" s="27" t="s">
        <v>5</v>
      </c>
      <c r="I26" s="70">
        <v>1.9</v>
      </c>
      <c r="J26" s="27">
        <f t="shared" si="3"/>
        <v>1.3141032739564358</v>
      </c>
      <c r="K26" s="27">
        <f t="shared" si="0"/>
        <v>-0.58589672604356413</v>
      </c>
      <c r="L26" s="27">
        <v>1.3141032739564125</v>
      </c>
      <c r="M26" s="27">
        <f ca="1">K26/$Q$5/SQRT(1-'Dźwignia I'!A26)</f>
        <v>-2.2543060534268222</v>
      </c>
      <c r="N26" s="27">
        <f t="shared" ca="1" si="4"/>
        <v>1.5014346650543346</v>
      </c>
      <c r="AE26" s="9">
        <v>25</v>
      </c>
      <c r="AF26" s="1">
        <f t="shared" si="5"/>
        <v>-0.2372430810497077</v>
      </c>
      <c r="AG26" s="10">
        <f t="shared" si="6"/>
        <v>-0.25769599397993237</v>
      </c>
    </row>
    <row r="27" spans="1:33" x14ac:dyDescent="0.25">
      <c r="A27" s="28">
        <v>26</v>
      </c>
      <c r="B27" s="59">
        <v>1</v>
      </c>
      <c r="C27" s="28">
        <v>5</v>
      </c>
      <c r="D27" s="28">
        <v>3</v>
      </c>
      <c r="E27" s="28">
        <v>0.2</v>
      </c>
      <c r="F27" s="28">
        <f t="shared" si="1"/>
        <v>1</v>
      </c>
      <c r="G27" s="60">
        <f t="shared" si="2"/>
        <v>0</v>
      </c>
      <c r="H27" s="27" t="s">
        <v>5</v>
      </c>
      <c r="I27" s="70">
        <v>1.6</v>
      </c>
      <c r="J27" s="27">
        <f t="shared" si="3"/>
        <v>1.5079138715199571</v>
      </c>
      <c r="K27" s="27">
        <f t="shared" si="0"/>
        <v>-9.2086128480042939E-2</v>
      </c>
      <c r="L27" s="27">
        <v>1.5079138715200449</v>
      </c>
      <c r="M27" s="27">
        <f ca="1">K27/$Q$5/SQRT(1-'Dźwignia I'!A27)</f>
        <v>-0.356892428879931</v>
      </c>
      <c r="N27" s="27">
        <f t="shared" ca="1" si="4"/>
        <v>0.59740474460781701</v>
      </c>
      <c r="AE27" s="9">
        <v>26</v>
      </c>
      <c r="AF27" s="1">
        <f t="shared" si="5"/>
        <v>-0.23173965041924283</v>
      </c>
      <c r="AG27" s="10">
        <f t="shared" si="6"/>
        <v>-0.25068515838989547</v>
      </c>
    </row>
    <row r="28" spans="1:33" x14ac:dyDescent="0.25">
      <c r="A28" s="28">
        <v>27</v>
      </c>
      <c r="B28" s="59">
        <v>1</v>
      </c>
      <c r="C28" s="28">
        <v>5</v>
      </c>
      <c r="D28" s="28">
        <v>3.4</v>
      </c>
      <c r="E28" s="28">
        <v>0.4</v>
      </c>
      <c r="F28" s="28">
        <f t="shared" si="1"/>
        <v>1</v>
      </c>
      <c r="G28" s="60">
        <f t="shared" si="2"/>
        <v>0</v>
      </c>
      <c r="H28" s="27" t="s">
        <v>5</v>
      </c>
      <c r="I28" s="70">
        <v>1.6</v>
      </c>
      <c r="J28" s="27">
        <f t="shared" si="3"/>
        <v>1.5561487335957465</v>
      </c>
      <c r="K28" s="27">
        <f t="shared" si="0"/>
        <v>-4.385126640425363E-2</v>
      </c>
      <c r="L28" s="27">
        <v>1.556148733595776</v>
      </c>
      <c r="M28" s="27">
        <f ca="1">K28/$Q$5/SQRT(1-'Dźwignia I'!A28)</f>
        <v>-0.16908516382359012</v>
      </c>
      <c r="N28" s="27">
        <f t="shared" ca="1" si="4"/>
        <v>0.41119966418224385</v>
      </c>
      <c r="AE28" s="9">
        <v>27</v>
      </c>
      <c r="AF28" s="1">
        <f t="shared" si="5"/>
        <v>-0.23043722376381037</v>
      </c>
      <c r="AG28" s="10">
        <f t="shared" si="6"/>
        <v>-0.24384843712754339</v>
      </c>
    </row>
    <row r="29" spans="1:33" x14ac:dyDescent="0.25">
      <c r="A29" s="28">
        <v>28</v>
      </c>
      <c r="B29" s="59">
        <v>1</v>
      </c>
      <c r="C29" s="28">
        <v>5.2</v>
      </c>
      <c r="D29" s="28">
        <v>3.5</v>
      </c>
      <c r="E29" s="28">
        <v>0.2</v>
      </c>
      <c r="F29" s="28">
        <f t="shared" si="1"/>
        <v>1</v>
      </c>
      <c r="G29" s="60">
        <f t="shared" si="2"/>
        <v>0</v>
      </c>
      <c r="H29" s="27" t="s">
        <v>5</v>
      </c>
      <c r="I29" s="70">
        <v>1.5</v>
      </c>
      <c r="J29" s="27">
        <f t="shared" si="3"/>
        <v>1.539253242210515</v>
      </c>
      <c r="K29" s="27">
        <f t="shared" si="0"/>
        <v>3.925324221051496E-2</v>
      </c>
      <c r="L29" s="27">
        <v>1.5392532422105831</v>
      </c>
      <c r="M29" s="27">
        <f ca="1">K29/$Q$5/SQRT(1-'Dźwignia I'!A29)</f>
        <v>0.15109120625356565</v>
      </c>
      <c r="N29" s="27">
        <f t="shared" ca="1" si="4"/>
        <v>0.38870452306805697</v>
      </c>
      <c r="AE29" s="9">
        <v>28</v>
      </c>
      <c r="AF29" s="1">
        <f t="shared" si="5"/>
        <v>-0.22115312010909172</v>
      </c>
      <c r="AG29" s="10">
        <f t="shared" si="6"/>
        <v>-0.23717297761694708</v>
      </c>
    </row>
    <row r="30" spans="1:33" x14ac:dyDescent="0.25">
      <c r="A30" s="28">
        <v>29</v>
      </c>
      <c r="B30" s="59">
        <v>1</v>
      </c>
      <c r="C30" s="28">
        <v>5.2</v>
      </c>
      <c r="D30" s="28">
        <v>3.4</v>
      </c>
      <c r="E30" s="28">
        <v>0.2</v>
      </c>
      <c r="F30" s="28">
        <f t="shared" si="1"/>
        <v>1</v>
      </c>
      <c r="G30" s="60">
        <f t="shared" si="2"/>
        <v>0</v>
      </c>
      <c r="H30" s="27" t="s">
        <v>5</v>
      </c>
      <c r="I30" s="70">
        <v>1.4</v>
      </c>
      <c r="J30" s="27">
        <f t="shared" si="3"/>
        <v>1.557305600751955</v>
      </c>
      <c r="K30" s="27">
        <f t="shared" si="0"/>
        <v>0.1573056007519551</v>
      </c>
      <c r="L30" s="27">
        <v>1.5573056007519217</v>
      </c>
      <c r="M30" s="27">
        <f ca="1">K30/$Q$5/SQRT(1-'Dźwignia I'!A30)</f>
        <v>0.60552911675279653</v>
      </c>
      <c r="N30" s="27">
        <f t="shared" ca="1" si="4"/>
        <v>0.77815751410160949</v>
      </c>
      <c r="AE30" s="9">
        <v>29</v>
      </c>
      <c r="AF30" s="1">
        <f t="shared" si="5"/>
        <v>-0.21506660817442746</v>
      </c>
      <c r="AG30" s="10">
        <f t="shared" si="6"/>
        <v>-0.23064722913474195</v>
      </c>
    </row>
    <row r="31" spans="1:33" x14ac:dyDescent="0.25">
      <c r="A31" s="28">
        <v>30</v>
      </c>
      <c r="B31" s="59">
        <v>1</v>
      </c>
      <c r="C31" s="28">
        <v>4.7</v>
      </c>
      <c r="D31" s="28">
        <v>3.2</v>
      </c>
      <c r="E31" s="28">
        <v>0.2</v>
      </c>
      <c r="F31" s="28">
        <f t="shared" si="1"/>
        <v>1</v>
      </c>
      <c r="G31" s="60">
        <f t="shared" si="2"/>
        <v>0</v>
      </c>
      <c r="H31" s="27" t="s">
        <v>5</v>
      </c>
      <c r="I31" s="70">
        <v>1.6</v>
      </c>
      <c r="J31" s="27">
        <f t="shared" si="3"/>
        <v>1.2894074093404371</v>
      </c>
      <c r="K31" s="27">
        <f t="shared" si="0"/>
        <v>-0.31059259065956302</v>
      </c>
      <c r="L31" s="27">
        <v>1.2894074093404491</v>
      </c>
      <c r="M31" s="27">
        <f ca="1">K31/$Q$5/SQRT(1-'Dźwignia I'!A31)</f>
        <v>-1.1964818232774057</v>
      </c>
      <c r="N31" s="27">
        <f t="shared" ca="1" si="4"/>
        <v>1.0938381156631021</v>
      </c>
      <c r="AE31" s="9">
        <v>30</v>
      </c>
      <c r="AF31" s="1">
        <f t="shared" si="5"/>
        <v>-0.20141158738566922</v>
      </c>
      <c r="AG31" s="10">
        <f t="shared" si="6"/>
        <v>-0.22426076785224322</v>
      </c>
    </row>
    <row r="32" spans="1:33" x14ac:dyDescent="0.25">
      <c r="A32" s="28">
        <v>31</v>
      </c>
      <c r="B32" s="59">
        <v>1</v>
      </c>
      <c r="C32" s="28">
        <v>4.8</v>
      </c>
      <c r="D32" s="28">
        <v>3.1</v>
      </c>
      <c r="E32" s="28">
        <v>0.2</v>
      </c>
      <c r="F32" s="28">
        <f t="shared" si="1"/>
        <v>1</v>
      </c>
      <c r="G32" s="60">
        <f t="shared" si="2"/>
        <v>0</v>
      </c>
      <c r="H32" s="27" t="s">
        <v>5</v>
      </c>
      <c r="I32" s="70">
        <v>1.6</v>
      </c>
      <c r="J32" s="27">
        <f t="shared" si="3"/>
        <v>1.3682603495807573</v>
      </c>
      <c r="K32" s="27">
        <f t="shared" si="0"/>
        <v>-0.23173965041924283</v>
      </c>
      <c r="L32" s="27">
        <v>1.3682603495807784</v>
      </c>
      <c r="M32" s="27">
        <f ca="1">K32/$Q$5/SQRT(1-'Dźwignia I'!A32)</f>
        <v>-0.89414529989581359</v>
      </c>
      <c r="N32" s="27">
        <f t="shared" ca="1" si="4"/>
        <v>0.9455925654825198</v>
      </c>
      <c r="AE32" s="9">
        <v>31</v>
      </c>
      <c r="AF32" s="1">
        <f t="shared" si="5"/>
        <v>-0.20088970408677831</v>
      </c>
      <c r="AG32" s="10">
        <f t="shared" si="6"/>
        <v>-0.21800415038310575</v>
      </c>
    </row>
    <row r="33" spans="1:33" x14ac:dyDescent="0.25">
      <c r="A33" s="28">
        <v>32</v>
      </c>
      <c r="B33" s="59">
        <v>1</v>
      </c>
      <c r="C33" s="28">
        <v>5.4</v>
      </c>
      <c r="D33" s="28">
        <v>3.4</v>
      </c>
      <c r="E33" s="28">
        <v>0.4</v>
      </c>
      <c r="F33" s="28">
        <f t="shared" si="1"/>
        <v>1</v>
      </c>
      <c r="G33" s="60">
        <f t="shared" si="2"/>
        <v>0</v>
      </c>
      <c r="H33" s="27" t="s">
        <v>5</v>
      </c>
      <c r="I33" s="70">
        <v>1.5</v>
      </c>
      <c r="J33" s="27">
        <f t="shared" si="3"/>
        <v>1.7993510603912657</v>
      </c>
      <c r="K33" s="27">
        <f t="shared" si="0"/>
        <v>0.29935106039126569</v>
      </c>
      <c r="L33" s="27">
        <v>1.7993510603912652</v>
      </c>
      <c r="M33" s="27">
        <f ca="1">K33/$Q$5/SQRT(1-'Dźwignia I'!A33)</f>
        <v>1.156980074111861</v>
      </c>
      <c r="N33" s="27">
        <f t="shared" ca="1" si="4"/>
        <v>1.0756300823758422</v>
      </c>
      <c r="AE33" s="9">
        <v>32</v>
      </c>
      <c r="AF33" s="1">
        <f t="shared" si="5"/>
        <v>-0.19299433575620206</v>
      </c>
      <c r="AG33" s="10">
        <f t="shared" si="6"/>
        <v>-0.21186879041252449</v>
      </c>
    </row>
    <row r="34" spans="1:33" x14ac:dyDescent="0.25">
      <c r="A34" s="28">
        <v>33</v>
      </c>
      <c r="B34" s="59">
        <v>1</v>
      </c>
      <c r="C34" s="28">
        <v>5.2</v>
      </c>
      <c r="D34" s="28">
        <v>4.0999999999999996</v>
      </c>
      <c r="E34" s="28">
        <v>0.1</v>
      </c>
      <c r="F34" s="28">
        <f t="shared" si="1"/>
        <v>1</v>
      </c>
      <c r="G34" s="60">
        <f t="shared" si="2"/>
        <v>0</v>
      </c>
      <c r="H34" s="27" t="s">
        <v>5</v>
      </c>
      <c r="I34" s="70">
        <v>1.5</v>
      </c>
      <c r="J34" s="27">
        <f t="shared" si="3"/>
        <v>1.3707169428410972</v>
      </c>
      <c r="K34" s="27">
        <f t="shared" ref="K34:K65" si="9">(J34-I34)</f>
        <v>-0.12928305715890276</v>
      </c>
      <c r="L34" s="27">
        <v>1.370716942841159</v>
      </c>
      <c r="M34" s="27">
        <f ca="1">K34/$Q$5/SQRT(1-'Dźwignia I'!A34)</f>
        <v>-0.51082223847819219</v>
      </c>
      <c r="N34" s="27">
        <f t="shared" ca="1" si="4"/>
        <v>0.71471829309049606</v>
      </c>
      <c r="AE34" s="9">
        <v>33</v>
      </c>
      <c r="AF34" s="1">
        <f t="shared" si="5"/>
        <v>-0.17570441511268631</v>
      </c>
      <c r="AG34" s="10">
        <f t="shared" ref="AG34:AG65" si="10">_xlfn.NORM.INV((AE34-1/2)/150,0,$Q$5)</f>
        <v>-0.20584685415392537</v>
      </c>
    </row>
    <row r="35" spans="1:33" x14ac:dyDescent="0.25">
      <c r="A35" s="28">
        <v>34</v>
      </c>
      <c r="B35" s="59">
        <v>1</v>
      </c>
      <c r="C35" s="28">
        <v>5.5</v>
      </c>
      <c r="D35" s="28">
        <v>4.2</v>
      </c>
      <c r="E35" s="28">
        <v>0.2</v>
      </c>
      <c r="F35" s="28">
        <f t="shared" si="1"/>
        <v>1</v>
      </c>
      <c r="G35" s="60">
        <f t="shared" si="2"/>
        <v>0</v>
      </c>
      <c r="H35" s="27" t="s">
        <v>5</v>
      </c>
      <c r="I35" s="70">
        <v>1.4</v>
      </c>
      <c r="J35" s="27">
        <f t="shared" si="3"/>
        <v>1.595288477517071</v>
      </c>
      <c r="K35" s="27">
        <f t="shared" si="9"/>
        <v>0.19528847751707112</v>
      </c>
      <c r="L35" s="27">
        <v>1.5952884775171767</v>
      </c>
      <c r="M35" s="27">
        <f ca="1">K35/$Q$5/SQRT(1-'Dźwignia I'!A35)</f>
        <v>0.7706957768405075</v>
      </c>
      <c r="N35" s="27">
        <f t="shared" ca="1" si="4"/>
        <v>0.87789280486885612</v>
      </c>
      <c r="AE35" s="9">
        <v>34</v>
      </c>
      <c r="AF35" s="1">
        <f t="shared" si="5"/>
        <v>-0.17139317235844298</v>
      </c>
      <c r="AG35" s="10">
        <f t="shared" si="10"/>
        <v>-0.19993117126870324</v>
      </c>
    </row>
    <row r="36" spans="1:33" x14ac:dyDescent="0.25">
      <c r="A36" s="28">
        <v>35</v>
      </c>
      <c r="B36" s="59">
        <v>1</v>
      </c>
      <c r="C36" s="28">
        <v>4.9000000000000004</v>
      </c>
      <c r="D36" s="28">
        <v>3.1</v>
      </c>
      <c r="E36" s="28">
        <v>0.2</v>
      </c>
      <c r="F36" s="28">
        <f t="shared" si="1"/>
        <v>1</v>
      </c>
      <c r="G36" s="60">
        <f t="shared" si="2"/>
        <v>0</v>
      </c>
      <c r="H36" s="27" t="s">
        <v>5</v>
      </c>
      <c r="I36" s="70">
        <v>1.5</v>
      </c>
      <c r="J36" s="27">
        <f t="shared" si="3"/>
        <v>1.4290609312796374</v>
      </c>
      <c r="K36" s="27">
        <f t="shared" si="9"/>
        <v>-7.0939068720362597E-2</v>
      </c>
      <c r="L36" s="27">
        <v>1.429060931279637</v>
      </c>
      <c r="M36" s="27">
        <f ca="1">K36/$Q$5/SQRT(1-'Dźwignia I'!A36)</f>
        <v>-0.27380436338102132</v>
      </c>
      <c r="N36" s="27">
        <f t="shared" ca="1" si="4"/>
        <v>0.52326318748887857</v>
      </c>
      <c r="AE36" s="9">
        <v>35</v>
      </c>
      <c r="AF36" s="1">
        <f t="shared" si="5"/>
        <v>-0.15688961867332107</v>
      </c>
      <c r="AG36" s="10">
        <f t="shared" si="10"/>
        <v>-0.19411515856728837</v>
      </c>
    </row>
    <row r="37" spans="1:33" x14ac:dyDescent="0.25">
      <c r="A37" s="28">
        <v>36</v>
      </c>
      <c r="B37" s="59">
        <v>1</v>
      </c>
      <c r="C37" s="28">
        <v>5</v>
      </c>
      <c r="D37" s="28">
        <v>3.2</v>
      </c>
      <c r="E37" s="28">
        <v>0.2</v>
      </c>
      <c r="F37" s="28">
        <f t="shared" si="1"/>
        <v>1</v>
      </c>
      <c r="G37" s="60">
        <f t="shared" si="2"/>
        <v>0</v>
      </c>
      <c r="H37" s="27" t="s">
        <v>5</v>
      </c>
      <c r="I37" s="70">
        <v>1.2</v>
      </c>
      <c r="J37" s="27">
        <f t="shared" si="3"/>
        <v>1.4718091544370762</v>
      </c>
      <c r="K37" s="27">
        <f t="shared" si="9"/>
        <v>0.27180915443707621</v>
      </c>
      <c r="L37" s="27">
        <v>1.4718091544371281</v>
      </c>
      <c r="M37" s="27">
        <f ca="1">K37/$Q$5/SQRT(1-'Dźwignia I'!A37)</f>
        <v>1.0473169791137946</v>
      </c>
      <c r="N37" s="27">
        <f t="shared" ca="1" si="4"/>
        <v>1.0233850590632025</v>
      </c>
      <c r="AE37" s="9">
        <v>36</v>
      </c>
      <c r="AF37" s="1">
        <f t="shared" si="5"/>
        <v>-0.14980880067279756</v>
      </c>
      <c r="AG37" s="10">
        <f t="shared" si="10"/>
        <v>-0.18839275433837224</v>
      </c>
    </row>
    <row r="38" spans="1:33" x14ac:dyDescent="0.25">
      <c r="A38" s="28">
        <v>37</v>
      </c>
      <c r="B38" s="59">
        <v>1</v>
      </c>
      <c r="C38" s="28">
        <v>5.5</v>
      </c>
      <c r="D38" s="28">
        <v>3.5</v>
      </c>
      <c r="E38" s="28">
        <v>0.2</v>
      </c>
      <c r="F38" s="28">
        <f t="shared" si="1"/>
        <v>1</v>
      </c>
      <c r="G38" s="60">
        <f t="shared" si="2"/>
        <v>0</v>
      </c>
      <c r="H38" s="27" t="s">
        <v>5</v>
      </c>
      <c r="I38" s="70">
        <v>1.3</v>
      </c>
      <c r="J38" s="27">
        <f t="shared" si="3"/>
        <v>1.721654987307154</v>
      </c>
      <c r="K38" s="27">
        <f t="shared" si="9"/>
        <v>0.42165498730715401</v>
      </c>
      <c r="L38" s="27">
        <v>1.7216549873072968</v>
      </c>
      <c r="M38" s="27">
        <f ca="1">K38/$Q$5/SQRT(1-'Dźwignia I'!A38)</f>
        <v>1.6286992509455942</v>
      </c>
      <c r="N38" s="27">
        <f t="shared" ca="1" si="4"/>
        <v>1.2762050191664325</v>
      </c>
      <c r="AE38" s="9">
        <v>37</v>
      </c>
      <c r="AF38" s="1">
        <f t="shared" si="5"/>
        <v>-0.14935469703471771</v>
      </c>
      <c r="AG38" s="10">
        <f t="shared" si="10"/>
        <v>-0.18275836156561995</v>
      </c>
    </row>
    <row r="39" spans="1:33" x14ac:dyDescent="0.25">
      <c r="A39" s="28">
        <v>38</v>
      </c>
      <c r="B39" s="59">
        <v>1</v>
      </c>
      <c r="C39" s="28">
        <v>4.9000000000000004</v>
      </c>
      <c r="D39" s="28">
        <v>3.6</v>
      </c>
      <c r="E39" s="28">
        <v>0.1</v>
      </c>
      <c r="F39" s="28">
        <f t="shared" si="1"/>
        <v>1</v>
      </c>
      <c r="G39" s="60">
        <f t="shared" si="2"/>
        <v>0</v>
      </c>
      <c r="H39" s="27" t="s">
        <v>5</v>
      </c>
      <c r="I39" s="70">
        <v>1.4</v>
      </c>
      <c r="J39" s="27">
        <f t="shared" si="3"/>
        <v>1.2785769904516597</v>
      </c>
      <c r="K39" s="27">
        <f t="shared" si="9"/>
        <v>-0.12142300954834018</v>
      </c>
      <c r="L39" s="27">
        <v>1.2785769904516386</v>
      </c>
      <c r="M39" s="27">
        <f ca="1">K39/$Q$5/SQRT(1-'Dźwignia I'!A39)</f>
        <v>-0.46943469757315576</v>
      </c>
      <c r="N39" s="27">
        <f t="shared" ca="1" si="4"/>
        <v>0.68515304682468992</v>
      </c>
      <c r="AE39" s="9">
        <v>38</v>
      </c>
      <c r="AF39" s="1">
        <f t="shared" si="5"/>
        <v>-0.14731106204056132</v>
      </c>
      <c r="AG39" s="10">
        <f t="shared" si="10"/>
        <v>-0.17720679861558425</v>
      </c>
    </row>
    <row r="40" spans="1:33" x14ac:dyDescent="0.25">
      <c r="A40" s="28">
        <v>39</v>
      </c>
      <c r="B40" s="59">
        <v>1</v>
      </c>
      <c r="C40" s="28">
        <v>4.4000000000000004</v>
      </c>
      <c r="D40" s="28">
        <v>3</v>
      </c>
      <c r="E40" s="28">
        <v>0.2</v>
      </c>
      <c r="F40" s="28">
        <f t="shared" si="1"/>
        <v>1</v>
      </c>
      <c r="G40" s="60">
        <f t="shared" si="2"/>
        <v>0</v>
      </c>
      <c r="H40" s="27" t="s">
        <v>5</v>
      </c>
      <c r="I40" s="70">
        <v>1.3</v>
      </c>
      <c r="J40" s="27">
        <f t="shared" si="3"/>
        <v>1.143110381326679</v>
      </c>
      <c r="K40" s="27">
        <f t="shared" si="9"/>
        <v>-0.15688961867332107</v>
      </c>
      <c r="L40" s="27">
        <v>1.1431103813267947</v>
      </c>
      <c r="M40" s="27">
        <f ca="1">K40/$Q$5/SQRT(1-'Dźwignia I'!A40)</f>
        <v>-0.60790987540254005</v>
      </c>
      <c r="N40" s="27">
        <f t="shared" ca="1" si="4"/>
        <v>0.77968575426420361</v>
      </c>
      <c r="AE40" s="9">
        <v>39</v>
      </c>
      <c r="AF40" s="1">
        <f t="shared" si="5"/>
        <v>-0.14727574132054833</v>
      </c>
      <c r="AG40" s="10">
        <f t="shared" si="10"/>
        <v>-0.17173325623748273</v>
      </c>
    </row>
    <row r="41" spans="1:33" x14ac:dyDescent="0.25">
      <c r="A41" s="28">
        <v>40</v>
      </c>
      <c r="B41" s="59">
        <v>1</v>
      </c>
      <c r="C41" s="28">
        <v>5.0999999999999996</v>
      </c>
      <c r="D41" s="28">
        <v>3.4</v>
      </c>
      <c r="E41" s="28">
        <v>0.2</v>
      </c>
      <c r="F41" s="28">
        <f t="shared" si="1"/>
        <v>1</v>
      </c>
      <c r="G41" s="60">
        <f t="shared" si="2"/>
        <v>0</v>
      </c>
      <c r="H41" s="27" t="s">
        <v>5</v>
      </c>
      <c r="I41" s="70">
        <v>1.5</v>
      </c>
      <c r="J41" s="27">
        <f t="shared" si="3"/>
        <v>1.4965050190530749</v>
      </c>
      <c r="K41" s="27">
        <f t="shared" si="9"/>
        <v>-3.4949809469251303E-3</v>
      </c>
      <c r="L41" s="27">
        <v>1.4965050190530191</v>
      </c>
      <c r="M41" s="27">
        <f ca="1">K41/$Q$5/SQRT(1-'Dźwignia I'!A41)</f>
        <v>-1.3444429625076391E-2</v>
      </c>
      <c r="N41" s="27">
        <f t="shared" ca="1" si="4"/>
        <v>0.11595011696879133</v>
      </c>
      <c r="AE41" s="9">
        <v>40</v>
      </c>
      <c r="AF41" s="1">
        <f t="shared" si="5"/>
        <v>-0.14230017986877197</v>
      </c>
      <c r="AG41" s="10">
        <f t="shared" si="10"/>
        <v>-0.1663332599203779</v>
      </c>
    </row>
    <row r="42" spans="1:33" x14ac:dyDescent="0.25">
      <c r="A42" s="28">
        <v>41</v>
      </c>
      <c r="B42" s="59">
        <v>1</v>
      </c>
      <c r="C42" s="28">
        <v>5</v>
      </c>
      <c r="D42" s="28">
        <v>3.5</v>
      </c>
      <c r="E42" s="28">
        <v>0.3</v>
      </c>
      <c r="F42" s="28">
        <f t="shared" si="1"/>
        <v>1</v>
      </c>
      <c r="G42" s="60">
        <f t="shared" si="2"/>
        <v>0</v>
      </c>
      <c r="H42" s="27" t="s">
        <v>5</v>
      </c>
      <c r="I42" s="70">
        <v>1.3</v>
      </c>
      <c r="J42" s="27">
        <f t="shared" si="3"/>
        <v>1.4778742269335303</v>
      </c>
      <c r="K42" s="27">
        <f t="shared" si="9"/>
        <v>0.17787422693353028</v>
      </c>
      <c r="L42" s="27">
        <v>1.4778742269335985</v>
      </c>
      <c r="M42" s="27">
        <f ca="1">K42/$Q$5/SQRT(1-'Dźwignia I'!A42)</f>
        <v>0.6841670034671159</v>
      </c>
      <c r="N42" s="27">
        <f t="shared" ca="1" si="4"/>
        <v>0.82714388317094867</v>
      </c>
      <c r="AE42" s="9">
        <v>41</v>
      </c>
      <c r="AF42" s="1">
        <f t="shared" si="5"/>
        <v>-0.13714040421816431</v>
      </c>
      <c r="AG42" s="10">
        <f t="shared" si="10"/>
        <v>-0.16100263681772423</v>
      </c>
    </row>
    <row r="43" spans="1:33" x14ac:dyDescent="0.25">
      <c r="A43" s="28">
        <v>42</v>
      </c>
      <c r="B43" s="59">
        <v>1</v>
      </c>
      <c r="C43" s="28">
        <v>4.5</v>
      </c>
      <c r="D43" s="28">
        <v>2.2999999999999998</v>
      </c>
      <c r="E43" s="28">
        <v>0.3</v>
      </c>
      <c r="F43" s="28">
        <f t="shared" si="1"/>
        <v>1</v>
      </c>
      <c r="G43" s="60">
        <f t="shared" si="2"/>
        <v>0</v>
      </c>
      <c r="H43" s="27" t="s">
        <v>5</v>
      </c>
      <c r="I43" s="70">
        <v>1.3</v>
      </c>
      <c r="J43" s="27">
        <f t="shared" si="3"/>
        <v>1.3904996209364164</v>
      </c>
      <c r="K43" s="27">
        <f t="shared" si="9"/>
        <v>9.0499620936416392E-2</v>
      </c>
      <c r="L43" s="27">
        <v>1.3904996209364242</v>
      </c>
      <c r="M43" s="27">
        <f ca="1">K43/$Q$5/SQRT(1-'Dźwignia I'!A43)</f>
        <v>0.368595371622297</v>
      </c>
      <c r="N43" s="27">
        <f t="shared" ca="1" si="4"/>
        <v>0.60712055773322071</v>
      </c>
      <c r="AE43" s="9">
        <v>42</v>
      </c>
      <c r="AF43" s="1">
        <f t="shared" si="5"/>
        <v>-0.13116121684113824</v>
      </c>
      <c r="AG43" s="10">
        <f t="shared" si="10"/>
        <v>-0.15573748658198411</v>
      </c>
    </row>
    <row r="44" spans="1:33" x14ac:dyDescent="0.25">
      <c r="A44" s="28">
        <v>43</v>
      </c>
      <c r="B44" s="59">
        <v>1</v>
      </c>
      <c r="C44" s="28">
        <v>4.4000000000000004</v>
      </c>
      <c r="D44" s="28">
        <v>3.2</v>
      </c>
      <c r="E44" s="28">
        <v>0.2</v>
      </c>
      <c r="F44" s="28">
        <f t="shared" si="1"/>
        <v>1</v>
      </c>
      <c r="G44" s="60">
        <f t="shared" si="2"/>
        <v>0</v>
      </c>
      <c r="H44" s="27" t="s">
        <v>5</v>
      </c>
      <c r="I44" s="70">
        <v>1.3</v>
      </c>
      <c r="J44" s="27">
        <f t="shared" si="3"/>
        <v>1.107005664243798</v>
      </c>
      <c r="K44" s="27">
        <f t="shared" si="9"/>
        <v>-0.19299433575620206</v>
      </c>
      <c r="L44" s="27">
        <v>1.1070056642438257</v>
      </c>
      <c r="M44" s="27">
        <f ca="1">K44/$Q$5/SQRT(1-'Dźwignia I'!A44)</f>
        <v>-0.74581169704595374</v>
      </c>
      <c r="N44" s="27">
        <f t="shared" ca="1" si="4"/>
        <v>0.86360390055045122</v>
      </c>
      <c r="AE44" s="9">
        <v>43</v>
      </c>
      <c r="AF44" s="1">
        <f t="shared" si="5"/>
        <v>-0.12928305715890276</v>
      </c>
      <c r="AG44" s="10">
        <f t="shared" si="10"/>
        <v>-0.15053415555978963</v>
      </c>
    </row>
    <row r="45" spans="1:33" x14ac:dyDescent="0.25">
      <c r="A45" s="28">
        <v>44</v>
      </c>
      <c r="B45" s="59">
        <v>1</v>
      </c>
      <c r="C45" s="28">
        <v>5</v>
      </c>
      <c r="D45" s="28">
        <v>3.5</v>
      </c>
      <c r="E45" s="28">
        <v>0.6</v>
      </c>
      <c r="F45" s="28">
        <f t="shared" si="1"/>
        <v>1</v>
      </c>
      <c r="G45" s="60">
        <f t="shared" si="2"/>
        <v>0</v>
      </c>
      <c r="H45" s="27" t="s">
        <v>5</v>
      </c>
      <c r="I45" s="70">
        <v>1.6</v>
      </c>
      <c r="J45" s="27">
        <f t="shared" si="3"/>
        <v>1.6585406712958572</v>
      </c>
      <c r="K45" s="27">
        <f t="shared" si="9"/>
        <v>5.8540671295857161E-2</v>
      </c>
      <c r="L45" s="27">
        <v>1.6585406712959558</v>
      </c>
      <c r="M45" s="27">
        <f ca="1">K45/$Q$5/SQRT(1-'Dźwignia I'!A45)</f>
        <v>0.22798589068347397</v>
      </c>
      <c r="N45" s="27">
        <f t="shared" ca="1" si="4"/>
        <v>0.47747868086802991</v>
      </c>
      <c r="AE45" s="9">
        <v>44</v>
      </c>
      <c r="AF45" s="1">
        <f t="shared" si="5"/>
        <v>-0.12261519742456173</v>
      </c>
      <c r="AG45" s="10">
        <f t="shared" si="10"/>
        <v>-0.14538921388610504</v>
      </c>
    </row>
    <row r="46" spans="1:33" x14ac:dyDescent="0.25">
      <c r="A46" s="28">
        <v>45</v>
      </c>
      <c r="B46" s="59">
        <v>1</v>
      </c>
      <c r="C46" s="28">
        <v>5.0999999999999996</v>
      </c>
      <c r="D46" s="28">
        <v>3.8</v>
      </c>
      <c r="E46" s="28">
        <v>0.4</v>
      </c>
      <c r="F46" s="28">
        <f t="shared" si="1"/>
        <v>1</v>
      </c>
      <c r="G46" s="60">
        <f t="shared" si="2"/>
        <v>0</v>
      </c>
      <c r="H46" s="27" t="s">
        <v>5</v>
      </c>
      <c r="I46" s="70">
        <v>1.9</v>
      </c>
      <c r="J46" s="27">
        <f t="shared" si="3"/>
        <v>1.5447398811288646</v>
      </c>
      <c r="K46" s="27">
        <f t="shared" si="9"/>
        <v>-0.35526011887113529</v>
      </c>
      <c r="L46" s="27">
        <v>1.5447398811288677</v>
      </c>
      <c r="M46" s="27">
        <f ca="1">K46/$Q$5/SQRT(1-'Dźwignia I'!A46)</f>
        <v>-1.3732841935781805</v>
      </c>
      <c r="N46" s="27">
        <f t="shared" ca="1" si="4"/>
        <v>1.1718720892564087</v>
      </c>
      <c r="AE46" s="9">
        <v>45</v>
      </c>
      <c r="AF46" s="1">
        <f t="shared" si="5"/>
        <v>-0.12142300954834018</v>
      </c>
      <c r="AG46" s="10">
        <f t="shared" si="10"/>
        <v>-0.14029943508802836</v>
      </c>
    </row>
    <row r="47" spans="1:33" x14ac:dyDescent="0.25">
      <c r="A47" s="28">
        <v>46</v>
      </c>
      <c r="B47" s="59">
        <v>1</v>
      </c>
      <c r="C47" s="28">
        <v>4.8</v>
      </c>
      <c r="D47" s="28">
        <v>3</v>
      </c>
      <c r="E47" s="28">
        <v>0.3</v>
      </c>
      <c r="F47" s="28">
        <f t="shared" si="1"/>
        <v>1</v>
      </c>
      <c r="G47" s="60">
        <f t="shared" si="2"/>
        <v>0</v>
      </c>
      <c r="H47" s="27" t="s">
        <v>5</v>
      </c>
      <c r="I47" s="70">
        <v>1.4</v>
      </c>
      <c r="J47" s="27">
        <f t="shared" si="3"/>
        <v>1.446534856242973</v>
      </c>
      <c r="K47" s="27">
        <f t="shared" si="9"/>
        <v>4.6534856242973044E-2</v>
      </c>
      <c r="L47" s="27">
        <v>1.4465348562429488</v>
      </c>
      <c r="M47" s="27">
        <f ca="1">K47/$Q$5/SQRT(1-'Dźwignia I'!A47)</f>
        <v>0.1805310251628007</v>
      </c>
      <c r="N47" s="27">
        <f t="shared" ca="1" si="4"/>
        <v>0.42488942698401039</v>
      </c>
      <c r="AE47" s="9">
        <v>46</v>
      </c>
      <c r="AF47" s="1">
        <f t="shared" si="5"/>
        <v>-0.11976915608637118</v>
      </c>
      <c r="AG47" s="10">
        <f t="shared" si="10"/>
        <v>-0.13526177786838131</v>
      </c>
    </row>
    <row r="48" spans="1:33" x14ac:dyDescent="0.25">
      <c r="A48" s="28">
        <v>47</v>
      </c>
      <c r="B48" s="59">
        <v>1</v>
      </c>
      <c r="C48" s="28">
        <v>5.0999999999999996</v>
      </c>
      <c r="D48" s="28">
        <v>3.8</v>
      </c>
      <c r="E48" s="28">
        <v>0.2</v>
      </c>
      <c r="F48" s="28">
        <f t="shared" si="1"/>
        <v>1</v>
      </c>
      <c r="G48" s="60">
        <f t="shared" si="2"/>
        <v>0</v>
      </c>
      <c r="H48" s="27" t="s">
        <v>5</v>
      </c>
      <c r="I48" s="70">
        <v>1.6</v>
      </c>
      <c r="J48" s="27">
        <f t="shared" si="3"/>
        <v>1.4242955848873138</v>
      </c>
      <c r="K48" s="27">
        <f t="shared" si="9"/>
        <v>-0.17570441511268631</v>
      </c>
      <c r="L48" s="27">
        <v>1.4242955848873706</v>
      </c>
      <c r="M48" s="27">
        <f ca="1">K48/$Q$5/SQRT(1-'Dźwignia I'!A48)</f>
        <v>-0.68035148050959127</v>
      </c>
      <c r="N48" s="27">
        <f t="shared" ca="1" si="4"/>
        <v>0.82483421395428991</v>
      </c>
      <c r="AE48" s="9">
        <v>47</v>
      </c>
      <c r="AF48" s="1">
        <f t="shared" si="5"/>
        <v>-0.10710367006204979</v>
      </c>
      <c r="AG48" s="10">
        <f t="shared" si="10"/>
        <v>-0.13027336978853044</v>
      </c>
    </row>
    <row r="49" spans="1:33" x14ac:dyDescent="0.25">
      <c r="A49" s="28">
        <v>48</v>
      </c>
      <c r="B49" s="59">
        <v>1</v>
      </c>
      <c r="C49" s="28">
        <v>4.5999999999999996</v>
      </c>
      <c r="D49" s="28">
        <v>3.2</v>
      </c>
      <c r="E49" s="28">
        <v>0.2</v>
      </c>
      <c r="F49" s="28">
        <f t="shared" si="1"/>
        <v>1</v>
      </c>
      <c r="G49" s="60">
        <f t="shared" si="2"/>
        <v>0</v>
      </c>
      <c r="H49" s="27" t="s">
        <v>5</v>
      </c>
      <c r="I49" s="70">
        <v>1.4</v>
      </c>
      <c r="J49" s="27">
        <f t="shared" si="3"/>
        <v>1.2286068276415569</v>
      </c>
      <c r="K49" s="27">
        <f t="shared" si="9"/>
        <v>-0.17139317235844298</v>
      </c>
      <c r="L49" s="27">
        <v>1.2286068276415463</v>
      </c>
      <c r="M49" s="27">
        <f ca="1">K49/$Q$5/SQRT(1-'Dźwignia I'!A49)</f>
        <v>-0.66069516099563219</v>
      </c>
      <c r="N49" s="27">
        <f t="shared" ca="1" si="4"/>
        <v>0.81283156988125915</v>
      </c>
      <c r="AE49" s="9">
        <v>48</v>
      </c>
      <c r="AF49" s="1">
        <f t="shared" si="5"/>
        <v>-0.10637634300512744</v>
      </c>
      <c r="AG49" s="10">
        <f t="shared" si="10"/>
        <v>-0.12533149261088936</v>
      </c>
    </row>
    <row r="50" spans="1:33" x14ac:dyDescent="0.25">
      <c r="A50" s="28">
        <v>49</v>
      </c>
      <c r="B50" s="59">
        <v>1</v>
      </c>
      <c r="C50" s="28">
        <v>5.3</v>
      </c>
      <c r="D50" s="28">
        <v>3.7</v>
      </c>
      <c r="E50" s="28">
        <v>0.2</v>
      </c>
      <c r="F50" s="28">
        <f t="shared" si="1"/>
        <v>1</v>
      </c>
      <c r="G50" s="60">
        <f t="shared" si="2"/>
        <v>0</v>
      </c>
      <c r="H50" s="27" t="s">
        <v>5</v>
      </c>
      <c r="I50" s="70">
        <v>1.5</v>
      </c>
      <c r="J50" s="27">
        <f t="shared" si="3"/>
        <v>1.5639491068265132</v>
      </c>
      <c r="K50" s="27">
        <f t="shared" si="9"/>
        <v>6.3949106826513225E-2</v>
      </c>
      <c r="L50" s="27">
        <v>1.5639491068265861</v>
      </c>
      <c r="M50" s="27">
        <f ca="1">K50/$Q$5/SQRT(1-'Dźwignia I'!A50)</f>
        <v>0.24689359290142557</v>
      </c>
      <c r="N50" s="27">
        <f t="shared" ca="1" si="4"/>
        <v>0.49688388271448852</v>
      </c>
      <c r="AE50" s="9">
        <v>49</v>
      </c>
      <c r="AF50" s="1">
        <f t="shared" si="5"/>
        <v>-0.10146813766488183</v>
      </c>
      <c r="AG50" s="10">
        <f t="shared" si="10"/>
        <v>-0.12043356909580478</v>
      </c>
    </row>
    <row r="51" spans="1:33" x14ac:dyDescent="0.25">
      <c r="A51" s="28">
        <v>50</v>
      </c>
      <c r="B51" s="59">
        <v>1</v>
      </c>
      <c r="C51" s="28">
        <v>5</v>
      </c>
      <c r="D51" s="28">
        <v>3.3</v>
      </c>
      <c r="E51" s="28">
        <v>0.2</v>
      </c>
      <c r="F51" s="28">
        <f t="shared" si="1"/>
        <v>1</v>
      </c>
      <c r="G51" s="60">
        <f t="shared" si="2"/>
        <v>0</v>
      </c>
      <c r="H51" s="27" t="s">
        <v>5</v>
      </c>
      <c r="I51" s="70">
        <v>1.4</v>
      </c>
      <c r="J51" s="27">
        <f t="shared" si="3"/>
        <v>1.4537567958956357</v>
      </c>
      <c r="K51" s="27">
        <f t="shared" si="9"/>
        <v>5.3756795895635756E-2</v>
      </c>
      <c r="L51" s="27">
        <v>1.4537567958956967</v>
      </c>
      <c r="M51" s="27">
        <f ca="1">K51/$Q$5/SQRT(1-'Dźwignia I'!A51)</f>
        <v>0.20683103567821545</v>
      </c>
      <c r="N51" s="27">
        <f t="shared" ca="1" si="4"/>
        <v>0.45478680244507474</v>
      </c>
      <c r="AE51" s="9">
        <v>50</v>
      </c>
      <c r="AF51" s="1">
        <f t="shared" si="5"/>
        <v>-9.8768079375196827E-2</v>
      </c>
      <c r="AG51" s="10">
        <f t="shared" si="10"/>
        <v>-0.1155771510762592</v>
      </c>
    </row>
    <row r="52" spans="1:33" x14ac:dyDescent="0.25">
      <c r="A52" s="28">
        <v>51</v>
      </c>
      <c r="B52" s="59">
        <v>1</v>
      </c>
      <c r="C52" s="28">
        <v>7</v>
      </c>
      <c r="D52" s="28">
        <v>3.2</v>
      </c>
      <c r="E52" s="28">
        <v>1.4</v>
      </c>
      <c r="F52" s="28">
        <f t="shared" si="1"/>
        <v>0</v>
      </c>
      <c r="G52" s="60">
        <f t="shared" si="2"/>
        <v>1</v>
      </c>
      <c r="H52" s="27" t="s">
        <v>6</v>
      </c>
      <c r="I52" s="70">
        <v>4.7</v>
      </c>
      <c r="J52" s="27">
        <f t="shared" si="3"/>
        <v>4.8738574371573291</v>
      </c>
      <c r="K52" s="27">
        <f t="shared" si="9"/>
        <v>0.17385743715732893</v>
      </c>
      <c r="L52" s="27">
        <v>4.873857437157266</v>
      </c>
      <c r="M52" s="27">
        <f ca="1">K52/$Q$5/SQRT(1-'Dźwignia I'!A52)</f>
        <v>0.67936352126320232</v>
      </c>
      <c r="N52" s="27">
        <f t="shared" ca="1" si="4"/>
        <v>0.82423511285506534</v>
      </c>
      <c r="AE52" s="9">
        <v>51</v>
      </c>
      <c r="AF52" s="1">
        <f t="shared" si="5"/>
        <v>-9.4892411251136011E-2</v>
      </c>
      <c r="AG52" s="10">
        <f t="shared" si="10"/>
        <v>-0.11075990865800941</v>
      </c>
    </row>
    <row r="53" spans="1:33" x14ac:dyDescent="0.25">
      <c r="A53" s="28">
        <v>52</v>
      </c>
      <c r="B53" s="59">
        <v>1</v>
      </c>
      <c r="C53" s="28">
        <v>6.4</v>
      </c>
      <c r="D53" s="28">
        <v>3.2</v>
      </c>
      <c r="E53" s="28">
        <v>1.5</v>
      </c>
      <c r="F53" s="28">
        <f t="shared" si="1"/>
        <v>0</v>
      </c>
      <c r="G53" s="60">
        <f t="shared" si="2"/>
        <v>1</v>
      </c>
      <c r="H53" s="27" t="s">
        <v>6</v>
      </c>
      <c r="I53" s="70">
        <v>4.5</v>
      </c>
      <c r="J53" s="27">
        <f t="shared" si="3"/>
        <v>4.5692760950848266</v>
      </c>
      <c r="K53" s="27">
        <f t="shared" si="9"/>
        <v>6.9276095084826572E-2</v>
      </c>
      <c r="L53" s="27">
        <v>4.5692760950848337</v>
      </c>
      <c r="M53" s="27">
        <f ca="1">K53/$Q$5/SQRT(1-'Dźwignia I'!A53)</f>
        <v>0.26797961660497172</v>
      </c>
      <c r="N53" s="27">
        <f t="shared" ca="1" si="4"/>
        <v>0.51766747686615555</v>
      </c>
      <c r="AE53" s="9">
        <v>52</v>
      </c>
      <c r="AF53" s="1">
        <f t="shared" si="5"/>
        <v>-9.4189647733006865E-2</v>
      </c>
      <c r="AG53" s="10">
        <f t="shared" si="10"/>
        <v>-0.10597962041321127</v>
      </c>
    </row>
    <row r="54" spans="1:33" x14ac:dyDescent="0.25">
      <c r="A54" s="28">
        <v>53</v>
      </c>
      <c r="B54" s="59">
        <v>1</v>
      </c>
      <c r="C54" s="28">
        <v>6.9</v>
      </c>
      <c r="D54" s="28">
        <v>3.1</v>
      </c>
      <c r="E54" s="28">
        <v>1.5</v>
      </c>
      <c r="F54" s="28">
        <f t="shared" si="1"/>
        <v>0</v>
      </c>
      <c r="G54" s="60">
        <f t="shared" si="2"/>
        <v>1</v>
      </c>
      <c r="H54" s="27" t="s">
        <v>6</v>
      </c>
      <c r="I54" s="70">
        <v>4.9000000000000004</v>
      </c>
      <c r="J54" s="27">
        <f t="shared" si="3"/>
        <v>4.891331362120666</v>
      </c>
      <c r="K54" s="27">
        <f t="shared" si="9"/>
        <v>-8.6686378793343621E-3</v>
      </c>
      <c r="L54" s="27">
        <v>4.8913313621205852</v>
      </c>
      <c r="M54" s="27">
        <f ca="1">K54/$Q$5/SQRT(1-'Dźwignia I'!A54)</f>
        <v>-3.3747983559245444E-2</v>
      </c>
      <c r="N54" s="27">
        <f t="shared" ca="1" si="4"/>
        <v>0.18370624257015722</v>
      </c>
      <c r="AE54" s="9">
        <v>53</v>
      </c>
      <c r="AF54" s="1">
        <f t="shared" si="5"/>
        <v>-9.2086128480042939E-2</v>
      </c>
      <c r="AG54" s="10">
        <f t="shared" si="10"/>
        <v>-0.10123416445290485</v>
      </c>
    </row>
    <row r="55" spans="1:33" x14ac:dyDescent="0.25">
      <c r="A55" s="28">
        <v>54</v>
      </c>
      <c r="B55" s="59">
        <v>1</v>
      </c>
      <c r="C55" s="28">
        <v>5.5</v>
      </c>
      <c r="D55" s="28">
        <v>2.2999999999999998</v>
      </c>
      <c r="E55" s="28">
        <v>1.3</v>
      </c>
      <c r="F55" s="28">
        <f t="shared" si="1"/>
        <v>0</v>
      </c>
      <c r="G55" s="60">
        <f t="shared" si="2"/>
        <v>1</v>
      </c>
      <c r="H55" s="27" t="s">
        <v>6</v>
      </c>
      <c r="I55" s="70">
        <v>4</v>
      </c>
      <c r="J55" s="27">
        <f t="shared" si="3"/>
        <v>4.0640977904263211</v>
      </c>
      <c r="K55" s="27">
        <f t="shared" si="9"/>
        <v>6.4097790426321133E-2</v>
      </c>
      <c r="L55" s="27">
        <v>4.0640977904263984</v>
      </c>
      <c r="M55" s="27">
        <f ca="1">K55/$Q$5/SQRT(1-'Dźwignia I'!A55)</f>
        <v>0.24845559067754325</v>
      </c>
      <c r="N55" s="27">
        <f t="shared" ca="1" si="4"/>
        <v>0.49845319808136779</v>
      </c>
      <c r="AE55" s="9">
        <v>54</v>
      </c>
      <c r="AF55" s="1">
        <f t="shared" si="5"/>
        <v>-9.1773146494102953E-2</v>
      </c>
      <c r="AG55" s="10">
        <f t="shared" si="10"/>
        <v>-9.6521510278464367E-2</v>
      </c>
    </row>
    <row r="56" spans="1:33" x14ac:dyDescent="0.25">
      <c r="A56" s="28">
        <v>55</v>
      </c>
      <c r="B56" s="59">
        <v>1</v>
      </c>
      <c r="C56" s="28">
        <v>6.5</v>
      </c>
      <c r="D56" s="28">
        <v>2.8</v>
      </c>
      <c r="E56" s="28">
        <v>1.5</v>
      </c>
      <c r="F56" s="28">
        <f t="shared" si="1"/>
        <v>0</v>
      </c>
      <c r="G56" s="60">
        <f t="shared" si="2"/>
        <v>1</v>
      </c>
      <c r="H56" s="27" t="s">
        <v>6</v>
      </c>
      <c r="I56" s="70">
        <v>4.5999999999999996</v>
      </c>
      <c r="J56" s="27">
        <f t="shared" si="3"/>
        <v>4.7022861109494674</v>
      </c>
      <c r="K56" s="27">
        <f t="shared" si="9"/>
        <v>0.10228611094946771</v>
      </c>
      <c r="L56" s="27">
        <v>4.702286110949399</v>
      </c>
      <c r="M56" s="27">
        <f ca="1">K56/$Q$5/SQRT(1-'Dźwignia I'!A56)</f>
        <v>0.39614478682992466</v>
      </c>
      <c r="N56" s="27">
        <f t="shared" ca="1" si="4"/>
        <v>0.62940033907674742</v>
      </c>
      <c r="AE56" s="9">
        <v>55</v>
      </c>
      <c r="AF56" s="1">
        <f t="shared" si="5"/>
        <v>-8.6329600122444283E-2</v>
      </c>
      <c r="AG56" s="10">
        <f t="shared" si="10"/>
        <v>-9.1839711324685908E-2</v>
      </c>
    </row>
    <row r="57" spans="1:33" x14ac:dyDescent="0.25">
      <c r="A57" s="28">
        <v>56</v>
      </c>
      <c r="B57" s="59">
        <v>1</v>
      </c>
      <c r="C57" s="28">
        <v>5.7</v>
      </c>
      <c r="D57" s="28">
        <v>2.8</v>
      </c>
      <c r="E57" s="28">
        <v>1.3</v>
      </c>
      <c r="F57" s="28">
        <f t="shared" si="1"/>
        <v>0</v>
      </c>
      <c r="G57" s="60">
        <f t="shared" si="2"/>
        <v>1</v>
      </c>
      <c r="H57" s="27" t="s">
        <v>6</v>
      </c>
      <c r="I57" s="70">
        <v>4.5</v>
      </c>
      <c r="J57" s="27">
        <f t="shared" si="3"/>
        <v>4.0954371611168785</v>
      </c>
      <c r="K57" s="27">
        <f t="shared" si="9"/>
        <v>-0.4045628388831215</v>
      </c>
      <c r="L57" s="27">
        <v>4.095437161116859</v>
      </c>
      <c r="M57" s="27">
        <f ca="1">K57/$Q$5/SQRT(1-'Dźwignia I'!A57)</f>
        <v>-1.5575105872635255</v>
      </c>
      <c r="N57" s="27">
        <f t="shared" ca="1" si="4"/>
        <v>1.2480026391252246</v>
      </c>
      <c r="AE57" s="9">
        <v>56</v>
      </c>
      <c r="AF57" s="1">
        <f t="shared" si="5"/>
        <v>-8.5069842464421619E-2</v>
      </c>
      <c r="AG57" s="10">
        <f t="shared" si="10"/>
        <v>-8.7186898117934175E-2</v>
      </c>
    </row>
    <row r="58" spans="1:33" x14ac:dyDescent="0.25">
      <c r="A58" s="28">
        <v>57</v>
      </c>
      <c r="B58" s="59">
        <v>1</v>
      </c>
      <c r="C58" s="28">
        <v>6.3</v>
      </c>
      <c r="D58" s="28">
        <v>3.3</v>
      </c>
      <c r="E58" s="28">
        <v>1.6</v>
      </c>
      <c r="F58" s="28">
        <f t="shared" si="1"/>
        <v>0</v>
      </c>
      <c r="G58" s="60">
        <f t="shared" si="2"/>
        <v>1</v>
      </c>
      <c r="H58" s="27" t="s">
        <v>6</v>
      </c>
      <c r="I58" s="70">
        <v>4.7</v>
      </c>
      <c r="J58" s="27">
        <f t="shared" si="3"/>
        <v>4.5506453029652825</v>
      </c>
      <c r="K58" s="27">
        <f t="shared" si="9"/>
        <v>-0.14935469703471771</v>
      </c>
      <c r="L58" s="27">
        <v>4.5506453029653402</v>
      </c>
      <c r="M58" s="27">
        <f ca="1">K58/$Q$5/SQRT(1-'Dźwignia I'!A58)</f>
        <v>-0.58025544288036379</v>
      </c>
      <c r="N58" s="27">
        <f t="shared" ca="1" si="4"/>
        <v>0.76174499859228728</v>
      </c>
      <c r="AE58" s="9">
        <v>57</v>
      </c>
      <c r="AF58" s="1">
        <f t="shared" si="5"/>
        <v>-7.7912348492976902E-2</v>
      </c>
      <c r="AG58" s="10">
        <f t="shared" si="10"/>
        <v>-8.2561271981995407E-2</v>
      </c>
    </row>
    <row r="59" spans="1:33" x14ac:dyDescent="0.25">
      <c r="A59" s="28">
        <v>58</v>
      </c>
      <c r="B59" s="59">
        <v>1</v>
      </c>
      <c r="C59" s="28">
        <v>4.9000000000000004</v>
      </c>
      <c r="D59" s="28">
        <v>2.4</v>
      </c>
      <c r="E59" s="28">
        <v>1</v>
      </c>
      <c r="F59" s="28">
        <f t="shared" si="1"/>
        <v>0</v>
      </c>
      <c r="G59" s="60">
        <f t="shared" si="2"/>
        <v>1</v>
      </c>
      <c r="H59" s="27" t="s">
        <v>6</v>
      </c>
      <c r="I59" s="70">
        <v>3.3</v>
      </c>
      <c r="J59" s="27">
        <f t="shared" si="3"/>
        <v>3.500575497329276</v>
      </c>
      <c r="K59" s="27">
        <f t="shared" si="9"/>
        <v>0.20057549732927615</v>
      </c>
      <c r="L59" s="27">
        <v>3.5005754973292893</v>
      </c>
      <c r="M59" s="27">
        <f ca="1">K59/$Q$5/SQRT(1-'Dźwignia I'!A59)</f>
        <v>0.78493772236446535</v>
      </c>
      <c r="N59" s="27">
        <f t="shared" ca="1" si="4"/>
        <v>0.88596711133340911</v>
      </c>
      <c r="AE59" s="9">
        <v>58</v>
      </c>
      <c r="AF59" s="1">
        <f t="shared" si="5"/>
        <v>-7.4777888707639129E-2</v>
      </c>
      <c r="AG59" s="10">
        <f t="shared" si="10"/>
        <v>-7.7961099232210423E-2</v>
      </c>
    </row>
    <row r="60" spans="1:33" x14ac:dyDescent="0.25">
      <c r="A60" s="28">
        <v>59</v>
      </c>
      <c r="B60" s="59">
        <v>1</v>
      </c>
      <c r="C60" s="28">
        <v>6.6</v>
      </c>
      <c r="D60" s="28">
        <v>2.9</v>
      </c>
      <c r="E60" s="28">
        <v>1.3</v>
      </c>
      <c r="F60" s="28">
        <f t="shared" si="1"/>
        <v>0</v>
      </c>
      <c r="G60" s="60">
        <f t="shared" si="2"/>
        <v>1</v>
      </c>
      <c r="H60" s="27" t="s">
        <v>6</v>
      </c>
      <c r="I60" s="70">
        <v>4.5999999999999996</v>
      </c>
      <c r="J60" s="27">
        <f t="shared" si="3"/>
        <v>4.6245900378653557</v>
      </c>
      <c r="K60" s="27">
        <f t="shared" si="9"/>
        <v>2.4590037865356074E-2</v>
      </c>
      <c r="L60" s="27">
        <v>4.6245900378654339</v>
      </c>
      <c r="M60" s="27">
        <f ca="1">K60/$Q$5/SQRT(1-'Dźwignia I'!A60)</f>
        <v>9.5240381570400726E-2</v>
      </c>
      <c r="N60" s="27">
        <f t="shared" ca="1" si="4"/>
        <v>0.30861040418365793</v>
      </c>
      <c r="AE60" s="9">
        <v>59</v>
      </c>
      <c r="AF60" s="1">
        <f t="shared" si="5"/>
        <v>-7.3909439998577797E-2</v>
      </c>
      <c r="AG60" s="10">
        <f t="shared" si="10"/>
        <v>-7.3384705805299544E-2</v>
      </c>
    </row>
    <row r="61" spans="1:33" x14ac:dyDescent="0.25">
      <c r="A61" s="28">
        <v>60</v>
      </c>
      <c r="B61" s="59">
        <v>1</v>
      </c>
      <c r="C61" s="28">
        <v>5.2</v>
      </c>
      <c r="D61" s="28">
        <v>2.7</v>
      </c>
      <c r="E61" s="28">
        <v>1.4</v>
      </c>
      <c r="F61" s="28">
        <f t="shared" si="1"/>
        <v>0</v>
      </c>
      <c r="G61" s="60">
        <f t="shared" si="2"/>
        <v>1</v>
      </c>
      <c r="H61" s="27" t="s">
        <v>6</v>
      </c>
      <c r="I61" s="70">
        <v>3.9</v>
      </c>
      <c r="J61" s="27">
        <f t="shared" si="3"/>
        <v>3.8697087592846957</v>
      </c>
      <c r="K61" s="27">
        <f t="shared" si="9"/>
        <v>-3.0291240715304202E-2</v>
      </c>
      <c r="L61" s="27">
        <v>3.869708759284705</v>
      </c>
      <c r="M61" s="27">
        <f ca="1">K61/$Q$5/SQRT(1-'Dźwignia I'!A61)</f>
        <v>-0.11772218427487606</v>
      </c>
      <c r="N61" s="27">
        <f t="shared" ca="1" si="4"/>
        <v>0.34310666603095319</v>
      </c>
      <c r="AE61" s="9">
        <v>60</v>
      </c>
      <c r="AF61" s="1">
        <f t="shared" si="5"/>
        <v>-7.0939068720362597E-2</v>
      </c>
      <c r="AG61" s="10">
        <f t="shared" si="10"/>
        <v>-6.8830472278192154E-2</v>
      </c>
    </row>
    <row r="62" spans="1:33" x14ac:dyDescent="0.25">
      <c r="A62" s="28">
        <v>61</v>
      </c>
      <c r="B62" s="59">
        <v>1</v>
      </c>
      <c r="C62" s="28">
        <v>5</v>
      </c>
      <c r="D62" s="28">
        <v>2</v>
      </c>
      <c r="E62" s="28">
        <v>1</v>
      </c>
      <c r="F62" s="28">
        <f t="shared" si="1"/>
        <v>0</v>
      </c>
      <c r="G62" s="60">
        <f t="shared" si="2"/>
        <v>1</v>
      </c>
      <c r="H62" s="27" t="s">
        <v>6</v>
      </c>
      <c r="I62" s="70">
        <v>3.5</v>
      </c>
      <c r="J62" s="27">
        <f t="shared" si="3"/>
        <v>3.6335855131939168</v>
      </c>
      <c r="K62" s="27">
        <f t="shared" si="9"/>
        <v>0.13358551319391676</v>
      </c>
      <c r="L62" s="27">
        <v>3.6335855131939394</v>
      </c>
      <c r="M62" s="27">
        <f ca="1">K62/$Q$5/SQRT(1-'Dźwignia I'!A62)</f>
        <v>0.52448545135462266</v>
      </c>
      <c r="N62" s="27">
        <f t="shared" ca="1" si="4"/>
        <v>0.72421367796709191</v>
      </c>
      <c r="AE62" s="9">
        <v>61</v>
      </c>
      <c r="AF62" s="1">
        <f t="shared" si="5"/>
        <v>-6.4295562645804827E-2</v>
      </c>
      <c r="AG62" s="10">
        <f t="shared" si="10"/>
        <v>-6.4296829234283412E-2</v>
      </c>
    </row>
    <row r="63" spans="1:33" x14ac:dyDescent="0.25">
      <c r="A63" s="28">
        <v>62</v>
      </c>
      <c r="B63" s="59">
        <v>1</v>
      </c>
      <c r="C63" s="28">
        <v>5.9</v>
      </c>
      <c r="D63" s="28">
        <v>3</v>
      </c>
      <c r="E63" s="28">
        <v>1.5</v>
      </c>
      <c r="F63" s="28">
        <f t="shared" si="1"/>
        <v>0</v>
      </c>
      <c r="G63" s="60">
        <f t="shared" si="2"/>
        <v>1</v>
      </c>
      <c r="H63" s="27" t="s">
        <v>6</v>
      </c>
      <c r="I63" s="70">
        <v>4.2</v>
      </c>
      <c r="J63" s="27">
        <f t="shared" si="3"/>
        <v>4.3013779036733091</v>
      </c>
      <c r="K63" s="27">
        <f t="shared" si="9"/>
        <v>0.1013779036733089</v>
      </c>
      <c r="L63" s="27">
        <v>4.3013779036733206</v>
      </c>
      <c r="M63" s="27">
        <f ca="1">K63/$Q$5/SQRT(1-'Dźwignia I'!A63)</f>
        <v>0.39140285778997458</v>
      </c>
      <c r="N63" s="27">
        <f t="shared" ca="1" si="4"/>
        <v>0.62562197674791975</v>
      </c>
      <c r="AE63" s="9">
        <v>62</v>
      </c>
      <c r="AF63" s="1">
        <f t="shared" si="5"/>
        <v>-5.3525028015833698E-2</v>
      </c>
      <c r="AG63" s="10">
        <f t="shared" si="10"/>
        <v>-5.9782252939965037E-2</v>
      </c>
    </row>
    <row r="64" spans="1:33" x14ac:dyDescent="0.25">
      <c r="A64" s="28">
        <v>63</v>
      </c>
      <c r="B64" s="59">
        <v>1</v>
      </c>
      <c r="C64" s="28">
        <v>6</v>
      </c>
      <c r="D64" s="28">
        <v>2.2000000000000002</v>
      </c>
      <c r="E64" s="28">
        <v>1</v>
      </c>
      <c r="F64" s="28">
        <f t="shared" si="1"/>
        <v>0</v>
      </c>
      <c r="G64" s="60">
        <f t="shared" si="2"/>
        <v>1</v>
      </c>
      <c r="H64" s="27" t="s">
        <v>6</v>
      </c>
      <c r="I64" s="70">
        <v>4</v>
      </c>
      <c r="J64" s="27">
        <f t="shared" si="3"/>
        <v>4.2054866130998336</v>
      </c>
      <c r="K64" s="27">
        <f t="shared" si="9"/>
        <v>0.20548661309983363</v>
      </c>
      <c r="L64" s="27">
        <v>4.2054866130997315</v>
      </c>
      <c r="M64" s="27">
        <f ca="1">K64/$Q$5/SQRT(1-'Dźwignia I'!A64)</f>
        <v>0.80551885386626565</v>
      </c>
      <c r="N64" s="27">
        <f t="shared" ca="1" si="4"/>
        <v>0.8975070216250487</v>
      </c>
      <c r="AE64" s="9">
        <v>63</v>
      </c>
      <c r="AF64" s="1">
        <f t="shared" si="5"/>
        <v>-5.3525028015833698E-2</v>
      </c>
      <c r="AG64" s="10">
        <f t="shared" si="10"/>
        <v>-5.5285261298118046E-2</v>
      </c>
    </row>
    <row r="65" spans="1:33" x14ac:dyDescent="0.25">
      <c r="A65" s="28">
        <v>64</v>
      </c>
      <c r="B65" s="59">
        <v>1</v>
      </c>
      <c r="C65" s="28">
        <v>6.1</v>
      </c>
      <c r="D65" s="28">
        <v>2.9</v>
      </c>
      <c r="E65" s="28">
        <v>1.4</v>
      </c>
      <c r="F65" s="28">
        <f t="shared" si="1"/>
        <v>0</v>
      </c>
      <c r="G65" s="60">
        <f t="shared" si="2"/>
        <v>1</v>
      </c>
      <c r="H65" s="27" t="s">
        <v>6</v>
      </c>
      <c r="I65" s="70">
        <v>4.7</v>
      </c>
      <c r="J65" s="27">
        <f t="shared" si="3"/>
        <v>4.3808092774917329</v>
      </c>
      <c r="K65" s="27">
        <f t="shared" si="9"/>
        <v>-0.3191907225082673</v>
      </c>
      <c r="L65" s="27">
        <v>4.3808092774917622</v>
      </c>
      <c r="M65" s="27">
        <f ca="1">K65/$Q$5/SQRT(1-'Dźwignia I'!A65)</f>
        <v>-1.2281005122301065</v>
      </c>
      <c r="N65" s="27">
        <f t="shared" ca="1" si="4"/>
        <v>1.1081969645465135</v>
      </c>
      <c r="AE65" s="9">
        <v>64</v>
      </c>
      <c r="AF65" s="1">
        <f t="shared" si="5"/>
        <v>-4.385126640425363E-2</v>
      </c>
      <c r="AG65" s="10">
        <f t="shared" si="10"/>
        <v>-5.0804410048589703E-2</v>
      </c>
    </row>
    <row r="66" spans="1:33" x14ac:dyDescent="0.25">
      <c r="A66" s="28">
        <v>65</v>
      </c>
      <c r="B66" s="59">
        <v>1</v>
      </c>
      <c r="C66" s="28">
        <v>5.6</v>
      </c>
      <c r="D66" s="28">
        <v>2.9</v>
      </c>
      <c r="E66" s="28">
        <v>1.3</v>
      </c>
      <c r="F66" s="28">
        <f t="shared" si="1"/>
        <v>0</v>
      </c>
      <c r="G66" s="60">
        <f t="shared" si="2"/>
        <v>1</v>
      </c>
      <c r="H66" s="27" t="s">
        <v>6</v>
      </c>
      <c r="I66" s="70">
        <v>3.6</v>
      </c>
      <c r="J66" s="27">
        <f t="shared" si="3"/>
        <v>4.0165842208765588</v>
      </c>
      <c r="K66" s="27">
        <f t="shared" ref="K66:K97" si="11">(J66-I66)</f>
        <v>0.41658422087655866</v>
      </c>
      <c r="L66" s="27">
        <v>4.0165842208765685</v>
      </c>
      <c r="M66" s="27">
        <f ca="1">K66/$Q$5/SQRT(1-'Dźwignia I'!A66)</f>
        <v>1.6084430046013205</v>
      </c>
      <c r="N66" s="27">
        <f t="shared" ca="1" si="4"/>
        <v>1.268244063499341</v>
      </c>
      <c r="AE66" s="9">
        <v>65</v>
      </c>
      <c r="AF66" s="1">
        <f t="shared" si="5"/>
        <v>-3.0291240715304202E-2</v>
      </c>
      <c r="AG66" s="10">
        <f t="shared" ref="AG66:AG97" si="12">_xlfn.NORM.INV((AE66-1/2)/150,0,$Q$5)</f>
        <v>-4.6338289188572357E-2</v>
      </c>
    </row>
    <row r="67" spans="1:33" x14ac:dyDescent="0.25">
      <c r="A67" s="28">
        <v>66</v>
      </c>
      <c r="B67" s="59">
        <v>1</v>
      </c>
      <c r="C67" s="28">
        <v>6.7</v>
      </c>
      <c r="D67" s="28">
        <v>3.1</v>
      </c>
      <c r="E67" s="28">
        <v>1.4</v>
      </c>
      <c r="F67" s="28">
        <f t="shared" ref="F67:F130" si="13">IF(H67="setosa",1,0)</f>
        <v>0</v>
      </c>
      <c r="G67" s="60">
        <f t="shared" ref="G67:G130" si="14">IF(H67="versicolor",1,0)</f>
        <v>1</v>
      </c>
      <c r="H67" s="27" t="s">
        <v>6</v>
      </c>
      <c r="I67" s="70">
        <v>4.4000000000000004</v>
      </c>
      <c r="J67" s="27">
        <f t="shared" ref="J67:J130" si="15">G67*$W$15+F67*$W$14+E67*$W$13+D67*$W$12+C67*$W$11+$W$10</f>
        <v>4.7095080506021301</v>
      </c>
      <c r="K67" s="27">
        <f t="shared" si="11"/>
        <v>0.30950805060212971</v>
      </c>
      <c r="L67" s="27">
        <v>4.7095080506021239</v>
      </c>
      <c r="M67" s="27">
        <f ca="1">K67/$Q$5/SQRT(1-'Dźwignia I'!A67)</f>
        <v>1.1997715606283768</v>
      </c>
      <c r="N67" s="27">
        <f t="shared" ref="N67:N130" ca="1" si="16">SQRT(ABS(M67))</f>
        <v>1.0953408422168767</v>
      </c>
      <c r="AE67" s="9">
        <v>66</v>
      </c>
      <c r="AF67" s="1">
        <f t="shared" ref="AF67:AF130" si="17">SMALL($K$2:$K$151,AE67)</f>
        <v>-2.6107452001668641E-2</v>
      </c>
      <c r="AG67" s="10">
        <f t="shared" si="12"/>
        <v>-4.1885519588319139E-2</v>
      </c>
    </row>
    <row r="68" spans="1:33" x14ac:dyDescent="0.25">
      <c r="A68" s="28">
        <v>67</v>
      </c>
      <c r="B68" s="59">
        <v>1</v>
      </c>
      <c r="C68" s="28">
        <v>5.6</v>
      </c>
      <c r="D68" s="28">
        <v>3</v>
      </c>
      <c r="E68" s="28">
        <v>1.5</v>
      </c>
      <c r="F68" s="28">
        <f t="shared" si="13"/>
        <v>0</v>
      </c>
      <c r="G68" s="60">
        <f t="shared" si="14"/>
        <v>1</v>
      </c>
      <c r="H68" s="27" t="s">
        <v>6</v>
      </c>
      <c r="I68" s="70">
        <v>4.5</v>
      </c>
      <c r="J68" s="27">
        <f t="shared" si="15"/>
        <v>4.1189761585766691</v>
      </c>
      <c r="K68" s="27">
        <f t="shared" si="11"/>
        <v>-0.3810238414233309</v>
      </c>
      <c r="L68" s="27">
        <v>4.1189761585766487</v>
      </c>
      <c r="M68" s="27">
        <f ca="1">K68/$Q$5/SQRT(1-'Dźwignia I'!A68)</f>
        <v>-1.4779459078112309</v>
      </c>
      <c r="N68" s="27">
        <f t="shared" ca="1" si="16"/>
        <v>1.2157079862414457</v>
      </c>
      <c r="AE68" s="9">
        <v>67</v>
      </c>
      <c r="AF68" s="1">
        <f t="shared" si="17"/>
        <v>-2.1093235850285552E-2</v>
      </c>
      <c r="AG68" s="10">
        <f t="shared" si="12"/>
        <v>-3.7444749779812402E-2</v>
      </c>
    </row>
    <row r="69" spans="1:33" x14ac:dyDescent="0.25">
      <c r="A69" s="28">
        <v>68</v>
      </c>
      <c r="B69" s="59">
        <v>1</v>
      </c>
      <c r="C69" s="28">
        <v>5.8</v>
      </c>
      <c r="D69" s="28">
        <v>2.7</v>
      </c>
      <c r="E69" s="28">
        <v>1</v>
      </c>
      <c r="F69" s="28">
        <f t="shared" si="13"/>
        <v>0</v>
      </c>
      <c r="G69" s="60">
        <f t="shared" si="14"/>
        <v>1</v>
      </c>
      <c r="H69" s="27" t="s">
        <v>6</v>
      </c>
      <c r="I69" s="70">
        <v>4.0999999999999996</v>
      </c>
      <c r="J69" s="27">
        <f t="shared" si="15"/>
        <v>3.9936236569948722</v>
      </c>
      <c r="K69" s="27">
        <f t="shared" si="11"/>
        <v>-0.10637634300512744</v>
      </c>
      <c r="L69" s="27">
        <v>3.993623656994937</v>
      </c>
      <c r="M69" s="27">
        <f ca="1">K69/$Q$5/SQRT(1-'Dźwignia I'!A69)</f>
        <v>-0.41321722460069227</v>
      </c>
      <c r="N69" s="27">
        <f t="shared" ca="1" si="16"/>
        <v>0.64281974503020067</v>
      </c>
      <c r="AE69" s="9">
        <v>68</v>
      </c>
      <c r="AF69" s="1">
        <f t="shared" si="17"/>
        <v>-1.548226699191102E-2</v>
      </c>
      <c r="AG69" s="10">
        <f t="shared" si="12"/>
        <v>-3.3014652897892974E-2</v>
      </c>
    </row>
    <row r="70" spans="1:33" x14ac:dyDescent="0.25">
      <c r="A70" s="28">
        <v>69</v>
      </c>
      <c r="B70" s="59">
        <v>1</v>
      </c>
      <c r="C70" s="28">
        <v>6.2</v>
      </c>
      <c r="D70" s="28">
        <v>2.2000000000000002</v>
      </c>
      <c r="E70" s="28">
        <v>1.5</v>
      </c>
      <c r="F70" s="28">
        <f t="shared" si="13"/>
        <v>0</v>
      </c>
      <c r="G70" s="60">
        <f t="shared" si="14"/>
        <v>1</v>
      </c>
      <c r="H70" s="27" t="s">
        <v>6</v>
      </c>
      <c r="I70" s="70">
        <v>4.5</v>
      </c>
      <c r="J70" s="27">
        <f t="shared" si="15"/>
        <v>4.6281985171014712</v>
      </c>
      <c r="K70" s="27">
        <f t="shared" si="11"/>
        <v>0.12819851710147123</v>
      </c>
      <c r="L70" s="27">
        <v>4.6281985171014108</v>
      </c>
      <c r="M70" s="27">
        <f ca="1">K70/$Q$5/SQRT(1-'Dźwignia I'!A70)</f>
        <v>0.50754089548405235</v>
      </c>
      <c r="N70" s="27">
        <f t="shared" ca="1" si="16"/>
        <v>0.71241904486338115</v>
      </c>
      <c r="AE70" s="9">
        <v>69</v>
      </c>
      <c r="AF70" s="1">
        <f t="shared" si="17"/>
        <v>-1.0592590659562973E-2</v>
      </c>
      <c r="AG70" s="10">
        <f t="shared" si="12"/>
        <v>-2.8593923754990286E-2</v>
      </c>
    </row>
    <row r="71" spans="1:33" x14ac:dyDescent="0.25">
      <c r="A71" s="28">
        <v>70</v>
      </c>
      <c r="B71" s="59">
        <v>1</v>
      </c>
      <c r="C71" s="28">
        <v>5.6</v>
      </c>
      <c r="D71" s="28">
        <v>2.5</v>
      </c>
      <c r="E71" s="28">
        <v>1.1000000000000001</v>
      </c>
      <c r="F71" s="28">
        <f t="shared" si="13"/>
        <v>0</v>
      </c>
      <c r="G71" s="60">
        <f t="shared" si="14"/>
        <v>1</v>
      </c>
      <c r="H71" s="27" t="s">
        <v>6</v>
      </c>
      <c r="I71" s="70">
        <v>3.9</v>
      </c>
      <c r="J71" s="27">
        <f t="shared" si="15"/>
        <v>3.9683493588007686</v>
      </c>
      <c r="K71" s="27">
        <f t="shared" si="11"/>
        <v>6.8349358800768645E-2</v>
      </c>
      <c r="L71" s="27">
        <v>3.9683493588007188</v>
      </c>
      <c r="M71" s="27">
        <f ca="1">K71/$Q$5/SQRT(1-'Dźwignia I'!A71)</f>
        <v>0.26402398903591767</v>
      </c>
      <c r="N71" s="27">
        <f t="shared" ca="1" si="16"/>
        <v>0.51383264691523611</v>
      </c>
      <c r="AE71" s="9">
        <v>70</v>
      </c>
      <c r="AF71" s="1">
        <f t="shared" si="17"/>
        <v>-8.6686378793343621E-3</v>
      </c>
      <c r="AG71" s="10">
        <f t="shared" si="12"/>
        <v>-2.4181276031999613E-2</v>
      </c>
    </row>
    <row r="72" spans="1:33" x14ac:dyDescent="0.25">
      <c r="A72" s="28">
        <v>71</v>
      </c>
      <c r="B72" s="59">
        <v>1</v>
      </c>
      <c r="C72" s="28">
        <v>5.9</v>
      </c>
      <c r="D72" s="28">
        <v>3.2</v>
      </c>
      <c r="E72" s="28">
        <v>1.8</v>
      </c>
      <c r="F72" s="28">
        <f t="shared" si="13"/>
        <v>0</v>
      </c>
      <c r="G72" s="60">
        <f t="shared" si="14"/>
        <v>1</v>
      </c>
      <c r="H72" s="27" t="s">
        <v>6</v>
      </c>
      <c r="I72" s="70">
        <v>4.8</v>
      </c>
      <c r="J72" s="27">
        <f t="shared" si="15"/>
        <v>4.445939630952755</v>
      </c>
      <c r="K72" s="27">
        <f t="shared" si="11"/>
        <v>-0.35406036904724481</v>
      </c>
      <c r="L72" s="27">
        <v>4.4459396309527106</v>
      </c>
      <c r="M72" s="27">
        <f ca="1">K72/$Q$5/SQRT(1-'Dźwignia I'!A72)</f>
        <v>-1.3947098548805894</v>
      </c>
      <c r="N72" s="27">
        <f t="shared" ca="1" si="16"/>
        <v>1.1809783464909887</v>
      </c>
      <c r="AE72" s="9">
        <v>71</v>
      </c>
      <c r="AF72" s="1">
        <f t="shared" si="17"/>
        <v>-8.4630705459769473E-3</v>
      </c>
      <c r="AG72" s="10">
        <f t="shared" si="12"/>
        <v>-1.9775439569051641E-2</v>
      </c>
    </row>
    <row r="73" spans="1:33" x14ac:dyDescent="0.25">
      <c r="A73" s="28">
        <v>72</v>
      </c>
      <c r="B73" s="59">
        <v>1</v>
      </c>
      <c r="C73" s="28">
        <v>6.1</v>
      </c>
      <c r="D73" s="28">
        <v>2.8</v>
      </c>
      <c r="E73" s="28">
        <v>1.3</v>
      </c>
      <c r="F73" s="28">
        <f t="shared" si="13"/>
        <v>0</v>
      </c>
      <c r="G73" s="60">
        <f t="shared" si="14"/>
        <v>1</v>
      </c>
      <c r="H73" s="27" t="s">
        <v>6</v>
      </c>
      <c r="I73" s="70">
        <v>4</v>
      </c>
      <c r="J73" s="27">
        <f t="shared" si="15"/>
        <v>4.3386394879123973</v>
      </c>
      <c r="K73" s="27">
        <f t="shared" si="11"/>
        <v>0.33863948791239729</v>
      </c>
      <c r="L73" s="27">
        <v>4.3386394879124737</v>
      </c>
      <c r="M73" s="27">
        <f ca="1">K73/$Q$5/SQRT(1-'Dźwignia I'!A73)</f>
        <v>1.3027931767438286</v>
      </c>
      <c r="N73" s="27">
        <f t="shared" ca="1" si="16"/>
        <v>1.1413996568879055</v>
      </c>
      <c r="AE73" s="9">
        <v>72</v>
      </c>
      <c r="AF73" s="1">
        <f t="shared" si="17"/>
        <v>-4.7761780431576639E-3</v>
      </c>
      <c r="AG73" s="10">
        <f t="shared" si="12"/>
        <v>-1.5375157740937352E-2</v>
      </c>
    </row>
    <row r="74" spans="1:33" x14ac:dyDescent="0.25">
      <c r="A74" s="28">
        <v>73</v>
      </c>
      <c r="B74" s="59">
        <v>1</v>
      </c>
      <c r="C74" s="28">
        <v>6.3</v>
      </c>
      <c r="D74" s="28">
        <v>2.5</v>
      </c>
      <c r="E74" s="28">
        <v>1.5</v>
      </c>
      <c r="F74" s="28">
        <f t="shared" si="13"/>
        <v>0</v>
      </c>
      <c r="G74" s="60">
        <f t="shared" si="14"/>
        <v>1</v>
      </c>
      <c r="H74" s="27" t="s">
        <v>6</v>
      </c>
      <c r="I74" s="70">
        <v>4.9000000000000004</v>
      </c>
      <c r="J74" s="27">
        <f t="shared" si="15"/>
        <v>4.6348420231760299</v>
      </c>
      <c r="K74" s="27">
        <f t="shared" si="11"/>
        <v>-0.26515797682397046</v>
      </c>
      <c r="L74" s="27">
        <v>4.6348420231760912</v>
      </c>
      <c r="M74" s="27">
        <f ca="1">K74/$Q$5/SQRT(1-'Dźwignia I'!A74)</f>
        <v>-1.033350711566053</v>
      </c>
      <c r="N74" s="27">
        <f t="shared" ca="1" si="16"/>
        <v>1.0165385932496871</v>
      </c>
      <c r="AE74" s="9">
        <v>73</v>
      </c>
      <c r="AF74" s="1">
        <f t="shared" si="17"/>
        <v>-4.5628388831211453E-3</v>
      </c>
      <c r="AG74" s="10">
        <f t="shared" si="12"/>
        <v>-1.0979184902801245E-2</v>
      </c>
    </row>
    <row r="75" spans="1:33" x14ac:dyDescent="0.25">
      <c r="A75" s="28">
        <v>74</v>
      </c>
      <c r="B75" s="59">
        <v>1</v>
      </c>
      <c r="C75" s="28">
        <v>6.1</v>
      </c>
      <c r="D75" s="28">
        <v>2.8</v>
      </c>
      <c r="E75" s="28">
        <v>1.2</v>
      </c>
      <c r="F75" s="28">
        <f t="shared" si="13"/>
        <v>0</v>
      </c>
      <c r="G75" s="60">
        <f t="shared" si="14"/>
        <v>1</v>
      </c>
      <c r="H75" s="27" t="s">
        <v>6</v>
      </c>
      <c r="I75" s="70">
        <v>4.7</v>
      </c>
      <c r="J75" s="27">
        <f t="shared" si="15"/>
        <v>4.2784173397916216</v>
      </c>
      <c r="K75" s="27">
        <f t="shared" si="11"/>
        <v>-0.42158266020837853</v>
      </c>
      <c r="L75" s="27">
        <v>4.2784173397916758</v>
      </c>
      <c r="M75" s="27">
        <f ca="1">K75/$Q$5/SQRT(1-'Dźwignia I'!A75)</f>
        <v>-1.6252039551017317</v>
      </c>
      <c r="N75" s="27">
        <f t="shared" ca="1" si="16"/>
        <v>1.2748348736607937</v>
      </c>
      <c r="AE75" s="9">
        <v>74</v>
      </c>
      <c r="AF75" s="1">
        <f t="shared" si="17"/>
        <v>-3.4949809469251303E-3</v>
      </c>
      <c r="AG75" s="10">
        <f t="shared" si="12"/>
        <v>-6.5862838924127705E-3</v>
      </c>
    </row>
    <row r="76" spans="1:33" x14ac:dyDescent="0.25">
      <c r="A76" s="28">
        <v>75</v>
      </c>
      <c r="B76" s="59">
        <v>1</v>
      </c>
      <c r="C76" s="28">
        <v>6.4</v>
      </c>
      <c r="D76" s="28">
        <v>2.9</v>
      </c>
      <c r="E76" s="28">
        <v>1.3</v>
      </c>
      <c r="F76" s="28">
        <f t="shared" si="13"/>
        <v>0</v>
      </c>
      <c r="G76" s="60">
        <f t="shared" si="14"/>
        <v>1</v>
      </c>
      <c r="H76" s="27" t="s">
        <v>6</v>
      </c>
      <c r="I76" s="70">
        <v>4.3</v>
      </c>
      <c r="J76" s="27">
        <f t="shared" si="15"/>
        <v>4.5029888744675963</v>
      </c>
      <c r="K76" s="27">
        <f t="shared" si="11"/>
        <v>0.2029888744675965</v>
      </c>
      <c r="L76" s="27">
        <v>4.5029888744677189</v>
      </c>
      <c r="M76" s="27">
        <f ca="1">K76/$Q$5/SQRT(1-'Dźwignia I'!A76)</f>
        <v>0.783342172310598</v>
      </c>
      <c r="N76" s="27">
        <f t="shared" ca="1" si="16"/>
        <v>0.88506619656983732</v>
      </c>
      <c r="AE76" s="9">
        <v>75</v>
      </c>
      <c r="AF76" s="1">
        <f t="shared" si="17"/>
        <v>-3.4552223798263171E-3</v>
      </c>
      <c r="AG76" s="10">
        <f t="shared" si="12"/>
        <v>-2.1952235758831151E-3</v>
      </c>
    </row>
    <row r="77" spans="1:33" x14ac:dyDescent="0.25">
      <c r="A77" s="28">
        <v>76</v>
      </c>
      <c r="B77" s="59">
        <v>1</v>
      </c>
      <c r="C77" s="28">
        <v>6.6</v>
      </c>
      <c r="D77" s="28">
        <v>3</v>
      </c>
      <c r="E77" s="28">
        <v>1.4</v>
      </c>
      <c r="F77" s="28">
        <f t="shared" si="13"/>
        <v>0</v>
      </c>
      <c r="G77" s="60">
        <f t="shared" si="14"/>
        <v>1</v>
      </c>
      <c r="H77" s="27" t="s">
        <v>6</v>
      </c>
      <c r="I77" s="70">
        <v>4.4000000000000004</v>
      </c>
      <c r="J77" s="27">
        <f t="shared" si="15"/>
        <v>4.6667598274446913</v>
      </c>
      <c r="K77" s="27">
        <f t="shared" si="11"/>
        <v>0.26675982744469096</v>
      </c>
      <c r="L77" s="27">
        <v>4.6667598274447553</v>
      </c>
      <c r="M77" s="27">
        <f ca="1">K77/$Q$5/SQRT(1-'Dźwignia I'!A77)</f>
        <v>1.0316855274277301</v>
      </c>
      <c r="N77" s="27">
        <f t="shared" ca="1" si="16"/>
        <v>1.0157192168250684</v>
      </c>
      <c r="AE77" s="9">
        <v>76</v>
      </c>
      <c r="AF77" s="1">
        <f t="shared" si="17"/>
        <v>-4.0027972868528217E-4</v>
      </c>
      <c r="AG77" s="10">
        <f t="shared" si="12"/>
        <v>2.1952235758830783E-3</v>
      </c>
    </row>
    <row r="78" spans="1:33" x14ac:dyDescent="0.25">
      <c r="A78" s="28">
        <v>77</v>
      </c>
      <c r="B78" s="59">
        <v>1</v>
      </c>
      <c r="C78" s="28">
        <v>6.8</v>
      </c>
      <c r="D78" s="28">
        <v>2.8</v>
      </c>
      <c r="E78" s="28">
        <v>1.4</v>
      </c>
      <c r="F78" s="28">
        <f t="shared" si="13"/>
        <v>0</v>
      </c>
      <c r="G78" s="60">
        <f t="shared" si="14"/>
        <v>1</v>
      </c>
      <c r="H78" s="27" t="s">
        <v>6</v>
      </c>
      <c r="I78" s="70">
        <v>4.8</v>
      </c>
      <c r="J78" s="27">
        <f t="shared" si="15"/>
        <v>4.8244657079253308</v>
      </c>
      <c r="K78" s="27">
        <f t="shared" si="11"/>
        <v>2.4465707925330982E-2</v>
      </c>
      <c r="L78" s="27">
        <v>4.8244657079254258</v>
      </c>
      <c r="M78" s="27">
        <f ca="1">K78/$Q$5/SQRT(1-'Dźwignia I'!A78)</f>
        <v>9.5304520643996748E-2</v>
      </c>
      <c r="N78" s="27">
        <f t="shared" ca="1" si="16"/>
        <v>0.30871430262298627</v>
      </c>
      <c r="AE78" s="9">
        <v>77</v>
      </c>
      <c r="AF78" s="1">
        <f t="shared" si="17"/>
        <v>3.1697546868327819E-3</v>
      </c>
      <c r="AG78" s="10">
        <f t="shared" si="12"/>
        <v>6.5862838924127705E-3</v>
      </c>
    </row>
    <row r="79" spans="1:33" x14ac:dyDescent="0.25">
      <c r="A79" s="28">
        <v>78</v>
      </c>
      <c r="B79" s="59">
        <v>1</v>
      </c>
      <c r="C79" s="28">
        <v>6.7</v>
      </c>
      <c r="D79" s="28">
        <v>3</v>
      </c>
      <c r="E79" s="28">
        <v>1.7</v>
      </c>
      <c r="F79" s="28">
        <f t="shared" si="13"/>
        <v>0</v>
      </c>
      <c r="G79" s="60">
        <f t="shared" si="14"/>
        <v>1</v>
      </c>
      <c r="H79" s="27" t="s">
        <v>6</v>
      </c>
      <c r="I79" s="70">
        <v>5</v>
      </c>
      <c r="J79" s="27">
        <f t="shared" si="15"/>
        <v>4.908226853505897</v>
      </c>
      <c r="K79" s="27">
        <f t="shared" si="11"/>
        <v>-9.1773146494102953E-2</v>
      </c>
      <c r="L79" s="27">
        <v>4.9082268535059352</v>
      </c>
      <c r="M79" s="27">
        <f ca="1">K79/$Q$5/SQRT(1-'Dźwignia I'!A79)</f>
        <v>-0.35855418371514847</v>
      </c>
      <c r="N79" s="27">
        <f t="shared" ca="1" si="16"/>
        <v>0.59879394094725813</v>
      </c>
      <c r="AE79" s="9">
        <v>78</v>
      </c>
      <c r="AF79" s="1">
        <f t="shared" si="17"/>
        <v>4.1993814727048218E-3</v>
      </c>
      <c r="AG79" s="10">
        <f t="shared" si="12"/>
        <v>1.0979184902801281E-2</v>
      </c>
    </row>
    <row r="80" spans="1:33" x14ac:dyDescent="0.25">
      <c r="A80" s="28">
        <v>79</v>
      </c>
      <c r="B80" s="59">
        <v>1</v>
      </c>
      <c r="C80" s="28">
        <v>6</v>
      </c>
      <c r="D80" s="28">
        <v>2.9</v>
      </c>
      <c r="E80" s="28">
        <v>1.5</v>
      </c>
      <c r="F80" s="28">
        <f t="shared" si="13"/>
        <v>0</v>
      </c>
      <c r="G80" s="60">
        <f t="shared" si="14"/>
        <v>1</v>
      </c>
      <c r="H80" s="27" t="s">
        <v>6</v>
      </c>
      <c r="I80" s="70">
        <v>4.5</v>
      </c>
      <c r="J80" s="27">
        <f t="shared" si="15"/>
        <v>4.3802308439136288</v>
      </c>
      <c r="K80" s="27">
        <f t="shared" si="11"/>
        <v>-0.11976915608637118</v>
      </c>
      <c r="L80" s="27">
        <v>4.3802308439135533</v>
      </c>
      <c r="M80" s="27">
        <f ca="1">K80/$Q$5/SQRT(1-'Dźwignia I'!A80)</f>
        <v>-0.46172989157188921</v>
      </c>
      <c r="N80" s="27">
        <f t="shared" ca="1" si="16"/>
        <v>0.67950709457068159</v>
      </c>
      <c r="AE80" s="9">
        <v>79</v>
      </c>
      <c r="AF80" s="1">
        <f t="shared" si="17"/>
        <v>9.0892676840637066E-3</v>
      </c>
      <c r="AG80" s="10">
        <f t="shared" si="12"/>
        <v>1.5375157740937352E-2</v>
      </c>
    </row>
    <row r="81" spans="1:33" x14ac:dyDescent="0.25">
      <c r="A81" s="28">
        <v>80</v>
      </c>
      <c r="B81" s="59">
        <v>1</v>
      </c>
      <c r="C81" s="28">
        <v>5.7</v>
      </c>
      <c r="D81" s="28">
        <v>2.6</v>
      </c>
      <c r="E81" s="28">
        <v>1</v>
      </c>
      <c r="F81" s="28">
        <f t="shared" si="13"/>
        <v>0</v>
      </c>
      <c r="G81" s="60">
        <f t="shared" si="14"/>
        <v>1</v>
      </c>
      <c r="H81" s="27" t="s">
        <v>6</v>
      </c>
      <c r="I81" s="70">
        <v>3.5</v>
      </c>
      <c r="J81" s="27">
        <f t="shared" si="15"/>
        <v>3.9508754338374326</v>
      </c>
      <c r="K81" s="27">
        <f t="shared" si="11"/>
        <v>0.45087543383743256</v>
      </c>
      <c r="L81" s="27">
        <v>3.9508754338373153</v>
      </c>
      <c r="M81" s="27">
        <f ca="1">K81/$Q$5/SQRT(1-'Dźwignia I'!A81)</f>
        <v>1.7495241511074564</v>
      </c>
      <c r="N81" s="27">
        <f t="shared" ca="1" si="16"/>
        <v>1.3226957893285427</v>
      </c>
      <c r="AE81" s="9">
        <v>80</v>
      </c>
      <c r="AF81" s="1">
        <f t="shared" si="17"/>
        <v>1.7449335606025684E-2</v>
      </c>
      <c r="AG81" s="10">
        <f t="shared" si="12"/>
        <v>1.9775439569051641E-2</v>
      </c>
    </row>
    <row r="82" spans="1:33" x14ac:dyDescent="0.25">
      <c r="A82" s="28">
        <v>81</v>
      </c>
      <c r="B82" s="59">
        <v>1</v>
      </c>
      <c r="C82" s="28">
        <v>5.5</v>
      </c>
      <c r="D82" s="28">
        <v>2.4</v>
      </c>
      <c r="E82" s="28">
        <v>1.1000000000000001</v>
      </c>
      <c r="F82" s="28">
        <f t="shared" si="13"/>
        <v>0</v>
      </c>
      <c r="G82" s="60">
        <f t="shared" si="14"/>
        <v>1</v>
      </c>
      <c r="H82" s="27" t="s">
        <v>6</v>
      </c>
      <c r="I82" s="70">
        <v>3.8</v>
      </c>
      <c r="J82" s="27">
        <f t="shared" si="15"/>
        <v>3.9256011356433298</v>
      </c>
      <c r="K82" s="27">
        <f t="shared" si="11"/>
        <v>0.12560113564332998</v>
      </c>
      <c r="L82" s="27">
        <v>3.9256011356433924</v>
      </c>
      <c r="M82" s="27">
        <f ca="1">K82/$Q$5/SQRT(1-'Dźwignia I'!A82)</f>
        <v>0.48576694183625718</v>
      </c>
      <c r="N82" s="27">
        <f t="shared" ca="1" si="16"/>
        <v>0.6969698284978032</v>
      </c>
      <c r="AE82" s="9">
        <v>81</v>
      </c>
      <c r="AF82" s="1">
        <f t="shared" si="17"/>
        <v>2.4465707925330982E-2</v>
      </c>
      <c r="AG82" s="10">
        <f t="shared" si="12"/>
        <v>2.4181276031999571E-2</v>
      </c>
    </row>
    <row r="83" spans="1:33" x14ac:dyDescent="0.25">
      <c r="A83" s="28">
        <v>82</v>
      </c>
      <c r="B83" s="59">
        <v>1</v>
      </c>
      <c r="C83" s="28">
        <v>5.5</v>
      </c>
      <c r="D83" s="28">
        <v>2.4</v>
      </c>
      <c r="E83" s="28">
        <v>1</v>
      </c>
      <c r="F83" s="28">
        <f t="shared" si="13"/>
        <v>0</v>
      </c>
      <c r="G83" s="60">
        <f t="shared" si="14"/>
        <v>1</v>
      </c>
      <c r="H83" s="27" t="s">
        <v>6</v>
      </c>
      <c r="I83" s="70">
        <v>3.7</v>
      </c>
      <c r="J83" s="27">
        <f t="shared" si="15"/>
        <v>3.8653789875225542</v>
      </c>
      <c r="K83" s="27">
        <f t="shared" si="11"/>
        <v>0.16537898752255398</v>
      </c>
      <c r="L83" s="27">
        <v>3.8653789875226159</v>
      </c>
      <c r="M83" s="27">
        <f ca="1">K83/$Q$5/SQRT(1-'Dźwignia I'!A83)</f>
        <v>0.64191152730644829</v>
      </c>
      <c r="N83" s="27">
        <f t="shared" ca="1" si="16"/>
        <v>0.80119381382187937</v>
      </c>
      <c r="AE83" s="9">
        <v>82</v>
      </c>
      <c r="AF83" s="1">
        <f t="shared" si="17"/>
        <v>2.4590037865356074E-2</v>
      </c>
      <c r="AG83" s="10">
        <f t="shared" si="12"/>
        <v>2.8593923754990286E-2</v>
      </c>
    </row>
    <row r="84" spans="1:33" x14ac:dyDescent="0.25">
      <c r="A84" s="28">
        <v>83</v>
      </c>
      <c r="B84" s="59">
        <v>1</v>
      </c>
      <c r="C84" s="28">
        <v>5.8</v>
      </c>
      <c r="D84" s="28">
        <v>2.7</v>
      </c>
      <c r="E84" s="28">
        <v>1.2</v>
      </c>
      <c r="F84" s="28">
        <f t="shared" si="13"/>
        <v>0</v>
      </c>
      <c r="G84" s="60">
        <f t="shared" si="14"/>
        <v>1</v>
      </c>
      <c r="H84" s="27" t="s">
        <v>6</v>
      </c>
      <c r="I84" s="70">
        <v>3.9</v>
      </c>
      <c r="J84" s="27">
        <f t="shared" si="15"/>
        <v>4.1140679532364226</v>
      </c>
      <c r="K84" s="27">
        <f t="shared" si="11"/>
        <v>0.21406795323642269</v>
      </c>
      <c r="L84" s="27">
        <v>4.114067953236491</v>
      </c>
      <c r="M84" s="27">
        <f ca="1">K84/$Q$5/SQRT(1-'Dźwignia I'!A84)</f>
        <v>0.82419980653438785</v>
      </c>
      <c r="N84" s="27">
        <f t="shared" ca="1" si="16"/>
        <v>0.90785450736028617</v>
      </c>
      <c r="AE84" s="9">
        <v>83</v>
      </c>
      <c r="AF84" s="1">
        <f t="shared" si="17"/>
        <v>2.7993073343440145E-2</v>
      </c>
      <c r="AG84" s="10">
        <f t="shared" si="12"/>
        <v>3.3014652897893008E-2</v>
      </c>
    </row>
    <row r="85" spans="1:33" x14ac:dyDescent="0.25">
      <c r="A85" s="28">
        <v>84</v>
      </c>
      <c r="B85" s="59">
        <v>1</v>
      </c>
      <c r="C85" s="28">
        <v>6</v>
      </c>
      <c r="D85" s="28">
        <v>2.7</v>
      </c>
      <c r="E85" s="28">
        <v>1.6</v>
      </c>
      <c r="F85" s="28">
        <f t="shared" si="13"/>
        <v>0</v>
      </c>
      <c r="G85" s="60">
        <f t="shared" si="14"/>
        <v>1</v>
      </c>
      <c r="H85" s="27" t="s">
        <v>6</v>
      </c>
      <c r="I85" s="70">
        <v>5.0999999999999996</v>
      </c>
      <c r="J85" s="27">
        <f t="shared" si="15"/>
        <v>4.4765577091172855</v>
      </c>
      <c r="K85" s="27">
        <f t="shared" si="11"/>
        <v>-0.62344229088271419</v>
      </c>
      <c r="L85" s="27">
        <v>4.4765577091171957</v>
      </c>
      <c r="M85" s="27">
        <f ca="1">K85/$Q$5/SQRT(1-'Dźwignia I'!A85)</f>
        <v>-2.4197627895007372</v>
      </c>
      <c r="N85" s="27">
        <f t="shared" ca="1" si="16"/>
        <v>1.5555586743998882</v>
      </c>
      <c r="AE85" s="9">
        <v>84</v>
      </c>
      <c r="AF85" s="1">
        <f t="shared" si="17"/>
        <v>3.925324221051496E-2</v>
      </c>
      <c r="AG85" s="10">
        <f t="shared" si="12"/>
        <v>3.7444749779812402E-2</v>
      </c>
    </row>
    <row r="86" spans="1:33" x14ac:dyDescent="0.25">
      <c r="A86" s="28">
        <v>85</v>
      </c>
      <c r="B86" s="59">
        <v>1</v>
      </c>
      <c r="C86" s="28">
        <v>5.4</v>
      </c>
      <c r="D86" s="28">
        <v>3</v>
      </c>
      <c r="E86" s="28">
        <v>1.5</v>
      </c>
      <c r="F86" s="28">
        <f t="shared" si="13"/>
        <v>0</v>
      </c>
      <c r="G86" s="60">
        <f t="shared" si="14"/>
        <v>1</v>
      </c>
      <c r="H86" s="27" t="s">
        <v>6</v>
      </c>
      <c r="I86" s="70">
        <v>4.5</v>
      </c>
      <c r="J86" s="27">
        <f t="shared" si="15"/>
        <v>3.9973749951789097</v>
      </c>
      <c r="K86" s="27">
        <f t="shared" si="11"/>
        <v>-0.50262500482109029</v>
      </c>
      <c r="L86" s="27">
        <v>3.9973749951789346</v>
      </c>
      <c r="M86" s="27">
        <f ca="1">K86/$Q$5/SQRT(1-'Dźwignia I'!A86)</f>
        <v>-1.9594902184656176</v>
      </c>
      <c r="N86" s="27">
        <f t="shared" ca="1" si="16"/>
        <v>1.3998179233263224</v>
      </c>
      <c r="AE86" s="9">
        <v>85</v>
      </c>
      <c r="AF86" s="1">
        <f t="shared" si="17"/>
        <v>4.6534856242973044E-2</v>
      </c>
      <c r="AG86" s="10">
        <f t="shared" si="12"/>
        <v>4.1885519588319139E-2</v>
      </c>
    </row>
    <row r="87" spans="1:33" x14ac:dyDescent="0.25">
      <c r="A87" s="28">
        <v>86</v>
      </c>
      <c r="B87" s="59">
        <v>1</v>
      </c>
      <c r="C87" s="28">
        <v>6</v>
      </c>
      <c r="D87" s="28">
        <v>3.4</v>
      </c>
      <c r="E87" s="28">
        <v>1.6</v>
      </c>
      <c r="F87" s="28">
        <f t="shared" si="13"/>
        <v>0</v>
      </c>
      <c r="G87" s="60">
        <f t="shared" si="14"/>
        <v>1</v>
      </c>
      <c r="H87" s="27" t="s">
        <v>6</v>
      </c>
      <c r="I87" s="70">
        <v>4.5</v>
      </c>
      <c r="J87" s="27">
        <f t="shared" si="15"/>
        <v>4.3501911993272024</v>
      </c>
      <c r="K87" s="27">
        <f t="shared" si="11"/>
        <v>-0.14980880067279756</v>
      </c>
      <c r="L87" s="27">
        <v>4.350191199327047</v>
      </c>
      <c r="M87" s="27">
        <f ca="1">K87/$Q$5/SQRT(1-'Dźwignia I'!A87)</f>
        <v>-0.58614501232729577</v>
      </c>
      <c r="N87" s="27">
        <f t="shared" ca="1" si="16"/>
        <v>0.76560107910536268</v>
      </c>
      <c r="AE87" s="9">
        <v>86</v>
      </c>
      <c r="AF87" s="1">
        <f t="shared" si="17"/>
        <v>4.7113289821077986E-2</v>
      </c>
      <c r="AG87" s="10">
        <f t="shared" si="12"/>
        <v>4.6338289188572315E-2</v>
      </c>
    </row>
    <row r="88" spans="1:33" x14ac:dyDescent="0.25">
      <c r="A88" s="28">
        <v>87</v>
      </c>
      <c r="B88" s="59">
        <v>1</v>
      </c>
      <c r="C88" s="28">
        <v>6.7</v>
      </c>
      <c r="D88" s="28">
        <v>3.1</v>
      </c>
      <c r="E88" s="28">
        <v>1.5</v>
      </c>
      <c r="F88" s="28">
        <f t="shared" si="13"/>
        <v>0</v>
      </c>
      <c r="G88" s="60">
        <f t="shared" si="14"/>
        <v>1</v>
      </c>
      <c r="H88" s="27" t="s">
        <v>6</v>
      </c>
      <c r="I88" s="70">
        <v>4.7</v>
      </c>
      <c r="J88" s="27">
        <f t="shared" si="15"/>
        <v>4.7697301987229057</v>
      </c>
      <c r="K88" s="27">
        <f t="shared" si="11"/>
        <v>6.9730198722905534E-2</v>
      </c>
      <c r="L88" s="27">
        <v>4.7697301987228666</v>
      </c>
      <c r="M88" s="27">
        <f ca="1">K88/$Q$5/SQRT(1-'Dźwignia I'!A88)</f>
        <v>0.27029327125686142</v>
      </c>
      <c r="N88" s="27">
        <f t="shared" ca="1" si="16"/>
        <v>0.51989736607994219</v>
      </c>
      <c r="AE88" s="9">
        <v>87</v>
      </c>
      <c r="AF88" s="1">
        <f t="shared" si="17"/>
        <v>5.3756795895635756E-2</v>
      </c>
      <c r="AG88" s="10">
        <f t="shared" si="12"/>
        <v>5.0804410048589703E-2</v>
      </c>
    </row>
    <row r="89" spans="1:33" x14ac:dyDescent="0.25">
      <c r="A89" s="28">
        <v>88</v>
      </c>
      <c r="B89" s="59">
        <v>1</v>
      </c>
      <c r="C89" s="28">
        <v>6.3</v>
      </c>
      <c r="D89" s="28">
        <v>2.2999999999999998</v>
      </c>
      <c r="E89" s="28">
        <v>1.3</v>
      </c>
      <c r="F89" s="28">
        <f t="shared" si="13"/>
        <v>0</v>
      </c>
      <c r="G89" s="60">
        <f t="shared" si="14"/>
        <v>1</v>
      </c>
      <c r="H89" s="27" t="s">
        <v>6</v>
      </c>
      <c r="I89" s="70">
        <v>4.4000000000000004</v>
      </c>
      <c r="J89" s="27">
        <f t="shared" si="15"/>
        <v>4.5505024440173596</v>
      </c>
      <c r="K89" s="27">
        <f t="shared" si="11"/>
        <v>0.15050244401735924</v>
      </c>
      <c r="L89" s="27">
        <v>4.5505024440174546</v>
      </c>
      <c r="M89" s="27">
        <f ca="1">K89/$Q$5/SQRT(1-'Dźwignia I'!A89)</f>
        <v>0.58879457515448441</v>
      </c>
      <c r="N89" s="27">
        <f t="shared" ca="1" si="16"/>
        <v>0.76732950885163043</v>
      </c>
      <c r="AE89" s="9">
        <v>88</v>
      </c>
      <c r="AF89" s="1">
        <f t="shared" si="17"/>
        <v>5.8540671295857161E-2</v>
      </c>
      <c r="AG89" s="10">
        <f t="shared" si="12"/>
        <v>5.5285261298118088E-2</v>
      </c>
    </row>
    <row r="90" spans="1:33" x14ac:dyDescent="0.25">
      <c r="A90" s="28">
        <v>89</v>
      </c>
      <c r="B90" s="59">
        <v>1</v>
      </c>
      <c r="C90" s="28">
        <v>5.6</v>
      </c>
      <c r="D90" s="28">
        <v>3</v>
      </c>
      <c r="E90" s="28">
        <v>1.3</v>
      </c>
      <c r="F90" s="28">
        <f t="shared" si="13"/>
        <v>0</v>
      </c>
      <c r="G90" s="60">
        <f t="shared" si="14"/>
        <v>1</v>
      </c>
      <c r="H90" s="27" t="s">
        <v>6</v>
      </c>
      <c r="I90" s="70">
        <v>4.0999999999999996</v>
      </c>
      <c r="J90" s="27">
        <f t="shared" si="15"/>
        <v>3.9985318623351178</v>
      </c>
      <c r="K90" s="27">
        <f t="shared" si="11"/>
        <v>-0.10146813766488183</v>
      </c>
      <c r="L90" s="27">
        <v>3.9985318623351427</v>
      </c>
      <c r="M90" s="27">
        <f ca="1">K90/$Q$5/SQRT(1-'Dźwignia I'!A90)</f>
        <v>-0.39285248164133546</v>
      </c>
      <c r="N90" s="27">
        <f t="shared" ca="1" si="16"/>
        <v>0.62677945215309627</v>
      </c>
      <c r="AE90" s="9">
        <v>89</v>
      </c>
      <c r="AF90" s="1">
        <f t="shared" si="17"/>
        <v>6.2792239670305117E-2</v>
      </c>
      <c r="AG90" s="10">
        <f t="shared" si="12"/>
        <v>5.9782252939964996E-2</v>
      </c>
    </row>
    <row r="91" spans="1:33" x14ac:dyDescent="0.25">
      <c r="A91" s="28">
        <v>90</v>
      </c>
      <c r="B91" s="59">
        <v>1</v>
      </c>
      <c r="C91" s="28">
        <v>5.5</v>
      </c>
      <c r="D91" s="28">
        <v>2.5</v>
      </c>
      <c r="E91" s="28">
        <v>1.3</v>
      </c>
      <c r="F91" s="28">
        <f t="shared" si="13"/>
        <v>0</v>
      </c>
      <c r="G91" s="60">
        <f t="shared" si="14"/>
        <v>1</v>
      </c>
      <c r="H91" s="27" t="s">
        <v>6</v>
      </c>
      <c r="I91" s="70">
        <v>4</v>
      </c>
      <c r="J91" s="27">
        <f t="shared" si="15"/>
        <v>4.0279930733434401</v>
      </c>
      <c r="K91" s="27">
        <f t="shared" si="11"/>
        <v>2.7993073343440145E-2</v>
      </c>
      <c r="L91" s="27">
        <v>4.0279930733435245</v>
      </c>
      <c r="M91" s="27">
        <f ca="1">K91/$Q$5/SQRT(1-'Dźwignia I'!A91)</f>
        <v>0.10801066725218399</v>
      </c>
      <c r="N91" s="27">
        <f t="shared" ca="1" si="16"/>
        <v>0.32864976380971883</v>
      </c>
      <c r="AE91" s="9">
        <v>90</v>
      </c>
      <c r="AF91" s="1">
        <f t="shared" si="17"/>
        <v>6.3949106826513225E-2</v>
      </c>
      <c r="AG91" s="10">
        <f t="shared" si="12"/>
        <v>6.4296829234283412E-2</v>
      </c>
    </row>
    <row r="92" spans="1:33" x14ac:dyDescent="0.25">
      <c r="A92" s="28">
        <v>91</v>
      </c>
      <c r="B92" s="59">
        <v>1</v>
      </c>
      <c r="C92" s="28">
        <v>5.5</v>
      </c>
      <c r="D92" s="28">
        <v>2.6</v>
      </c>
      <c r="E92" s="28">
        <v>1.2</v>
      </c>
      <c r="F92" s="28">
        <f t="shared" si="13"/>
        <v>0</v>
      </c>
      <c r="G92" s="60">
        <f t="shared" si="14"/>
        <v>1</v>
      </c>
      <c r="H92" s="27" t="s">
        <v>6</v>
      </c>
      <c r="I92" s="70">
        <v>4.4000000000000004</v>
      </c>
      <c r="J92" s="27">
        <f t="shared" si="15"/>
        <v>3.9497185666812245</v>
      </c>
      <c r="K92" s="27">
        <f t="shared" si="11"/>
        <v>-0.4502814333187759</v>
      </c>
      <c r="L92" s="27">
        <v>3.9497185666812666</v>
      </c>
      <c r="M92" s="27">
        <f ca="1">K92/$Q$5/SQRT(1-'Dźwignia I'!A92)</f>
        <v>-1.7362804156370768</v>
      </c>
      <c r="N92" s="27">
        <f t="shared" ca="1" si="16"/>
        <v>1.317679936721007</v>
      </c>
      <c r="AE92" s="9">
        <v>91</v>
      </c>
      <c r="AF92" s="1">
        <f t="shared" si="17"/>
        <v>6.4097790426321133E-2</v>
      </c>
      <c r="AG92" s="10">
        <f t="shared" si="12"/>
        <v>6.8830472278192195E-2</v>
      </c>
    </row>
    <row r="93" spans="1:33" x14ac:dyDescent="0.25">
      <c r="A93" s="28">
        <v>92</v>
      </c>
      <c r="B93" s="59">
        <v>1</v>
      </c>
      <c r="C93" s="28">
        <v>6.1</v>
      </c>
      <c r="D93" s="28">
        <v>3</v>
      </c>
      <c r="E93" s="28">
        <v>1.4</v>
      </c>
      <c r="F93" s="28">
        <f t="shared" si="13"/>
        <v>0</v>
      </c>
      <c r="G93" s="60">
        <f t="shared" si="14"/>
        <v>1</v>
      </c>
      <c r="H93" s="27" t="s">
        <v>6</v>
      </c>
      <c r="I93" s="70">
        <v>4.5999999999999996</v>
      </c>
      <c r="J93" s="27">
        <f t="shared" si="15"/>
        <v>4.3627569189502919</v>
      </c>
      <c r="K93" s="27">
        <f t="shared" si="11"/>
        <v>-0.2372430810497077</v>
      </c>
      <c r="L93" s="27">
        <v>4.3627569189502813</v>
      </c>
      <c r="M93" s="27">
        <f ca="1">K93/$Q$5/SQRT(1-'Dźwignia I'!A93)</f>
        <v>-0.91364177378187206</v>
      </c>
      <c r="N93" s="27">
        <f t="shared" ca="1" si="16"/>
        <v>0.95584610360762157</v>
      </c>
      <c r="AE93" s="9">
        <v>92</v>
      </c>
      <c r="AF93" s="1">
        <f t="shared" si="17"/>
        <v>6.7043598165741791E-2</v>
      </c>
      <c r="AG93" s="10">
        <f t="shared" si="12"/>
        <v>7.3384705805299544E-2</v>
      </c>
    </row>
    <row r="94" spans="1:33" x14ac:dyDescent="0.25">
      <c r="A94" s="28">
        <v>93</v>
      </c>
      <c r="B94" s="59">
        <v>1</v>
      </c>
      <c r="C94" s="28">
        <v>5.8</v>
      </c>
      <c r="D94" s="28">
        <v>2.6</v>
      </c>
      <c r="E94" s="28">
        <v>1.2</v>
      </c>
      <c r="F94" s="28">
        <f t="shared" si="13"/>
        <v>0</v>
      </c>
      <c r="G94" s="60">
        <f t="shared" si="14"/>
        <v>1</v>
      </c>
      <c r="H94" s="27" t="s">
        <v>6</v>
      </c>
      <c r="I94" s="70">
        <v>4</v>
      </c>
      <c r="J94" s="27">
        <f t="shared" si="15"/>
        <v>4.1321203117778635</v>
      </c>
      <c r="K94" s="27">
        <f t="shared" si="11"/>
        <v>0.13212031177786354</v>
      </c>
      <c r="L94" s="27">
        <v>4.1321203117778813</v>
      </c>
      <c r="M94" s="27">
        <f ca="1">K94/$Q$5/SQRT(1-'Dźwignia I'!A94)</f>
        <v>0.5087647159391081</v>
      </c>
      <c r="N94" s="27">
        <f t="shared" ca="1" si="16"/>
        <v>0.71327744667773429</v>
      </c>
      <c r="AE94" s="9">
        <v>93</v>
      </c>
      <c r="AF94" s="1">
        <f t="shared" si="17"/>
        <v>6.8349358800768645E-2</v>
      </c>
      <c r="AG94" s="10">
        <f t="shared" si="12"/>
        <v>7.7961099232210465E-2</v>
      </c>
    </row>
    <row r="95" spans="1:33" x14ac:dyDescent="0.25">
      <c r="A95" s="28">
        <v>94</v>
      </c>
      <c r="B95" s="59">
        <v>1</v>
      </c>
      <c r="C95" s="28">
        <v>5</v>
      </c>
      <c r="D95" s="28">
        <v>2.2999999999999998</v>
      </c>
      <c r="E95" s="28">
        <v>1</v>
      </c>
      <c r="F95" s="28">
        <f t="shared" si="13"/>
        <v>0</v>
      </c>
      <c r="G95" s="60">
        <f t="shared" si="14"/>
        <v>1</v>
      </c>
      <c r="H95" s="27" t="s">
        <v>6</v>
      </c>
      <c r="I95" s="70">
        <v>3.3</v>
      </c>
      <c r="J95" s="27">
        <f t="shared" si="15"/>
        <v>3.5794284375695957</v>
      </c>
      <c r="K95" s="27">
        <f t="shared" si="11"/>
        <v>0.2794284375695959</v>
      </c>
      <c r="L95" s="27">
        <v>3.5794284375696366</v>
      </c>
      <c r="M95" s="27">
        <f ca="1">K95/$Q$5/SQRT(1-'Dźwignia I'!A95)</f>
        <v>1.0908761881181352</v>
      </c>
      <c r="N95" s="27">
        <f t="shared" ca="1" si="16"/>
        <v>1.0444501846034282</v>
      </c>
      <c r="AE95" s="9">
        <v>94</v>
      </c>
      <c r="AF95" s="1">
        <f t="shared" si="17"/>
        <v>6.9276095084826572E-2</v>
      </c>
      <c r="AG95" s="10">
        <f t="shared" si="12"/>
        <v>8.2561271981995366E-2</v>
      </c>
    </row>
    <row r="96" spans="1:33" x14ac:dyDescent="0.25">
      <c r="A96" s="28">
        <v>95</v>
      </c>
      <c r="B96" s="59">
        <v>1</v>
      </c>
      <c r="C96" s="28">
        <v>5.6</v>
      </c>
      <c r="D96" s="28">
        <v>2.7</v>
      </c>
      <c r="E96" s="28">
        <v>1.3</v>
      </c>
      <c r="F96" s="28">
        <f t="shared" si="13"/>
        <v>0</v>
      </c>
      <c r="G96" s="60">
        <f t="shared" si="14"/>
        <v>1</v>
      </c>
      <c r="H96" s="27" t="s">
        <v>6</v>
      </c>
      <c r="I96" s="70">
        <v>4.2</v>
      </c>
      <c r="J96" s="27">
        <f t="shared" si="15"/>
        <v>4.0526889379594389</v>
      </c>
      <c r="K96" s="27">
        <f t="shared" si="11"/>
        <v>-0.14731106204056132</v>
      </c>
      <c r="L96" s="27">
        <v>4.052688937959374</v>
      </c>
      <c r="M96" s="27">
        <f ca="1">K96/$Q$5/SQRT(1-'Dźwignia I'!A96)</f>
        <v>-0.5672938187971247</v>
      </c>
      <c r="N96" s="27">
        <f t="shared" ca="1" si="16"/>
        <v>0.75318909896328468</v>
      </c>
      <c r="AE96" s="9">
        <v>95</v>
      </c>
      <c r="AF96" s="1">
        <f t="shared" si="17"/>
        <v>6.9730198722905534E-2</v>
      </c>
      <c r="AG96" s="10">
        <f t="shared" si="12"/>
        <v>8.7186898117934175E-2</v>
      </c>
    </row>
    <row r="97" spans="1:33" x14ac:dyDescent="0.25">
      <c r="A97" s="28">
        <v>96</v>
      </c>
      <c r="B97" s="59">
        <v>1</v>
      </c>
      <c r="C97" s="28">
        <v>5.7</v>
      </c>
      <c r="D97" s="28">
        <v>3</v>
      </c>
      <c r="E97" s="28">
        <v>1.2</v>
      </c>
      <c r="F97" s="28">
        <f t="shared" si="13"/>
        <v>0</v>
      </c>
      <c r="G97" s="60">
        <f t="shared" si="14"/>
        <v>1</v>
      </c>
      <c r="H97" s="27" t="s">
        <v>6</v>
      </c>
      <c r="I97" s="70">
        <v>4.2</v>
      </c>
      <c r="J97" s="27">
        <f t="shared" si="15"/>
        <v>3.9991102959132219</v>
      </c>
      <c r="K97" s="27">
        <f t="shared" si="11"/>
        <v>-0.20088970408677831</v>
      </c>
      <c r="L97" s="27">
        <v>3.9991102959131974</v>
      </c>
      <c r="M97" s="27">
        <f ca="1">K97/$Q$5/SQRT(1-'Dźwignia I'!A97)</f>
        <v>-0.77846384768897015</v>
      </c>
      <c r="N97" s="27">
        <f t="shared" ca="1" si="16"/>
        <v>0.88230598302911345</v>
      </c>
      <c r="AE97" s="9">
        <v>96</v>
      </c>
      <c r="AF97" s="1">
        <f t="shared" si="17"/>
        <v>7.8452660511634909E-2</v>
      </c>
      <c r="AG97" s="10">
        <f t="shared" si="12"/>
        <v>9.1839711324685963E-2</v>
      </c>
    </row>
    <row r="98" spans="1:33" x14ac:dyDescent="0.25">
      <c r="A98" s="28">
        <v>97</v>
      </c>
      <c r="B98" s="59">
        <v>1</v>
      </c>
      <c r="C98" s="28">
        <v>5.7</v>
      </c>
      <c r="D98" s="28">
        <v>2.9</v>
      </c>
      <c r="E98" s="28">
        <v>1.3</v>
      </c>
      <c r="F98" s="28">
        <f t="shared" si="13"/>
        <v>0</v>
      </c>
      <c r="G98" s="60">
        <f t="shared" si="14"/>
        <v>1</v>
      </c>
      <c r="H98" s="27" t="s">
        <v>6</v>
      </c>
      <c r="I98" s="70">
        <v>4.2</v>
      </c>
      <c r="J98" s="27">
        <f t="shared" si="15"/>
        <v>4.0773848025754384</v>
      </c>
      <c r="K98" s="27">
        <f t="shared" ref="K98:K129" si="18">(J98-I98)</f>
        <v>-0.12261519742456173</v>
      </c>
      <c r="L98" s="27">
        <v>4.0773848025754331</v>
      </c>
      <c r="M98" s="27">
        <f ca="1">K98/$Q$5/SQRT(1-'Dźwignia I'!A98)</f>
        <v>-0.47276788559132166</v>
      </c>
      <c r="N98" s="27">
        <f t="shared" ca="1" si="16"/>
        <v>0.68758118472753571</v>
      </c>
      <c r="AE98" s="9">
        <v>97</v>
      </c>
      <c r="AF98" s="1">
        <f t="shared" si="17"/>
        <v>8.138771106983711E-2</v>
      </c>
      <c r="AG98" s="10">
        <f t="shared" ref="AG98:AG129" si="19">_xlfn.NORM.INV((AE98-1/2)/150,0,$Q$5)</f>
        <v>9.6521510278464367E-2</v>
      </c>
    </row>
    <row r="99" spans="1:33" x14ac:dyDescent="0.25">
      <c r="A99" s="28">
        <v>98</v>
      </c>
      <c r="B99" s="59">
        <v>1</v>
      </c>
      <c r="C99" s="28">
        <v>6.2</v>
      </c>
      <c r="D99" s="28">
        <v>2.9</v>
      </c>
      <c r="E99" s="28">
        <v>1.3</v>
      </c>
      <c r="F99" s="28">
        <f t="shared" si="13"/>
        <v>0</v>
      </c>
      <c r="G99" s="60">
        <f t="shared" si="14"/>
        <v>1</v>
      </c>
      <c r="H99" s="27" t="s">
        <v>6</v>
      </c>
      <c r="I99" s="70">
        <v>4.3</v>
      </c>
      <c r="J99" s="27">
        <f t="shared" si="15"/>
        <v>4.3813877110698369</v>
      </c>
      <c r="K99" s="27">
        <f t="shared" si="18"/>
        <v>8.138771106983711E-2</v>
      </c>
      <c r="L99" s="27">
        <v>4.3813877110698449</v>
      </c>
      <c r="M99" s="27">
        <f ca="1">K99/$Q$5/SQRT(1-'Dźwignia I'!A99)</f>
        <v>0.31341246992665645</v>
      </c>
      <c r="N99" s="27">
        <f t="shared" ca="1" si="16"/>
        <v>0.55983253739547545</v>
      </c>
      <c r="AE99" s="9">
        <v>98</v>
      </c>
      <c r="AF99" s="1">
        <f t="shared" si="17"/>
        <v>8.2001255488942881E-2</v>
      </c>
      <c r="AG99" s="10">
        <f t="shared" si="19"/>
        <v>0.10123416445290485</v>
      </c>
    </row>
    <row r="100" spans="1:33" x14ac:dyDescent="0.25">
      <c r="A100" s="28">
        <v>99</v>
      </c>
      <c r="B100" s="59">
        <v>1</v>
      </c>
      <c r="C100" s="28">
        <v>5.0999999999999996</v>
      </c>
      <c r="D100" s="28">
        <v>2.5</v>
      </c>
      <c r="E100" s="28">
        <v>1.1000000000000001</v>
      </c>
      <c r="F100" s="28">
        <f t="shared" si="13"/>
        <v>0</v>
      </c>
      <c r="G100" s="60">
        <f t="shared" si="14"/>
        <v>1</v>
      </c>
      <c r="H100" s="27" t="s">
        <v>6</v>
      </c>
      <c r="I100" s="70">
        <v>3</v>
      </c>
      <c r="J100" s="27">
        <f t="shared" si="15"/>
        <v>3.6643464503063701</v>
      </c>
      <c r="K100" s="27">
        <f t="shared" si="18"/>
        <v>0.66434645030637007</v>
      </c>
      <c r="L100" s="27">
        <v>3.6643464503063452</v>
      </c>
      <c r="M100" s="27">
        <f ca="1">K100/$Q$5/SQRT(1-'Dźwignia I'!A100)</f>
        <v>2.5815663126011845</v>
      </c>
      <c r="N100" s="27">
        <f t="shared" ca="1" si="16"/>
        <v>1.60672533825828</v>
      </c>
      <c r="AE100" s="9">
        <v>99</v>
      </c>
      <c r="AF100" s="1">
        <f t="shared" si="17"/>
        <v>9.0499620936416392E-2</v>
      </c>
      <c r="AG100" s="10">
        <f t="shared" si="19"/>
        <v>0.10597962041321124</v>
      </c>
    </row>
    <row r="101" spans="1:33" x14ac:dyDescent="0.25">
      <c r="A101" s="28">
        <v>100</v>
      </c>
      <c r="B101" s="59">
        <v>1</v>
      </c>
      <c r="C101" s="28">
        <v>5.7</v>
      </c>
      <c r="D101" s="28">
        <v>2.8</v>
      </c>
      <c r="E101" s="28">
        <v>1.3</v>
      </c>
      <c r="F101" s="28">
        <f t="shared" si="13"/>
        <v>0</v>
      </c>
      <c r="G101" s="60">
        <f t="shared" si="14"/>
        <v>1</v>
      </c>
      <c r="H101" s="27" t="s">
        <v>6</v>
      </c>
      <c r="I101" s="70">
        <v>4.0999999999999996</v>
      </c>
      <c r="J101" s="27">
        <f t="shared" si="15"/>
        <v>4.0954371611168785</v>
      </c>
      <c r="K101" s="27">
        <f t="shared" si="18"/>
        <v>-4.5628388831211453E-3</v>
      </c>
      <c r="L101" s="27">
        <v>4.095437161116859</v>
      </c>
      <c r="M101" s="27">
        <f ca="1">K101/$Q$5/SQRT(1-'Dźwignia I'!A101)</f>
        <v>-1.7566294245062841E-2</v>
      </c>
      <c r="N101" s="27">
        <f t="shared" ca="1" si="16"/>
        <v>0.13253789739188879</v>
      </c>
      <c r="AE101" s="9">
        <v>100</v>
      </c>
      <c r="AF101" s="1">
        <f t="shared" si="17"/>
        <v>0.1013779036733089</v>
      </c>
      <c r="AG101" s="10">
        <f t="shared" si="19"/>
        <v>0.11075990865800941</v>
      </c>
    </row>
    <row r="102" spans="1:33" x14ac:dyDescent="0.25">
      <c r="A102" s="28">
        <v>101</v>
      </c>
      <c r="B102" s="59">
        <v>1</v>
      </c>
      <c r="C102" s="28">
        <v>6.3</v>
      </c>
      <c r="D102" s="28">
        <v>3.3</v>
      </c>
      <c r="E102" s="28">
        <v>2.5</v>
      </c>
      <c r="F102" s="28">
        <f t="shared" si="13"/>
        <v>0</v>
      </c>
      <c r="G102" s="60">
        <f t="shared" si="14"/>
        <v>0</v>
      </c>
      <c r="H102" s="27" t="s">
        <v>7</v>
      </c>
      <c r="I102" s="70">
        <v>6</v>
      </c>
      <c r="J102" s="27">
        <f t="shared" si="15"/>
        <v>5.6034966179545762</v>
      </c>
      <c r="K102" s="27">
        <f t="shared" si="18"/>
        <v>-0.39650338204542379</v>
      </c>
      <c r="L102" s="27">
        <v>5.6034966179546046</v>
      </c>
      <c r="M102" s="27">
        <f ca="1">K102/$Q$5/SQRT(1-'Dźwignia I'!A102)</f>
        <v>-1.5684470095723035</v>
      </c>
      <c r="N102" s="27">
        <f t="shared" ca="1" si="16"/>
        <v>1.252376544643145</v>
      </c>
      <c r="AE102" s="9">
        <v>101</v>
      </c>
      <c r="AF102" s="1">
        <f t="shared" si="17"/>
        <v>0.10228611094946771</v>
      </c>
      <c r="AG102" s="10">
        <f t="shared" si="19"/>
        <v>0.11557715107625925</v>
      </c>
    </row>
    <row r="103" spans="1:33" x14ac:dyDescent="0.25">
      <c r="A103" s="28">
        <v>102</v>
      </c>
      <c r="B103" s="59">
        <v>1</v>
      </c>
      <c r="C103" s="28">
        <v>5.8</v>
      </c>
      <c r="D103" s="28">
        <v>2.7</v>
      </c>
      <c r="E103" s="28">
        <v>1.9</v>
      </c>
      <c r="F103" s="28">
        <f t="shared" si="13"/>
        <v>0</v>
      </c>
      <c r="G103" s="60">
        <f t="shared" si="14"/>
        <v>0</v>
      </c>
      <c r="H103" s="27" t="s">
        <v>7</v>
      </c>
      <c r="I103" s="70">
        <v>5.0999999999999996</v>
      </c>
      <c r="J103" s="27">
        <f t="shared" si="15"/>
        <v>5.0464749719841659</v>
      </c>
      <c r="K103" s="27">
        <f t="shared" si="18"/>
        <v>-5.3525028015833698E-2</v>
      </c>
      <c r="L103" s="27">
        <v>5.0464749719842592</v>
      </c>
      <c r="M103" s="27">
        <f ca="1">K103/$Q$5/SQRT(1-'Dźwignia I'!A103)</f>
        <v>-0.20749468264582915</v>
      </c>
      <c r="N103" s="27">
        <f t="shared" ca="1" si="16"/>
        <v>0.45551584236536619</v>
      </c>
      <c r="AE103" s="9">
        <v>102</v>
      </c>
      <c r="AF103" s="1">
        <f t="shared" si="17"/>
        <v>0.11127846217744519</v>
      </c>
      <c r="AG103" s="10">
        <f t="shared" si="19"/>
        <v>0.12043356909580473</v>
      </c>
    </row>
    <row r="104" spans="1:33" x14ac:dyDescent="0.25">
      <c r="A104" s="28">
        <v>103</v>
      </c>
      <c r="B104" s="59">
        <v>1</v>
      </c>
      <c r="C104" s="28">
        <v>7.1</v>
      </c>
      <c r="D104" s="28">
        <v>3</v>
      </c>
      <c r="E104" s="28">
        <v>2.1</v>
      </c>
      <c r="F104" s="28">
        <f t="shared" si="13"/>
        <v>0</v>
      </c>
      <c r="G104" s="60">
        <f t="shared" si="14"/>
        <v>0</v>
      </c>
      <c r="H104" s="27" t="s">
        <v>7</v>
      </c>
      <c r="I104" s="70">
        <v>5.9</v>
      </c>
      <c r="J104" s="27">
        <f t="shared" si="15"/>
        <v>5.9031697546868331</v>
      </c>
      <c r="K104" s="27">
        <f t="shared" si="18"/>
        <v>3.1697546868327819E-3</v>
      </c>
      <c r="L104" s="27">
        <v>5.9031697546868509</v>
      </c>
      <c r="M104" s="27">
        <f ca="1">K104/$Q$5/SQRT(1-'Dźwignia I'!A104)</f>
        <v>1.2243149774697721E-2</v>
      </c>
      <c r="N104" s="27">
        <f t="shared" ca="1" si="16"/>
        <v>0.11064876761490713</v>
      </c>
      <c r="AE104" s="9">
        <v>103</v>
      </c>
      <c r="AF104" s="1">
        <f t="shared" si="17"/>
        <v>0.12474968852539337</v>
      </c>
      <c r="AG104" s="10">
        <f t="shared" si="19"/>
        <v>0.12533149261088936</v>
      </c>
    </row>
    <row r="105" spans="1:33" x14ac:dyDescent="0.25">
      <c r="A105" s="28">
        <v>104</v>
      </c>
      <c r="B105" s="59">
        <v>1</v>
      </c>
      <c r="C105" s="28">
        <v>6.3</v>
      </c>
      <c r="D105" s="28">
        <v>2.9</v>
      </c>
      <c r="E105" s="28">
        <v>1.8</v>
      </c>
      <c r="F105" s="28">
        <f t="shared" si="13"/>
        <v>0</v>
      </c>
      <c r="G105" s="60">
        <f t="shared" si="14"/>
        <v>0</v>
      </c>
      <c r="H105" s="27" t="s">
        <v>7</v>
      </c>
      <c r="I105" s="70">
        <v>5.6</v>
      </c>
      <c r="J105" s="27">
        <f t="shared" si="15"/>
        <v>5.2541510152749087</v>
      </c>
      <c r="K105" s="27">
        <f t="shared" si="18"/>
        <v>-0.34584898472509096</v>
      </c>
      <c r="L105" s="27">
        <v>5.2541510152750091</v>
      </c>
      <c r="M105" s="27">
        <f ca="1">K105/$Q$5/SQRT(1-'Dźwignia I'!A105)</f>
        <v>-1.3365412110236428</v>
      </c>
      <c r="N105" s="27">
        <f t="shared" ca="1" si="16"/>
        <v>1.1560887556860169</v>
      </c>
      <c r="AE105" s="9">
        <v>104</v>
      </c>
      <c r="AF105" s="1">
        <f t="shared" si="17"/>
        <v>0.12560113564332998</v>
      </c>
      <c r="AG105" s="10">
        <f t="shared" si="19"/>
        <v>0.13027336978853038</v>
      </c>
    </row>
    <row r="106" spans="1:33" x14ac:dyDescent="0.25">
      <c r="A106" s="28">
        <v>105</v>
      </c>
      <c r="B106" s="59">
        <v>1</v>
      </c>
      <c r="C106" s="28">
        <v>6.5</v>
      </c>
      <c r="D106" s="28">
        <v>3</v>
      </c>
      <c r="E106" s="28">
        <v>2.2000000000000002</v>
      </c>
      <c r="F106" s="28">
        <f t="shared" si="13"/>
        <v>0</v>
      </c>
      <c r="G106" s="60">
        <f t="shared" si="14"/>
        <v>0</v>
      </c>
      <c r="H106" s="27" t="s">
        <v>7</v>
      </c>
      <c r="I106" s="70">
        <v>5.8</v>
      </c>
      <c r="J106" s="27">
        <f t="shared" si="15"/>
        <v>5.5985884126143306</v>
      </c>
      <c r="K106" s="27">
        <f t="shared" si="18"/>
        <v>-0.20141158738566922</v>
      </c>
      <c r="L106" s="27">
        <v>5.5985884126143413</v>
      </c>
      <c r="M106" s="27">
        <f ca="1">K106/$Q$5/SQRT(1-'Dźwignia I'!A106)</f>
        <v>-0.77714223647149416</v>
      </c>
      <c r="N106" s="27">
        <f t="shared" ca="1" si="16"/>
        <v>0.88155671199957075</v>
      </c>
      <c r="AE106" s="9">
        <v>105</v>
      </c>
      <c r="AF106" s="1">
        <f t="shared" si="17"/>
        <v>0.12819851710147123</v>
      </c>
      <c r="AG106" s="10">
        <f t="shared" si="19"/>
        <v>0.13526177786838131</v>
      </c>
    </row>
    <row r="107" spans="1:33" x14ac:dyDescent="0.25">
      <c r="A107" s="28">
        <v>106</v>
      </c>
      <c r="B107" s="59">
        <v>1</v>
      </c>
      <c r="C107" s="28">
        <v>7.6</v>
      </c>
      <c r="D107" s="28">
        <v>3</v>
      </c>
      <c r="E107" s="28">
        <v>2.1</v>
      </c>
      <c r="F107" s="28">
        <f t="shared" si="13"/>
        <v>0</v>
      </c>
      <c r="G107" s="60">
        <f t="shared" si="14"/>
        <v>0</v>
      </c>
      <c r="H107" s="27" t="s">
        <v>7</v>
      </c>
      <c r="I107" s="70">
        <v>6.6</v>
      </c>
      <c r="J107" s="27">
        <f t="shared" si="15"/>
        <v>6.2071726631812325</v>
      </c>
      <c r="K107" s="27">
        <f t="shared" si="18"/>
        <v>-0.39282733681876714</v>
      </c>
      <c r="L107" s="27">
        <v>6.2071726631811632</v>
      </c>
      <c r="M107" s="27">
        <f ca="1">K107/$Q$5/SQRT(1-'Dźwignia I'!A107)</f>
        <v>-1.538184163892564</v>
      </c>
      <c r="N107" s="27">
        <f t="shared" ca="1" si="16"/>
        <v>1.2402355275884351</v>
      </c>
      <c r="AE107" s="9">
        <v>106</v>
      </c>
      <c r="AF107" s="1">
        <f t="shared" si="17"/>
        <v>0.13212031177786354</v>
      </c>
      <c r="AG107" s="10">
        <f t="shared" si="19"/>
        <v>0.14029943508802845</v>
      </c>
    </row>
    <row r="108" spans="1:33" x14ac:dyDescent="0.25">
      <c r="A108" s="28">
        <v>107</v>
      </c>
      <c r="B108" s="59">
        <v>1</v>
      </c>
      <c r="C108" s="28">
        <v>4.9000000000000004</v>
      </c>
      <c r="D108" s="28">
        <v>2.5</v>
      </c>
      <c r="E108" s="28">
        <v>1.7</v>
      </c>
      <c r="F108" s="28">
        <f t="shared" si="13"/>
        <v>0</v>
      </c>
      <c r="G108" s="60">
        <f t="shared" si="14"/>
        <v>0</v>
      </c>
      <c r="H108" s="27" t="s">
        <v>7</v>
      </c>
      <c r="I108" s="70">
        <v>4.5</v>
      </c>
      <c r="J108" s="27">
        <f t="shared" si="15"/>
        <v>4.4149301575355784</v>
      </c>
      <c r="K108" s="27">
        <f t="shared" si="18"/>
        <v>-8.5069842464421619E-2</v>
      </c>
      <c r="L108" s="27">
        <v>4.4149301575355659</v>
      </c>
      <c r="M108" s="27">
        <f ca="1">K108/$Q$5/SQRT(1-'Dźwignia I'!A108)</f>
        <v>-0.34069985377379108</v>
      </c>
      <c r="N108" s="27">
        <f t="shared" ca="1" si="16"/>
        <v>0.58369500064142321</v>
      </c>
      <c r="AE108" s="9">
        <v>107</v>
      </c>
      <c r="AF108" s="1">
        <f t="shared" si="17"/>
        <v>0.13358551319391676</v>
      </c>
      <c r="AG108" s="10">
        <f t="shared" si="19"/>
        <v>0.14538921388610496</v>
      </c>
    </row>
    <row r="109" spans="1:33" x14ac:dyDescent="0.25">
      <c r="A109" s="28">
        <v>108</v>
      </c>
      <c r="B109" s="59">
        <v>1</v>
      </c>
      <c r="C109" s="28">
        <v>7.3</v>
      </c>
      <c r="D109" s="28">
        <v>2.9</v>
      </c>
      <c r="E109" s="28">
        <v>1.8</v>
      </c>
      <c r="F109" s="28">
        <f t="shared" si="13"/>
        <v>0</v>
      </c>
      <c r="G109" s="60">
        <f t="shared" si="14"/>
        <v>0</v>
      </c>
      <c r="H109" s="27" t="s">
        <v>7</v>
      </c>
      <c r="I109" s="70">
        <v>6.3</v>
      </c>
      <c r="J109" s="27">
        <f t="shared" si="15"/>
        <v>5.8621568322637057</v>
      </c>
      <c r="K109" s="27">
        <f t="shared" si="18"/>
        <v>-0.43784316773629417</v>
      </c>
      <c r="L109" s="27">
        <v>5.8621568322638558</v>
      </c>
      <c r="M109" s="27">
        <f ca="1">K109/$Q$5/SQRT(1-'Dźwignia I'!A109)</f>
        <v>-1.7146787178760383</v>
      </c>
      <c r="N109" s="27">
        <f t="shared" ca="1" si="16"/>
        <v>1.3094574135404473</v>
      </c>
      <c r="AE109" s="9">
        <v>108</v>
      </c>
      <c r="AF109" s="1">
        <f t="shared" si="17"/>
        <v>0.13867480863241011</v>
      </c>
      <c r="AG109" s="10">
        <f t="shared" si="19"/>
        <v>0.15053415555978963</v>
      </c>
    </row>
    <row r="110" spans="1:33" x14ac:dyDescent="0.25">
      <c r="A110" s="28">
        <v>109</v>
      </c>
      <c r="B110" s="59">
        <v>1</v>
      </c>
      <c r="C110" s="28">
        <v>6.7</v>
      </c>
      <c r="D110" s="28">
        <v>2.5</v>
      </c>
      <c r="E110" s="28">
        <v>1.8</v>
      </c>
      <c r="F110" s="28">
        <f t="shared" si="13"/>
        <v>0</v>
      </c>
      <c r="G110" s="60">
        <f t="shared" si="14"/>
        <v>0</v>
      </c>
      <c r="H110" s="27" t="s">
        <v>7</v>
      </c>
      <c r="I110" s="70">
        <v>5.8</v>
      </c>
      <c r="J110" s="27">
        <f t="shared" si="15"/>
        <v>5.5695627762361894</v>
      </c>
      <c r="K110" s="27">
        <f t="shared" si="18"/>
        <v>-0.23043722376381037</v>
      </c>
      <c r="L110" s="27">
        <v>5.5695627762361353</v>
      </c>
      <c r="M110" s="27">
        <f ca="1">K110/$Q$5/SQRT(1-'Dźwignia I'!A110)</f>
        <v>-0.89759539748748574</v>
      </c>
      <c r="N110" s="27">
        <f t="shared" ca="1" si="16"/>
        <v>0.94741511360516395</v>
      </c>
      <c r="AE110" s="9">
        <v>109</v>
      </c>
      <c r="AF110" s="1">
        <f t="shared" si="17"/>
        <v>0.14669894475009482</v>
      </c>
      <c r="AG110" s="10">
        <f t="shared" si="19"/>
        <v>0.15573748658198414</v>
      </c>
    </row>
    <row r="111" spans="1:33" x14ac:dyDescent="0.25">
      <c r="A111" s="28">
        <v>110</v>
      </c>
      <c r="B111" s="59">
        <v>1</v>
      </c>
      <c r="C111" s="28">
        <v>7.2</v>
      </c>
      <c r="D111" s="28">
        <v>3.6</v>
      </c>
      <c r="E111" s="28">
        <v>2.5</v>
      </c>
      <c r="F111" s="28">
        <f t="shared" si="13"/>
        <v>0</v>
      </c>
      <c r="G111" s="60">
        <f t="shared" si="14"/>
        <v>0</v>
      </c>
      <c r="H111" s="27" t="s">
        <v>7</v>
      </c>
      <c r="I111" s="70">
        <v>6.1</v>
      </c>
      <c r="J111" s="27">
        <f t="shared" si="15"/>
        <v>6.0965447776201733</v>
      </c>
      <c r="K111" s="27">
        <f t="shared" si="18"/>
        <v>-3.4552223798263171E-3</v>
      </c>
      <c r="L111" s="27">
        <v>6.0965447776202009</v>
      </c>
      <c r="M111" s="27">
        <f ca="1">K111/$Q$5/SQRT(1-'Dźwignia I'!A111)</f>
        <v>-1.357506268789525E-2</v>
      </c>
      <c r="N111" s="27">
        <f t="shared" ca="1" si="16"/>
        <v>0.11651207099650769</v>
      </c>
      <c r="AE111" s="9">
        <v>110</v>
      </c>
      <c r="AF111" s="1">
        <f t="shared" si="17"/>
        <v>0.14932122320136765</v>
      </c>
      <c r="AG111" s="10">
        <f t="shared" si="19"/>
        <v>0.16100263681772423</v>
      </c>
    </row>
    <row r="112" spans="1:33" x14ac:dyDescent="0.25">
      <c r="A112" s="28">
        <v>111</v>
      </c>
      <c r="B112" s="59">
        <v>1</v>
      </c>
      <c r="C112" s="28">
        <v>6.5</v>
      </c>
      <c r="D112" s="28">
        <v>3.2</v>
      </c>
      <c r="E112" s="28">
        <v>2</v>
      </c>
      <c r="F112" s="28">
        <f t="shared" si="13"/>
        <v>0</v>
      </c>
      <c r="G112" s="60">
        <f t="shared" si="14"/>
        <v>0</v>
      </c>
      <c r="H112" s="27" t="s">
        <v>7</v>
      </c>
      <c r="I112" s="70">
        <v>5.0999999999999996</v>
      </c>
      <c r="J112" s="27">
        <f t="shared" si="15"/>
        <v>5.4420393992898983</v>
      </c>
      <c r="K112" s="27">
        <f t="shared" si="18"/>
        <v>0.34203939928989868</v>
      </c>
      <c r="L112" s="27">
        <v>5.4420393992897926</v>
      </c>
      <c r="M112" s="27">
        <f ca="1">K112/$Q$5/SQRT(1-'Dźwignia I'!A112)</f>
        <v>1.3196456153444851</v>
      </c>
      <c r="N112" s="27">
        <f t="shared" ca="1" si="16"/>
        <v>1.1487582928294728</v>
      </c>
      <c r="AE112" s="9">
        <v>111</v>
      </c>
      <c r="AF112" s="1">
        <f t="shared" si="17"/>
        <v>0.15050244401735924</v>
      </c>
      <c r="AG112" s="10">
        <f t="shared" si="19"/>
        <v>0.1663332599203779</v>
      </c>
    </row>
    <row r="113" spans="1:33" x14ac:dyDescent="0.25">
      <c r="A113" s="28">
        <v>112</v>
      </c>
      <c r="B113" s="59">
        <v>1</v>
      </c>
      <c r="C113" s="28">
        <v>6.4</v>
      </c>
      <c r="D113" s="28">
        <v>2.7</v>
      </c>
      <c r="E113" s="28">
        <v>1.9</v>
      </c>
      <c r="F113" s="28">
        <f t="shared" si="13"/>
        <v>0</v>
      </c>
      <c r="G113" s="60">
        <f t="shared" si="14"/>
        <v>0</v>
      </c>
      <c r="H113" s="27" t="s">
        <v>7</v>
      </c>
      <c r="I113" s="70">
        <v>5.3</v>
      </c>
      <c r="J113" s="27">
        <f t="shared" si="15"/>
        <v>5.411278462177445</v>
      </c>
      <c r="K113" s="27">
        <f t="shared" si="18"/>
        <v>0.11127846217744519</v>
      </c>
      <c r="L113" s="27">
        <v>5.4112784621774841</v>
      </c>
      <c r="M113" s="27">
        <f ca="1">K113/$Q$5/SQRT(1-'Dźwignia I'!A113)</f>
        <v>0.42894830160888114</v>
      </c>
      <c r="N113" s="27">
        <f t="shared" ca="1" si="16"/>
        <v>0.65494144899287077</v>
      </c>
      <c r="AE113" s="9">
        <v>112</v>
      </c>
      <c r="AF113" s="1">
        <f t="shared" si="17"/>
        <v>0.1563973934757954</v>
      </c>
      <c r="AG113" s="10">
        <f t="shared" si="19"/>
        <v>0.17173325623748265</v>
      </c>
    </row>
    <row r="114" spans="1:33" x14ac:dyDescent="0.25">
      <c r="A114" s="28">
        <v>113</v>
      </c>
      <c r="B114" s="59">
        <v>1</v>
      </c>
      <c r="C114" s="28">
        <v>6.8</v>
      </c>
      <c r="D114" s="28">
        <v>3</v>
      </c>
      <c r="E114" s="28">
        <v>2.1</v>
      </c>
      <c r="F114" s="28">
        <f t="shared" si="13"/>
        <v>0</v>
      </c>
      <c r="G114" s="60">
        <f t="shared" si="14"/>
        <v>0</v>
      </c>
      <c r="H114" s="27" t="s">
        <v>7</v>
      </c>
      <c r="I114" s="70">
        <v>5.5</v>
      </c>
      <c r="J114" s="27">
        <f t="shared" si="15"/>
        <v>5.720768009590194</v>
      </c>
      <c r="K114" s="27">
        <f t="shared" si="18"/>
        <v>0.22076800959019405</v>
      </c>
      <c r="L114" s="27">
        <v>5.7207680095901834</v>
      </c>
      <c r="M114" s="27">
        <f ca="1">K114/$Q$5/SQRT(1-'Dźwignia I'!A114)</f>
        <v>0.84968279122354307</v>
      </c>
      <c r="N114" s="27">
        <f t="shared" ca="1" si="16"/>
        <v>0.92178239906365267</v>
      </c>
      <c r="AE114" s="9">
        <v>113</v>
      </c>
      <c r="AF114" s="1">
        <f t="shared" si="17"/>
        <v>0.1573056007519551</v>
      </c>
      <c r="AG114" s="10">
        <f t="shared" si="19"/>
        <v>0.17720679861558425</v>
      </c>
    </row>
    <row r="115" spans="1:33" x14ac:dyDescent="0.25">
      <c r="A115" s="28">
        <v>114</v>
      </c>
      <c r="B115" s="59">
        <v>1</v>
      </c>
      <c r="C115" s="28">
        <v>5.7</v>
      </c>
      <c r="D115" s="28">
        <v>2.5</v>
      </c>
      <c r="E115" s="28">
        <v>2</v>
      </c>
      <c r="F115" s="28">
        <f t="shared" si="13"/>
        <v>0</v>
      </c>
      <c r="G115" s="60">
        <f t="shared" si="14"/>
        <v>0</v>
      </c>
      <c r="H115" s="27" t="s">
        <v>7</v>
      </c>
      <c r="I115" s="70">
        <v>5</v>
      </c>
      <c r="J115" s="27">
        <f t="shared" si="15"/>
        <v>5.0820012554889429</v>
      </c>
      <c r="K115" s="27">
        <f t="shared" si="18"/>
        <v>8.2001255488942881E-2</v>
      </c>
      <c r="L115" s="27">
        <v>5.0820012554888692</v>
      </c>
      <c r="M115" s="27">
        <f ca="1">K115/$Q$5/SQRT(1-'Dźwignia I'!A115)</f>
        <v>0.31966145416633784</v>
      </c>
      <c r="N115" s="27">
        <f t="shared" ca="1" si="16"/>
        <v>0.56538611069457467</v>
      </c>
      <c r="AE115" s="9">
        <v>114</v>
      </c>
      <c r="AF115" s="1">
        <f t="shared" si="17"/>
        <v>0.16537898752255398</v>
      </c>
      <c r="AG115" s="10">
        <f t="shared" si="19"/>
        <v>0.18275836156561992</v>
      </c>
    </row>
    <row r="116" spans="1:33" x14ac:dyDescent="0.25">
      <c r="A116" s="28">
        <v>115</v>
      </c>
      <c r="B116" s="59">
        <v>1</v>
      </c>
      <c r="C116" s="28">
        <v>5.8</v>
      </c>
      <c r="D116" s="28">
        <v>2.8</v>
      </c>
      <c r="E116" s="28">
        <v>2.4</v>
      </c>
      <c r="F116" s="28">
        <f t="shared" si="13"/>
        <v>0</v>
      </c>
      <c r="G116" s="60">
        <f t="shared" si="14"/>
        <v>0</v>
      </c>
      <c r="H116" s="27" t="s">
        <v>7</v>
      </c>
      <c r="I116" s="70">
        <v>5.0999999999999996</v>
      </c>
      <c r="J116" s="27">
        <f t="shared" si="15"/>
        <v>5.3295333540466041</v>
      </c>
      <c r="K116" s="27">
        <f t="shared" si="18"/>
        <v>0.22953335404660447</v>
      </c>
      <c r="L116" s="27">
        <v>5.3295333540467418</v>
      </c>
      <c r="M116" s="27">
        <f ca="1">K116/$Q$5/SQRT(1-'Dźwignia I'!A116)</f>
        <v>0.91228838976588489</v>
      </c>
      <c r="N116" s="27">
        <f t="shared" ca="1" si="16"/>
        <v>0.95513789044613073</v>
      </c>
      <c r="AE116" s="9">
        <v>115</v>
      </c>
      <c r="AF116" s="1">
        <f t="shared" si="17"/>
        <v>0.16590817044774475</v>
      </c>
      <c r="AG116" s="10">
        <f t="shared" si="19"/>
        <v>0.18839275433837224</v>
      </c>
    </row>
    <row r="117" spans="1:33" x14ac:dyDescent="0.25">
      <c r="A117" s="28">
        <v>116</v>
      </c>
      <c r="B117" s="59">
        <v>1</v>
      </c>
      <c r="C117" s="28">
        <v>6.4</v>
      </c>
      <c r="D117" s="28">
        <v>3.2</v>
      </c>
      <c r="E117" s="28">
        <v>2.2999999999999998</v>
      </c>
      <c r="F117" s="28">
        <f t="shared" si="13"/>
        <v>0</v>
      </c>
      <c r="G117" s="60">
        <f t="shared" si="14"/>
        <v>0</v>
      </c>
      <c r="H117" s="27" t="s">
        <v>7</v>
      </c>
      <c r="I117" s="70">
        <v>5.3</v>
      </c>
      <c r="J117" s="27">
        <f t="shared" si="15"/>
        <v>5.5619052619533456</v>
      </c>
      <c r="K117" s="27">
        <f t="shared" si="18"/>
        <v>0.26190526195334574</v>
      </c>
      <c r="L117" s="27">
        <v>5.561905261953342</v>
      </c>
      <c r="M117" s="27">
        <f ca="1">K117/$Q$5/SQRT(1-'Dźwignia I'!A117)</f>
        <v>1.0171804382770833</v>
      </c>
      <c r="N117" s="27">
        <f t="shared" ca="1" si="16"/>
        <v>1.0085536367873962</v>
      </c>
      <c r="AE117" s="9">
        <v>116</v>
      </c>
      <c r="AF117" s="1">
        <f t="shared" si="17"/>
        <v>0.17385743715732893</v>
      </c>
      <c r="AG117" s="10">
        <f t="shared" si="19"/>
        <v>0.19411515856728837</v>
      </c>
    </row>
    <row r="118" spans="1:33" x14ac:dyDescent="0.25">
      <c r="A118" s="28">
        <v>117</v>
      </c>
      <c r="B118" s="59">
        <v>1</v>
      </c>
      <c r="C118" s="28">
        <v>6.5</v>
      </c>
      <c r="D118" s="28">
        <v>3</v>
      </c>
      <c r="E118" s="28">
        <v>1.8</v>
      </c>
      <c r="F118" s="28">
        <f t="shared" si="13"/>
        <v>0</v>
      </c>
      <c r="G118" s="60">
        <f t="shared" si="14"/>
        <v>0</v>
      </c>
      <c r="H118" s="27" t="s">
        <v>7</v>
      </c>
      <c r="I118" s="70">
        <v>5.5</v>
      </c>
      <c r="J118" s="27">
        <f t="shared" si="15"/>
        <v>5.357699820131228</v>
      </c>
      <c r="K118" s="27">
        <f t="shared" si="18"/>
        <v>-0.14230017986877197</v>
      </c>
      <c r="L118" s="27">
        <v>5.3576998201311845</v>
      </c>
      <c r="M118" s="27">
        <f ca="1">K118/$Q$5/SQRT(1-'Dźwignia I'!A118)</f>
        <v>-0.55034185351286913</v>
      </c>
      <c r="N118" s="27">
        <f t="shared" ca="1" si="16"/>
        <v>0.74185029049860807</v>
      </c>
      <c r="AE118" s="9">
        <v>117</v>
      </c>
      <c r="AF118" s="1">
        <f t="shared" si="17"/>
        <v>0.17787422693353028</v>
      </c>
      <c r="AG118" s="10">
        <f t="shared" si="19"/>
        <v>0.19993117126870322</v>
      </c>
    </row>
    <row r="119" spans="1:33" x14ac:dyDescent="0.25">
      <c r="A119" s="28">
        <v>118</v>
      </c>
      <c r="B119" s="59">
        <v>1</v>
      </c>
      <c r="C119" s="28">
        <v>7.7</v>
      </c>
      <c r="D119" s="28">
        <v>3.8</v>
      </c>
      <c r="E119" s="28">
        <v>2.2000000000000002</v>
      </c>
      <c r="F119" s="28">
        <f t="shared" si="13"/>
        <v>0</v>
      </c>
      <c r="G119" s="60">
        <f t="shared" si="14"/>
        <v>0</v>
      </c>
      <c r="H119" s="27" t="s">
        <v>7</v>
      </c>
      <c r="I119" s="70">
        <v>6.7</v>
      </c>
      <c r="J119" s="27">
        <f t="shared" si="15"/>
        <v>6.1837765246693648</v>
      </c>
      <c r="K119" s="27">
        <f t="shared" si="18"/>
        <v>-0.5162234753306354</v>
      </c>
      <c r="L119" s="27">
        <v>6.1837765246693177</v>
      </c>
      <c r="M119" s="27">
        <f ca="1">K119/$Q$5/SQRT(1-'Dźwignia I'!A119)</f>
        <v>-2.0364619043681751</v>
      </c>
      <c r="N119" s="27">
        <f t="shared" ca="1" si="16"/>
        <v>1.4270465669935846</v>
      </c>
      <c r="AE119" s="9">
        <v>118</v>
      </c>
      <c r="AF119" s="1">
        <f t="shared" si="17"/>
        <v>0.19528847751707112</v>
      </c>
      <c r="AG119" s="10">
        <f t="shared" si="19"/>
        <v>0.20584685415392537</v>
      </c>
    </row>
    <row r="120" spans="1:33" x14ac:dyDescent="0.25">
      <c r="A120" s="28">
        <v>119</v>
      </c>
      <c r="B120" s="59">
        <v>1</v>
      </c>
      <c r="C120" s="28">
        <v>7.7</v>
      </c>
      <c r="D120" s="28">
        <v>2.6</v>
      </c>
      <c r="E120" s="28">
        <v>2.2999999999999998</v>
      </c>
      <c r="F120" s="28">
        <f t="shared" si="13"/>
        <v>0</v>
      </c>
      <c r="G120" s="60">
        <f t="shared" si="14"/>
        <v>0</v>
      </c>
      <c r="H120" s="27" t="s">
        <v>7</v>
      </c>
      <c r="I120" s="70">
        <v>6.9</v>
      </c>
      <c r="J120" s="27">
        <f t="shared" si="15"/>
        <v>6.4606269752874246</v>
      </c>
      <c r="K120" s="27">
        <f t="shared" si="18"/>
        <v>-0.43937302471257578</v>
      </c>
      <c r="L120" s="27">
        <v>6.4606269752872381</v>
      </c>
      <c r="M120" s="27">
        <f ca="1">K120/$Q$5/SQRT(1-'Dźwignia I'!A120)</f>
        <v>-1.7801962054062979</v>
      </c>
      <c r="N120" s="27">
        <f t="shared" ca="1" si="16"/>
        <v>1.3342399354712398</v>
      </c>
      <c r="AE120" s="9">
        <v>119</v>
      </c>
      <c r="AF120" s="1">
        <f t="shared" si="17"/>
        <v>0.20057549732927615</v>
      </c>
      <c r="AG120" s="10">
        <f t="shared" si="19"/>
        <v>0.21186879041252449</v>
      </c>
    </row>
    <row r="121" spans="1:33" x14ac:dyDescent="0.25">
      <c r="A121" s="28">
        <v>120</v>
      </c>
      <c r="B121" s="59">
        <v>1</v>
      </c>
      <c r="C121" s="28">
        <v>6</v>
      </c>
      <c r="D121" s="28">
        <v>2.2000000000000002</v>
      </c>
      <c r="E121" s="28">
        <v>1.5</v>
      </c>
      <c r="F121" s="28">
        <f t="shared" si="13"/>
        <v>0</v>
      </c>
      <c r="G121" s="60">
        <f t="shared" si="14"/>
        <v>0</v>
      </c>
      <c r="H121" s="27" t="s">
        <v>7</v>
      </c>
      <c r="I121" s="70">
        <v>5</v>
      </c>
      <c r="J121" s="27">
        <f t="shared" si="15"/>
        <v>5.0174493356060257</v>
      </c>
      <c r="K121" s="27">
        <f t="shared" si="18"/>
        <v>1.7449335606025684E-2</v>
      </c>
      <c r="L121" s="27">
        <v>5.0174493356059093</v>
      </c>
      <c r="M121" s="27">
        <f ca="1">K121/$Q$5/SQRT(1-'Dźwignia I'!A121)</f>
        <v>6.9083415584745428E-2</v>
      </c>
      <c r="N121" s="27">
        <f t="shared" ca="1" si="16"/>
        <v>0.26283724162444222</v>
      </c>
      <c r="AE121" s="9">
        <v>120</v>
      </c>
      <c r="AF121" s="1">
        <f t="shared" si="17"/>
        <v>0.2029888744675965</v>
      </c>
      <c r="AG121" s="10">
        <f t="shared" si="19"/>
        <v>0.21800415038310575</v>
      </c>
    </row>
    <row r="122" spans="1:33" x14ac:dyDescent="0.25">
      <c r="A122" s="28">
        <v>121</v>
      </c>
      <c r="B122" s="59">
        <v>1</v>
      </c>
      <c r="C122" s="28">
        <v>6.9</v>
      </c>
      <c r="D122" s="28">
        <v>3.2</v>
      </c>
      <c r="E122" s="28">
        <v>2.2999999999999998</v>
      </c>
      <c r="F122" s="28">
        <f t="shared" si="13"/>
        <v>0</v>
      </c>
      <c r="G122" s="60">
        <f t="shared" si="14"/>
        <v>0</v>
      </c>
      <c r="H122" s="27" t="s">
        <v>7</v>
      </c>
      <c r="I122" s="70">
        <v>5.7</v>
      </c>
      <c r="J122" s="27">
        <f t="shared" si="15"/>
        <v>5.8659081704477449</v>
      </c>
      <c r="K122" s="27">
        <f t="shared" si="18"/>
        <v>0.16590817044774475</v>
      </c>
      <c r="L122" s="27">
        <v>5.8659081704476232</v>
      </c>
      <c r="M122" s="27">
        <f ca="1">K122/$Q$5/SQRT(1-'Dźwignia I'!A122)</f>
        <v>0.64193883972292731</v>
      </c>
      <c r="N122" s="27">
        <f t="shared" ca="1" si="16"/>
        <v>0.80121085846544005</v>
      </c>
      <c r="AE122" s="9">
        <v>121</v>
      </c>
      <c r="AF122" s="1">
        <f t="shared" si="17"/>
        <v>0.20548661309983363</v>
      </c>
      <c r="AG122" s="10">
        <f t="shared" si="19"/>
        <v>0.22426076785224322</v>
      </c>
    </row>
    <row r="123" spans="1:33" x14ac:dyDescent="0.25">
      <c r="A123" s="28">
        <v>122</v>
      </c>
      <c r="B123" s="59">
        <v>1</v>
      </c>
      <c r="C123" s="28">
        <v>5.6</v>
      </c>
      <c r="D123" s="28">
        <v>2.8</v>
      </c>
      <c r="E123" s="28">
        <v>2</v>
      </c>
      <c r="F123" s="28">
        <f t="shared" si="13"/>
        <v>0</v>
      </c>
      <c r="G123" s="60">
        <f t="shared" si="14"/>
        <v>0</v>
      </c>
      <c r="H123" s="27" t="s">
        <v>7</v>
      </c>
      <c r="I123" s="70">
        <v>4.9000000000000004</v>
      </c>
      <c r="J123" s="27">
        <f t="shared" si="15"/>
        <v>4.9670435981657421</v>
      </c>
      <c r="K123" s="27">
        <f t="shared" si="18"/>
        <v>6.7043598165741791E-2</v>
      </c>
      <c r="L123" s="27">
        <v>4.9670435981657262</v>
      </c>
      <c r="M123" s="27">
        <f ca="1">K123/$Q$5/SQRT(1-'Dźwignia I'!A123)</f>
        <v>0.26164057610386388</v>
      </c>
      <c r="N123" s="27">
        <f t="shared" ca="1" si="16"/>
        <v>0.51150813884420632</v>
      </c>
      <c r="AE123" s="9">
        <v>122</v>
      </c>
      <c r="AF123" s="1">
        <f t="shared" si="17"/>
        <v>0.21406795323642269</v>
      </c>
      <c r="AG123" s="10">
        <f t="shared" si="19"/>
        <v>0.230647229134742</v>
      </c>
    </row>
    <row r="124" spans="1:33" x14ac:dyDescent="0.25">
      <c r="A124" s="28">
        <v>123</v>
      </c>
      <c r="B124" s="59">
        <v>1</v>
      </c>
      <c r="C124" s="28">
        <v>7.7</v>
      </c>
      <c r="D124" s="28">
        <v>2.8</v>
      </c>
      <c r="E124" s="28">
        <v>2</v>
      </c>
      <c r="F124" s="28">
        <f t="shared" si="13"/>
        <v>0</v>
      </c>
      <c r="G124" s="60">
        <f t="shared" si="14"/>
        <v>0</v>
      </c>
      <c r="H124" s="27" t="s">
        <v>7</v>
      </c>
      <c r="I124" s="70">
        <v>6.7</v>
      </c>
      <c r="J124" s="27">
        <f t="shared" si="15"/>
        <v>6.2438558138422176</v>
      </c>
      <c r="K124" s="27">
        <f t="shared" si="18"/>
        <v>-0.45614418615778263</v>
      </c>
      <c r="L124" s="27">
        <v>6.2438558138421199</v>
      </c>
      <c r="M124" s="27">
        <f ca="1">K124/$Q$5/SQRT(1-'Dźwignia I'!A124)</f>
        <v>-1.8085512151778937</v>
      </c>
      <c r="N124" s="27">
        <f t="shared" ca="1" si="16"/>
        <v>1.3448238602798115</v>
      </c>
      <c r="AE124" s="9">
        <v>123</v>
      </c>
      <c r="AF124" s="1">
        <f t="shared" si="17"/>
        <v>0.21449749333570889</v>
      </c>
      <c r="AG124" s="10">
        <f t="shared" si="19"/>
        <v>0.23717297761694708</v>
      </c>
    </row>
    <row r="125" spans="1:33" x14ac:dyDescent="0.25">
      <c r="A125" s="28">
        <v>124</v>
      </c>
      <c r="B125" s="59">
        <v>1</v>
      </c>
      <c r="C125" s="28">
        <v>6.3</v>
      </c>
      <c r="D125" s="28">
        <v>2.7</v>
      </c>
      <c r="E125" s="28">
        <v>1.8</v>
      </c>
      <c r="F125" s="28">
        <f t="shared" si="13"/>
        <v>0</v>
      </c>
      <c r="G125" s="60">
        <f t="shared" si="14"/>
        <v>0</v>
      </c>
      <c r="H125" s="27" t="s">
        <v>7</v>
      </c>
      <c r="I125" s="70">
        <v>4.9000000000000004</v>
      </c>
      <c r="J125" s="27">
        <f t="shared" si="15"/>
        <v>5.2902557323577897</v>
      </c>
      <c r="K125" s="27">
        <f t="shared" si="18"/>
        <v>0.39025573235778932</v>
      </c>
      <c r="L125" s="27">
        <v>5.2902557323578057</v>
      </c>
      <c r="M125" s="27">
        <f ca="1">K125/$Q$5/SQRT(1-'Dźwignia I'!A125)</f>
        <v>1.5074381685678688</v>
      </c>
      <c r="N125" s="27">
        <f t="shared" ca="1" si="16"/>
        <v>1.2277777358169795</v>
      </c>
      <c r="AE125" s="9">
        <v>124</v>
      </c>
      <c r="AF125" s="1">
        <f t="shared" si="17"/>
        <v>0.22076800959019405</v>
      </c>
      <c r="AG125" s="10">
        <f t="shared" si="19"/>
        <v>0.24384843712754339</v>
      </c>
    </row>
    <row r="126" spans="1:33" x14ac:dyDescent="0.25">
      <c r="A126" s="28">
        <v>125</v>
      </c>
      <c r="B126" s="59">
        <v>1</v>
      </c>
      <c r="C126" s="28">
        <v>6.7</v>
      </c>
      <c r="D126" s="28">
        <v>3.3</v>
      </c>
      <c r="E126" s="28">
        <v>2.1</v>
      </c>
      <c r="F126" s="28">
        <f t="shared" si="13"/>
        <v>0</v>
      </c>
      <c r="G126" s="60">
        <f t="shared" si="14"/>
        <v>0</v>
      </c>
      <c r="H126" s="27" t="s">
        <v>7</v>
      </c>
      <c r="I126" s="70">
        <v>5.7</v>
      </c>
      <c r="J126" s="27">
        <f t="shared" si="15"/>
        <v>5.6058103522669933</v>
      </c>
      <c r="K126" s="27">
        <f t="shared" si="18"/>
        <v>-9.4189647733006865E-2</v>
      </c>
      <c r="L126" s="27">
        <v>5.6058103522669382</v>
      </c>
      <c r="M126" s="27">
        <f ca="1">K126/$Q$5/SQRT(1-'Dźwignia I'!A126)</f>
        <v>-0.36346348857491578</v>
      </c>
      <c r="N126" s="27">
        <f t="shared" ca="1" si="16"/>
        <v>0.60287933168662844</v>
      </c>
      <c r="AE126" s="9">
        <v>125</v>
      </c>
      <c r="AF126" s="1">
        <f t="shared" si="17"/>
        <v>0.2225815137122007</v>
      </c>
      <c r="AG126" s="10">
        <f t="shared" si="19"/>
        <v>0.25068515838989547</v>
      </c>
    </row>
    <row r="127" spans="1:33" x14ac:dyDescent="0.25">
      <c r="A127" s="28">
        <v>126</v>
      </c>
      <c r="B127" s="59">
        <v>1</v>
      </c>
      <c r="C127" s="28">
        <v>7.2</v>
      </c>
      <c r="D127" s="28">
        <v>3.2</v>
      </c>
      <c r="E127" s="28">
        <v>1.8</v>
      </c>
      <c r="F127" s="28">
        <f t="shared" si="13"/>
        <v>0</v>
      </c>
      <c r="G127" s="60">
        <f t="shared" si="14"/>
        <v>0</v>
      </c>
      <c r="H127" s="27" t="s">
        <v>7</v>
      </c>
      <c r="I127" s="70">
        <v>6</v>
      </c>
      <c r="J127" s="27">
        <f t="shared" si="15"/>
        <v>5.7471991749405058</v>
      </c>
      <c r="K127" s="27">
        <f t="shared" si="18"/>
        <v>-0.25280082505949419</v>
      </c>
      <c r="L127" s="27">
        <v>5.747199174940449</v>
      </c>
      <c r="M127" s="27">
        <f ca="1">K127/$Q$5/SQRT(1-'Dźwignia I'!A127)</f>
        <v>-0.98781647250031956</v>
      </c>
      <c r="N127" s="27">
        <f t="shared" ca="1" si="16"/>
        <v>0.99388956755784474</v>
      </c>
      <c r="AE127" s="9">
        <v>126</v>
      </c>
      <c r="AF127" s="1">
        <f t="shared" si="17"/>
        <v>0.22953335404660447</v>
      </c>
      <c r="AG127" s="10">
        <f t="shared" si="19"/>
        <v>0.25769599397993237</v>
      </c>
    </row>
    <row r="128" spans="1:33" x14ac:dyDescent="0.25">
      <c r="A128" s="28">
        <v>127</v>
      </c>
      <c r="B128" s="59">
        <v>1</v>
      </c>
      <c r="C128" s="28">
        <v>6.2</v>
      </c>
      <c r="D128" s="28">
        <v>2.8</v>
      </c>
      <c r="E128" s="28">
        <v>1.8</v>
      </c>
      <c r="F128" s="28">
        <f t="shared" si="13"/>
        <v>0</v>
      </c>
      <c r="G128" s="60">
        <f t="shared" si="14"/>
        <v>0</v>
      </c>
      <c r="H128" s="27" t="s">
        <v>7</v>
      </c>
      <c r="I128" s="70">
        <v>4.8</v>
      </c>
      <c r="J128" s="27">
        <f t="shared" si="15"/>
        <v>5.2114027921174699</v>
      </c>
      <c r="K128" s="27">
        <f t="shared" si="18"/>
        <v>0.41140279211747011</v>
      </c>
      <c r="L128" s="27">
        <v>5.2114027921174717</v>
      </c>
      <c r="M128" s="27">
        <f ca="1">K128/$Q$5/SQRT(1-'Dźwignia I'!A128)</f>
        <v>1.5895267388597112</v>
      </c>
      <c r="N128" s="27">
        <f t="shared" ca="1" si="16"/>
        <v>1.2607643470766896</v>
      </c>
      <c r="AE128" s="9">
        <v>127</v>
      </c>
      <c r="AF128" s="1">
        <f t="shared" si="17"/>
        <v>0.25369691163682973</v>
      </c>
      <c r="AG128" s="10">
        <f t="shared" si="19"/>
        <v>0.26489530876758843</v>
      </c>
    </row>
    <row r="129" spans="1:33" x14ac:dyDescent="0.25">
      <c r="A129" s="28">
        <v>128</v>
      </c>
      <c r="B129" s="59">
        <v>1</v>
      </c>
      <c r="C129" s="28">
        <v>6.1</v>
      </c>
      <c r="D129" s="28">
        <v>3</v>
      </c>
      <c r="E129" s="28">
        <v>1.8</v>
      </c>
      <c r="F129" s="28">
        <f t="shared" si="13"/>
        <v>0</v>
      </c>
      <c r="G129" s="60">
        <f t="shared" si="14"/>
        <v>0</v>
      </c>
      <c r="H129" s="27" t="s">
        <v>7</v>
      </c>
      <c r="I129" s="70">
        <v>4.9000000000000004</v>
      </c>
      <c r="J129" s="27">
        <f t="shared" si="15"/>
        <v>5.1144974933357092</v>
      </c>
      <c r="K129" s="27">
        <f t="shared" si="18"/>
        <v>0.21449749333570889</v>
      </c>
      <c r="L129" s="27">
        <v>5.1144974933356542</v>
      </c>
      <c r="M129" s="27">
        <f ca="1">K129/$Q$5/SQRT(1-'Dźwignia I'!A129)</f>
        <v>0.83236083079705325</v>
      </c>
      <c r="N129" s="27">
        <f t="shared" ca="1" si="16"/>
        <v>0.91233811210376015</v>
      </c>
      <c r="AE129" s="9">
        <v>128</v>
      </c>
      <c r="AF129" s="1">
        <f t="shared" si="17"/>
        <v>0.26190526195334574</v>
      </c>
      <c r="AG129" s="10">
        <f t="shared" si="19"/>
        <v>0.27229923490623903</v>
      </c>
    </row>
    <row r="130" spans="1:33" x14ac:dyDescent="0.25">
      <c r="A130" s="28">
        <v>129</v>
      </c>
      <c r="B130" s="59">
        <v>1</v>
      </c>
      <c r="C130" s="28">
        <v>6.4</v>
      </c>
      <c r="D130" s="28">
        <v>2.8</v>
      </c>
      <c r="E130" s="28">
        <v>2.1</v>
      </c>
      <c r="F130" s="28">
        <f t="shared" si="13"/>
        <v>0</v>
      </c>
      <c r="G130" s="60">
        <f t="shared" si="14"/>
        <v>0</v>
      </c>
      <c r="H130" s="27" t="s">
        <v>7</v>
      </c>
      <c r="I130" s="70">
        <v>5.6</v>
      </c>
      <c r="J130" s="27">
        <f t="shared" si="15"/>
        <v>5.5136703998775554</v>
      </c>
      <c r="K130" s="27">
        <f t="shared" ref="K130:K151" si="20">(J130-I130)</f>
        <v>-8.6329600122444283E-2</v>
      </c>
      <c r="L130" s="27">
        <v>5.5136703998776309</v>
      </c>
      <c r="M130" s="27">
        <f ca="1">K130/$Q$5/SQRT(1-'Dźwignia I'!A130)</f>
        <v>-0.33282427181435098</v>
      </c>
      <c r="N130" s="27">
        <f t="shared" ca="1" si="16"/>
        <v>0.57690924053472303</v>
      </c>
      <c r="AE130" s="9">
        <v>129</v>
      </c>
      <c r="AF130" s="1">
        <f t="shared" si="17"/>
        <v>0.26675982744469096</v>
      </c>
      <c r="AG130" s="10">
        <f t="shared" ref="AG130:AG151" si="21">_xlfn.NORM.INV((AE130-1/2)/150,0,$Q$5)</f>
        <v>0.27992598326837986</v>
      </c>
    </row>
    <row r="131" spans="1:33" x14ac:dyDescent="0.25">
      <c r="A131" s="28">
        <v>130</v>
      </c>
      <c r="B131" s="59">
        <v>1</v>
      </c>
      <c r="C131" s="28">
        <v>7.2</v>
      </c>
      <c r="D131" s="28">
        <v>3</v>
      </c>
      <c r="E131" s="28">
        <v>1.6</v>
      </c>
      <c r="F131" s="28">
        <f t="shared" ref="F131:F151" si="22">IF(H131="setosa",1,0)</f>
        <v>0</v>
      </c>
      <c r="G131" s="60">
        <f t="shared" ref="G131:G151" si="23">IF(H131="versicolor",1,0)</f>
        <v>0</v>
      </c>
      <c r="H131" s="27" t="s">
        <v>7</v>
      </c>
      <c r="I131" s="70">
        <v>5.8</v>
      </c>
      <c r="J131" s="27">
        <f t="shared" ref="J131:J151" si="24">G131*$W$15+F131*$W$14+E131*$W$13+D131*$W$12+C131*$W$11+$W$10</f>
        <v>5.6628595957818355</v>
      </c>
      <c r="K131" s="27">
        <f t="shared" si="20"/>
        <v>-0.13714040421816431</v>
      </c>
      <c r="L131" s="27">
        <v>5.6628595957818497</v>
      </c>
      <c r="M131" s="27">
        <f ca="1">K131/$Q$5/SQRT(1-'Dźwignia I'!A131)</f>
        <v>-0.54418341004156667</v>
      </c>
      <c r="N131" s="27">
        <f t="shared" ref="N131:N151" ca="1" si="25">SQRT(ABS(M131))</f>
        <v>0.73768788118117179</v>
      </c>
      <c r="AE131" s="9">
        <v>130</v>
      </c>
      <c r="AF131" s="1">
        <f t="shared" ref="AF131:AF151" si="26">SMALL($K$2:$K$151,AE131)</f>
        <v>0.27180915443707621</v>
      </c>
      <c r="AG131" s="10">
        <f t="shared" si="21"/>
        <v>0.28779622712308239</v>
      </c>
    </row>
    <row r="132" spans="1:33" x14ac:dyDescent="0.25">
      <c r="A132" s="28">
        <v>131</v>
      </c>
      <c r="B132" s="59">
        <v>1</v>
      </c>
      <c r="C132" s="28">
        <v>7.4</v>
      </c>
      <c r="D132" s="28">
        <v>2.8</v>
      </c>
      <c r="E132" s="28">
        <v>1.9</v>
      </c>
      <c r="F132" s="28">
        <f t="shared" si="22"/>
        <v>0</v>
      </c>
      <c r="G132" s="60">
        <f t="shared" si="23"/>
        <v>0</v>
      </c>
      <c r="H132" s="27" t="s">
        <v>7</v>
      </c>
      <c r="I132" s="70">
        <v>6.1</v>
      </c>
      <c r="J132" s="27">
        <f t="shared" si="24"/>
        <v>6.0012319206248028</v>
      </c>
      <c r="K132" s="27">
        <f t="shared" si="20"/>
        <v>-9.8768079375196827E-2</v>
      </c>
      <c r="L132" s="27">
        <v>6.0012319206249227</v>
      </c>
      <c r="M132" s="27">
        <f ca="1">K132/$Q$5/SQRT(1-'Dźwignia I'!A132)</f>
        <v>-0.38736720390805152</v>
      </c>
      <c r="N132" s="27">
        <f t="shared" ca="1" si="25"/>
        <v>0.62238830637155407</v>
      </c>
      <c r="AE132" s="9">
        <v>131</v>
      </c>
      <c r="AF132" s="1">
        <f t="shared" si="26"/>
        <v>0.27814411637277914</v>
      </c>
      <c r="AG132" s="10">
        <f t="shared" si="21"/>
        <v>0.29593357928409175</v>
      </c>
    </row>
    <row r="133" spans="1:33" x14ac:dyDescent="0.25">
      <c r="A133" s="28">
        <v>132</v>
      </c>
      <c r="B133" s="59">
        <v>1</v>
      </c>
      <c r="C133" s="28">
        <v>7.9</v>
      </c>
      <c r="D133" s="28">
        <v>3.8</v>
      </c>
      <c r="E133" s="28">
        <v>2</v>
      </c>
      <c r="F133" s="28">
        <f t="shared" si="22"/>
        <v>0</v>
      </c>
      <c r="G133" s="60">
        <f t="shared" si="23"/>
        <v>0</v>
      </c>
      <c r="H133" s="27" t="s">
        <v>7</v>
      </c>
      <c r="I133" s="70">
        <v>6.4</v>
      </c>
      <c r="J133" s="27">
        <f t="shared" si="24"/>
        <v>6.1849333918255729</v>
      </c>
      <c r="K133" s="27">
        <f t="shared" si="20"/>
        <v>-0.21506660817442746</v>
      </c>
      <c r="L133" s="27">
        <v>6.1849333918255862</v>
      </c>
      <c r="M133" s="27">
        <f ca="1">K133/$Q$5/SQRT(1-'Dźwignia I'!A133)</f>
        <v>-0.86031391249053502</v>
      </c>
      <c r="N133" s="27">
        <f t="shared" ca="1" si="25"/>
        <v>0.92753108437967458</v>
      </c>
      <c r="AE133" s="9">
        <v>132</v>
      </c>
      <c r="AF133" s="1">
        <f t="shared" si="26"/>
        <v>0.2794284375695959</v>
      </c>
      <c r="AG133" s="10">
        <f t="shared" si="21"/>
        <v>0.30436519164510056</v>
      </c>
    </row>
    <row r="134" spans="1:33" x14ac:dyDescent="0.25">
      <c r="A134" s="28">
        <v>133</v>
      </c>
      <c r="B134" s="59">
        <v>1</v>
      </c>
      <c r="C134" s="28">
        <v>6.4</v>
      </c>
      <c r="D134" s="28">
        <v>2.8</v>
      </c>
      <c r="E134" s="28">
        <v>2.2000000000000002</v>
      </c>
      <c r="F134" s="28">
        <f t="shared" si="22"/>
        <v>0</v>
      </c>
      <c r="G134" s="60">
        <f t="shared" si="23"/>
        <v>0</v>
      </c>
      <c r="H134" s="27" t="s">
        <v>7</v>
      </c>
      <c r="I134" s="70">
        <v>5.6</v>
      </c>
      <c r="J134" s="27">
        <f t="shared" si="24"/>
        <v>5.573892547998331</v>
      </c>
      <c r="K134" s="27">
        <f t="shared" si="20"/>
        <v>-2.6107452001668641E-2</v>
      </c>
      <c r="L134" s="27">
        <v>5.5738925479984527</v>
      </c>
      <c r="M134" s="27">
        <f ca="1">K134/$Q$5/SQRT(1-'Dźwignia I'!A134)</f>
        <v>-0.10104283338502375</v>
      </c>
      <c r="N134" s="27">
        <f t="shared" ca="1" si="25"/>
        <v>0.31787235391745494</v>
      </c>
      <c r="AE134" s="9">
        <v>133</v>
      </c>
      <c r="AF134" s="1">
        <f t="shared" si="26"/>
        <v>0.28841754112166296</v>
      </c>
      <c r="AG134" s="10">
        <f t="shared" si="21"/>
        <v>0.31312251707389738</v>
      </c>
    </row>
    <row r="135" spans="1:33" x14ac:dyDescent="0.25">
      <c r="A135" s="28">
        <v>134</v>
      </c>
      <c r="B135" s="59">
        <v>1</v>
      </c>
      <c r="C135" s="28">
        <v>6.3</v>
      </c>
      <c r="D135" s="28">
        <v>2.8</v>
      </c>
      <c r="E135" s="28">
        <v>1.5</v>
      </c>
      <c r="F135" s="28">
        <f t="shared" si="22"/>
        <v>0</v>
      </c>
      <c r="G135" s="60">
        <f t="shared" si="23"/>
        <v>0</v>
      </c>
      <c r="H135" s="27" t="s">
        <v>7</v>
      </c>
      <c r="I135" s="70">
        <v>5.0999999999999996</v>
      </c>
      <c r="J135" s="27">
        <f t="shared" si="24"/>
        <v>5.0915369294540227</v>
      </c>
      <c r="K135" s="27">
        <f t="shared" si="20"/>
        <v>-8.4630705459769473E-3</v>
      </c>
      <c r="L135" s="27">
        <v>5.0915369294541186</v>
      </c>
      <c r="M135" s="27">
        <f ca="1">K135/$Q$5/SQRT(1-'Dźwignia I'!A135)</f>
        <v>-3.3388635544041367E-2</v>
      </c>
      <c r="N135" s="27">
        <f t="shared" ca="1" si="25"/>
        <v>0.18272557441157866</v>
      </c>
      <c r="AE135" s="9">
        <v>134</v>
      </c>
      <c r="AF135" s="1">
        <f t="shared" si="26"/>
        <v>0.29935106039126569</v>
      </c>
      <c r="AG135" s="10">
        <f t="shared" si="21"/>
        <v>0.32224228982055381</v>
      </c>
    </row>
    <row r="136" spans="1:33" x14ac:dyDescent="0.25">
      <c r="A136" s="28">
        <v>135</v>
      </c>
      <c r="B136" s="59">
        <v>1</v>
      </c>
      <c r="C136" s="28">
        <v>6.1</v>
      </c>
      <c r="D136" s="28">
        <v>2.6</v>
      </c>
      <c r="E136" s="28">
        <v>1.4</v>
      </c>
      <c r="F136" s="28">
        <f t="shared" si="22"/>
        <v>0</v>
      </c>
      <c r="G136" s="60">
        <f t="shared" si="23"/>
        <v>0</v>
      </c>
      <c r="H136" s="27" t="s">
        <v>7</v>
      </c>
      <c r="I136" s="70">
        <v>5.6</v>
      </c>
      <c r="J136" s="27">
        <f t="shared" si="24"/>
        <v>4.9458183350183678</v>
      </c>
      <c r="K136" s="27">
        <f t="shared" si="20"/>
        <v>-0.65418166498163188</v>
      </c>
      <c r="L136" s="27">
        <v>4.9458183350183225</v>
      </c>
      <c r="M136" s="27">
        <f ca="1">K136/$Q$5/SQRT(1-'Dźwignia I'!A136)</f>
        <v>-2.6025575557113054</v>
      </c>
      <c r="N136" s="27">
        <f t="shared" ca="1" si="25"/>
        <v>1.6132444190857458</v>
      </c>
      <c r="AE136" s="9">
        <v>135</v>
      </c>
      <c r="AF136" s="1">
        <f t="shared" si="26"/>
        <v>0.30122922007350073</v>
      </c>
      <c r="AG136" s="10">
        <f t="shared" si="21"/>
        <v>0.33176780475640066</v>
      </c>
    </row>
    <row r="137" spans="1:33" x14ac:dyDescent="0.25">
      <c r="A137" s="28">
        <v>136</v>
      </c>
      <c r="B137" s="59">
        <v>1</v>
      </c>
      <c r="C137" s="28">
        <v>7.7</v>
      </c>
      <c r="D137" s="28">
        <v>3</v>
      </c>
      <c r="E137" s="28">
        <v>2.2999999999999998</v>
      </c>
      <c r="F137" s="28">
        <f t="shared" si="22"/>
        <v>0</v>
      </c>
      <c r="G137" s="60">
        <f t="shared" si="23"/>
        <v>0</v>
      </c>
      <c r="H137" s="27" t="s">
        <v>7</v>
      </c>
      <c r="I137" s="70">
        <v>6.1</v>
      </c>
      <c r="J137" s="27">
        <f t="shared" si="24"/>
        <v>6.3884175411216626</v>
      </c>
      <c r="K137" s="27">
        <f t="shared" si="20"/>
        <v>0.28841754112166296</v>
      </c>
      <c r="L137" s="27">
        <v>6.3884175411215747</v>
      </c>
      <c r="M137" s="27">
        <f ca="1">K137/$Q$5/SQRT(1-'Dźwignia I'!A137)</f>
        <v>1.1388776007037853</v>
      </c>
      <c r="N137" s="27">
        <f t="shared" ca="1" si="25"/>
        <v>1.0671820841373723</v>
      </c>
      <c r="AE137" s="9">
        <v>136</v>
      </c>
      <c r="AF137" s="1">
        <f t="shared" si="26"/>
        <v>0.30950805060212971</v>
      </c>
      <c r="AG137" s="10">
        <f t="shared" si="21"/>
        <v>0.34175061263037826</v>
      </c>
    </row>
    <row r="138" spans="1:33" x14ac:dyDescent="0.25">
      <c r="A138" s="28">
        <v>137</v>
      </c>
      <c r="B138" s="59">
        <v>1</v>
      </c>
      <c r="C138" s="28">
        <v>6.3</v>
      </c>
      <c r="D138" s="28">
        <v>3.4</v>
      </c>
      <c r="E138" s="28">
        <v>2.4</v>
      </c>
      <c r="F138" s="28">
        <f t="shared" si="22"/>
        <v>0</v>
      </c>
      <c r="G138" s="60">
        <f t="shared" si="23"/>
        <v>0</v>
      </c>
      <c r="H138" s="27" t="s">
        <v>7</v>
      </c>
      <c r="I138" s="70">
        <v>5.6</v>
      </c>
      <c r="J138" s="27">
        <f t="shared" si="24"/>
        <v>5.5252221112923605</v>
      </c>
      <c r="K138" s="27">
        <f t="shared" si="20"/>
        <v>-7.4777888707639129E-2</v>
      </c>
      <c r="L138" s="27">
        <v>5.5252221112924431</v>
      </c>
      <c r="M138" s="27">
        <f ca="1">K138/$Q$5/SQRT(1-'Dźwignia I'!A138)</f>
        <v>-0.29407699968874984</v>
      </c>
      <c r="N138" s="27">
        <f t="shared" ca="1" si="25"/>
        <v>0.5422886682282323</v>
      </c>
      <c r="AE138" s="9">
        <v>137</v>
      </c>
      <c r="AF138" s="1">
        <f t="shared" si="26"/>
        <v>0.33863948791239729</v>
      </c>
      <c r="AG138" s="10">
        <f t="shared" si="21"/>
        <v>0.35225280618260335</v>
      </c>
    </row>
    <row r="139" spans="1:33" x14ac:dyDescent="0.25">
      <c r="A139" s="28">
        <v>138</v>
      </c>
      <c r="B139" s="59">
        <v>1</v>
      </c>
      <c r="C139" s="28">
        <v>6.4</v>
      </c>
      <c r="D139" s="28">
        <v>3.1</v>
      </c>
      <c r="E139" s="28">
        <v>1.8</v>
      </c>
      <c r="F139" s="28">
        <f t="shared" si="22"/>
        <v>0</v>
      </c>
      <c r="G139" s="60">
        <f t="shared" si="23"/>
        <v>0</v>
      </c>
      <c r="H139" s="27" t="s">
        <v>7</v>
      </c>
      <c r="I139" s="70">
        <v>5.5</v>
      </c>
      <c r="J139" s="27">
        <f t="shared" si="24"/>
        <v>5.2788468798909083</v>
      </c>
      <c r="K139" s="27">
        <f t="shared" si="20"/>
        <v>-0.22115312010909172</v>
      </c>
      <c r="L139" s="27">
        <v>5.2788468798909376</v>
      </c>
      <c r="M139" s="27">
        <f ca="1">K139/$Q$5/SQRT(1-'Dźwignia I'!A139)</f>
        <v>-0.85758819276402953</v>
      </c>
      <c r="N139" s="27">
        <f t="shared" ca="1" si="25"/>
        <v>0.92606057726480806</v>
      </c>
      <c r="AE139" s="9">
        <v>138</v>
      </c>
      <c r="AF139" s="1">
        <f t="shared" si="26"/>
        <v>0.34203939928989868</v>
      </c>
      <c r="AG139" s="10">
        <f t="shared" si="21"/>
        <v>0.36335016461912423</v>
      </c>
    </row>
    <row r="140" spans="1:33" x14ac:dyDescent="0.25">
      <c r="A140" s="28">
        <v>139</v>
      </c>
      <c r="B140" s="59">
        <v>1</v>
      </c>
      <c r="C140" s="28">
        <v>6</v>
      </c>
      <c r="D140" s="28">
        <v>3</v>
      </c>
      <c r="E140" s="28">
        <v>1.8</v>
      </c>
      <c r="F140" s="28">
        <f t="shared" si="22"/>
        <v>0</v>
      </c>
      <c r="G140" s="60">
        <f t="shared" si="23"/>
        <v>0</v>
      </c>
      <c r="H140" s="27" t="s">
        <v>7</v>
      </c>
      <c r="I140" s="70">
        <v>4.8</v>
      </c>
      <c r="J140" s="27">
        <f t="shared" si="24"/>
        <v>5.0536969116368295</v>
      </c>
      <c r="K140" s="27">
        <f t="shared" si="20"/>
        <v>0.25369691163682973</v>
      </c>
      <c r="L140" s="27">
        <v>5.0536969116366972</v>
      </c>
      <c r="M140" s="27">
        <f ca="1">K140/$Q$5/SQRT(1-'Dźwignia I'!A140)</f>
        <v>0.98624669145563948</v>
      </c>
      <c r="N140" s="27">
        <f t="shared" ca="1" si="25"/>
        <v>0.99309953753671609</v>
      </c>
      <c r="AE140" s="9">
        <v>139</v>
      </c>
      <c r="AF140" s="1">
        <f t="shared" si="26"/>
        <v>0.36351623274763334</v>
      </c>
      <c r="AG140" s="10">
        <f t="shared" si="21"/>
        <v>0.37513657760230829</v>
      </c>
    </row>
    <row r="141" spans="1:33" x14ac:dyDescent="0.25">
      <c r="A141" s="28">
        <v>140</v>
      </c>
      <c r="B141" s="59">
        <v>1</v>
      </c>
      <c r="C141" s="28">
        <v>6.9</v>
      </c>
      <c r="D141" s="28">
        <v>3.1</v>
      </c>
      <c r="E141" s="28">
        <v>2.1</v>
      </c>
      <c r="F141" s="28">
        <f t="shared" si="22"/>
        <v>0</v>
      </c>
      <c r="G141" s="60">
        <f t="shared" si="23"/>
        <v>0</v>
      </c>
      <c r="H141" s="27" t="s">
        <v>7</v>
      </c>
      <c r="I141" s="70">
        <v>5.4</v>
      </c>
      <c r="J141" s="27">
        <f t="shared" si="24"/>
        <v>5.7635162327476337</v>
      </c>
      <c r="K141" s="27">
        <f t="shared" si="20"/>
        <v>0.36351623274763334</v>
      </c>
      <c r="L141" s="27">
        <v>5.7635162327475475</v>
      </c>
      <c r="M141" s="27">
        <f ca="1">K141/$Q$5/SQRT(1-'Dźwignia I'!A141)</f>
        <v>1.3995701673263377</v>
      </c>
      <c r="N141" s="27">
        <f t="shared" ca="1" si="25"/>
        <v>1.1830343052195644</v>
      </c>
      <c r="AE141" s="9">
        <v>140</v>
      </c>
      <c r="AF141" s="1">
        <f t="shared" si="26"/>
        <v>0.38658259756144631</v>
      </c>
      <c r="AG141" s="10">
        <f t="shared" si="21"/>
        <v>0.38773043393647644</v>
      </c>
    </row>
    <row r="142" spans="1:33" x14ac:dyDescent="0.25">
      <c r="A142" s="28">
        <v>141</v>
      </c>
      <c r="B142" s="59">
        <v>1</v>
      </c>
      <c r="C142" s="28">
        <v>6.7</v>
      </c>
      <c r="D142" s="28">
        <v>3.1</v>
      </c>
      <c r="E142" s="28">
        <v>2.4</v>
      </c>
      <c r="F142" s="28">
        <f t="shared" si="22"/>
        <v>0</v>
      </c>
      <c r="G142" s="60">
        <f t="shared" si="23"/>
        <v>0</v>
      </c>
      <c r="H142" s="27" t="s">
        <v>7</v>
      </c>
      <c r="I142" s="70">
        <v>5.6</v>
      </c>
      <c r="J142" s="27">
        <f t="shared" si="24"/>
        <v>5.8225815137122003</v>
      </c>
      <c r="K142" s="27">
        <f t="shared" si="20"/>
        <v>0.2225815137122007</v>
      </c>
      <c r="L142" s="27">
        <v>5.8225815137121986</v>
      </c>
      <c r="M142" s="27">
        <f ca="1">K142/$Q$5/SQRT(1-'Dźwignia I'!A142)</f>
        <v>0.86705925511062332</v>
      </c>
      <c r="N142" s="27">
        <f t="shared" ca="1" si="25"/>
        <v>0.93116016619624753</v>
      </c>
      <c r="AE142" s="9">
        <v>141</v>
      </c>
      <c r="AF142" s="1">
        <f t="shared" si="26"/>
        <v>0.39025573235778932</v>
      </c>
      <c r="AG142" s="10">
        <f t="shared" si="21"/>
        <v>0.40128413292075393</v>
      </c>
    </row>
    <row r="143" spans="1:33" x14ac:dyDescent="0.25">
      <c r="A143" s="28">
        <v>142</v>
      </c>
      <c r="B143" s="59">
        <v>1</v>
      </c>
      <c r="C143" s="28">
        <v>6.9</v>
      </c>
      <c r="D143" s="28">
        <v>3.1</v>
      </c>
      <c r="E143" s="28">
        <v>2.2999999999999998</v>
      </c>
      <c r="F143" s="28">
        <f t="shared" si="22"/>
        <v>0</v>
      </c>
      <c r="G143" s="60">
        <f t="shared" si="23"/>
        <v>0</v>
      </c>
      <c r="H143" s="27" t="s">
        <v>7</v>
      </c>
      <c r="I143" s="70">
        <v>5.0999999999999996</v>
      </c>
      <c r="J143" s="27">
        <f t="shared" si="24"/>
        <v>5.883960528989185</v>
      </c>
      <c r="K143" s="27">
        <f t="shared" si="20"/>
        <v>0.78396052898918533</v>
      </c>
      <c r="L143" s="27">
        <v>5.8839605289891006</v>
      </c>
      <c r="M143" s="27">
        <f ca="1">K143/$Q$5/SQRT(1-'Dźwignia I'!A143)</f>
        <v>3.0349348859201868</v>
      </c>
      <c r="N143" s="27">
        <f t="shared" ca="1" si="25"/>
        <v>1.7421064508003483</v>
      </c>
      <c r="AE143" s="9">
        <v>142</v>
      </c>
      <c r="AF143" s="1">
        <f t="shared" si="26"/>
        <v>0.40908926768406362</v>
      </c>
      <c r="AG143" s="10">
        <f t="shared" si="21"/>
        <v>0.41599876487582432</v>
      </c>
    </row>
    <row r="144" spans="1:33" x14ac:dyDescent="0.25">
      <c r="A144" s="28">
        <v>143</v>
      </c>
      <c r="B144" s="59">
        <v>1</v>
      </c>
      <c r="C144" s="28">
        <v>5.8</v>
      </c>
      <c r="D144" s="28">
        <v>2.7</v>
      </c>
      <c r="E144" s="28">
        <v>1.9</v>
      </c>
      <c r="F144" s="28">
        <f t="shared" si="22"/>
        <v>0</v>
      </c>
      <c r="G144" s="60">
        <f t="shared" si="23"/>
        <v>0</v>
      </c>
      <c r="H144" s="27" t="s">
        <v>7</v>
      </c>
      <c r="I144" s="70">
        <v>5.0999999999999996</v>
      </c>
      <c r="J144" s="27">
        <f t="shared" si="24"/>
        <v>5.0464749719841659</v>
      </c>
      <c r="K144" s="27">
        <f t="shared" si="20"/>
        <v>-5.3525028015833698E-2</v>
      </c>
      <c r="L144" s="27">
        <v>5.0464749719842592</v>
      </c>
      <c r="M144" s="27">
        <f ca="1">K144/$Q$5/SQRT(1-'Dźwignia I'!A144)</f>
        <v>-0.20749468264582915</v>
      </c>
      <c r="N144" s="27">
        <f t="shared" ca="1" si="25"/>
        <v>0.45551584236536619</v>
      </c>
      <c r="AE144" s="9">
        <v>143</v>
      </c>
      <c r="AF144" s="1">
        <f t="shared" si="26"/>
        <v>0.41140279211747011</v>
      </c>
      <c r="AG144" s="10">
        <f t="shared" si="21"/>
        <v>0.43214777591292736</v>
      </c>
    </row>
    <row r="145" spans="1:33" x14ac:dyDescent="0.25">
      <c r="A145" s="28">
        <v>144</v>
      </c>
      <c r="B145" s="59">
        <v>1</v>
      </c>
      <c r="C145" s="28">
        <v>6.8</v>
      </c>
      <c r="D145" s="28">
        <v>3.2</v>
      </c>
      <c r="E145" s="28">
        <v>2.2999999999999998</v>
      </c>
      <c r="F145" s="28">
        <f t="shared" si="22"/>
        <v>0</v>
      </c>
      <c r="G145" s="60">
        <f t="shared" si="23"/>
        <v>0</v>
      </c>
      <c r="H145" s="27" t="s">
        <v>7</v>
      </c>
      <c r="I145" s="70">
        <v>5.9</v>
      </c>
      <c r="J145" s="27">
        <f t="shared" si="24"/>
        <v>5.8051075887488643</v>
      </c>
      <c r="K145" s="27">
        <f t="shared" si="20"/>
        <v>-9.4892411251136011E-2</v>
      </c>
      <c r="L145" s="27">
        <v>5.8051075887488164</v>
      </c>
      <c r="M145" s="27">
        <f ca="1">K145/$Q$5/SQRT(1-'Dźwignia I'!A145)</f>
        <v>-0.36715837583649635</v>
      </c>
      <c r="N145" s="27">
        <f t="shared" ca="1" si="25"/>
        <v>0.60593595027568414</v>
      </c>
      <c r="AE145" s="9">
        <v>144</v>
      </c>
      <c r="AF145" s="1">
        <f t="shared" si="26"/>
        <v>0.41658422087655866</v>
      </c>
      <c r="AG145" s="10">
        <f t="shared" si="21"/>
        <v>0.45011720579047526</v>
      </c>
    </row>
    <row r="146" spans="1:33" x14ac:dyDescent="0.25">
      <c r="A146" s="28">
        <v>145</v>
      </c>
      <c r="B146" s="59">
        <v>1</v>
      </c>
      <c r="C146" s="28">
        <v>6.7</v>
      </c>
      <c r="D146" s="28">
        <v>3.3</v>
      </c>
      <c r="E146" s="28">
        <v>2.5</v>
      </c>
      <c r="F146" s="28">
        <f t="shared" si="22"/>
        <v>0</v>
      </c>
      <c r="G146" s="60">
        <f t="shared" si="23"/>
        <v>0</v>
      </c>
      <c r="H146" s="27" t="s">
        <v>7</v>
      </c>
      <c r="I146" s="70">
        <v>5.7</v>
      </c>
      <c r="J146" s="27">
        <f t="shared" si="24"/>
        <v>5.846698944750095</v>
      </c>
      <c r="K146" s="27">
        <f t="shared" si="20"/>
        <v>0.14669894475009482</v>
      </c>
      <c r="L146" s="27">
        <v>5.8466989447500302</v>
      </c>
      <c r="M146" s="27">
        <f ca="1">K146/$Q$5/SQRT(1-'Dźwignia I'!A146)</f>
        <v>0.57583935570451072</v>
      </c>
      <c r="N146" s="27">
        <f t="shared" ca="1" si="25"/>
        <v>0.75884079733795995</v>
      </c>
      <c r="AE146" s="9">
        <v>145</v>
      </c>
      <c r="AF146" s="1">
        <f t="shared" si="26"/>
        <v>0.42165498730715401</v>
      </c>
      <c r="AG146" s="10">
        <f t="shared" si="21"/>
        <v>0.47047886577086967</v>
      </c>
    </row>
    <row r="147" spans="1:33" x14ac:dyDescent="0.25">
      <c r="A147" s="28">
        <v>146</v>
      </c>
      <c r="B147" s="59">
        <v>1</v>
      </c>
      <c r="C147" s="28">
        <v>6.7</v>
      </c>
      <c r="D147" s="28">
        <v>3</v>
      </c>
      <c r="E147" s="28">
        <v>2.2999999999999998</v>
      </c>
      <c r="F147" s="28">
        <f t="shared" si="22"/>
        <v>0</v>
      </c>
      <c r="G147" s="60">
        <f t="shared" si="23"/>
        <v>0</v>
      </c>
      <c r="H147" s="27" t="s">
        <v>7</v>
      </c>
      <c r="I147" s="70">
        <v>5.2</v>
      </c>
      <c r="J147" s="27">
        <f t="shared" si="24"/>
        <v>5.7804117241328656</v>
      </c>
      <c r="K147" s="27">
        <f t="shared" si="20"/>
        <v>0.58041172413286546</v>
      </c>
      <c r="L147" s="27">
        <v>5.7804117241328745</v>
      </c>
      <c r="M147" s="27">
        <f ca="1">K147/$Q$5/SQRT(1-'Dźwignia I'!A147)</f>
        <v>2.2487382016827211</v>
      </c>
      <c r="N147" s="27">
        <f t="shared" ca="1" si="25"/>
        <v>1.4995793415764038</v>
      </c>
      <c r="AE147" s="9">
        <v>146</v>
      </c>
      <c r="AF147" s="1">
        <f t="shared" si="26"/>
        <v>0.45087543383743256</v>
      </c>
      <c r="AG147" s="10">
        <f t="shared" si="21"/>
        <v>0.49413562483380308</v>
      </c>
    </row>
    <row r="148" spans="1:33" x14ac:dyDescent="0.25">
      <c r="A148" s="28">
        <v>147</v>
      </c>
      <c r="B148" s="59">
        <v>1</v>
      </c>
      <c r="C148" s="28">
        <v>6.3</v>
      </c>
      <c r="D148" s="28">
        <v>2.5</v>
      </c>
      <c r="E148" s="28">
        <v>1.9</v>
      </c>
      <c r="F148" s="28">
        <f t="shared" si="22"/>
        <v>0</v>
      </c>
      <c r="G148" s="60">
        <f t="shared" si="23"/>
        <v>0</v>
      </c>
      <c r="H148" s="27" t="s">
        <v>7</v>
      </c>
      <c r="I148" s="70">
        <v>5</v>
      </c>
      <c r="J148" s="27">
        <f t="shared" si="24"/>
        <v>5.3865825975614463</v>
      </c>
      <c r="K148" s="27">
        <f t="shared" si="20"/>
        <v>0.38658259756144631</v>
      </c>
      <c r="L148" s="27">
        <v>5.3865825975615502</v>
      </c>
      <c r="M148" s="27">
        <f ca="1">K148/$Q$5/SQRT(1-'Dźwignia I'!A148)</f>
        <v>1.4967482468353743</v>
      </c>
      <c r="N148" s="27">
        <f t="shared" ca="1" si="25"/>
        <v>1.2234166284775494</v>
      </c>
      <c r="AE148" s="9">
        <v>147</v>
      </c>
      <c r="AF148" s="1">
        <f t="shared" si="26"/>
        <v>0.58041172413286546</v>
      </c>
      <c r="AG148" s="10">
        <f t="shared" si="21"/>
        <v>0.52264661761923759</v>
      </c>
    </row>
    <row r="149" spans="1:33" x14ac:dyDescent="0.25">
      <c r="A149" s="28">
        <v>148</v>
      </c>
      <c r="B149" s="59">
        <v>1</v>
      </c>
      <c r="C149" s="28">
        <v>6.5</v>
      </c>
      <c r="D149" s="28">
        <v>3</v>
      </c>
      <c r="E149" s="28">
        <v>2</v>
      </c>
      <c r="F149" s="28">
        <f t="shared" si="22"/>
        <v>0</v>
      </c>
      <c r="G149" s="60">
        <f t="shared" si="23"/>
        <v>0</v>
      </c>
      <c r="H149" s="27" t="s">
        <v>7</v>
      </c>
      <c r="I149" s="70">
        <v>5.2</v>
      </c>
      <c r="J149" s="27">
        <f t="shared" si="24"/>
        <v>5.4781441163727793</v>
      </c>
      <c r="K149" s="27">
        <f t="shared" si="20"/>
        <v>0.27814411637277914</v>
      </c>
      <c r="L149" s="27">
        <v>5.4781441163727651</v>
      </c>
      <c r="M149" s="27">
        <f ca="1">K149/$Q$5/SQRT(1-'Dźwignia I'!A149)</f>
        <v>1.0697631127369007</v>
      </c>
      <c r="N149" s="27">
        <f t="shared" ca="1" si="25"/>
        <v>1.0342935331601473</v>
      </c>
      <c r="AE149" s="9">
        <v>148</v>
      </c>
      <c r="AF149" s="1">
        <f t="shared" si="26"/>
        <v>0.61379493969659116</v>
      </c>
      <c r="AG149" s="10">
        <f t="shared" si="21"/>
        <v>0.55909535044742165</v>
      </c>
    </row>
    <row r="150" spans="1:33" x14ac:dyDescent="0.25">
      <c r="A150" s="28">
        <v>149</v>
      </c>
      <c r="B150" s="59">
        <v>1</v>
      </c>
      <c r="C150" s="28">
        <v>6.2</v>
      </c>
      <c r="D150" s="28">
        <v>3.4</v>
      </c>
      <c r="E150" s="28">
        <v>2.2999999999999998</v>
      </c>
      <c r="F150" s="28">
        <f t="shared" si="22"/>
        <v>0</v>
      </c>
      <c r="G150" s="60">
        <f t="shared" si="23"/>
        <v>0</v>
      </c>
      <c r="H150" s="27" t="s">
        <v>7</v>
      </c>
      <c r="I150" s="70">
        <v>5.4</v>
      </c>
      <c r="J150" s="27">
        <f t="shared" si="24"/>
        <v>5.4041993814727052</v>
      </c>
      <c r="K150" s="27">
        <f t="shared" si="20"/>
        <v>4.1993814727048218E-3</v>
      </c>
      <c r="L150" s="27">
        <v>5.4041993814725808</v>
      </c>
      <c r="M150" s="27">
        <f ca="1">K150/$Q$5/SQRT(1-'Dźwignia I'!A150)</f>
        <v>1.6470848971908779E-2</v>
      </c>
      <c r="N150" s="27">
        <f t="shared" ca="1" si="25"/>
        <v>0.1283388054015962</v>
      </c>
      <c r="AE150" s="9">
        <v>149</v>
      </c>
      <c r="AF150" s="1">
        <f t="shared" si="26"/>
        <v>0.66434645030637007</v>
      </c>
      <c r="AG150" s="10">
        <f t="shared" si="21"/>
        <v>0.61119484633399335</v>
      </c>
    </row>
    <row r="151" spans="1:33" ht="15.75" thickBot="1" x14ac:dyDescent="0.3">
      <c r="A151" s="28">
        <v>150</v>
      </c>
      <c r="B151" s="61">
        <v>1</v>
      </c>
      <c r="C151" s="62">
        <v>5.9</v>
      </c>
      <c r="D151" s="62">
        <v>3</v>
      </c>
      <c r="E151" s="62">
        <v>1.8</v>
      </c>
      <c r="F151" s="62">
        <f t="shared" si="22"/>
        <v>0</v>
      </c>
      <c r="G151" s="25">
        <f t="shared" si="23"/>
        <v>0</v>
      </c>
      <c r="H151" s="27" t="s">
        <v>7</v>
      </c>
      <c r="I151" s="71">
        <v>5.0999999999999996</v>
      </c>
      <c r="J151" s="27">
        <f t="shared" si="24"/>
        <v>4.9928963299379499</v>
      </c>
      <c r="K151" s="27">
        <f t="shared" si="20"/>
        <v>-0.10710367006204979</v>
      </c>
      <c r="L151" s="27">
        <v>4.9928963299379481</v>
      </c>
      <c r="M151" s="27">
        <f ca="1">K151/$Q$5/SQRT(1-'Dźwignia I'!A151)</f>
        <v>-0.41727740886859771</v>
      </c>
      <c r="N151" s="27">
        <f t="shared" ca="1" si="25"/>
        <v>0.64597013001267922</v>
      </c>
      <c r="AE151" s="11">
        <v>150</v>
      </c>
      <c r="AF151" s="12">
        <f t="shared" si="26"/>
        <v>0.78396052898918533</v>
      </c>
      <c r="AG151" s="13">
        <f t="shared" si="21"/>
        <v>0.71279250647537662</v>
      </c>
    </row>
  </sheetData>
  <mergeCells count="1">
    <mergeCell ref="W2:W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FAB93-99EE-46DC-8005-E6BA49FB8360}">
  <dimension ref="A1:EV151"/>
  <sheetViews>
    <sheetView workbookViewId="0">
      <selection activeCell="M14" sqref="M14"/>
    </sheetView>
  </sheetViews>
  <sheetFormatPr defaultRowHeight="15" x14ac:dyDescent="0.25"/>
  <cols>
    <col min="1" max="1" width="9" bestFit="1" customWidth="1"/>
  </cols>
  <sheetData>
    <row r="1" spans="1:152" x14ac:dyDescent="0.25">
      <c r="A1" s="5" t="s">
        <v>38</v>
      </c>
      <c r="B1" s="38" t="s">
        <v>39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>
        <v>28</v>
      </c>
      <c r="AE1" s="5">
        <v>29</v>
      </c>
      <c r="AF1" s="5">
        <v>30</v>
      </c>
      <c r="AG1" s="5">
        <v>31</v>
      </c>
      <c r="AH1" s="5">
        <v>32</v>
      </c>
      <c r="AI1" s="5">
        <v>33</v>
      </c>
      <c r="AJ1" s="5">
        <v>34</v>
      </c>
      <c r="AK1" s="5">
        <v>35</v>
      </c>
      <c r="AL1" s="5">
        <v>36</v>
      </c>
      <c r="AM1" s="5">
        <v>37</v>
      </c>
      <c r="AN1" s="5">
        <v>38</v>
      </c>
      <c r="AO1" s="5">
        <v>39</v>
      </c>
      <c r="AP1" s="5">
        <v>40</v>
      </c>
      <c r="AQ1" s="5">
        <v>41</v>
      </c>
      <c r="AR1" s="5">
        <v>42</v>
      </c>
      <c r="AS1" s="5">
        <v>43</v>
      </c>
      <c r="AT1" s="5">
        <v>44</v>
      </c>
      <c r="AU1" s="5">
        <v>45</v>
      </c>
      <c r="AV1" s="5">
        <v>46</v>
      </c>
      <c r="AW1" s="5">
        <v>47</v>
      </c>
      <c r="AX1" s="5">
        <v>48</v>
      </c>
      <c r="AY1" s="5">
        <v>49</v>
      </c>
      <c r="AZ1" s="5">
        <v>50</v>
      </c>
      <c r="BA1" s="5">
        <v>51</v>
      </c>
      <c r="BB1" s="5">
        <v>52</v>
      </c>
      <c r="BC1" s="5">
        <v>53</v>
      </c>
      <c r="BD1" s="5">
        <v>54</v>
      </c>
      <c r="BE1" s="5">
        <v>55</v>
      </c>
      <c r="BF1" s="5">
        <v>56</v>
      </c>
      <c r="BG1" s="5">
        <v>57</v>
      </c>
      <c r="BH1" s="5">
        <v>58</v>
      </c>
      <c r="BI1" s="5">
        <v>59</v>
      </c>
      <c r="BJ1" s="5">
        <v>60</v>
      </c>
      <c r="BK1" s="5">
        <v>61</v>
      </c>
      <c r="BL1" s="5">
        <v>62</v>
      </c>
      <c r="BM1" s="5">
        <v>63</v>
      </c>
      <c r="BN1" s="5">
        <v>64</v>
      </c>
      <c r="BO1" s="5">
        <v>65</v>
      </c>
      <c r="BP1" s="5">
        <v>66</v>
      </c>
      <c r="BQ1" s="5">
        <v>67</v>
      </c>
      <c r="BR1" s="5">
        <v>68</v>
      </c>
      <c r="BS1" s="5">
        <v>69</v>
      </c>
      <c r="BT1" s="5">
        <v>70</v>
      </c>
      <c r="BU1" s="5">
        <v>71</v>
      </c>
      <c r="BV1" s="5">
        <v>72</v>
      </c>
      <c r="BW1" s="5">
        <v>73</v>
      </c>
      <c r="BX1" s="5">
        <v>74</v>
      </c>
      <c r="BY1" s="5">
        <v>75</v>
      </c>
      <c r="BZ1" s="5">
        <v>76</v>
      </c>
      <c r="CA1" s="5">
        <v>77</v>
      </c>
      <c r="CB1" s="5">
        <v>78</v>
      </c>
      <c r="CC1" s="5">
        <v>79</v>
      </c>
      <c r="CD1" s="5">
        <v>80</v>
      </c>
      <c r="CE1" s="5">
        <v>81</v>
      </c>
      <c r="CF1" s="5">
        <v>82</v>
      </c>
      <c r="CG1" s="5">
        <v>83</v>
      </c>
      <c r="CH1" s="5">
        <v>84</v>
      </c>
      <c r="CI1" s="5">
        <v>85</v>
      </c>
      <c r="CJ1" s="5">
        <v>86</v>
      </c>
      <c r="CK1" s="5">
        <v>87</v>
      </c>
      <c r="CL1" s="5">
        <v>88</v>
      </c>
      <c r="CM1" s="5">
        <v>89</v>
      </c>
      <c r="CN1" s="5">
        <v>90</v>
      </c>
      <c r="CO1" s="5">
        <v>91</v>
      </c>
      <c r="CP1" s="5">
        <v>92</v>
      </c>
      <c r="CQ1" s="5">
        <v>93</v>
      </c>
      <c r="CR1" s="5">
        <v>94</v>
      </c>
      <c r="CS1" s="5">
        <v>95</v>
      </c>
      <c r="CT1" s="5">
        <v>96</v>
      </c>
      <c r="CU1" s="5">
        <v>97</v>
      </c>
      <c r="CV1" s="5">
        <v>98</v>
      </c>
      <c r="CW1" s="5">
        <v>99</v>
      </c>
      <c r="CX1" s="5">
        <v>100</v>
      </c>
      <c r="CY1" s="5">
        <v>101</v>
      </c>
      <c r="CZ1" s="5">
        <v>102</v>
      </c>
      <c r="DA1" s="5">
        <v>103</v>
      </c>
      <c r="DB1" s="5">
        <v>104</v>
      </c>
      <c r="DC1" s="5">
        <v>105</v>
      </c>
      <c r="DD1" s="5">
        <v>106</v>
      </c>
      <c r="DE1" s="5">
        <v>107</v>
      </c>
      <c r="DF1" s="5">
        <v>108</v>
      </c>
      <c r="DG1" s="5">
        <v>109</v>
      </c>
      <c r="DH1" s="5">
        <v>110</v>
      </c>
      <c r="DI1" s="5">
        <v>111</v>
      </c>
      <c r="DJ1" s="5">
        <v>112</v>
      </c>
      <c r="DK1" s="5">
        <v>113</v>
      </c>
      <c r="DL1" s="5">
        <v>114</v>
      </c>
      <c r="DM1" s="5">
        <v>115</v>
      </c>
      <c r="DN1" s="5">
        <v>116</v>
      </c>
      <c r="DO1" s="5">
        <v>117</v>
      </c>
      <c r="DP1" s="5">
        <v>118</v>
      </c>
      <c r="DQ1" s="5">
        <v>119</v>
      </c>
      <c r="DR1" s="5">
        <v>120</v>
      </c>
      <c r="DS1" s="5">
        <v>121</v>
      </c>
      <c r="DT1" s="5">
        <v>122</v>
      </c>
      <c r="DU1" s="5">
        <v>123</v>
      </c>
      <c r="DV1" s="5">
        <v>124</v>
      </c>
      <c r="DW1" s="5">
        <v>125</v>
      </c>
      <c r="DX1" s="5">
        <v>126</v>
      </c>
      <c r="DY1" s="5">
        <v>127</v>
      </c>
      <c r="DZ1" s="5">
        <v>128</v>
      </c>
      <c r="EA1" s="5">
        <v>129</v>
      </c>
      <c r="EB1" s="5">
        <v>130</v>
      </c>
      <c r="EC1" s="5">
        <v>131</v>
      </c>
      <c r="ED1" s="5">
        <v>132</v>
      </c>
      <c r="EE1" s="5">
        <v>133</v>
      </c>
      <c r="EF1" s="5">
        <v>134</v>
      </c>
      <c r="EG1" s="5">
        <v>135</v>
      </c>
      <c r="EH1" s="5">
        <v>136</v>
      </c>
      <c r="EI1" s="5">
        <v>137</v>
      </c>
      <c r="EJ1" s="5">
        <v>138</v>
      </c>
      <c r="EK1" s="5">
        <v>139</v>
      </c>
      <c r="EL1" s="5">
        <v>140</v>
      </c>
      <c r="EM1" s="5">
        <v>141</v>
      </c>
      <c r="EN1" s="5">
        <v>142</v>
      </c>
      <c r="EO1" s="5">
        <v>143</v>
      </c>
      <c r="EP1" s="5">
        <v>144</v>
      </c>
      <c r="EQ1" s="5">
        <v>145</v>
      </c>
      <c r="ER1" s="5">
        <v>146</v>
      </c>
      <c r="ES1" s="5">
        <v>147</v>
      </c>
      <c r="ET1" s="5">
        <v>148</v>
      </c>
      <c r="EU1" s="5">
        <v>149</v>
      </c>
      <c r="EV1" s="5">
        <v>150</v>
      </c>
    </row>
    <row r="2" spans="1:152" x14ac:dyDescent="0.25">
      <c r="A2" s="21">
        <f ca="1">OFFSET($B$1,B2,B2)</f>
        <v>2.1360986084099136E-2</v>
      </c>
      <c r="B2" s="5">
        <v>1</v>
      </c>
      <c r="C2" s="6">
        <f t="array" ref="C2:EV151">MMULT(MMULT(Irysy!B2:G151,MINVERSE(Irysy!P10:U15)),TRANSPOSE(Irysy!B2:G151))</f>
        <v>2.1360986084099136E-2</v>
      </c>
      <c r="D2" s="7">
        <v>1.7606578248564105E-2</v>
      </c>
      <c r="E2" s="7">
        <v>1.8485498136967145E-2</v>
      </c>
      <c r="F2" s="7">
        <v>1.7601150160043499E-2</v>
      </c>
      <c r="G2" s="7">
        <v>2.1800446028300658E-2</v>
      </c>
      <c r="H2" s="7">
        <v>2.1739769379283E-2</v>
      </c>
      <c r="I2" s="7">
        <v>1.8118779743656419E-2</v>
      </c>
      <c r="J2" s="7">
        <v>2.0476638107175493E-2</v>
      </c>
      <c r="K2" s="7">
        <v>1.5832454206196212E-2</v>
      </c>
      <c r="L2" s="7">
        <v>1.9736564507201512E-2</v>
      </c>
      <c r="M2" s="7">
        <v>2.335212605430749E-2</v>
      </c>
      <c r="N2" s="7">
        <v>2.0031750074453368E-2</v>
      </c>
      <c r="O2" s="7">
        <v>1.8852216530277865E-2</v>
      </c>
      <c r="P2" s="7">
        <v>1.7739996448472555E-2</v>
      </c>
      <c r="Q2" s="7">
        <v>2.6227614001439484E-2</v>
      </c>
      <c r="R2" s="7">
        <v>2.5716621231179099E-2</v>
      </c>
      <c r="S2" s="7">
        <v>2.1739769379283E-2</v>
      </c>
      <c r="T2" s="7">
        <v>1.9892903786024312E-2</v>
      </c>
      <c r="U2" s="7">
        <v>2.3213279765878433E-2</v>
      </c>
      <c r="V2" s="7">
        <v>2.1878615667712056E-2</v>
      </c>
      <c r="W2" s="7">
        <v>2.1366414172619742E-2</v>
      </c>
      <c r="X2" s="7">
        <v>1.9748629409074653E-2</v>
      </c>
      <c r="Y2" s="7">
        <v>2.0910669962856409E-2</v>
      </c>
      <c r="Z2" s="7">
        <v>1.5632931268749498E-2</v>
      </c>
      <c r="AA2" s="7">
        <v>2.0031750074453368E-2</v>
      </c>
      <c r="AB2" s="7">
        <v>1.7829022264925165E-2</v>
      </c>
      <c r="AC2" s="7">
        <v>1.7540473511025844E-2</v>
      </c>
      <c r="AD2" s="7">
        <v>2.15834301004602E-2</v>
      </c>
      <c r="AE2" s="7">
        <v>2.0921526139897617E-2</v>
      </c>
      <c r="AF2" s="7">
        <v>1.8485498136967145E-2</v>
      </c>
      <c r="AG2" s="7">
        <v>1.8046038192765623E-2</v>
      </c>
      <c r="AH2" s="7">
        <v>1.8430249576470093E-2</v>
      </c>
      <c r="AI2" s="7">
        <v>2.702293616191051E-2</v>
      </c>
      <c r="AJ2" s="7">
        <v>2.6884089873481461E-2</v>
      </c>
      <c r="AK2" s="7">
        <v>1.8268482209126687E-2</v>
      </c>
      <c r="AL2" s="7">
        <v>1.9152830186050331E-2</v>
      </c>
      <c r="AM2" s="7">
        <v>2.2250762149543385E-2</v>
      </c>
      <c r="AN2" s="7">
        <v>2.3046084310014422E-2</v>
      </c>
      <c r="AO2" s="7">
        <v>1.6494358166758795E-2</v>
      </c>
      <c r="AP2" s="7">
        <v>2.0699082123536553E-2</v>
      </c>
      <c r="AQ2" s="7">
        <v>1.9670459769663251E-2</v>
      </c>
      <c r="AR2" s="7">
        <v>1.0615392161106955E-2</v>
      </c>
      <c r="AS2" s="7">
        <v>1.781816608788396E-2</v>
      </c>
      <c r="AT2" s="7">
        <v>1.5266212875438778E-2</v>
      </c>
      <c r="AU2" s="7">
        <v>2.0410533369637232E-2</v>
      </c>
      <c r="AV2" s="7">
        <v>1.5916051934128216E-2</v>
      </c>
      <c r="AW2" s="7">
        <v>2.3346697965786881E-2</v>
      </c>
      <c r="AX2" s="7">
        <v>1.8263054120606081E-2</v>
      </c>
      <c r="AY2" s="7">
        <v>2.3129682037946422E-2</v>
      </c>
      <c r="AZ2" s="7">
        <v>1.981473414661291E-2</v>
      </c>
      <c r="BA2" s="7">
        <v>4.1266104639257409E-3</v>
      </c>
      <c r="BB2" s="7">
        <v>1.3238640676845465E-3</v>
      </c>
      <c r="BC2" s="7">
        <v>1.7741801889272768E-3</v>
      </c>
      <c r="BD2" s="7">
        <v>-3.699103128478605E-3</v>
      </c>
      <c r="BE2" s="7">
        <v>-1.101307758204724E-3</v>
      </c>
      <c r="BF2" s="7">
        <v>5.5304707056429842E-5</v>
      </c>
      <c r="BG2" s="7">
        <v>2.9524171381123399E-4</v>
      </c>
      <c r="BH2" s="7">
        <v>3.2383628142080428E-5</v>
      </c>
      <c r="BI2" s="7">
        <v>2.7192048148685678E-3</v>
      </c>
      <c r="BJ2" s="7">
        <v>-3.1869016333862833E-3</v>
      </c>
      <c r="BK2" s="7">
        <v>-2.3927881977471865E-3</v>
      </c>
      <c r="BL2" s="7">
        <v>-1.1121639352459287E-3</v>
      </c>
      <c r="BM2" s="7">
        <v>1.1554598869885982E-3</v>
      </c>
      <c r="BN2" s="7">
        <v>1.3890243498843394E-4</v>
      </c>
      <c r="BO2" s="7">
        <v>4.9476465125794858E-4</v>
      </c>
      <c r="BP2" s="7">
        <v>2.7973744542799731E-3</v>
      </c>
      <c r="BQ2" s="7">
        <v>-1.7794959843291172E-3</v>
      </c>
      <c r="BR2" s="7">
        <v>4.0200916570793839E-3</v>
      </c>
      <c r="BS2" s="7">
        <v>-5.7400635706633986E-3</v>
      </c>
      <c r="BT2" s="7">
        <v>7.833134051572696E-4</v>
      </c>
      <c r="BU2" s="7">
        <v>-4.192602908345236E-3</v>
      </c>
      <c r="BV2" s="7">
        <v>9.4508077250067546E-4</v>
      </c>
      <c r="BW2" s="7">
        <v>-3.5319076726145933E-3</v>
      </c>
      <c r="BX2" s="7">
        <v>2.4131630705754997E-3</v>
      </c>
      <c r="BY2" s="7">
        <v>2.2743167821464468E-3</v>
      </c>
      <c r="BZ2" s="7">
        <v>1.9130264773563263E-3</v>
      </c>
      <c r="CA2" s="7">
        <v>1.0341065889532854E-3</v>
      </c>
      <c r="CB2" s="7">
        <v>-2.2687764005070825E-3</v>
      </c>
      <c r="CC2" s="7">
        <v>-1.5516238794474509E-3</v>
      </c>
      <c r="CD2" s="7">
        <v>3.1357436801557406E-3</v>
      </c>
      <c r="CE2" s="7">
        <v>-1.0103457176637368E-4</v>
      </c>
      <c r="CF2" s="7">
        <v>1.3670477263084506E-3</v>
      </c>
      <c r="CG2" s="7">
        <v>1.0839270609297354E-3</v>
      </c>
      <c r="CH2" s="7">
        <v>-4.3435140986474371E-3</v>
      </c>
      <c r="CI2" s="7">
        <v>-2.2243840170512383E-3</v>
      </c>
      <c r="CJ2" s="7">
        <v>2.8981362529063859E-4</v>
      </c>
      <c r="CK2" s="7">
        <v>1.3292921562051488E-3</v>
      </c>
      <c r="CL2" s="7">
        <v>-1.9195509975901102E-3</v>
      </c>
      <c r="CM2" s="7">
        <v>1.1566686118205313E-3</v>
      </c>
      <c r="CN2" s="7">
        <v>-2.3752952073534395E-3</v>
      </c>
      <c r="CO2" s="7">
        <v>-2.4530894871603245E-4</v>
      </c>
      <c r="CP2" s="7">
        <v>8.0080639555101668E-4</v>
      </c>
      <c r="CQ2" s="7">
        <v>4.2202310036715263E-4</v>
      </c>
      <c r="CR2" s="7">
        <v>-4.0707631605944178E-4</v>
      </c>
      <c r="CS2" s="7">
        <v>-8.2904326986721344E-4</v>
      </c>
      <c r="CT2" s="7">
        <v>2.8471949262564196E-3</v>
      </c>
      <c r="CU2" s="7">
        <v>7.1720866761901259E-4</v>
      </c>
      <c r="CV2" s="7">
        <v>1.8294287494243222E-3</v>
      </c>
      <c r="CW2" s="7">
        <v>-3.2890667664804002E-4</v>
      </c>
      <c r="CX2" s="7">
        <v>5.5304707056429842E-5</v>
      </c>
      <c r="CY2" s="7">
        <v>-5.4415419485602801E-3</v>
      </c>
      <c r="CZ2" s="7">
        <v>-1.7166920052921301E-3</v>
      </c>
      <c r="DA2" s="7">
        <v>2.2462749293977041E-4</v>
      </c>
      <c r="DB2" s="7">
        <v>2.1874182957131658E-3</v>
      </c>
      <c r="DC2" s="7">
        <v>-2.578118903301424E-3</v>
      </c>
      <c r="DD2" s="7">
        <v>1.33684757474508E-3</v>
      </c>
      <c r="DE2" s="7">
        <v>-2.1063314775172023E-3</v>
      </c>
      <c r="DF2" s="7">
        <v>4.411858459323785E-3</v>
      </c>
      <c r="DG2" s="7">
        <v>4.2957851890708734E-4</v>
      </c>
      <c r="DH2" s="7">
        <v>-1.4538339196229697E-3</v>
      </c>
      <c r="DI2" s="7">
        <v>1.68185361397339E-3</v>
      </c>
      <c r="DJ2" s="7">
        <v>-3.8202790712575652E-4</v>
      </c>
      <c r="DK2" s="7">
        <v>-4.4270455614341467E-4</v>
      </c>
      <c r="DL2" s="7">
        <v>-4.7310262408531804E-3</v>
      </c>
      <c r="DM2" s="7">
        <v>-8.3951995351036722E-3</v>
      </c>
      <c r="DN2" s="7">
        <v>-2.9448372966121433E-3</v>
      </c>
      <c r="DO2" s="7">
        <v>3.294210288997873E-3</v>
      </c>
      <c r="DP2" s="7">
        <v>5.3864409775319783E-3</v>
      </c>
      <c r="DQ2" s="7">
        <v>-4.024488847293832E-3</v>
      </c>
      <c r="DR2" s="7">
        <v>1.2910054169163812E-3</v>
      </c>
      <c r="DS2" s="7">
        <v>-1.8326172148068337E-3</v>
      </c>
      <c r="DT2" s="7">
        <v>-2.9677583755264997E-3</v>
      </c>
      <c r="DU2" s="7">
        <v>1.7035659680558028E-3</v>
      </c>
      <c r="DV2" s="7">
        <v>8.6361037458800374E-4</v>
      </c>
      <c r="DW2" s="7">
        <v>1.320563309183273E-3</v>
      </c>
      <c r="DX2" s="7">
        <v>6.1751263246504762E-3</v>
      </c>
      <c r="DY2" s="7">
        <v>1.3030703187895225E-3</v>
      </c>
      <c r="DZ2" s="7">
        <v>2.404434223553624E-3</v>
      </c>
      <c r="EA2" s="7">
        <v>-2.6562885427128258E-3</v>
      </c>
      <c r="EB2" s="7">
        <v>7.7874829996749523E-3</v>
      </c>
      <c r="EC2" s="7">
        <v>2.504316217047442E-3</v>
      </c>
      <c r="ED2" s="7">
        <v>8.7674936064037479E-3</v>
      </c>
      <c r="EE2" s="7">
        <v>-4.12437084078765E-3</v>
      </c>
      <c r="EF2" s="7">
        <v>5.9297612293750558E-3</v>
      </c>
      <c r="EG2" s="7">
        <v>5.6291475736025935E-3</v>
      </c>
      <c r="EH2" s="7">
        <v>-1.376873005043508E-3</v>
      </c>
      <c r="EI2" s="7">
        <v>-3.3115556899228696E-3</v>
      </c>
      <c r="EJ2" s="7">
        <v>3.7336702331993953E-3</v>
      </c>
      <c r="EK2" s="7">
        <v>2.1819902071925634E-3</v>
      </c>
      <c r="EL2" s="7">
        <v>4.4164342078023555E-4</v>
      </c>
      <c r="EM2" s="7">
        <v>-4.4074915061663653E-3</v>
      </c>
      <c r="EN2" s="7">
        <v>-2.494521175369413E-3</v>
      </c>
      <c r="EO2" s="7">
        <v>-1.7166920052921301E-3</v>
      </c>
      <c r="EP2" s="7">
        <v>-2.0550612311679012E-3</v>
      </c>
      <c r="EQ2" s="7">
        <v>-4.551765883116024E-3</v>
      </c>
      <c r="ER2" s="7">
        <v>-3.6013131686541237E-3</v>
      </c>
      <c r="ES2" s="7">
        <v>-1.928279844611986E-3</v>
      </c>
      <c r="ET2" s="7">
        <v>3.5804569284822452E-4</v>
      </c>
      <c r="EU2" s="7">
        <v>-2.0659174082091059E-3</v>
      </c>
      <c r="EV2" s="8">
        <v>1.9595461908315029E-3</v>
      </c>
    </row>
    <row r="3" spans="1:152" x14ac:dyDescent="0.25">
      <c r="A3" s="21">
        <f t="shared" ref="A3:A66" ca="1" si="0">OFFSET($B$1,B3,B3)</f>
        <v>3.3595361015980499E-2</v>
      </c>
      <c r="B3" s="5">
        <v>2</v>
      </c>
      <c r="C3" s="9">
        <v>1.7606578248564125E-2</v>
      </c>
      <c r="D3" s="1">
        <v>3.3595361015980499E-2</v>
      </c>
      <c r="E3" s="1">
        <v>2.5049980046600848E-2</v>
      </c>
      <c r="F3" s="1">
        <v>2.7787050629567031E-2</v>
      </c>
      <c r="G3" s="1">
        <v>1.3333887763874286E-2</v>
      </c>
      <c r="H3" s="1">
        <v>8.4628734479684567E-3</v>
      </c>
      <c r="I3" s="1">
        <v>1.8558602769148475E-2</v>
      </c>
      <c r="J3" s="1">
        <v>2.0343648831530309E-2</v>
      </c>
      <c r="K3" s="1">
        <v>3.3261191795499412E-2</v>
      </c>
      <c r="L3" s="1">
        <v>2.880428674108703E-2</v>
      </c>
      <c r="M3" s="1">
        <v>1.2900247033493573E-2</v>
      </c>
      <c r="N3" s="1">
        <v>1.8808028929806667E-2</v>
      </c>
      <c r="O3" s="1">
        <v>3.1541357324053228E-2</v>
      </c>
      <c r="P3" s="1">
        <v>2.7702307569744122E-2</v>
      </c>
      <c r="Q3" s="1">
        <v>5.4568452354568364E-3</v>
      </c>
      <c r="R3" s="1">
        <v>-6.7580993685861235E-3</v>
      </c>
      <c r="S3" s="1">
        <v>8.4628734479684567E-3</v>
      </c>
      <c r="T3" s="1">
        <v>1.8892771989629575E-2</v>
      </c>
      <c r="U3" s="1">
        <v>1.2984990093316481E-2</v>
      </c>
      <c r="V3" s="1">
        <v>8.3781303881455688E-3</v>
      </c>
      <c r="W3" s="1">
        <v>2.3414888634977593E-2</v>
      </c>
      <c r="X3" s="1">
        <v>1.3169204663039023E-2</v>
      </c>
      <c r="Y3" s="1">
        <v>1.0262647960427002E-2</v>
      </c>
      <c r="Z3" s="1">
        <v>2.8474920539416512E-2</v>
      </c>
      <c r="AA3" s="1">
        <v>1.8808028929806667E-2</v>
      </c>
      <c r="AB3" s="1">
        <v>3.4363170966842327E-2</v>
      </c>
      <c r="AC3" s="1">
        <v>2.2916036313661216E-2</v>
      </c>
      <c r="AD3" s="1">
        <v>1.8374388199425939E-2</v>
      </c>
      <c r="AE3" s="1">
        <v>2.1879268733253951E-2</v>
      </c>
      <c r="AF3" s="1">
        <v>2.5049980046600848E-2</v>
      </c>
      <c r="AG3" s="1">
        <v>2.9322670531290673E-2</v>
      </c>
      <c r="AH3" s="1">
        <v>2.59872761171085E-2</v>
      </c>
      <c r="AI3" s="1">
        <v>-3.9410887446075515E-3</v>
      </c>
      <c r="AJ3" s="1">
        <v>-3.8563456847846428E-3</v>
      </c>
      <c r="AK3" s="1">
        <v>3.0090480482152487E-2</v>
      </c>
      <c r="AL3" s="1">
        <v>2.7353409899186304E-2</v>
      </c>
      <c r="AM3" s="1">
        <v>2.067781805201141E-2</v>
      </c>
      <c r="AN3" s="1">
        <v>1.1279884071947001E-2</v>
      </c>
      <c r="AO3" s="1">
        <v>2.97563112616714E-2</v>
      </c>
      <c r="AP3" s="1">
        <v>2.1111458782392137E-2</v>
      </c>
      <c r="AQ3" s="1">
        <v>1.8124962038767747E-2</v>
      </c>
      <c r="AR3" s="1">
        <v>5.6344478690394731E-2</v>
      </c>
      <c r="AS3" s="1">
        <v>2.2746550194015377E-2</v>
      </c>
      <c r="AT3" s="1">
        <v>2.1983543261964118E-2</v>
      </c>
      <c r="AU3" s="1">
        <v>9.6643241292110257E-3</v>
      </c>
      <c r="AV3" s="1">
        <v>3.4113744806184135E-2</v>
      </c>
      <c r="AW3" s="1">
        <v>7.0919366470801187E-3</v>
      </c>
      <c r="AX3" s="1">
        <v>2.428217009573902E-2</v>
      </c>
      <c r="AY3" s="1">
        <v>1.2132437082631745E-2</v>
      </c>
      <c r="AZ3" s="1">
        <v>2.384852936535832E-2</v>
      </c>
      <c r="BA3" s="1">
        <v>-5.9497050499019363E-3</v>
      </c>
      <c r="BB3" s="1">
        <v>-9.2703710140074058E-3</v>
      </c>
      <c r="BC3" s="1">
        <v>-1.9264407258702959E-3</v>
      </c>
      <c r="BD3" s="1">
        <v>1.2790876750557376E-2</v>
      </c>
      <c r="BE3" s="1">
        <v>5.5169610721664541E-3</v>
      </c>
      <c r="BF3" s="1">
        <v>-3.197906016859025E-3</v>
      </c>
      <c r="BG3" s="1">
        <v>-1.2256867757631747E-2</v>
      </c>
      <c r="BH3" s="1">
        <v>8.2055528836205704E-4</v>
      </c>
      <c r="BI3" s="1">
        <v>2.0750300706936023E-4</v>
      </c>
      <c r="BJ3" s="1">
        <v>-2.2458814962746862E-3</v>
      </c>
      <c r="BK3" s="1">
        <v>1.5607887374535903E-2</v>
      </c>
      <c r="BL3" s="1">
        <v>-6.0996597006604814E-3</v>
      </c>
      <c r="BM3" s="1">
        <v>1.6276225815498091E-2</v>
      </c>
      <c r="BN3" s="1">
        <v>-2.3453530061742986E-3</v>
      </c>
      <c r="BO3" s="1">
        <v>-7.4705965015488505E-3</v>
      </c>
      <c r="BP3" s="1">
        <v>-4.7482543686593812E-3</v>
      </c>
      <c r="BQ3" s="1">
        <v>-8.4030895532459515E-3</v>
      </c>
      <c r="BR3" s="1">
        <v>-2.7837967553655807E-3</v>
      </c>
      <c r="BS3" s="1">
        <v>2.4242814422549011E-2</v>
      </c>
      <c r="BT3" s="1">
        <v>3.976538151632257E-3</v>
      </c>
      <c r="BU3" s="1">
        <v>-9.2508395451201368E-3</v>
      </c>
      <c r="BV3" s="1">
        <v>-1.2666621341174064E-4</v>
      </c>
      <c r="BW3" s="1">
        <v>1.4495982771926832E-2</v>
      </c>
      <c r="BX3" s="1">
        <v>-1.4128599544771976E-3</v>
      </c>
      <c r="BY3" s="1">
        <v>-1.3281168946542819E-3</v>
      </c>
      <c r="BZ3" s="1">
        <v>-2.0111837856931977E-3</v>
      </c>
      <c r="CA3" s="1">
        <v>6.5341971836864673E-3</v>
      </c>
      <c r="CB3" s="1">
        <v>2.6152073883649977E-3</v>
      </c>
      <c r="CC3" s="1">
        <v>-1.8269692159706558E-3</v>
      </c>
      <c r="CD3" s="1">
        <v>-4.6726172399397248E-5</v>
      </c>
      <c r="CE3" s="1">
        <v>6.7136087345984544E-3</v>
      </c>
      <c r="CF3" s="1">
        <v>5.4274149935329974E-3</v>
      </c>
      <c r="CG3" s="1">
        <v>-2.1140927323467021E-4</v>
      </c>
      <c r="CH3" s="1">
        <v>6.4689855927507964E-3</v>
      </c>
      <c r="CI3" s="1">
        <v>-9.9387094549695937E-3</v>
      </c>
      <c r="CJ3" s="1">
        <v>-1.8065178144045228E-2</v>
      </c>
      <c r="CK3" s="1">
        <v>-3.4620606275939242E-3</v>
      </c>
      <c r="CL3" s="1">
        <v>1.8933356357451945E-2</v>
      </c>
      <c r="CM3" s="1">
        <v>-1.0975477035376862E-2</v>
      </c>
      <c r="CN3" s="1">
        <v>5.7811156829013534E-3</v>
      </c>
      <c r="CO3" s="1">
        <v>9.9004140800788495E-4</v>
      </c>
      <c r="CP3" s="1">
        <v>-5.8502335400023101E-3</v>
      </c>
      <c r="CQ3" s="1">
        <v>3.2934712605933412E-3</v>
      </c>
      <c r="CR3" s="1">
        <v>5.0932457730518965E-3</v>
      </c>
      <c r="CS3" s="1">
        <v>-4.6083543389285539E-4</v>
      </c>
      <c r="CT3" s="1">
        <v>-1.1493860825580505E-2</v>
      </c>
      <c r="CU3" s="1">
        <v>-6.7027865506870364E-3</v>
      </c>
      <c r="CV3" s="1">
        <v>-2.8637367963779241E-3</v>
      </c>
      <c r="CW3" s="1">
        <v>1.374883973231586E-4</v>
      </c>
      <c r="CX3" s="1">
        <v>-3.197906016859025E-3</v>
      </c>
      <c r="CY3" s="1">
        <v>-7.5406448661109321E-3</v>
      </c>
      <c r="CZ3" s="1">
        <v>1.9324261361552339E-3</v>
      </c>
      <c r="DA3" s="1">
        <v>3.9717013780058222E-3</v>
      </c>
      <c r="DB3" s="1">
        <v>-2.5244789182571024E-3</v>
      </c>
      <c r="DC3" s="1">
        <v>6.5103541390033881E-4</v>
      </c>
      <c r="DD3" s="1">
        <v>7.8107511323149206E-3</v>
      </c>
      <c r="DE3" s="1">
        <v>-5.4048983607605031E-4</v>
      </c>
      <c r="DF3" s="1">
        <v>5.1536205903610945E-3</v>
      </c>
      <c r="DG3" s="1">
        <v>1.45662830205022E-2</v>
      </c>
      <c r="DH3" s="1">
        <v>-1.1144996909838584E-2</v>
      </c>
      <c r="DI3" s="1">
        <v>-8.9311131358865981E-3</v>
      </c>
      <c r="DJ3" s="1">
        <v>6.5392858413261604E-3</v>
      </c>
      <c r="DK3" s="1">
        <v>1.668271525420352E-3</v>
      </c>
      <c r="DL3" s="1">
        <v>9.4605709940148858E-3</v>
      </c>
      <c r="DM3" s="1">
        <v>4.8585143076545281E-3</v>
      </c>
      <c r="DN3" s="1">
        <v>-5.8403418635520482E-3</v>
      </c>
      <c r="DO3" s="1">
        <v>-4.4937395503614856E-3</v>
      </c>
      <c r="DP3" s="1">
        <v>-1.8174289446381844E-2</v>
      </c>
      <c r="DQ3" s="1">
        <v>2.517047070061966E-2</v>
      </c>
      <c r="DR3" s="1">
        <v>1.5847673742757085E-2</v>
      </c>
      <c r="DS3" s="1">
        <v>-2.0012921092429498E-3</v>
      </c>
      <c r="DT3" s="1">
        <v>-1.821880558330935E-3</v>
      </c>
      <c r="DU3" s="1">
        <v>1.4302128409767301E-2</v>
      </c>
      <c r="DV3" s="1">
        <v>4.4852821493988927E-3</v>
      </c>
      <c r="DW3" s="1">
        <v>-9.6141800269254687E-3</v>
      </c>
      <c r="DX3" s="1">
        <v>-6.128830961984754E-3</v>
      </c>
      <c r="DY3" s="1">
        <v>2.12591664709081E-4</v>
      </c>
      <c r="DZ3" s="1">
        <v>-7.5649793538087699E-3</v>
      </c>
      <c r="EA3" s="1">
        <v>5.6067927896290906E-3</v>
      </c>
      <c r="EB3" s="1">
        <v>-1.6914573764596416E-3</v>
      </c>
      <c r="EC3" s="1">
        <v>1.0712504816116387E-2</v>
      </c>
      <c r="ED3" s="1">
        <v>-1.9211057026789102E-2</v>
      </c>
      <c r="EE3" s="1">
        <v>6.8929865306945476E-3</v>
      </c>
      <c r="EF3" s="1">
        <v>-2.8781796076254584E-3</v>
      </c>
      <c r="EG3" s="1">
        <v>1.3097678172414237E-3</v>
      </c>
      <c r="EH3" s="1">
        <v>1.1150948565307642E-2</v>
      </c>
      <c r="EI3" s="1">
        <v>-1.2331719141004401E-2</v>
      </c>
      <c r="EJ3" s="1">
        <v>-8.7664300350513112E-3</v>
      </c>
      <c r="EK3" s="1">
        <v>-8.3327893046705841E-3</v>
      </c>
      <c r="EL3" s="1">
        <v>-1.0687990575458453E-3</v>
      </c>
      <c r="EM3" s="1">
        <v>1.2541622639268904E-3</v>
      </c>
      <c r="EN3" s="1">
        <v>1.5035884245850617E-3</v>
      </c>
      <c r="EO3" s="1">
        <v>1.9324261361552339E-3</v>
      </c>
      <c r="EP3" s="1">
        <v>-2.7691020601047639E-3</v>
      </c>
      <c r="EQ3" s="1">
        <v>-4.4694050626636478E-3</v>
      </c>
      <c r="ER3" s="1">
        <v>3.4728490566894449E-3</v>
      </c>
      <c r="ES3" s="1">
        <v>1.2781236958120369E-2</v>
      </c>
      <c r="ET3" s="1">
        <v>-1.9213520682305751E-3</v>
      </c>
      <c r="EU3" s="1">
        <v>-1.4385722832931686E-2</v>
      </c>
      <c r="EV3" s="10">
        <v>-9.1005992555323982E-3</v>
      </c>
    </row>
    <row r="4" spans="1:152" x14ac:dyDescent="0.25">
      <c r="A4" s="21">
        <f t="shared" ca="1" si="0"/>
        <v>2.3752530822274631E-2</v>
      </c>
      <c r="B4" s="5">
        <v>3</v>
      </c>
      <c r="C4" s="9">
        <v>1.848549813696718E-2</v>
      </c>
      <c r="D4" s="1">
        <v>2.5049980046600907E-2</v>
      </c>
      <c r="E4" s="1">
        <v>2.3752530822274631E-2</v>
      </c>
      <c r="F4" s="1">
        <v>2.5350072248385789E-2</v>
      </c>
      <c r="G4" s="1">
        <v>1.7836773524804044E-2</v>
      </c>
      <c r="H4" s="1">
        <v>1.3699750346882691E-2</v>
      </c>
      <c r="I4" s="1">
        <v>2.254567794466741E-2</v>
      </c>
      <c r="J4" s="1">
        <v>2.0083039563078327E-2</v>
      </c>
      <c r="K4" s="1">
        <v>2.8545155100608084E-2</v>
      </c>
      <c r="L4" s="1">
        <v>2.3361842273770708E-2</v>
      </c>
      <c r="M4" s="1">
        <v>1.4816006877770866E-2</v>
      </c>
      <c r="N4" s="1">
        <v>2.1031856377026342E-2</v>
      </c>
      <c r="O4" s="1">
        <v>2.4959383699881859E-2</v>
      </c>
      <c r="P4" s="1">
        <v>2.7331425734751898E-2</v>
      </c>
      <c r="Q4" s="1">
        <v>9.548974192463415E-3</v>
      </c>
      <c r="R4" s="1">
        <v>6.6608600302749572E-3</v>
      </c>
      <c r="S4" s="1">
        <v>1.3699750346882691E-2</v>
      </c>
      <c r="T4" s="1">
        <v>1.9050502890660233E-2</v>
      </c>
      <c r="U4" s="1">
        <v>1.2834653391404764E-2</v>
      </c>
      <c r="V4" s="1">
        <v>1.5681103833248809E-2</v>
      </c>
      <c r="W4" s="1">
        <v>1.8185405935182298E-2</v>
      </c>
      <c r="X4" s="1">
        <v>1.7369241606079E-2</v>
      </c>
      <c r="Y4" s="1">
        <v>1.9734407152700074E-2</v>
      </c>
      <c r="Z4" s="1">
        <v>2.2426778436320634E-2</v>
      </c>
      <c r="AA4" s="1">
        <v>2.1031856377026342E-2</v>
      </c>
      <c r="AB4" s="1">
        <v>2.4575571639626901E-2</v>
      </c>
      <c r="AC4" s="1">
        <v>2.1213049070464438E-2</v>
      </c>
      <c r="AD4" s="1">
        <v>1.8011089729993171E-2</v>
      </c>
      <c r="AE4" s="1">
        <v>1.9134222749130313E-2</v>
      </c>
      <c r="AF4" s="1">
        <v>2.3752530822274631E-2</v>
      </c>
      <c r="AG4" s="1">
        <v>2.4401255434437774E-2</v>
      </c>
      <c r="AH4" s="1">
        <v>1.9315415442568408E-2</v>
      </c>
      <c r="AI4" s="1">
        <v>1.0707286861477257E-2</v>
      </c>
      <c r="AJ4" s="1">
        <v>8.7259333751111452E-3</v>
      </c>
      <c r="AK4" s="1">
        <v>2.3926847027463765E-2</v>
      </c>
      <c r="AL4" s="1">
        <v>2.2329305601352611E-2</v>
      </c>
      <c r="AM4" s="1">
        <v>1.6587864509071151E-2</v>
      </c>
      <c r="AN4" s="1">
        <v>1.7746177178084993E-2</v>
      </c>
      <c r="AO4" s="1">
        <v>2.7422022081470942E-2</v>
      </c>
      <c r="AP4" s="1">
        <v>1.9608631156104322E-2</v>
      </c>
      <c r="AQ4" s="1">
        <v>1.9524911297634239E-2</v>
      </c>
      <c r="AR4" s="1">
        <v>3.5374549562149991E-2</v>
      </c>
      <c r="AS4" s="1">
        <v>2.5175756043196652E-2</v>
      </c>
      <c r="AT4" s="1">
        <v>2.1219925558713403E-2</v>
      </c>
      <c r="AU4" s="1">
        <v>1.6246108586941865E-2</v>
      </c>
      <c r="AV4" s="1">
        <v>2.6089393207267969E-2</v>
      </c>
      <c r="AW4" s="1">
        <v>1.5116099079555755E-2</v>
      </c>
      <c r="AX4" s="1">
        <v>2.422693922924864E-2</v>
      </c>
      <c r="AY4" s="1">
        <v>1.5290415284744875E-2</v>
      </c>
      <c r="AZ4" s="1">
        <v>2.1206172582215476E-2</v>
      </c>
      <c r="BA4" s="1">
        <v>-9.459073914760004E-3</v>
      </c>
      <c r="BB4" s="1">
        <v>-6.0476187192229081E-3</v>
      </c>
      <c r="BC4" s="1">
        <v>-7.2965277349557947E-3</v>
      </c>
      <c r="BD4" s="1">
        <v>7.2002446083913388E-3</v>
      </c>
      <c r="BE4" s="1">
        <v>-2.0294950496483333E-3</v>
      </c>
      <c r="BF4" s="1">
        <v>6.3576269875761319E-4</v>
      </c>
      <c r="BG4" s="1">
        <v>-6.1313385776929786E-3</v>
      </c>
      <c r="BH4" s="1">
        <v>7.2285477700190746E-3</v>
      </c>
      <c r="BI4" s="1">
        <v>-4.7570459831455967E-3</v>
      </c>
      <c r="BJ4" s="1">
        <v>4.6959425064578408E-3</v>
      </c>
      <c r="BK4" s="1">
        <v>1.1246671439593639E-2</v>
      </c>
      <c r="BL4" s="1">
        <v>-1.4293106460785826E-3</v>
      </c>
      <c r="BM4" s="1">
        <v>4.2563213315792818E-3</v>
      </c>
      <c r="BN4" s="1">
        <v>-1.8199991945825073E-3</v>
      </c>
      <c r="BO4" s="1">
        <v>-1.2961913405526264E-5</v>
      </c>
      <c r="BP4" s="1">
        <v>-6.9127156747008384E-3</v>
      </c>
      <c r="BQ4" s="1">
        <v>-6.0854251565586881E-6</v>
      </c>
      <c r="BR4" s="1">
        <v>-4.1052695015841856E-4</v>
      </c>
      <c r="BS4" s="1">
        <v>6.1325282860965405E-3</v>
      </c>
      <c r="BT4" s="1">
        <v>3.349560655756938E-3</v>
      </c>
      <c r="BU4" s="1">
        <v>-1.9805624232737077E-3</v>
      </c>
      <c r="BV4" s="1">
        <v>-1.2618709291384129E-3</v>
      </c>
      <c r="BW4" s="1">
        <v>2.2887208217111064E-3</v>
      </c>
      <c r="BX4" s="1">
        <v>-1.826875682831468E-3</v>
      </c>
      <c r="BY4" s="1">
        <v>-3.8082291691975854E-3</v>
      </c>
      <c r="BZ4" s="1">
        <v>-5.3151742485896842E-3</v>
      </c>
      <c r="CA4" s="1">
        <v>-4.0177250242634053E-3</v>
      </c>
      <c r="CB4" s="1">
        <v>-4.0945683944845334E-3</v>
      </c>
      <c r="CC4" s="1">
        <v>-7.8058603391544662E-4</v>
      </c>
      <c r="CD4" s="1">
        <v>1.1870144759527287E-3</v>
      </c>
      <c r="CE4" s="1">
        <v>4.9471020818680888E-3</v>
      </c>
      <c r="CF4" s="1">
        <v>4.3820973281750338E-3</v>
      </c>
      <c r="CG4" s="1">
        <v>7.1948255722769066E-4</v>
      </c>
      <c r="CH4" s="1">
        <v>2.0306847580518952E-3</v>
      </c>
      <c r="CI4" s="1">
        <v>9.4273138879145263E-4</v>
      </c>
      <c r="CJ4" s="1">
        <v>-5.8312463759081067E-3</v>
      </c>
      <c r="CK4" s="1">
        <v>-6.3477109210077834E-3</v>
      </c>
      <c r="CL4" s="1">
        <v>3.404977352599284E-3</v>
      </c>
      <c r="CM4" s="1">
        <v>-1.1360949325426679E-3</v>
      </c>
      <c r="CN4" s="1">
        <v>4.9539785701170529E-3</v>
      </c>
      <c r="CO4" s="1">
        <v>3.2658407972868527E-3</v>
      </c>
      <c r="CP4" s="1">
        <v>-2.943132213719649E-3</v>
      </c>
      <c r="CQ4" s="1">
        <v>1.8426155763648323E-3</v>
      </c>
      <c r="CR4" s="1">
        <v>7.8772723821822106E-3</v>
      </c>
      <c r="CS4" s="1">
        <v>2.2333041248687605E-3</v>
      </c>
      <c r="CT4" s="1">
        <v>-2.1755080932097321E-3</v>
      </c>
      <c r="CU4" s="1">
        <v>-4.8737032037953539E-4</v>
      </c>
      <c r="CV4" s="1">
        <v>-2.8594123552495706E-3</v>
      </c>
      <c r="CW4" s="1">
        <v>5.7216026906269733E-3</v>
      </c>
      <c r="CX4" s="1">
        <v>6.3576269875761319E-4</v>
      </c>
      <c r="CY4" s="1">
        <v>3.830051022033383E-4</v>
      </c>
      <c r="CZ4" s="1">
        <v>6.1038167297378983E-3</v>
      </c>
      <c r="DA4" s="1">
        <v>-2.3028821109495109E-3</v>
      </c>
      <c r="DB4" s="1">
        <v>9.2050390290052304E-4</v>
      </c>
      <c r="DC4" s="1">
        <v>1.1085730845875851E-3</v>
      </c>
      <c r="DD4" s="1">
        <v>-4.6749241458195461E-3</v>
      </c>
      <c r="DE4" s="1">
        <v>1.1489748923392136E-2</v>
      </c>
      <c r="DF4" s="1">
        <v>-3.823580166839544E-3</v>
      </c>
      <c r="DG4" s="1">
        <v>3.5154023515530635E-3</v>
      </c>
      <c r="DH4" s="1">
        <v>-7.2560696179741618E-3</v>
      </c>
      <c r="DI4" s="1">
        <v>-2.2677024610728153E-3</v>
      </c>
      <c r="DJ4" s="1">
        <v>3.257366287893854E-3</v>
      </c>
      <c r="DK4" s="1">
        <v>-8.7965689002748697E-4</v>
      </c>
      <c r="DL4" s="1">
        <v>9.3894959286792458E-3</v>
      </c>
      <c r="DM4" s="1">
        <v>7.8057074790660336E-3</v>
      </c>
      <c r="DN4" s="1">
        <v>-9.8279793019646206E-5</v>
      </c>
      <c r="DO4" s="1">
        <v>-1.1514459301846334E-3</v>
      </c>
      <c r="DP4" s="1">
        <v>-1.3569391952197644E-2</v>
      </c>
      <c r="DQ4" s="1">
        <v>4.7320903114111967E-4</v>
      </c>
      <c r="DR4" s="1">
        <v>8.5106459967033803E-3</v>
      </c>
      <c r="DS4" s="1">
        <v>-2.4703218278896814E-3</v>
      </c>
      <c r="DT4" s="1">
        <v>6.49450527824183E-3</v>
      </c>
      <c r="DU4" s="1">
        <v>-3.4680712682123235E-3</v>
      </c>
      <c r="DV4" s="1">
        <v>3.1667699411748098E-3</v>
      </c>
      <c r="DW4" s="1">
        <v>-3.7746475404649132E-3</v>
      </c>
      <c r="DX4" s="1">
        <v>-6.7185708172769771E-3</v>
      </c>
      <c r="DY4" s="1">
        <v>2.5180453290116773E-3</v>
      </c>
      <c r="DZ4" s="1">
        <v>7.4618769771139619E-4</v>
      </c>
      <c r="EA4" s="1">
        <v>3.2642427761428259E-3</v>
      </c>
      <c r="EB4" s="1">
        <v>-5.602314286388797E-3</v>
      </c>
      <c r="EC4" s="1">
        <v>-2.6098508009833547E-3</v>
      </c>
      <c r="ED4" s="1">
        <v>-1.5648218273531765E-2</v>
      </c>
      <c r="EE4" s="1">
        <v>3.8292475298358809E-3</v>
      </c>
      <c r="EF4" s="1">
        <v>3.486226609585065E-4</v>
      </c>
      <c r="EG4" s="1">
        <v>2.9787007594877461E-3</v>
      </c>
      <c r="EH4" s="1">
        <v>-4.0193230454074504E-3</v>
      </c>
      <c r="EI4" s="1">
        <v>-1.3051326706268653E-3</v>
      </c>
      <c r="EJ4" s="1">
        <v>-1.8001705423477694E-3</v>
      </c>
      <c r="EK4" s="1">
        <v>1.2205961046854018E-3</v>
      </c>
      <c r="EL4" s="1">
        <v>-2.4771983161386412E-3</v>
      </c>
      <c r="EM4" s="1">
        <v>1.666327588885335E-4</v>
      </c>
      <c r="EN4" s="1">
        <v>-1.3471888087525329E-3</v>
      </c>
      <c r="EO4" s="1">
        <v>6.1038167297378983E-3</v>
      </c>
      <c r="EP4" s="1">
        <v>-1.9959134209156688E-3</v>
      </c>
      <c r="EQ4" s="1">
        <v>-1.5146285256926947E-3</v>
      </c>
      <c r="ER4" s="1">
        <v>7.247610243326201E-4</v>
      </c>
      <c r="ES4" s="1">
        <v>5.9780407331421499E-3</v>
      </c>
      <c r="ET4" s="1">
        <v>-2.1436422798525034E-5</v>
      </c>
      <c r="EU4" s="1">
        <v>-1.3957290173459147E-3</v>
      </c>
      <c r="EV4" s="10">
        <v>1.6950045116594075E-3</v>
      </c>
    </row>
    <row r="5" spans="1:152" x14ac:dyDescent="0.25">
      <c r="A5" s="21">
        <f t="shared" ca="1" si="0"/>
        <v>2.7738119872282214E-2</v>
      </c>
      <c r="B5" s="5">
        <v>4</v>
      </c>
      <c r="C5" s="9">
        <v>1.7601150160043506E-2</v>
      </c>
      <c r="D5" s="1">
        <v>2.7787050629567062E-2</v>
      </c>
      <c r="E5" s="1">
        <v>2.5350072248385754E-2</v>
      </c>
      <c r="F5" s="1">
        <v>2.7738119872282214E-2</v>
      </c>
      <c r="G5" s="1">
        <v>1.6382660969452848E-2</v>
      </c>
      <c r="H5" s="1">
        <v>1.1028539416274415E-2</v>
      </c>
      <c r="I5" s="1">
        <v>2.3525714918133472E-2</v>
      </c>
      <c r="J5" s="1">
        <v>1.9989197783939958E-2</v>
      </c>
      <c r="K5" s="1">
        <v>3.2514215120075116E-2</v>
      </c>
      <c r="L5" s="1">
        <v>2.4786381954741595E-2</v>
      </c>
      <c r="M5" s="1">
        <v>1.2240275695597689E-2</v>
      </c>
      <c r="N5" s="1">
        <v>2.115875621724576E-2</v>
      </c>
      <c r="O5" s="1">
        <v>2.7174429578638054E-2</v>
      </c>
      <c r="P5" s="1">
        <v>3.0098325661902556E-2</v>
      </c>
      <c r="Q5" s="1">
        <v>4.4913536072554369E-3</v>
      </c>
      <c r="R5" s="1">
        <v>2.5785973009793961E-4</v>
      </c>
      <c r="S5" s="1">
        <v>1.1028539416274415E-2</v>
      </c>
      <c r="T5" s="1">
        <v>1.8798550427625415E-2</v>
      </c>
      <c r="U5" s="1">
        <v>9.8800699059773574E-3</v>
      </c>
      <c r="V5" s="1">
        <v>1.3388745205894764E-2</v>
      </c>
      <c r="W5" s="1">
        <v>1.7650080917328354E-2</v>
      </c>
      <c r="X5" s="1">
        <v>1.6389413880720217E-2</v>
      </c>
      <c r="Y5" s="1">
        <v>1.8721777836064452E-2</v>
      </c>
      <c r="Z5" s="1">
        <v>2.4799887777276347E-2</v>
      </c>
      <c r="AA5" s="1">
        <v>2.115875621724576E-2</v>
      </c>
      <c r="AB5" s="1">
        <v>2.7202271412914165E-2</v>
      </c>
      <c r="AC5" s="1">
        <v>2.238399831910378E-2</v>
      </c>
      <c r="AD5" s="1">
        <v>1.7016370943390601E-2</v>
      </c>
      <c r="AE5" s="1">
        <v>1.8819639350634156E-2</v>
      </c>
      <c r="AF5" s="1">
        <v>2.5350072248385754E-2</v>
      </c>
      <c r="AG5" s="1">
        <v>2.6568561438976412E-2</v>
      </c>
      <c r="AH5" s="1">
        <v>2.0044881452492176E-2</v>
      </c>
      <c r="AI5" s="1">
        <v>4.9993602323473857E-3</v>
      </c>
      <c r="AJ5" s="1">
        <v>2.6391544427270264E-3</v>
      </c>
      <c r="AK5" s="1">
        <v>2.5983782222323507E-2</v>
      </c>
      <c r="AL5" s="1">
        <v>2.3595734598427055E-2</v>
      </c>
      <c r="AM5" s="1">
        <v>1.5262033293431902E-2</v>
      </c>
      <c r="AN5" s="1">
        <v>1.5770039918523833E-2</v>
      </c>
      <c r="AO5" s="1">
        <v>3.0710946712831564E-2</v>
      </c>
      <c r="AP5" s="1">
        <v>1.9404418567287061E-2</v>
      </c>
      <c r="AQ5" s="1">
        <v>1.9383329644278312E-2</v>
      </c>
      <c r="AR5" s="1">
        <v>4.3946446614465451E-2</v>
      </c>
      <c r="AS5" s="1">
        <v>2.7104409898344454E-2</v>
      </c>
      <c r="AT5" s="1">
        <v>2.2975530447024044E-2</v>
      </c>
      <c r="AU5" s="1">
        <v>1.4586145473476676E-2</v>
      </c>
      <c r="AV5" s="1">
        <v>2.9569230113801876E-2</v>
      </c>
      <c r="AW5" s="1">
        <v>1.2191344938312854E-2</v>
      </c>
      <c r="AX5" s="1">
        <v>2.5934851465038659E-2</v>
      </c>
      <c r="AY5" s="1">
        <v>1.2825054912250593E-2</v>
      </c>
      <c r="AZ5" s="1">
        <v>2.1792466191183513E-2</v>
      </c>
      <c r="BA5" s="1">
        <v>-1.3090028818323187E-2</v>
      </c>
      <c r="BB5" s="1">
        <v>-8.3839532508238751E-3</v>
      </c>
      <c r="BC5" s="1">
        <v>-9.5045809268448217E-3</v>
      </c>
      <c r="BD5" s="1">
        <v>1.0713674829080392E-2</v>
      </c>
      <c r="BE5" s="1">
        <v>-1.7556588385025523E-3</v>
      </c>
      <c r="BF5" s="1">
        <v>5.2777435955682871E-4</v>
      </c>
      <c r="BG5" s="1">
        <v>-8.4050421738325991E-3</v>
      </c>
      <c r="BH5" s="1">
        <v>8.8268809190085035E-3</v>
      </c>
      <c r="BI5" s="1">
        <v>-6.5385069975628252E-3</v>
      </c>
      <c r="BJ5" s="1">
        <v>6.4523391176467791E-3</v>
      </c>
      <c r="BK5" s="1">
        <v>1.5455175331329812E-2</v>
      </c>
      <c r="BL5" s="1">
        <v>-1.8535203530722633E-3</v>
      </c>
      <c r="BM5" s="1">
        <v>6.0008463503136988E-3</v>
      </c>
      <c r="BN5" s="1">
        <v>-2.417210646716416E-3</v>
      </c>
      <c r="BO5" s="1">
        <v>-6.9071483103382188E-4</v>
      </c>
      <c r="BP5" s="1">
        <v>-9.5324227611209324E-3</v>
      </c>
      <c r="BQ5" s="1">
        <v>-9.9182703113556703E-5</v>
      </c>
      <c r="BR5" s="1">
        <v>-1.8459372525982606E-3</v>
      </c>
      <c r="BS5" s="1">
        <v>1.081828925491745E-2</v>
      </c>
      <c r="BT5" s="1">
        <v>4.1275582627765626E-3</v>
      </c>
      <c r="BU5" s="1">
        <v>-1.8678563648136422E-3</v>
      </c>
      <c r="BV5" s="1">
        <v>-1.8113425070547685E-3</v>
      </c>
      <c r="BW5" s="1">
        <v>4.8237048165339011E-3</v>
      </c>
      <c r="BX5" s="1">
        <v>-3.0087427746366812E-3</v>
      </c>
      <c r="BY5" s="1">
        <v>-5.3689485642570301E-3</v>
      </c>
      <c r="BZ5" s="1">
        <v>-7.1443751372244728E-3</v>
      </c>
      <c r="CA5" s="1">
        <v>-4.7073967560431647E-3</v>
      </c>
      <c r="CB5" s="1">
        <v>-4.1369535511316426E-3</v>
      </c>
      <c r="CC5" s="1">
        <v>-6.3503116248160574E-4</v>
      </c>
      <c r="CD5" s="1">
        <v>5.4211037129819201E-4</v>
      </c>
      <c r="CE5" s="1">
        <v>6.5156058866730152E-3</v>
      </c>
      <c r="CF5" s="1">
        <v>5.3182056190911042E-3</v>
      </c>
      <c r="CG5" s="1">
        <v>5.4886328256555962E-4</v>
      </c>
      <c r="CH5" s="1">
        <v>4.1689059195874033E-3</v>
      </c>
      <c r="CI5" s="1">
        <v>1.0703757301922384E-3</v>
      </c>
      <c r="CJ5" s="1">
        <v>-8.4539729311174545E-3</v>
      </c>
      <c r="CK5" s="1">
        <v>-8.3350224935390196E-3</v>
      </c>
      <c r="CL5" s="1">
        <v>6.035441095857191E-3</v>
      </c>
      <c r="CM5" s="1">
        <v>-2.493983238277377E-3</v>
      </c>
      <c r="CN5" s="1">
        <v>7.1071380145932821E-3</v>
      </c>
      <c r="CO5" s="1">
        <v>4.1064693397678143E-3</v>
      </c>
      <c r="CP5" s="1">
        <v>-4.2204790539599711E-3</v>
      </c>
      <c r="CQ5" s="1">
        <v>2.3521316898091147E-3</v>
      </c>
      <c r="CR5" s="1">
        <v>1.0045370109599161E-2</v>
      </c>
      <c r="CS5" s="1">
        <v>2.9158219834532744E-3</v>
      </c>
      <c r="CT5" s="1">
        <v>-4.2761627225121942E-3</v>
      </c>
      <c r="CU5" s="1">
        <v>-1.2754940476867264E-3</v>
      </c>
      <c r="CV5" s="1">
        <v>-4.1993901309512281E-3</v>
      </c>
      <c r="CW5" s="1">
        <v>7.0514543460410643E-3</v>
      </c>
      <c r="CX5" s="1">
        <v>5.2777435955682871E-4</v>
      </c>
      <c r="CY5" s="1">
        <v>1.481186404684913E-3</v>
      </c>
      <c r="CZ5" s="1">
        <v>8.0402913259192514E-3</v>
      </c>
      <c r="DA5" s="1">
        <v>-2.5768431771352775E-3</v>
      </c>
      <c r="DB5" s="1">
        <v>3.1245816058574419E-4</v>
      </c>
      <c r="DC5" s="1">
        <v>2.129232390364031E-3</v>
      </c>
      <c r="DD5" s="1">
        <v>-5.5007392603997791E-3</v>
      </c>
      <c r="DE5" s="1">
        <v>1.4515040555118642E-2</v>
      </c>
      <c r="DF5" s="1">
        <v>-5.5353340059432592E-3</v>
      </c>
      <c r="DG5" s="1">
        <v>5.1864149229483465E-3</v>
      </c>
      <c r="DH5" s="1">
        <v>-9.1916317669218581E-3</v>
      </c>
      <c r="DI5" s="1">
        <v>-3.8721049592869011E-3</v>
      </c>
      <c r="DJ5" s="1">
        <v>4.5316160260018452E-3</v>
      </c>
      <c r="DK5" s="1">
        <v>-8.2250552717657785E-4</v>
      </c>
      <c r="DL5" s="1">
        <v>1.3429007624641172E-2</v>
      </c>
      <c r="DM5" s="1">
        <v>1.2224024256585263E-2</v>
      </c>
      <c r="DN5" s="1">
        <v>3.0487506011172769E-4</v>
      </c>
      <c r="DO5" s="1">
        <v>-2.660368679963613E-3</v>
      </c>
      <c r="DP5" s="1">
        <v>-1.9314265467419187E-2</v>
      </c>
      <c r="DQ5" s="1">
        <v>3.5223556870853413E-3</v>
      </c>
      <c r="DR5" s="1">
        <v>1.109747385850357E-2</v>
      </c>
      <c r="DS5" s="1">
        <v>-2.619021023152774E-3</v>
      </c>
      <c r="DT5" s="1">
        <v>8.603981619563425E-3</v>
      </c>
      <c r="DU5" s="1">
        <v>-3.6763819301474862E-3</v>
      </c>
      <c r="DV5" s="1">
        <v>3.9189949750728405E-3</v>
      </c>
      <c r="DW5" s="1">
        <v>-5.6475315322543317E-3</v>
      </c>
      <c r="DX5" s="1">
        <v>-1.0360360011021027E-2</v>
      </c>
      <c r="DY5" s="1">
        <v>2.7005057844821968E-3</v>
      </c>
      <c r="DZ5" s="1">
        <v>-3.2125181335200884E-4</v>
      </c>
      <c r="EA5" s="1">
        <v>5.1231481539221295E-3</v>
      </c>
      <c r="EB5" s="1">
        <v>-9.1486237316977352E-3</v>
      </c>
      <c r="EC5" s="1">
        <v>-3.1194445477706993E-3</v>
      </c>
      <c r="ED5" s="1">
        <v>-2.2878624435888811E-2</v>
      </c>
      <c r="EE5" s="1">
        <v>6.3205484215040388E-3</v>
      </c>
      <c r="EF5" s="1">
        <v>-1.476474234916432E-3</v>
      </c>
      <c r="EG5" s="1">
        <v>2.1022207452945536E-3</v>
      </c>
      <c r="EH5" s="1">
        <v>-3.6907179418888651E-3</v>
      </c>
      <c r="EI5" s="1">
        <v>-1.5194822701405548E-3</v>
      </c>
      <c r="EJ5" s="1">
        <v>-3.8788578705542705E-3</v>
      </c>
      <c r="EK5" s="1">
        <v>2.6352740330088872E-4</v>
      </c>
      <c r="EL5" s="1">
        <v>-3.2105531510730374E-3</v>
      </c>
      <c r="EM5" s="1">
        <v>1.5512060849784924E-3</v>
      </c>
      <c r="EN5" s="1">
        <v>-8.1575261590921891E-4</v>
      </c>
      <c r="EO5" s="1">
        <v>8.0402913259192514E-3</v>
      </c>
      <c r="EP5" s="1">
        <v>-2.0342418064998695E-3</v>
      </c>
      <c r="EQ5" s="1">
        <v>-8.5793046192669115E-4</v>
      </c>
      <c r="ER5" s="1">
        <v>2.1570742246401382E-3</v>
      </c>
      <c r="ES5" s="1">
        <v>8.7229320571418599E-3</v>
      </c>
      <c r="ET5" s="1">
        <v>-2.6556814479979096E-4</v>
      </c>
      <c r="EU5" s="1">
        <v>-2.1321033210695665E-3</v>
      </c>
      <c r="EV5" s="10">
        <v>8.4830661995378628E-4</v>
      </c>
    </row>
    <row r="6" spans="1:152" x14ac:dyDescent="0.25">
      <c r="A6" s="21">
        <f ca="1">OFFSET($B$1,B6,B6)</f>
        <v>2.4051888908765501E-2</v>
      </c>
      <c r="B6" s="5">
        <v>5</v>
      </c>
      <c r="C6" s="9">
        <v>2.1800446028300641E-2</v>
      </c>
      <c r="D6" s="1">
        <v>1.3333887763874272E-2</v>
      </c>
      <c r="E6" s="1">
        <v>1.7836773524804006E-2</v>
      </c>
      <c r="F6" s="1">
        <v>1.6382660969452845E-2</v>
      </c>
      <c r="G6" s="1">
        <v>2.4051888908765501E-2</v>
      </c>
      <c r="H6" s="1">
        <v>2.4358207828740104E-2</v>
      </c>
      <c r="I6" s="1">
        <v>2.0112317331415865E-2</v>
      </c>
      <c r="J6" s="1">
        <v>2.0346333472949479E-2</v>
      </c>
      <c r="K6" s="1">
        <v>1.3474435858750508E-2</v>
      </c>
      <c r="L6" s="1">
        <v>1.7015342273543309E-2</v>
      </c>
      <c r="M6" s="1">
        <v>2.4310005976446121E-2</v>
      </c>
      <c r="N6" s="1">
        <v>2.1143663798063178E-2</v>
      </c>
      <c r="O6" s="1">
        <v>1.5561229718192141E-2</v>
      </c>
      <c r="P6" s="1">
        <v>1.7554555530976401E-2</v>
      </c>
      <c r="Q6" s="1">
        <v>2.8273678479942749E-2</v>
      </c>
      <c r="R6" s="1">
        <v>3.2426100930609617E-2</v>
      </c>
      <c r="S6" s="1">
        <v>2.4358207828740104E-2</v>
      </c>
      <c r="T6" s="1">
        <v>1.9971769236539622E-2</v>
      </c>
      <c r="U6" s="1">
        <v>2.3138111414922544E-2</v>
      </c>
      <c r="V6" s="1">
        <v>2.5530102390263654E-2</v>
      </c>
      <c r="W6" s="1">
        <v>1.8751672822722075E-2</v>
      </c>
      <c r="X6" s="1">
        <v>2.1848647880594638E-2</v>
      </c>
      <c r="Y6" s="1">
        <v>2.5646549558992905E-2</v>
      </c>
      <c r="Z6" s="1">
        <v>1.2608860217201555E-2</v>
      </c>
      <c r="AA6" s="1">
        <v>2.1143663798063178E-2</v>
      </c>
      <c r="AB6" s="1">
        <v>1.2935222601317423E-2</v>
      </c>
      <c r="AC6" s="1">
        <v>1.6688979889427441E-2</v>
      </c>
      <c r="AD6" s="1">
        <v>2.1401780865743791E-2</v>
      </c>
      <c r="AE6" s="1">
        <v>1.9549003147835781E-2</v>
      </c>
      <c r="AF6" s="1">
        <v>1.7836773524804006E-2</v>
      </c>
      <c r="AG6" s="1">
        <v>1.5585330644339146E-2</v>
      </c>
      <c r="AH6" s="1">
        <v>1.5094319239200037E-2</v>
      </c>
      <c r="AI6" s="1">
        <v>3.4347123964952889E-2</v>
      </c>
      <c r="AJ6" s="1">
        <v>3.3175229403429346E-2</v>
      </c>
      <c r="AK6" s="1">
        <v>1.518666548178229E-2</v>
      </c>
      <c r="AL6" s="1">
        <v>1.6640778037133451E-2</v>
      </c>
      <c r="AM6" s="1">
        <v>2.0205785378073236E-2</v>
      </c>
      <c r="AN6" s="1">
        <v>2.6279230863083369E-2</v>
      </c>
      <c r="AO6" s="1">
        <v>1.5327213576658526E-2</v>
      </c>
      <c r="AP6" s="1">
        <v>1.994766831039263E-2</v>
      </c>
      <c r="AQ6" s="1">
        <v>2.0370434399096471E-2</v>
      </c>
      <c r="AR6" s="1">
        <v>1.3042759698456141E-4</v>
      </c>
      <c r="AS6" s="1">
        <v>1.9032769012474554E-2</v>
      </c>
      <c r="AT6" s="1">
        <v>1.4884404023813413E-2</v>
      </c>
      <c r="AU6" s="1">
        <v>2.3701425598502635E-2</v>
      </c>
      <c r="AV6" s="1">
        <v>1.1903876134670102E-2</v>
      </c>
      <c r="AW6" s="1">
        <v>2.7358779182024673E-2</v>
      </c>
      <c r="AX6" s="1">
        <v>1.8235438687360855E-2</v>
      </c>
      <c r="AY6" s="1">
        <v>2.4708671139002977E-2</v>
      </c>
      <c r="AZ6" s="1">
        <v>1.8493555755041462E-2</v>
      </c>
      <c r="BA6" s="1">
        <v>2.3719260314967669E-3</v>
      </c>
      <c r="BB6" s="1">
        <v>2.9352402150768508E-3</v>
      </c>
      <c r="BC6" s="1">
        <v>-9.1086331561541362E-4</v>
      </c>
      <c r="BD6" s="1">
        <v>-6.4944191995615769E-3</v>
      </c>
      <c r="BE6" s="1">
        <v>-4.8745358191120552E-3</v>
      </c>
      <c r="BF6" s="1">
        <v>1.9721390648647918E-3</v>
      </c>
      <c r="BG6" s="1">
        <v>3.3580063037806918E-3</v>
      </c>
      <c r="BH6" s="1">
        <v>3.2363798689705944E-3</v>
      </c>
      <c r="BI6" s="1">
        <v>2.3693031976114443E-4</v>
      </c>
      <c r="BJ6" s="1">
        <v>2.8401036798000878E-4</v>
      </c>
      <c r="BK6" s="1">
        <v>-4.5733961652183047E-3</v>
      </c>
      <c r="BL6" s="1">
        <v>1.2230105920450762E-3</v>
      </c>
      <c r="BM6" s="1">
        <v>-4.8544923549707839E-3</v>
      </c>
      <c r="BN6" s="1">
        <v>4.0157934078437901E-4</v>
      </c>
      <c r="BO6" s="1">
        <v>4.2235819453296519E-3</v>
      </c>
      <c r="BP6" s="1">
        <v>1.7151438012593112E-3</v>
      </c>
      <c r="BQ6" s="1">
        <v>2.4190060797156313E-3</v>
      </c>
      <c r="BR6" s="1">
        <v>5.2067265596829893E-3</v>
      </c>
      <c r="BS6" s="1">
        <v>-1.4795206638889582E-2</v>
      </c>
      <c r="BT6" s="1">
        <v>4.6982465721964045E-4</v>
      </c>
      <c r="BU6" s="1">
        <v>-5.5746434742195289E-4</v>
      </c>
      <c r="BV6" s="1">
        <v>3.7747841463738746E-4</v>
      </c>
      <c r="BW6" s="1">
        <v>-9.6355386477223921E-3</v>
      </c>
      <c r="BX6" s="1">
        <v>2.2061552063984066E-3</v>
      </c>
      <c r="BY6" s="1">
        <v>1.0342606448748431E-3</v>
      </c>
      <c r="BZ6" s="1">
        <v>2.6103124590814292E-4</v>
      </c>
      <c r="CA6" s="1">
        <v>-4.2418545150215842E-3</v>
      </c>
      <c r="CB6" s="1">
        <v>-5.6236642919317709E-3</v>
      </c>
      <c r="CC6" s="1">
        <v>-1.0284322884197908E-3</v>
      </c>
      <c r="CD6" s="1">
        <v>3.7526140043318279E-3</v>
      </c>
      <c r="CE6" s="1">
        <v>-9.8428789813152784E-4</v>
      </c>
      <c r="CF6" s="1">
        <v>8.4438889362949132E-4</v>
      </c>
      <c r="CG6" s="1">
        <v>1.5493729761609509E-3</v>
      </c>
      <c r="CH6" s="1">
        <v>-6.5626645159968314E-3</v>
      </c>
      <c r="CI6" s="1">
        <v>3.21633640482933E-3</v>
      </c>
      <c r="CJ6" s="1">
        <v>6.4067795093592644E-3</v>
      </c>
      <c r="CK6" s="1">
        <v>-1.1353299050170795E-4</v>
      </c>
      <c r="CL6" s="1">
        <v>-9.6837405000163822E-3</v>
      </c>
      <c r="CM6" s="1">
        <v>6.0763596632376696E-3</v>
      </c>
      <c r="CN6" s="1">
        <v>-2.7888637637455485E-3</v>
      </c>
      <c r="CO6" s="1">
        <v>8.925907459234883E-4</v>
      </c>
      <c r="CP6" s="1">
        <v>2.2543570586923967E-3</v>
      </c>
      <c r="CQ6" s="1">
        <v>-3.0340474174705978E-4</v>
      </c>
      <c r="CR6" s="1">
        <v>9.8493698850573436E-4</v>
      </c>
      <c r="CS6" s="1">
        <v>5.180265095136305E-4</v>
      </c>
      <c r="CT6" s="1">
        <v>7.5063712924418324E-3</v>
      </c>
      <c r="CU6" s="1">
        <v>3.8249167827728026E-3</v>
      </c>
      <c r="CV6" s="1">
        <v>1.8315909699885419E-3</v>
      </c>
      <c r="CW6" s="1">
        <v>2.4631504700038942E-3</v>
      </c>
      <c r="CX6" s="1">
        <v>1.9721390648647918E-3</v>
      </c>
      <c r="CY6" s="1">
        <v>-1.4797169644029662E-3</v>
      </c>
      <c r="CZ6" s="1">
        <v>3.6900329149933131E-4</v>
      </c>
      <c r="DA6" s="1">
        <v>-2.9126642515377305E-3</v>
      </c>
      <c r="DB6" s="1">
        <v>3.9099097062921112E-3</v>
      </c>
      <c r="DC6" s="1">
        <v>-2.3493500679576465E-3</v>
      </c>
      <c r="DD6" s="1">
        <v>-4.9059900643219842E-3</v>
      </c>
      <c r="DE6" s="1">
        <v>3.9087879022169925E-3</v>
      </c>
      <c r="DF6" s="1">
        <v>-7.6741919276396287E-5</v>
      </c>
      <c r="DG6" s="1">
        <v>-5.0958618155673395E-3</v>
      </c>
      <c r="DH6" s="1">
        <v>4.906297263094217E-4</v>
      </c>
      <c r="DI6" s="1">
        <v>5.0135589513804202E-3</v>
      </c>
      <c r="DJ6" s="1">
        <v>-2.0229876838417787E-3</v>
      </c>
      <c r="DK6" s="1">
        <v>-1.7166687638671824E-3</v>
      </c>
      <c r="DL6" s="1">
        <v>-4.7665637735208738E-3</v>
      </c>
      <c r="DM6" s="1">
        <v>-6.9216029493977538E-3</v>
      </c>
      <c r="DN6" s="1">
        <v>-7.3806261345787938E-5</v>
      </c>
      <c r="DO6" s="1">
        <v>4.9653570990864301E-3</v>
      </c>
      <c r="DP6" s="1">
        <v>7.6888897246242399E-3</v>
      </c>
      <c r="DQ6" s="1">
        <v>-1.6373119682032925E-2</v>
      </c>
      <c r="DR6" s="1">
        <v>-2.3775084561103652E-3</v>
      </c>
      <c r="DS6" s="1">
        <v>-2.0671320741300417E-3</v>
      </c>
      <c r="DT6" s="1">
        <v>1.1904345427600216E-3</v>
      </c>
      <c r="DU6" s="1">
        <v>-7.1815338709338462E-3</v>
      </c>
      <c r="DV6" s="1">
        <v>2.0435427047608978E-4</v>
      </c>
      <c r="DW6" s="1">
        <v>4.240329552413713E-3</v>
      </c>
      <c r="DX6" s="1">
        <v>5.8802563970044991E-3</v>
      </c>
      <c r="DY6" s="1">
        <v>2.4557971509409499E-3</v>
      </c>
      <c r="DZ6" s="1">
        <v>6.5600177493138345E-3</v>
      </c>
      <c r="EA6" s="1">
        <v>-3.8275635494558063E-3</v>
      </c>
      <c r="EB6" s="1">
        <v>5.832054544710516E-3</v>
      </c>
      <c r="EC6" s="1">
        <v>-4.1568615915022755E-3</v>
      </c>
      <c r="ED6" s="1">
        <v>1.054891298303258E-2</v>
      </c>
      <c r="EE6" s="1">
        <v>-5.6562403412168255E-3</v>
      </c>
      <c r="EF6" s="1">
        <v>7.543162363667158E-3</v>
      </c>
      <c r="EG6" s="1">
        <v>6.4636140447258614E-3</v>
      </c>
      <c r="EH6" s="1">
        <v>-8.9620088104008788E-3</v>
      </c>
      <c r="EI6" s="1">
        <v>2.2017375452660776E-3</v>
      </c>
      <c r="EJ6" s="1">
        <v>7.2167999795512972E-3</v>
      </c>
      <c r="EK6" s="1">
        <v>6.9586829118706839E-3</v>
      </c>
      <c r="EL6" s="1">
        <v>-2.6255620851601408E-4</v>
      </c>
      <c r="EM6" s="1">
        <v>-4.9512562586853659E-3</v>
      </c>
      <c r="EN6" s="1">
        <v>-3.9199097920380524E-3</v>
      </c>
      <c r="EO6" s="1">
        <v>3.6900329149933131E-4</v>
      </c>
      <c r="EP6" s="1">
        <v>-1.6684669115731854E-3</v>
      </c>
      <c r="EQ6" s="1">
        <v>-3.0743776146303636E-3</v>
      </c>
      <c r="ER6" s="1">
        <v>-4.9753571848323713E-3</v>
      </c>
      <c r="ES6" s="1">
        <v>-5.3298779571009543E-3</v>
      </c>
      <c r="ET6" s="1">
        <v>1.3080035155643918E-3</v>
      </c>
      <c r="EU6" s="1">
        <v>4.4290794995839461E-3</v>
      </c>
      <c r="EV6" s="10">
        <v>7.3573480744275332E-3</v>
      </c>
    </row>
    <row r="7" spans="1:152" x14ac:dyDescent="0.25">
      <c r="A7" s="21">
        <f t="shared" ca="1" si="0"/>
        <v>3.3221302790191823E-2</v>
      </c>
      <c r="B7" s="5">
        <v>6</v>
      </c>
      <c r="C7" s="9">
        <v>2.1739769379282944E-2</v>
      </c>
      <c r="D7" s="1">
        <v>8.462873447968422E-3</v>
      </c>
      <c r="E7" s="1">
        <v>1.369975034688263E-2</v>
      </c>
      <c r="F7" s="1">
        <v>1.1028539416274394E-2</v>
      </c>
      <c r="G7" s="1">
        <v>2.4358207828740069E-2</v>
      </c>
      <c r="H7" s="1">
        <v>3.3221302790191823E-2</v>
      </c>
      <c r="I7" s="1">
        <v>1.9374551450898142E-2</v>
      </c>
      <c r="J7" s="1">
        <v>1.9068558448674694E-2</v>
      </c>
      <c r="K7" s="1">
        <v>5.6861175550578791E-3</v>
      </c>
      <c r="L7" s="1">
        <v>1.0696160173475383E-2</v>
      </c>
      <c r="M7" s="1">
        <v>2.7108577481075022E-2</v>
      </c>
      <c r="N7" s="1">
        <v>1.9015785967523555E-2</v>
      </c>
      <c r="O7" s="1">
        <v>8.0249492428671187E-3</v>
      </c>
      <c r="P7" s="1">
        <v>7.8930180399892635E-3</v>
      </c>
      <c r="Q7" s="1">
        <v>3.5148596513475336E-2</v>
      </c>
      <c r="R7" s="1">
        <v>4.652458496208195E-2</v>
      </c>
      <c r="S7" s="1">
        <v>3.3221302790191823E-2</v>
      </c>
      <c r="T7" s="1">
        <v>2.2151307343808671E-2</v>
      </c>
      <c r="U7" s="1">
        <v>3.0244098857360138E-2</v>
      </c>
      <c r="V7" s="1">
        <v>3.0085781413906706E-2</v>
      </c>
      <c r="W7" s="1">
        <v>1.9174103410976973E-2</v>
      </c>
      <c r="X7" s="1">
        <v>2.7852494688399759E-2</v>
      </c>
      <c r="Y7" s="1">
        <v>2.4252662866437791E-2</v>
      </c>
      <c r="Z7" s="1">
        <v>1.7684733892794763E-2</v>
      </c>
      <c r="AA7" s="1">
        <v>1.9015785967523555E-2</v>
      </c>
      <c r="AB7" s="1">
        <v>8.4892596885439847E-3</v>
      </c>
      <c r="AC7" s="1">
        <v>1.9891634377726147E-2</v>
      </c>
      <c r="AD7" s="1">
        <v>2.1766155619858521E-2</v>
      </c>
      <c r="AE7" s="1">
        <v>1.9121330929825833E-2</v>
      </c>
      <c r="AF7" s="1">
        <v>1.369975034688263E-2</v>
      </c>
      <c r="AG7" s="1">
        <v>1.1081311897425533E-2</v>
      </c>
      <c r="AH7" s="1">
        <v>1.9997179340028426E-2</v>
      </c>
      <c r="AI7" s="1">
        <v>3.7223565795528865E-2</v>
      </c>
      <c r="AJ7" s="1">
        <v>4.0359087171813982E-2</v>
      </c>
      <c r="AK7" s="1">
        <v>1.110769813800111E-2</v>
      </c>
      <c r="AL7" s="1">
        <v>1.3778909068609346E-2</v>
      </c>
      <c r="AM7" s="1">
        <v>2.1845314341585223E-2</v>
      </c>
      <c r="AN7" s="1">
        <v>2.392028362363878E-2</v>
      </c>
      <c r="AO7" s="1">
        <v>8.3309422450905668E-3</v>
      </c>
      <c r="AP7" s="1">
        <v>1.9094944689250257E-2</v>
      </c>
      <c r="AQ7" s="1">
        <v>2.2124921103233108E-2</v>
      </c>
      <c r="AR7" s="1">
        <v>-9.7449063800368885E-3</v>
      </c>
      <c r="AS7" s="1">
        <v>1.3620591625155928E-2</v>
      </c>
      <c r="AT7" s="1">
        <v>2.3359534996810288E-2</v>
      </c>
      <c r="AU7" s="1">
        <v>3.0497319378432433E-2</v>
      </c>
      <c r="AV7" s="1">
        <v>8.8480251719185721E-3</v>
      </c>
      <c r="AW7" s="1">
        <v>2.967424344938098E-2</v>
      </c>
      <c r="AX7" s="1">
        <v>1.3673364106307068E-2</v>
      </c>
      <c r="AY7" s="1">
        <v>2.7082191240499459E-2</v>
      </c>
      <c r="AZ7" s="1">
        <v>1.642373375864202E-2</v>
      </c>
      <c r="BA7" s="1">
        <v>1.1958033860613698E-2</v>
      </c>
      <c r="BB7" s="1">
        <v>1.2211254381686007E-2</v>
      </c>
      <c r="BC7" s="1">
        <v>9.6983608945311883E-3</v>
      </c>
      <c r="BD7" s="1">
        <v>-1.26527199228397E-2</v>
      </c>
      <c r="BE7" s="1">
        <v>1.6583418621308604E-3</v>
      </c>
      <c r="BF7" s="1">
        <v>6.2417600847484989E-4</v>
      </c>
      <c r="BG7" s="1">
        <v>1.5241230795668831E-2</v>
      </c>
      <c r="BH7" s="1">
        <v>-1.140082656983761E-2</v>
      </c>
      <c r="BI7" s="1">
        <v>3.5064768636876437E-3</v>
      </c>
      <c r="BJ7" s="1">
        <v>-1.7410419199099525E-3</v>
      </c>
      <c r="BK7" s="1">
        <v>-2.1953739089392757E-2</v>
      </c>
      <c r="BL7" s="1">
        <v>6.7896737987427902E-3</v>
      </c>
      <c r="BM7" s="1">
        <v>-1.6400227303571699E-2</v>
      </c>
      <c r="BN7" s="1">
        <v>3.786083625335529E-3</v>
      </c>
      <c r="BO7" s="1">
        <v>3.2426144579319471E-3</v>
      </c>
      <c r="BP7" s="1">
        <v>9.2340504488543085E-3</v>
      </c>
      <c r="BQ7" s="1">
        <v>6.7105150770160882E-3</v>
      </c>
      <c r="BR7" s="1">
        <v>-3.2288763345594412E-3</v>
      </c>
      <c r="BS7" s="1">
        <v>-1.4289764999791926E-2</v>
      </c>
      <c r="BT7" s="1">
        <v>-8.1597602312502154E-3</v>
      </c>
      <c r="BU7" s="1">
        <v>1.3313937072385332E-2</v>
      </c>
      <c r="BV7" s="1">
        <v>7.297209707771285E-4</v>
      </c>
      <c r="BW7" s="1">
        <v>-6.3289046891183282E-3</v>
      </c>
      <c r="BX7" s="1">
        <v>3.1818300625140183E-4</v>
      </c>
      <c r="BY7" s="1">
        <v>3.4537043825365044E-3</v>
      </c>
      <c r="BZ7" s="1">
        <v>6.562839518246058E-3</v>
      </c>
      <c r="CA7" s="1">
        <v>1.3259626193318358E-3</v>
      </c>
      <c r="CB7" s="1">
        <v>7.8238396523988007E-3</v>
      </c>
      <c r="CC7" s="1">
        <v>4.1712353492856791E-3</v>
      </c>
      <c r="CD7" s="1">
        <v>-5.9000872651676778E-3</v>
      </c>
      <c r="CE7" s="1">
        <v>-1.083097116185848E-2</v>
      </c>
      <c r="CF7" s="1">
        <v>-1.1242509126384206E-2</v>
      </c>
      <c r="CG7" s="1">
        <v>-2.4058004055079879E-3</v>
      </c>
      <c r="CH7" s="1">
        <v>-7.0687606625394195E-4</v>
      </c>
      <c r="CI7" s="1">
        <v>6.6577425958649489E-3</v>
      </c>
      <c r="CJ7" s="1">
        <v>1.7806896763974803E-2</v>
      </c>
      <c r="CK7" s="1">
        <v>9.6455884133800351E-3</v>
      </c>
      <c r="CL7" s="1">
        <v>-1.2441629998235143E-2</v>
      </c>
      <c r="CM7" s="1">
        <v>5.8874391479646349E-3</v>
      </c>
      <c r="CN7" s="1">
        <v>-7.3630705427743387E-3</v>
      </c>
      <c r="CO7" s="1">
        <v>-5.1297838172673776E-3</v>
      </c>
      <c r="CP7" s="1">
        <v>6.4309083153682167E-3</v>
      </c>
      <c r="CQ7" s="1">
        <v>-5.0506250955406617E-3</v>
      </c>
      <c r="CR7" s="1">
        <v>-1.4019265019294722E-2</v>
      </c>
      <c r="CS7" s="1">
        <v>-2.0470349221334005E-3</v>
      </c>
      <c r="CT7" s="1">
        <v>5.5022874240144848E-3</v>
      </c>
      <c r="CU7" s="1">
        <v>3.2690006985075237E-3</v>
      </c>
      <c r="CV7" s="1">
        <v>3.4009319013853651E-3</v>
      </c>
      <c r="CW7" s="1">
        <v>-8.2916914341280706E-3</v>
      </c>
      <c r="CX7" s="1">
        <v>6.2417600847484989E-4</v>
      </c>
      <c r="CY7" s="1">
        <v>1.0496826068500886E-2</v>
      </c>
      <c r="CZ7" s="1">
        <v>-7.9732810617273858E-3</v>
      </c>
      <c r="DA7" s="1">
        <v>1.1272900649045015E-3</v>
      </c>
      <c r="DB7" s="1">
        <v>-2.9632384433099235E-3</v>
      </c>
      <c r="DC7" s="1">
        <v>1.3805105859768241E-3</v>
      </c>
      <c r="DD7" s="1">
        <v>1.2592212677823567E-3</v>
      </c>
      <c r="DE7" s="1">
        <v>-1.4323482536024321E-2</v>
      </c>
      <c r="DF7" s="1">
        <v>-2.6993760375542131E-3</v>
      </c>
      <c r="DG7" s="1">
        <v>-1.3436992241138354E-2</v>
      </c>
      <c r="DH7" s="1">
        <v>1.8668776303779069E-2</v>
      </c>
      <c r="DI7" s="1">
        <v>5.8470840369907323E-3</v>
      </c>
      <c r="DJ7" s="1">
        <v>-7.8149636182739679E-3</v>
      </c>
      <c r="DK7" s="1">
        <v>1.0481313431777994E-3</v>
      </c>
      <c r="DL7" s="1">
        <v>-1.2877778717842583E-2</v>
      </c>
      <c r="DM7" s="1">
        <v>-3.2707665490660787E-3</v>
      </c>
      <c r="DN7" s="1">
        <v>7.0553116899923357E-3</v>
      </c>
      <c r="DO7" s="1">
        <v>-2.6564127212608257E-4</v>
      </c>
      <c r="DP7" s="1">
        <v>2.2855742993145092E-2</v>
      </c>
      <c r="DQ7" s="1">
        <v>-8.4706153227213227E-3</v>
      </c>
      <c r="DR7" s="1">
        <v>-2.279078388884255E-2</v>
      </c>
      <c r="DS7" s="1">
        <v>7.1872428928701909E-3</v>
      </c>
      <c r="DT7" s="1">
        <v>-4.9696908883201246E-3</v>
      </c>
      <c r="DU7" s="1">
        <v>-4.415579836233155E-3</v>
      </c>
      <c r="DV7" s="1">
        <v>-8.2528878233752712E-3</v>
      </c>
      <c r="DW7" s="1">
        <v>8.9562191727002582E-3</v>
      </c>
      <c r="DX7" s="1">
        <v>5.2087117919682596E-3</v>
      </c>
      <c r="DY7" s="1">
        <v>-5.63444937391816E-3</v>
      </c>
      <c r="DZ7" s="1">
        <v>-3.7118623442836118E-4</v>
      </c>
      <c r="EA7" s="1">
        <v>-4.3470629991898407E-3</v>
      </c>
      <c r="EB7" s="1">
        <v>-9.0401351714855527E-4</v>
      </c>
      <c r="EC7" s="1">
        <v>-4.9062765224855975E-3</v>
      </c>
      <c r="ED7" s="1">
        <v>2.2085439545244764E-2</v>
      </c>
      <c r="EE7" s="1">
        <v>-3.9355250346641141E-3</v>
      </c>
      <c r="EF7" s="1">
        <v>-6.8426770269197773E-3</v>
      </c>
      <c r="EG7" s="1">
        <v>-1.2596636852661977E-2</v>
      </c>
      <c r="EH7" s="1">
        <v>2.1086834374093866E-3</v>
      </c>
      <c r="EI7" s="1">
        <v>1.2730112794007833E-2</v>
      </c>
      <c r="EJ7" s="1">
        <v>2.3527971773310286E-3</v>
      </c>
      <c r="EK7" s="1">
        <v>-3.9757247500393778E-4</v>
      </c>
      <c r="EL7" s="1">
        <v>3.7193422737860637E-3</v>
      </c>
      <c r="EM7" s="1">
        <v>4.9011836862120906E-3</v>
      </c>
      <c r="EN7" s="1">
        <v>4.5424182028375171E-3</v>
      </c>
      <c r="EO7" s="1">
        <v>-7.9732810617273858E-3</v>
      </c>
      <c r="EP7" s="1">
        <v>7.1608566522946143E-3</v>
      </c>
      <c r="EQ7" s="1">
        <v>1.0602371030803165E-2</v>
      </c>
      <c r="ER7" s="1">
        <v>1.8448210316536762E-3</v>
      </c>
      <c r="ES7" s="1">
        <v>-1.3130999238914906E-2</v>
      </c>
      <c r="ET7" s="1">
        <v>5.5743465692537075E-4</v>
      </c>
      <c r="EU7" s="1">
        <v>1.2292188588906544E-2</v>
      </c>
      <c r="EV7" s="10">
        <v>-4.2395871557951437E-4</v>
      </c>
    </row>
    <row r="8" spans="1:152" x14ac:dyDescent="0.25">
      <c r="A8" s="21">
        <f t="shared" ca="1" si="0"/>
        <v>2.6890531999820076E-2</v>
      </c>
      <c r="B8" s="5">
        <v>7</v>
      </c>
      <c r="C8" s="9">
        <v>1.8118779743656284E-2</v>
      </c>
      <c r="D8" s="1">
        <v>1.8558602769148398E-2</v>
      </c>
      <c r="E8" s="1">
        <v>2.2545677944667296E-2</v>
      </c>
      <c r="F8" s="1">
        <v>2.3525714918133385E-2</v>
      </c>
      <c r="G8" s="1">
        <v>2.0112317331415726E-2</v>
      </c>
      <c r="H8" s="1">
        <v>1.937455145089801E-2</v>
      </c>
      <c r="I8" s="1">
        <v>2.6890531999820076E-2</v>
      </c>
      <c r="J8" s="1">
        <v>1.9098816717122366E-2</v>
      </c>
      <c r="K8" s="1">
        <v>2.5485788865065539E-2</v>
      </c>
      <c r="L8" s="1">
        <v>1.7220786916048426E-2</v>
      </c>
      <c r="M8" s="1">
        <v>1.4671918516111345E-2</v>
      </c>
      <c r="N8" s="1">
        <v>2.2072391278347897E-2</v>
      </c>
      <c r="O8" s="1">
        <v>1.8200823889514519E-2</v>
      </c>
      <c r="P8" s="1">
        <v>2.563476029257834E-2</v>
      </c>
      <c r="Q8" s="1">
        <v>1.0245020315100335E-2</v>
      </c>
      <c r="R8" s="1">
        <v>1.7447941144793123E-2</v>
      </c>
      <c r="S8" s="1">
        <v>1.937455145089801E-2</v>
      </c>
      <c r="T8" s="1">
        <v>1.9963345903902939E-2</v>
      </c>
      <c r="U8" s="1">
        <v>1.2562873141666384E-2</v>
      </c>
      <c r="V8" s="1">
        <v>2.1483596825342975E-2</v>
      </c>
      <c r="W8" s="1">
        <v>1.3151667594671302E-2</v>
      </c>
      <c r="X8" s="1">
        <v>2.2821412678442954E-2</v>
      </c>
      <c r="Y8" s="1">
        <v>2.6059466453866788E-2</v>
      </c>
      <c r="Z8" s="1">
        <v>2.2638977610102879E-2</v>
      </c>
      <c r="AA8" s="1">
        <v>2.2072391278347897E-2</v>
      </c>
      <c r="AB8" s="1">
        <v>1.707181548853564E-2</v>
      </c>
      <c r="AC8" s="1">
        <v>2.2787949037615669E-2</v>
      </c>
      <c r="AD8" s="1">
        <v>1.6631992463043511E-2</v>
      </c>
      <c r="AE8" s="1">
        <v>1.6125242155896835E-2</v>
      </c>
      <c r="AF8" s="1">
        <v>2.2545677944667296E-2</v>
      </c>
      <c r="AG8" s="1">
        <v>2.0552140356907854E-2</v>
      </c>
      <c r="AH8" s="1">
        <v>1.6840799915164607E-2</v>
      </c>
      <c r="AI8" s="1">
        <v>1.7827928145676943E-2</v>
      </c>
      <c r="AJ8" s="1">
        <v>1.5718882771231991E-2</v>
      </c>
      <c r="AK8" s="1">
        <v>1.9065353076295082E-2</v>
      </c>
      <c r="AL8" s="1">
        <v>1.8085316102829006E-2</v>
      </c>
      <c r="AM8" s="1">
        <v>1.2171630621205224E-2</v>
      </c>
      <c r="AN8" s="1">
        <v>1.9754538451781829E-2</v>
      </c>
      <c r="AO8" s="1">
        <v>2.5992539172212219E-2</v>
      </c>
      <c r="AP8" s="1">
        <v>1.7612029436509608E-2</v>
      </c>
      <c r="AQ8" s="1">
        <v>2.1450133184515698E-2</v>
      </c>
      <c r="AR8" s="1">
        <v>2.2803065901819349E-2</v>
      </c>
      <c r="AS8" s="1">
        <v>2.7006039786505585E-2</v>
      </c>
      <c r="AT8" s="1">
        <v>2.6983831665255652E-2</v>
      </c>
      <c r="AU8" s="1">
        <v>2.332816298558963E-2</v>
      </c>
      <c r="AV8" s="1">
        <v>2.1889956210007826E-2</v>
      </c>
      <c r="AW8" s="1">
        <v>1.9639030665096327E-2</v>
      </c>
      <c r="AX8" s="1">
        <v>2.4032465225280068E-2</v>
      </c>
      <c r="AY8" s="1">
        <v>1.615870579672412E-2</v>
      </c>
      <c r="AZ8" s="1">
        <v>1.8592066409975683E-2</v>
      </c>
      <c r="BA8" s="1">
        <v>-1.2275411386406435E-2</v>
      </c>
      <c r="BB8" s="1">
        <v>-1.5101215424832004E-3</v>
      </c>
      <c r="BC8" s="1">
        <v>-9.4508082526937043E-3</v>
      </c>
      <c r="BD8" s="1">
        <v>3.6210788982182496E-3</v>
      </c>
      <c r="BE8" s="1">
        <v>-5.0239100516826854E-3</v>
      </c>
      <c r="BF8" s="1">
        <v>3.1812558727261214E-3</v>
      </c>
      <c r="BG8" s="1">
        <v>2.3279822055228966E-3</v>
      </c>
      <c r="BH8" s="1">
        <v>7.5148544083015485E-3</v>
      </c>
      <c r="BI8" s="1">
        <v>-9.6930793456420708E-3</v>
      </c>
      <c r="BJ8" s="1">
        <v>1.1953008128889907E-2</v>
      </c>
      <c r="BK8" s="1">
        <v>4.0010658991020687E-3</v>
      </c>
      <c r="BL8" s="1">
        <v>4.9103142462872534E-3</v>
      </c>
      <c r="BM8" s="1">
        <v>-9.8533062927322126E-3</v>
      </c>
      <c r="BN8" s="1">
        <v>-4.1457678233160211E-4</v>
      </c>
      <c r="BO8" s="1">
        <v>5.1747934604855703E-3</v>
      </c>
      <c r="BP8" s="1">
        <v>-8.3217998517148284E-3</v>
      </c>
      <c r="BQ8" s="1">
        <v>9.3706760881255569E-3</v>
      </c>
      <c r="BR8" s="1">
        <v>-4.3459801957732788E-3</v>
      </c>
      <c r="BS8" s="1">
        <v>-3.604050052724482E-3</v>
      </c>
      <c r="BT8" s="1">
        <v>-5.4134008859445248E-4</v>
      </c>
      <c r="BU8" s="1">
        <v>1.1457513341320575E-2</v>
      </c>
      <c r="BV8" s="1">
        <v>-2.7658932497249267E-3</v>
      </c>
      <c r="BW8" s="1">
        <v>-3.5705864118971975E-3</v>
      </c>
      <c r="BX8" s="1">
        <v>-4.6104594099715818E-3</v>
      </c>
      <c r="BY8" s="1">
        <v>-6.7195047844165537E-3</v>
      </c>
      <c r="BZ8" s="1">
        <v>-7.3417628782487393E-3</v>
      </c>
      <c r="CA8" s="1">
        <v>-1.132883805376763E-2</v>
      </c>
      <c r="CB8" s="1">
        <v>-3.2948516781215534E-3</v>
      </c>
      <c r="CC8" s="1">
        <v>2.9167766585278115E-3</v>
      </c>
      <c r="CD8" s="1">
        <v>-3.3659432223071967E-3</v>
      </c>
      <c r="CE8" s="1">
        <v>4.3869688487162273E-4</v>
      </c>
      <c r="CF8" s="1">
        <v>-1.4058692753750324E-3</v>
      </c>
      <c r="CG8" s="1">
        <v>-6.5684787527997557E-4</v>
      </c>
      <c r="CH8" s="1">
        <v>3.7478422044811069E-3</v>
      </c>
      <c r="CI8" s="1">
        <v>1.2344250649351074E-2</v>
      </c>
      <c r="CJ8" s="1">
        <v>7.2950943545078729E-3</v>
      </c>
      <c r="CK8" s="1">
        <v>-6.4772336914681733E-3</v>
      </c>
      <c r="CL8" s="1">
        <v>-8.2732193466838605E-3</v>
      </c>
      <c r="CM8" s="1">
        <v>5.6815437676322536E-3</v>
      </c>
      <c r="CN8" s="1">
        <v>4.6345795125116093E-3</v>
      </c>
      <c r="CO8" s="1">
        <v>3.2967636594116376E-3</v>
      </c>
      <c r="CP8" s="1">
        <v>9.2173524815081231E-5</v>
      </c>
      <c r="CQ8" s="1">
        <v>-1.163598182426652E-3</v>
      </c>
      <c r="CR8" s="1">
        <v>5.5213168205421118E-3</v>
      </c>
      <c r="CS8" s="1">
        <v>4.1612928461922105E-3</v>
      </c>
      <c r="CT8" s="1">
        <v>2.3501903267728261E-3</v>
      </c>
      <c r="CU8" s="1">
        <v>3.6880061798727978E-3</v>
      </c>
      <c r="CV8" s="1">
        <v>-3.7459302231910227E-3</v>
      </c>
      <c r="CW8" s="1">
        <v>6.892596314469368E-3</v>
      </c>
      <c r="CX8" s="1">
        <v>3.1812558727261214E-3</v>
      </c>
      <c r="CY8" s="1">
        <v>1.4677196969032191E-2</v>
      </c>
      <c r="CZ8" s="1">
        <v>8.0032345677360159E-3</v>
      </c>
      <c r="DA8" s="1">
        <v>-6.1156168382965614E-3</v>
      </c>
      <c r="DB8" s="1">
        <v>-2.6176738128109306E-4</v>
      </c>
      <c r="DC8" s="1">
        <v>4.6496730056266727E-3</v>
      </c>
      <c r="DD8" s="1">
        <v>-1.3549553241360382E-2</v>
      </c>
      <c r="DE8" s="1">
        <v>1.6681687158464222E-2</v>
      </c>
      <c r="DF8" s="1">
        <v>-1.5129640187408734E-2</v>
      </c>
      <c r="DG8" s="1">
        <v>-8.2359177323188745E-3</v>
      </c>
      <c r="DH8" s="1">
        <v>2.8163623649573588E-3</v>
      </c>
      <c r="DI8" s="1">
        <v>1.9740412994267292E-3</v>
      </c>
      <c r="DJ8" s="1">
        <v>-9.1748911594057708E-4</v>
      </c>
      <c r="DK8" s="1">
        <v>-1.6552549964582719E-3</v>
      </c>
      <c r="DL8" s="1">
        <v>1.032108739430207E-2</v>
      </c>
      <c r="DM8" s="1">
        <v>1.7732815676115961E-2</v>
      </c>
      <c r="DN8" s="1">
        <v>8.9945270607794392E-3</v>
      </c>
      <c r="DO8" s="1">
        <v>-2.7285916353599407E-3</v>
      </c>
      <c r="DP8" s="1">
        <v>-9.1377719045530603E-3</v>
      </c>
      <c r="DQ8" s="1">
        <v>-1.3374209430066578E-2</v>
      </c>
      <c r="DR8" s="1">
        <v>-4.8823561702095244E-3</v>
      </c>
      <c r="DS8" s="1">
        <v>1.5605906577156187E-3</v>
      </c>
      <c r="DT8" s="1">
        <v>1.3328125596354885E-2</v>
      </c>
      <c r="DU8" s="1">
        <v>-1.7894407296513169E-2</v>
      </c>
      <c r="DV8" s="1">
        <v>-1.2752679955744528E-3</v>
      </c>
      <c r="DW8" s="1">
        <v>1.3517832055945228E-3</v>
      </c>
      <c r="DX8" s="1">
        <v>-1.2122601985355926E-2</v>
      </c>
      <c r="DY8" s="1">
        <v>7.1826959218498909E-4</v>
      </c>
      <c r="DZ8" s="1">
        <v>3.2185574870911213E-3</v>
      </c>
      <c r="EA8" s="1">
        <v>3.2783935116994165E-3</v>
      </c>
      <c r="EB8" s="1">
        <v>-1.6825234920142595E-2</v>
      </c>
      <c r="EC8" s="1">
        <v>-1.5278611614921535E-2</v>
      </c>
      <c r="ED8" s="1">
        <v>-1.5800478786271901E-2</v>
      </c>
      <c r="EE8" s="1">
        <v>5.1229596719460715E-3</v>
      </c>
      <c r="EF8" s="1">
        <v>-6.3022161691677278E-3</v>
      </c>
      <c r="EG8" s="1">
        <v>-6.1867083824822117E-3</v>
      </c>
      <c r="EH8" s="1">
        <v>-1.1347208201479858E-2</v>
      </c>
      <c r="EI8" s="1">
        <v>1.3339381115932223E-2</v>
      </c>
      <c r="EJ8" s="1">
        <v>-7.3505404760049881E-4</v>
      </c>
      <c r="EK8" s="1">
        <v>4.7053447677038798E-3</v>
      </c>
      <c r="EL8" s="1">
        <v>-2.635291969924361E-3</v>
      </c>
      <c r="EM8" s="1">
        <v>5.8719810720411214E-3</v>
      </c>
      <c r="EN8" s="1">
        <v>1.0538403505689353E-3</v>
      </c>
      <c r="EO8" s="1">
        <v>8.0032345677360159E-3</v>
      </c>
      <c r="EP8" s="1">
        <v>3.0473779383283911E-3</v>
      </c>
      <c r="EQ8" s="1">
        <v>8.7300478465811293E-3</v>
      </c>
      <c r="ER8" s="1">
        <v>3.520664604647783E-3</v>
      </c>
      <c r="ES8" s="1">
        <v>-4.442024496211644E-4</v>
      </c>
      <c r="ET8" s="1">
        <v>9.6054068513336255E-4</v>
      </c>
      <c r="EU8" s="1">
        <v>1.2981602236298326E-2</v>
      </c>
      <c r="EV8" s="10">
        <v>6.1921320483166384E-3</v>
      </c>
    </row>
    <row r="9" spans="1:152" x14ac:dyDescent="0.25">
      <c r="A9" s="21">
        <f t="shared" ca="1" si="0"/>
        <v>2.0382796328037085E-2</v>
      </c>
      <c r="B9" s="5">
        <v>8</v>
      </c>
      <c r="C9" s="9">
        <v>2.047663810717543E-2</v>
      </c>
      <c r="D9" s="1">
        <v>2.0343648831530243E-2</v>
      </c>
      <c r="E9" s="1">
        <v>2.008303956307823E-2</v>
      </c>
      <c r="F9" s="1">
        <v>1.9989197783939889E-2</v>
      </c>
      <c r="G9" s="1">
        <v>2.034633347294942E-2</v>
      </c>
      <c r="H9" s="1">
        <v>1.906855844867467E-2</v>
      </c>
      <c r="I9" s="1">
        <v>1.9098816717122415E-2</v>
      </c>
      <c r="J9" s="1">
        <v>2.0382796328037085E-2</v>
      </c>
      <c r="K9" s="1">
        <v>1.9801514225663206E-2</v>
      </c>
      <c r="L9" s="1">
        <v>2.1161104188172387E-2</v>
      </c>
      <c r="M9" s="1">
        <v>2.0776394872134285E-2</v>
      </c>
      <c r="N9" s="1">
        <v>2.0158649914672738E-2</v>
      </c>
      <c r="O9" s="1">
        <v>2.1067262409034046E-2</v>
      </c>
      <c r="P9" s="1">
        <v>2.0506896375623175E-2</v>
      </c>
      <c r="Q9" s="1">
        <v>2.1169993416231485E-2</v>
      </c>
      <c r="R9" s="1">
        <v>1.9313620931002029E-2</v>
      </c>
      <c r="S9" s="1">
        <v>1.906855844867467E-2</v>
      </c>
      <c r="T9" s="1">
        <v>1.9640951322989455E-2</v>
      </c>
      <c r="U9" s="1">
        <v>2.0258696280450999E-2</v>
      </c>
      <c r="V9" s="1">
        <v>1.9586257040357956E-2</v>
      </c>
      <c r="W9" s="1">
        <v>2.0831089154765781E-2</v>
      </c>
      <c r="X9" s="1">
        <v>1.8768801683715815E-2</v>
      </c>
      <c r="Y9" s="1">
        <v>1.9898040646220725E-2</v>
      </c>
      <c r="Z9" s="1">
        <v>1.8006040609705173E-2</v>
      </c>
      <c r="AA9" s="1">
        <v>2.0158649914672738E-2</v>
      </c>
      <c r="AB9" s="1">
        <v>2.0455722038212418E-2</v>
      </c>
      <c r="AC9" s="1">
        <v>1.8711422759665138E-2</v>
      </c>
      <c r="AD9" s="1">
        <v>2.0588711313857602E-2</v>
      </c>
      <c r="AE9" s="1">
        <v>2.0606942741401433E-2</v>
      </c>
      <c r="AF9" s="1">
        <v>2.008303956307823E-2</v>
      </c>
      <c r="AG9" s="1">
        <v>2.0213344197304237E-2</v>
      </c>
      <c r="AH9" s="1">
        <v>1.9159715586393834E-2</v>
      </c>
      <c r="AI9" s="1">
        <v>2.1315009532780579E-2</v>
      </c>
      <c r="AJ9" s="1">
        <v>2.0797310941097297E-2</v>
      </c>
      <c r="AK9" s="1">
        <v>2.0325417403986412E-2</v>
      </c>
      <c r="AL9" s="1">
        <v>2.0419259183124754E-2</v>
      </c>
      <c r="AM9" s="1">
        <v>2.0924930933904125E-2</v>
      </c>
      <c r="AN9" s="1">
        <v>2.1069947050453224E-2</v>
      </c>
      <c r="AO9" s="1">
        <v>1.9783282798119372E-2</v>
      </c>
      <c r="AP9" s="1">
        <v>2.0494869534719261E-2</v>
      </c>
      <c r="AQ9" s="1">
        <v>1.9528878116307279E-2</v>
      </c>
      <c r="AR9" s="1">
        <v>1.9187289213422401E-2</v>
      </c>
      <c r="AS9" s="1">
        <v>1.9746819943031707E-2</v>
      </c>
      <c r="AT9" s="1">
        <v>1.7021817763749357E-2</v>
      </c>
      <c r="AU9" s="1">
        <v>1.8750570256171981E-2</v>
      </c>
      <c r="AV9" s="1">
        <v>1.9395888840662096E-2</v>
      </c>
      <c r="AW9" s="1">
        <v>2.0421943824543931E-2</v>
      </c>
      <c r="AX9" s="1">
        <v>1.9970966356396055E-2</v>
      </c>
      <c r="AY9" s="1">
        <v>2.0664321665452113E-2</v>
      </c>
      <c r="AZ9" s="1">
        <v>2.0401027755580919E-2</v>
      </c>
      <c r="BA9" s="1">
        <v>4.956555603624728E-4</v>
      </c>
      <c r="BB9" s="1">
        <v>-1.012470463916549E-3</v>
      </c>
      <c r="BC9" s="1">
        <v>-4.3387300296184733E-4</v>
      </c>
      <c r="BD9" s="1">
        <v>-1.856729077896746E-4</v>
      </c>
      <c r="BE9" s="1">
        <v>-8.2747154705904366E-4</v>
      </c>
      <c r="BF9" s="1">
        <v>-5.2683632144490816E-5</v>
      </c>
      <c r="BG9" s="1">
        <v>-1.9784618823285305E-3</v>
      </c>
      <c r="BH9" s="1">
        <v>1.6307167771313705E-3</v>
      </c>
      <c r="BI9" s="1">
        <v>9.3774380045124825E-4</v>
      </c>
      <c r="BJ9" s="1">
        <v>-1.4305050221974994E-3</v>
      </c>
      <c r="BK9" s="1">
        <v>1.8157156939888758E-3</v>
      </c>
      <c r="BL9" s="1">
        <v>-1.536373642239755E-3</v>
      </c>
      <c r="BM9" s="1">
        <v>2.8999849057229528E-3</v>
      </c>
      <c r="BN9" s="1">
        <v>-4.5830901714559447E-4</v>
      </c>
      <c r="BO9" s="1">
        <v>-1.8298826637049362E-4</v>
      </c>
      <c r="BP9" s="1">
        <v>1.7766736785978024E-4</v>
      </c>
      <c r="BQ9" s="1">
        <v>-1.8725932622862748E-3</v>
      </c>
      <c r="BR9" s="1">
        <v>2.5846813546394412E-3</v>
      </c>
      <c r="BS9" s="1">
        <v>-1.0543026018425689E-3</v>
      </c>
      <c r="BT9" s="1">
        <v>1.5613110121767831E-3</v>
      </c>
      <c r="BU9" s="1">
        <v>-4.0798968498853422E-3</v>
      </c>
      <c r="BV9" s="1">
        <v>3.9560919458420801E-4</v>
      </c>
      <c r="BW9" s="1">
        <v>-9.9692367779189231E-4</v>
      </c>
      <c r="BX9" s="1">
        <v>1.2312959787701833E-3</v>
      </c>
      <c r="BY9" s="1">
        <v>7.135973870868971E-4</v>
      </c>
      <c r="BZ9" s="1">
        <v>8.3825588721442301E-5</v>
      </c>
      <c r="CA9" s="1">
        <v>3.4443485717345484E-4</v>
      </c>
      <c r="CB9" s="1">
        <v>-2.3111615571543079E-3</v>
      </c>
      <c r="CC9" s="1">
        <v>-1.4060690080137453E-3</v>
      </c>
      <c r="CD9" s="1">
        <v>2.4908395755010963E-3</v>
      </c>
      <c r="CE9" s="1">
        <v>1.4674692330384417E-3</v>
      </c>
      <c r="CF9" s="1">
        <v>2.303156017224417E-3</v>
      </c>
      <c r="CG9" s="1">
        <v>9.1330778626749418E-4</v>
      </c>
      <c r="CH9" s="1">
        <v>-2.2052929371120557E-3</v>
      </c>
      <c r="CI9" s="1">
        <v>-2.096739675650626E-3</v>
      </c>
      <c r="CJ9" s="1">
        <v>-2.3329129299188844E-3</v>
      </c>
      <c r="CK9" s="1">
        <v>-6.5801941632619501E-4</v>
      </c>
      <c r="CL9" s="1">
        <v>7.1091274566771959E-4</v>
      </c>
      <c r="CM9" s="1">
        <v>-2.0121969391432779E-4</v>
      </c>
      <c r="CN9" s="1">
        <v>-2.2213576287733947E-4</v>
      </c>
      <c r="CO9" s="1">
        <v>5.9531959376480162E-4</v>
      </c>
      <c r="CP9" s="1">
        <v>-4.7654044468942863E-4</v>
      </c>
      <c r="CQ9" s="1">
        <v>9.3153921381132487E-4</v>
      </c>
      <c r="CR9" s="1">
        <v>1.7610214113573767E-3</v>
      </c>
      <c r="CS9" s="1">
        <v>-1.4652541128282875E-4</v>
      </c>
      <c r="CT9" s="1">
        <v>7.4654029695381957E-4</v>
      </c>
      <c r="CU9" s="1">
        <v>-7.0915059688321513E-5</v>
      </c>
      <c r="CV9" s="1">
        <v>4.8945097372254942E-4</v>
      </c>
      <c r="CW9" s="1">
        <v>1.0009449787659122E-3</v>
      </c>
      <c r="CX9" s="1">
        <v>-5.2683632144490816E-5</v>
      </c>
      <c r="CY9" s="1">
        <v>-4.3433606460788962E-3</v>
      </c>
      <c r="CZ9" s="1">
        <v>2.1978259088907548E-4</v>
      </c>
      <c r="DA9" s="1">
        <v>-4.933357324610893E-5</v>
      </c>
      <c r="DB9" s="1">
        <v>1.5793725533982533E-3</v>
      </c>
      <c r="DC9" s="1">
        <v>-1.5574595975251307E-3</v>
      </c>
      <c r="DD9" s="1">
        <v>5.11032460164762E-4</v>
      </c>
      <c r="DE9" s="1">
        <v>9.1896015420911935E-4</v>
      </c>
      <c r="DF9" s="1">
        <v>2.7001046202199917E-3</v>
      </c>
      <c r="DG9" s="1">
        <v>2.1005910903022784E-3</v>
      </c>
      <c r="DH9" s="1">
        <v>-3.3893960685708255E-3</v>
      </c>
      <c r="DI9" s="1">
        <v>7.7451115759154948E-5</v>
      </c>
      <c r="DJ9" s="1">
        <v>8.9222183098211852E-4</v>
      </c>
      <c r="DK9" s="1">
        <v>-3.8555319329263218E-4</v>
      </c>
      <c r="DL9" s="1">
        <v>-6.9151454489141048E-4</v>
      </c>
      <c r="DM9" s="1">
        <v>-3.976882757584628E-3</v>
      </c>
      <c r="DN9" s="1">
        <v>-2.5416824434809394E-3</v>
      </c>
      <c r="DO9" s="1">
        <v>1.7852875392187668E-3</v>
      </c>
      <c r="DP9" s="1">
        <v>-3.584325376897006E-4</v>
      </c>
      <c r="DQ9" s="1">
        <v>-9.7534219134967626E-4</v>
      </c>
      <c r="DR9" s="1">
        <v>3.8778332787164811E-3</v>
      </c>
      <c r="DS9" s="1">
        <v>-1.9813164100700685E-3</v>
      </c>
      <c r="DT9" s="1">
        <v>-8.5828203420508162E-4</v>
      </c>
      <c r="DU9" s="1">
        <v>1.4952553061205777E-3</v>
      </c>
      <c r="DV9" s="1">
        <v>1.6158354084859182E-3</v>
      </c>
      <c r="DW9" s="1">
        <v>-5.5232068260630679E-4</v>
      </c>
      <c r="DX9" s="1">
        <v>2.5333371309063241E-3</v>
      </c>
      <c r="DY9" s="1">
        <v>1.4855307742599085E-3</v>
      </c>
      <c r="DZ9" s="1">
        <v>1.3369947124900715E-3</v>
      </c>
      <c r="EA9" s="1">
        <v>-7.9738316493366615E-4</v>
      </c>
      <c r="EB9" s="1">
        <v>4.241173554365936E-3</v>
      </c>
      <c r="EC9" s="1">
        <v>1.9947224702600262E-3</v>
      </c>
      <c r="ED9" s="1">
        <v>1.5370874440465941E-3</v>
      </c>
      <c r="EE9" s="1">
        <v>-1.6330699491196414E-3</v>
      </c>
      <c r="EF9" s="1">
        <v>4.1046643335000063E-3</v>
      </c>
      <c r="EG9" s="1">
        <v>4.7526675594092987E-3</v>
      </c>
      <c r="EH9" s="1">
        <v>-1.048267901525006E-3</v>
      </c>
      <c r="EI9" s="1">
        <v>-3.5259052894367517E-3</v>
      </c>
      <c r="EJ9" s="1">
        <v>1.6549829049927571E-3</v>
      </c>
      <c r="EK9" s="1">
        <v>1.2249215058078959E-3</v>
      </c>
      <c r="EL9" s="1">
        <v>-2.9171141415429425E-4</v>
      </c>
      <c r="EM9" s="1">
        <v>-3.0229181800765607E-3</v>
      </c>
      <c r="EN9" s="1">
        <v>-1.9630849825262378E-3</v>
      </c>
      <c r="EO9" s="1">
        <v>2.1978259088907548E-4</v>
      </c>
      <c r="EP9" s="1">
        <v>-2.0933896167522406E-3</v>
      </c>
      <c r="EQ9" s="1">
        <v>-3.8950678193502009E-3</v>
      </c>
      <c r="ER9" s="1">
        <v>-2.1689999683467513E-3</v>
      </c>
      <c r="ES9" s="1">
        <v>8.1661147938761128E-4</v>
      </c>
      <c r="ET9" s="1">
        <v>1.1391397084681981E-4</v>
      </c>
      <c r="EU9" s="1">
        <v>-2.802291711932952E-3</v>
      </c>
      <c r="EV9" s="10">
        <v>1.1128482991257203E-3</v>
      </c>
    </row>
    <row r="10" spans="1:152" x14ac:dyDescent="0.25">
      <c r="A10" s="21">
        <f t="shared" ca="1" si="0"/>
        <v>4.0452335159009395E-2</v>
      </c>
      <c r="B10" s="5">
        <v>9</v>
      </c>
      <c r="C10" s="9">
        <v>1.5832454206196403E-2</v>
      </c>
      <c r="D10" s="1">
        <v>3.3261191795499634E-2</v>
      </c>
      <c r="E10" s="1">
        <v>2.8545155100608219E-2</v>
      </c>
      <c r="F10" s="1">
        <v>3.2514215120075282E-2</v>
      </c>
      <c r="G10" s="1">
        <v>1.3474435858750695E-2</v>
      </c>
      <c r="H10" s="1">
        <v>5.686117555058115E-3</v>
      </c>
      <c r="I10" s="1">
        <v>2.5485788865065778E-2</v>
      </c>
      <c r="J10" s="1">
        <v>1.9801514225663459E-2</v>
      </c>
      <c r="K10" s="1">
        <v>4.0452335159009395E-2</v>
      </c>
      <c r="L10" s="1">
        <v>2.7635461316683631E-2</v>
      </c>
      <c r="M10" s="1">
        <v>7.0888133312516158E-3</v>
      </c>
      <c r="N10" s="1">
        <v>2.1412555897684815E-2</v>
      </c>
      <c r="O10" s="1">
        <v>3.1604521336150694E-2</v>
      </c>
      <c r="P10" s="1">
        <v>3.563212551620408E-2</v>
      </c>
      <c r="Q10" s="1">
        <v>-5.623887563160207E-3</v>
      </c>
      <c r="R10" s="1">
        <v>-1.2548140870255839E-2</v>
      </c>
      <c r="S10" s="1">
        <v>5.686117555058115E-3</v>
      </c>
      <c r="T10" s="1">
        <v>1.8294645501556017E-2</v>
      </c>
      <c r="U10" s="1">
        <v>3.9709029351228317E-3</v>
      </c>
      <c r="V10" s="1">
        <v>8.8040279511868921E-3</v>
      </c>
      <c r="W10" s="1">
        <v>1.6579430881620755E-2</v>
      </c>
      <c r="X10" s="1">
        <v>1.4429758430002874E-2</v>
      </c>
      <c r="Y10" s="1">
        <v>1.66965192027934E-2</v>
      </c>
      <c r="Z10" s="1">
        <v>2.9546106459188017E-2</v>
      </c>
      <c r="AA10" s="1">
        <v>2.1412555897684815E-2</v>
      </c>
      <c r="AB10" s="1">
        <v>3.2455670959488959E-2</v>
      </c>
      <c r="AC10" s="1">
        <v>2.4725896816382695E-2</v>
      </c>
      <c r="AD10" s="1">
        <v>1.5026933370185722E-2</v>
      </c>
      <c r="AE10" s="1">
        <v>1.8190472553642104E-2</v>
      </c>
      <c r="AF10" s="1">
        <v>2.8545155100608219E-2</v>
      </c>
      <c r="AG10" s="1">
        <v>3.0903173448053933E-2</v>
      </c>
      <c r="AH10" s="1">
        <v>2.150381347233999E-2</v>
      </c>
      <c r="AI10" s="1">
        <v>-6.4164930259121428E-3</v>
      </c>
      <c r="AJ10" s="1">
        <v>-9.5344034220409546E-3</v>
      </c>
      <c r="AK10" s="1">
        <v>3.0097652612043252E-2</v>
      </c>
      <c r="AL10" s="1">
        <v>2.6128592592576196E-2</v>
      </c>
      <c r="AM10" s="1">
        <v>1.2610370862153698E-2</v>
      </c>
      <c r="AN10" s="1">
        <v>1.1817765399401749E-2</v>
      </c>
      <c r="AO10" s="1">
        <v>3.7288795975553013E-2</v>
      </c>
      <c r="AP10" s="1">
        <v>1.8995993389652785E-2</v>
      </c>
      <c r="AQ10" s="1">
        <v>1.9100166337566692E-2</v>
      </c>
      <c r="AR10" s="1">
        <v>6.1090240719096599E-2</v>
      </c>
      <c r="AS10" s="1">
        <v>3.0961717608640249E-2</v>
      </c>
      <c r="AT10" s="1">
        <v>2.6486740223645541E-2</v>
      </c>
      <c r="AU10" s="1">
        <v>1.1266219246546513E-2</v>
      </c>
      <c r="AV10" s="1">
        <v>3.6528903926869929E-2</v>
      </c>
      <c r="AW10" s="1">
        <v>6.3418366558272779E-3</v>
      </c>
      <c r="AX10" s="1">
        <v>2.93506759366189E-2</v>
      </c>
      <c r="AY10" s="1">
        <v>7.8943341672622902E-3</v>
      </c>
      <c r="AZ10" s="1">
        <v>2.2965053409119841E-2</v>
      </c>
      <c r="BA10" s="1">
        <v>-2.0351938625449366E-2</v>
      </c>
      <c r="BB10" s="1">
        <v>-1.3056622314025691E-2</v>
      </c>
      <c r="BC10" s="1">
        <v>-1.3920687310622688E-2</v>
      </c>
      <c r="BD10" s="1">
        <v>1.7740535270458567E-2</v>
      </c>
      <c r="BE10" s="1">
        <v>-1.2079864162108378E-3</v>
      </c>
      <c r="BF10" s="1">
        <v>3.1179768115532913E-4</v>
      </c>
      <c r="BG10" s="1">
        <v>-1.2952449366111743E-2</v>
      </c>
      <c r="BH10" s="1">
        <v>1.2023547216987389E-2</v>
      </c>
      <c r="BI10" s="1">
        <v>-1.010142902639713E-2</v>
      </c>
      <c r="BJ10" s="1">
        <v>9.9651323400246766E-3</v>
      </c>
      <c r="BK10" s="1">
        <v>2.3872183114802215E-2</v>
      </c>
      <c r="BL10" s="1">
        <v>-2.7019397670595482E-3</v>
      </c>
      <c r="BM10" s="1">
        <v>9.4898963877826925E-3</v>
      </c>
      <c r="BN10" s="1">
        <v>-3.6116335509841363E-3</v>
      </c>
      <c r="BO10" s="1">
        <v>-2.0462206662903715E-3</v>
      </c>
      <c r="BP10" s="1">
        <v>-1.4771836933960961E-2</v>
      </c>
      <c r="BQ10" s="1">
        <v>-2.8537725902751804E-4</v>
      </c>
      <c r="BR10" s="1">
        <v>-4.7167578574778338E-3</v>
      </c>
      <c r="BS10" s="1">
        <v>2.0189811192559422E-2</v>
      </c>
      <c r="BT10" s="1">
        <v>5.6835534768158967E-3</v>
      </c>
      <c r="BU10" s="1">
        <v>-1.6424442478934626E-3</v>
      </c>
      <c r="BV10" s="1">
        <v>-2.9102856628873686E-3</v>
      </c>
      <c r="BW10" s="1">
        <v>9.8936728061796361E-3</v>
      </c>
      <c r="BX10" s="1">
        <v>-5.3724769582469863E-3</v>
      </c>
      <c r="BY10" s="1">
        <v>-8.4903873543757807E-3</v>
      </c>
      <c r="BZ10" s="1">
        <v>-1.0802776914493897E-2</v>
      </c>
      <c r="CA10" s="1">
        <v>-6.0867402196024822E-3</v>
      </c>
      <c r="CB10" s="1">
        <v>-4.2217238644257221E-3</v>
      </c>
      <c r="CC10" s="1">
        <v>-3.4392141961384071E-4</v>
      </c>
      <c r="CD10" s="1">
        <v>-7.4769783801078432E-4</v>
      </c>
      <c r="CE10" s="1">
        <v>9.6526134962829531E-3</v>
      </c>
      <c r="CF10" s="1">
        <v>7.1904222009233354E-3</v>
      </c>
      <c r="CG10" s="1">
        <v>2.0762473324139816E-4</v>
      </c>
      <c r="CH10" s="1">
        <v>8.4453482426585166E-3</v>
      </c>
      <c r="CI10" s="1">
        <v>1.3256644129938308E-3</v>
      </c>
      <c r="CJ10" s="1">
        <v>-1.3699426041536102E-2</v>
      </c>
      <c r="CK10" s="1">
        <v>-1.2309645638601339E-2</v>
      </c>
      <c r="CL10" s="1">
        <v>1.1296368582373165E-2</v>
      </c>
      <c r="CM10" s="1">
        <v>-5.2097598497467534E-3</v>
      </c>
      <c r="CN10" s="1">
        <v>1.1413456903545803E-2</v>
      </c>
      <c r="CO10" s="1">
        <v>5.7877264247298034E-3</v>
      </c>
      <c r="CP10" s="1">
        <v>-6.7751727344405183E-3</v>
      </c>
      <c r="CQ10" s="1">
        <v>3.3711639166977801E-3</v>
      </c>
      <c r="CR10" s="1">
        <v>1.4381565564433096E-2</v>
      </c>
      <c r="CS10" s="1">
        <v>4.2808577006223647E-3</v>
      </c>
      <c r="CT10" s="1">
        <v>-8.4774719811170525E-3</v>
      </c>
      <c r="CU10" s="1">
        <v>-2.8517415023010528E-3</v>
      </c>
      <c r="CV10" s="1">
        <v>-6.8793456823544319E-3</v>
      </c>
      <c r="CW10" s="1">
        <v>9.7111576568692758E-3</v>
      </c>
      <c r="CX10" s="1">
        <v>3.1179768115532913E-4</v>
      </c>
      <c r="CY10" s="1">
        <v>3.6775490096479999E-3</v>
      </c>
      <c r="CZ10" s="1">
        <v>1.1913240518281909E-2</v>
      </c>
      <c r="DA10" s="1">
        <v>-3.1247653095067551E-3</v>
      </c>
      <c r="DB10" s="1">
        <v>-9.0363332404382046E-4</v>
      </c>
      <c r="DC10" s="1">
        <v>4.1705510019169126E-3</v>
      </c>
      <c r="DD10" s="1">
        <v>-7.1523694895601342E-3</v>
      </c>
      <c r="DE10" s="1">
        <v>2.0565623818571521E-2</v>
      </c>
      <c r="DF10" s="1">
        <v>-8.9588416841505786E-3</v>
      </c>
      <c r="DG10" s="1">
        <v>8.5284400657389681E-3</v>
      </c>
      <c r="DH10" s="1">
        <v>-1.3062756064817244E-2</v>
      </c>
      <c r="DI10" s="1">
        <v>-7.0809099557150867E-3</v>
      </c>
      <c r="DJ10" s="1">
        <v>7.0801155022178486E-3</v>
      </c>
      <c r="DK10" s="1">
        <v>-7.0820280147472492E-4</v>
      </c>
      <c r="DL10" s="1">
        <v>2.1508031016564962E-2</v>
      </c>
      <c r="DM10" s="1">
        <v>2.106065781162364E-2</v>
      </c>
      <c r="DN10" s="1">
        <v>1.1111847663744373E-3</v>
      </c>
      <c r="DO10" s="1">
        <v>-5.6782141795215582E-3</v>
      </c>
      <c r="DP10" s="1">
        <v>-3.0804012497862208E-2</v>
      </c>
      <c r="DQ10" s="1">
        <v>9.620648998973913E-3</v>
      </c>
      <c r="DR10" s="1">
        <v>1.6271129582103971E-2</v>
      </c>
      <c r="DS10" s="1">
        <v>-2.9164194136789418E-3</v>
      </c>
      <c r="DT10" s="1">
        <v>1.2822934302206525E-2</v>
      </c>
      <c r="DU10" s="1">
        <v>-4.0930032540176728E-3</v>
      </c>
      <c r="DV10" s="1">
        <v>5.4234450428689157E-3</v>
      </c>
      <c r="DW10" s="1">
        <v>-9.3932995158331756E-3</v>
      </c>
      <c r="DX10" s="1">
        <v>-1.7643938398509057E-2</v>
      </c>
      <c r="DY10" s="1">
        <v>3.065426695423229E-3</v>
      </c>
      <c r="DZ10" s="1">
        <v>-2.4561308354788536E-3</v>
      </c>
      <c r="EA10" s="1">
        <v>8.8409589094807367E-3</v>
      </c>
      <c r="EB10" s="1">
        <v>-1.6241242622315522E-2</v>
      </c>
      <c r="EC10" s="1">
        <v>-4.1386320413452637E-3</v>
      </c>
      <c r="ED10" s="1">
        <v>-3.7339436760602793E-2</v>
      </c>
      <c r="EE10" s="1">
        <v>1.1303150204840351E-2</v>
      </c>
      <c r="EF10" s="1">
        <v>-5.1266680266662881E-3</v>
      </c>
      <c r="EG10" s="1">
        <v>3.4926071690817573E-4</v>
      </c>
      <c r="EH10" s="1">
        <v>-3.0335077348515871E-3</v>
      </c>
      <c r="EI10" s="1">
        <v>-1.9481814691680033E-3</v>
      </c>
      <c r="EJ10" s="1">
        <v>-8.0362325269672658E-3</v>
      </c>
      <c r="EK10" s="1">
        <v>-1.6506099994681792E-3</v>
      </c>
      <c r="EL10" s="1">
        <v>-4.6772628209417882E-3</v>
      </c>
      <c r="EM10" s="1">
        <v>4.3203527371584033E-3</v>
      </c>
      <c r="EN10" s="1">
        <v>2.4711976977744021E-4</v>
      </c>
      <c r="EO10" s="1">
        <v>1.1913240518281909E-2</v>
      </c>
      <c r="EP10" s="1">
        <v>-2.1108985776682604E-3</v>
      </c>
      <c r="EQ10" s="1">
        <v>4.5546566560528828E-4</v>
      </c>
      <c r="ER10" s="1">
        <v>5.021700625255171E-3</v>
      </c>
      <c r="ES10" s="1">
        <v>1.4212714705141294E-2</v>
      </c>
      <c r="ET10" s="1">
        <v>-7.5383158880232282E-4</v>
      </c>
      <c r="EU10" s="1">
        <v>-3.60485192851695E-3</v>
      </c>
      <c r="EV10" s="10">
        <v>-8.4508916345750473E-4</v>
      </c>
    </row>
    <row r="11" spans="1:152" x14ac:dyDescent="0.25">
      <c r="A11" s="21">
        <f t="shared" ca="1" si="0"/>
        <v>2.8078357950521694E-2</v>
      </c>
      <c r="B11" s="5">
        <v>10</v>
      </c>
      <c r="C11" s="9">
        <v>1.9736564507201338E-2</v>
      </c>
      <c r="D11" s="1">
        <v>2.8804286741086874E-2</v>
      </c>
      <c r="E11" s="1">
        <v>2.336184227377049E-2</v>
      </c>
      <c r="F11" s="1">
        <v>2.4786381954741411E-2</v>
      </c>
      <c r="G11" s="1">
        <v>1.7015342273543139E-2</v>
      </c>
      <c r="H11" s="1">
        <v>1.0696160173475249E-2</v>
      </c>
      <c r="I11" s="1">
        <v>1.7220786916048347E-2</v>
      </c>
      <c r="J11" s="1">
        <v>2.1161104188172259E-2</v>
      </c>
      <c r="K11" s="1">
        <v>2.7635461316683266E-2</v>
      </c>
      <c r="L11" s="1">
        <v>2.8078357950521694E-2</v>
      </c>
      <c r="M11" s="1">
        <v>1.7535826421603135E-2</v>
      </c>
      <c r="N11" s="1">
        <v>1.9864421635484995E-2</v>
      </c>
      <c r="O11" s="1">
        <v>2.9502897631492615E-2</v>
      </c>
      <c r="P11" s="1">
        <v>2.6261191249774447E-2</v>
      </c>
      <c r="Q11" s="1">
        <v>1.3910548655033984E-2</v>
      </c>
      <c r="R11" s="1">
        <v>2.2767792159333246E-3</v>
      </c>
      <c r="S11" s="1">
        <v>1.0696160173475249E-2</v>
      </c>
      <c r="T11" s="1">
        <v>1.8389612340451954E-2</v>
      </c>
      <c r="U11" s="1">
        <v>1.6061017126570081E-2</v>
      </c>
      <c r="V11" s="1">
        <v>1.2170969468508274E-2</v>
      </c>
      <c r="W11" s="1">
        <v>2.3754469293546816E-2</v>
      </c>
      <c r="X11" s="1">
        <v>1.2896898259073452E-2</v>
      </c>
      <c r="Y11" s="1">
        <v>1.442197716816861E-2</v>
      </c>
      <c r="Z11" s="1">
        <v>1.9841469921582311E-2</v>
      </c>
      <c r="AA11" s="1">
        <v>1.9864421635484995E-2</v>
      </c>
      <c r="AB11" s="1">
        <v>2.94526280174305E-2</v>
      </c>
      <c r="AC11" s="1">
        <v>1.8467199854673495E-2</v>
      </c>
      <c r="AD11" s="1">
        <v>2.0384905783544977E-2</v>
      </c>
      <c r="AE11" s="1">
        <v>2.2457786740859537E-2</v>
      </c>
      <c r="AF11" s="1">
        <v>2.336184227377049E-2</v>
      </c>
      <c r="AG11" s="1">
        <v>2.6083064507428675E-2</v>
      </c>
      <c r="AH11" s="1">
        <v>2.1060564960048052E-2</v>
      </c>
      <c r="AI11" s="1">
        <v>9.2945722064070122E-3</v>
      </c>
      <c r="AJ11" s="1">
        <v>7.8197629113739599E-3</v>
      </c>
      <c r="AK11" s="1">
        <v>2.6731405783772314E-2</v>
      </c>
      <c r="AL11" s="1">
        <v>2.5306866102801379E-2</v>
      </c>
      <c r="AM11" s="1">
        <v>2.2329929612575881E-2</v>
      </c>
      <c r="AN11" s="1">
        <v>1.7713953163948894E-2</v>
      </c>
      <c r="AO11" s="1">
        <v>2.5562580359368706E-2</v>
      </c>
      <c r="AP11" s="1">
        <v>2.1809445464515898E-2</v>
      </c>
      <c r="AQ11" s="1">
        <v>1.7741271064108315E-2</v>
      </c>
      <c r="AR11" s="1">
        <v>3.9374136170164872E-2</v>
      </c>
      <c r="AS11" s="1">
        <v>2.1416818444739586E-2</v>
      </c>
      <c r="AT11" s="1">
        <v>1.370041456386017E-2</v>
      </c>
      <c r="AU11" s="1">
        <v>1.0824017301758892E-2</v>
      </c>
      <c r="AV11" s="1">
        <v>2.6808993297993852E-2</v>
      </c>
      <c r="AW11" s="1">
        <v>1.3517921635257658E-2</v>
      </c>
      <c r="AX11" s="1">
        <v>2.271350099742685E-2</v>
      </c>
      <c r="AY11" s="1">
        <v>1.6887485145259496E-2</v>
      </c>
      <c r="AZ11" s="1">
        <v>2.3233985145486819E-2</v>
      </c>
      <c r="BA11" s="1">
        <v>-3.0117815395506939E-3</v>
      </c>
      <c r="BB11" s="1">
        <v>-8.2487813643618846E-3</v>
      </c>
      <c r="BC11" s="1">
        <v>-2.9341940253291565E-3</v>
      </c>
      <c r="BD11" s="1">
        <v>7.2659800978752166E-3</v>
      </c>
      <c r="BE11" s="1">
        <v>6.9108374123998811E-4</v>
      </c>
      <c r="BF11" s="1">
        <v>-1.8017421360103196E-3</v>
      </c>
      <c r="BG11" s="1">
        <v>-1.2316955764769467E-2</v>
      </c>
      <c r="BH11" s="1">
        <v>5.3439079827469899E-3</v>
      </c>
      <c r="BI11" s="1">
        <v>1.9604483937678101E-3</v>
      </c>
      <c r="BJ11" s="1">
        <v>-4.3175197271633214E-3</v>
      </c>
      <c r="BK11" s="1">
        <v>1.4283773088348856E-2</v>
      </c>
      <c r="BL11" s="1">
        <v>-7.3447258314509323E-3</v>
      </c>
      <c r="BM11" s="1">
        <v>1.6621423937156078E-2</v>
      </c>
      <c r="BN11" s="1">
        <v>-2.628210154699738E-3</v>
      </c>
      <c r="BO11" s="1">
        <v>-4.5229643696685258E-3</v>
      </c>
      <c r="BP11" s="1">
        <v>-2.8839244112670512E-3</v>
      </c>
      <c r="BQ11" s="1">
        <v>-9.2897496604818497E-3</v>
      </c>
      <c r="BR11" s="1">
        <v>4.9603365978960132E-3</v>
      </c>
      <c r="BS11" s="1">
        <v>1.1183345656096431E-2</v>
      </c>
      <c r="BT11" s="1">
        <v>6.4624637930884785E-3</v>
      </c>
      <c r="BU11" s="1">
        <v>-1.55313442463282E-2</v>
      </c>
      <c r="BV11" s="1">
        <v>7.916229693642092E-4</v>
      </c>
      <c r="BW11" s="1">
        <v>5.6130440604963971E-3</v>
      </c>
      <c r="BX11" s="1">
        <v>2.1385751361135928E-3</v>
      </c>
      <c r="BY11" s="1">
        <v>6.6376584108055955E-4</v>
      </c>
      <c r="BZ11" s="1">
        <v>-1.4593847302961302E-3</v>
      </c>
      <c r="CA11" s="1">
        <v>3.9830597370202753E-3</v>
      </c>
      <c r="CB11" s="1">
        <v>-4.8518999542006384E-3</v>
      </c>
      <c r="CC11" s="1">
        <v>-4.6235035977927469E-3</v>
      </c>
      <c r="CD11" s="1">
        <v>6.3848762788669411E-3</v>
      </c>
      <c r="CE11" s="1">
        <v>7.8870034740594133E-3</v>
      </c>
      <c r="CF11" s="1">
        <v>9.2339556408087969E-3</v>
      </c>
      <c r="CG11" s="1">
        <v>2.2664322643972494E-3</v>
      </c>
      <c r="CH11" s="1">
        <v>-1.8246938499130172E-3</v>
      </c>
      <c r="CI11" s="1">
        <v>-1.05864322131691E-2</v>
      </c>
      <c r="CJ11" s="1">
        <v>-1.6334860551114931E-2</v>
      </c>
      <c r="CK11" s="1">
        <v>-4.2308765780164348E-3</v>
      </c>
      <c r="CL11" s="1">
        <v>1.2452710308624288E-2</v>
      </c>
      <c r="CM11" s="1">
        <v>-6.5958453269830859E-3</v>
      </c>
      <c r="CN11" s="1">
        <v>3.1202181832460894E-3</v>
      </c>
      <c r="CO11" s="1">
        <v>2.3942893926809129E-3</v>
      </c>
      <c r="CP11" s="1">
        <v>-4.7010911120142981E-3</v>
      </c>
      <c r="CQ11" s="1">
        <v>4.3393132217118165E-3</v>
      </c>
      <c r="CR11" s="1">
        <v>8.0651302164051822E-3</v>
      </c>
      <c r="CS11" s="1">
        <v>-3.7720245503941249E-4</v>
      </c>
      <c r="CT11" s="1">
        <v>-4.6005518838900632E-3</v>
      </c>
      <c r="CU11" s="1">
        <v>-3.8746230933248867E-3</v>
      </c>
      <c r="CV11" s="1">
        <v>-6.3291671160671872E-4</v>
      </c>
      <c r="CW11" s="1">
        <v>3.2207574113703105E-3</v>
      </c>
      <c r="CX11" s="1">
        <v>-1.8017421360103196E-3</v>
      </c>
      <c r="CY11" s="1">
        <v>-1.5009368067107121E-2</v>
      </c>
      <c r="CZ11" s="1">
        <v>2.2679242955583601E-3</v>
      </c>
      <c r="DA11" s="1">
        <v>1.7838136825831588E-3</v>
      </c>
      <c r="DB11" s="1">
        <v>2.7108209293967948E-3</v>
      </c>
      <c r="DC11" s="1">
        <v>-3.4531861422280319E-3</v>
      </c>
      <c r="DD11" s="1">
        <v>5.0255200643013268E-3</v>
      </c>
      <c r="DE11" s="1">
        <v>3.2725190565935404E-3</v>
      </c>
      <c r="DF11" s="1">
        <v>9.1942336928331307E-3</v>
      </c>
      <c r="DG11" s="1">
        <v>1.3595709864029564E-2</v>
      </c>
      <c r="DH11" s="1">
        <v>-1.539293945195809E-2</v>
      </c>
      <c r="DI11" s="1">
        <v>-4.9050437233583849E-3</v>
      </c>
      <c r="DJ11" s="1">
        <v>6.1579719536201671E-3</v>
      </c>
      <c r="DK11" s="1">
        <v>-1.6121014644774473E-4</v>
      </c>
      <c r="DL11" s="1">
        <v>4.4183927670944645E-3</v>
      </c>
      <c r="DM11" s="1">
        <v>-6.5397174955030973E-3</v>
      </c>
      <c r="DN11" s="1">
        <v>-9.5942414999501541E-3</v>
      </c>
      <c r="DO11" s="1">
        <v>1.9346225247694991E-3</v>
      </c>
      <c r="DP11" s="1">
        <v>-1.2256138484620899E-2</v>
      </c>
      <c r="DQ11" s="1">
        <v>1.1271480836404446E-2</v>
      </c>
      <c r="DR11" s="1">
        <v>1.9316820301815953E-2</v>
      </c>
      <c r="DS11" s="1">
        <v>-6.3525351182319861E-3</v>
      </c>
      <c r="DT11" s="1">
        <v>-2.4485913811928481E-3</v>
      </c>
      <c r="DU11" s="1">
        <v>1.1166575422023477E-2</v>
      </c>
      <c r="DV11" s="1">
        <v>6.8565828440259081E-3</v>
      </c>
      <c r="DW11" s="1">
        <v>-7.0281942947350642E-3</v>
      </c>
      <c r="DX11" s="1">
        <v>2.3272495445458251E-3</v>
      </c>
      <c r="DY11" s="1">
        <v>4.1353606103677228E-3</v>
      </c>
      <c r="DZ11" s="1">
        <v>-6.5874258060504357E-4</v>
      </c>
      <c r="EA11" s="1">
        <v>1.3911866628068537E-3</v>
      </c>
      <c r="EB11" s="1">
        <v>9.1669157926737091E-3</v>
      </c>
      <c r="EC11" s="1">
        <v>1.0568503759741957E-2</v>
      </c>
      <c r="ED11" s="1">
        <v>-8.2655515984348671E-3</v>
      </c>
      <c r="EE11" s="1">
        <v>4.4234496057470041E-5</v>
      </c>
      <c r="EF11" s="1">
        <v>8.8245583869595093E-3</v>
      </c>
      <c r="EG11" s="1">
        <v>1.3020589915650728E-2</v>
      </c>
      <c r="EH11" s="1">
        <v>2.9799570071462056E-3</v>
      </c>
      <c r="EI11" s="1">
        <v>-1.5735296857672297E-2</v>
      </c>
      <c r="EJ11" s="1">
        <v>-7.8659970888868627E-4</v>
      </c>
      <c r="EK11" s="1">
        <v>-1.3070838569486688E-3</v>
      </c>
      <c r="EL11" s="1">
        <v>-1.5857498274186657E-3</v>
      </c>
      <c r="EM11" s="1">
        <v>-6.9232888803540879E-3</v>
      </c>
      <c r="EN11" s="1">
        <v>-4.279654160917426E-3</v>
      </c>
      <c r="EO11" s="1">
        <v>2.2679242955583601E-3</v>
      </c>
      <c r="EP11" s="1">
        <v>-7.0008763945756253E-3</v>
      </c>
      <c r="EQ11" s="1">
        <v>-1.2416002961732592E-2</v>
      </c>
      <c r="ER11" s="1">
        <v>-3.5034557562901442E-3</v>
      </c>
      <c r="ES11" s="1">
        <v>9.6553925919056552E-3</v>
      </c>
      <c r="ET11" s="1">
        <v>-7.5928180872926465E-4</v>
      </c>
      <c r="EU11" s="1">
        <v>-1.5036685967266553E-2</v>
      </c>
      <c r="EV11" s="10">
        <v>-1.9554251332922941E-3</v>
      </c>
    </row>
    <row r="12" spans="1:152" x14ac:dyDescent="0.25">
      <c r="A12" s="21">
        <f t="shared" ca="1" si="0"/>
        <v>2.9312514048670836E-2</v>
      </c>
      <c r="B12" s="5">
        <v>11</v>
      </c>
      <c r="C12" s="9">
        <v>2.3352126054307303E-2</v>
      </c>
      <c r="D12" s="1">
        <v>1.2900247033493357E-2</v>
      </c>
      <c r="E12" s="1">
        <v>1.4816006877770647E-2</v>
      </c>
      <c r="F12" s="1">
        <v>1.2240275695597505E-2</v>
      </c>
      <c r="G12" s="1">
        <v>2.4310005976445961E-2</v>
      </c>
      <c r="H12" s="1">
        <v>2.7108577481074897E-2</v>
      </c>
      <c r="I12" s="1">
        <v>1.4671918516111326E-2</v>
      </c>
      <c r="J12" s="1">
        <v>2.0776394872134167E-2</v>
      </c>
      <c r="K12" s="1">
        <v>7.0888133312512341E-3</v>
      </c>
      <c r="L12" s="1">
        <v>1.7535826421603104E-2</v>
      </c>
      <c r="M12" s="1">
        <v>2.9312514048670836E-2</v>
      </c>
      <c r="N12" s="1">
        <v>1.9158543612099677E-2</v>
      </c>
      <c r="O12" s="1">
        <v>1.4960095239429962E-2</v>
      </c>
      <c r="P12" s="1">
        <v>1.0915467089343732E-2</v>
      </c>
      <c r="Q12" s="1">
        <v>3.7848633225207484E-2</v>
      </c>
      <c r="R12" s="1">
        <v>3.8369382131906105E-2</v>
      </c>
      <c r="S12" s="1">
        <v>2.7108577481074897E-2</v>
      </c>
      <c r="T12" s="1">
        <v>2.048335221835345E-2</v>
      </c>
      <c r="U12" s="1">
        <v>3.0637322654924609E-2</v>
      </c>
      <c r="V12" s="1">
        <v>2.5783768874821124E-2</v>
      </c>
      <c r="W12" s="1">
        <v>2.4012097392203155E-2</v>
      </c>
      <c r="X12" s="1">
        <v>2.1148189486711384E-2</v>
      </c>
      <c r="Y12" s="1">
        <v>2.1074303456376973E-2</v>
      </c>
      <c r="Z12" s="1">
        <v>1.1212193442133957E-2</v>
      </c>
      <c r="AA12" s="1">
        <v>1.9158543612099677E-2</v>
      </c>
      <c r="AB12" s="1">
        <v>1.3709172663510599E-2</v>
      </c>
      <c r="AC12" s="1">
        <v>1.5038847200226461E-2</v>
      </c>
      <c r="AD12" s="1">
        <v>2.4161051684324551E-2</v>
      </c>
      <c r="AE12" s="1">
        <v>2.2394246132168658E-2</v>
      </c>
      <c r="AF12" s="1">
        <v>1.4816006877770647E-2</v>
      </c>
      <c r="AG12" s="1">
        <v>1.3858126955632002E-2</v>
      </c>
      <c r="AH12" s="1">
        <v>1.8274549720295449E-2</v>
      </c>
      <c r="AI12" s="1">
        <v>3.7630658833213759E-2</v>
      </c>
      <c r="AJ12" s="1">
        <v>3.8955467439467539E-2</v>
      </c>
      <c r="AK12" s="1">
        <v>1.4667052585649251E-2</v>
      </c>
      <c r="AL12" s="1">
        <v>1.7242783767822387E-2</v>
      </c>
      <c r="AM12" s="1">
        <v>2.658782857437629E-2</v>
      </c>
      <c r="AN12" s="1">
        <v>2.6369854182382572E-2</v>
      </c>
      <c r="AO12" s="1">
        <v>8.8556188834071278E-3</v>
      </c>
      <c r="AP12" s="1">
        <v>2.1585320502151409E-2</v>
      </c>
      <c r="AQ12" s="1">
        <v>1.9674426588336208E-2</v>
      </c>
      <c r="AR12" s="1">
        <v>-5.5718681876207321E-3</v>
      </c>
      <c r="AS12" s="1">
        <v>1.2389229987718915E-2</v>
      </c>
      <c r="AT12" s="1">
        <v>1.1068105080474649E-2</v>
      </c>
      <c r="AU12" s="1">
        <v>2.2914995038867271E-2</v>
      </c>
      <c r="AV12" s="1">
        <v>9.222547567522256E-3</v>
      </c>
      <c r="AW12" s="1">
        <v>2.8652542710774977E-2</v>
      </c>
      <c r="AX12" s="1">
        <v>1.4007081247753399E-2</v>
      </c>
      <c r="AY12" s="1">
        <v>2.8503588418653587E-2</v>
      </c>
      <c r="AZ12" s="1">
        <v>1.9009589319978273E-2</v>
      </c>
      <c r="BA12" s="1">
        <v>1.4081339939048074E-2</v>
      </c>
      <c r="BB12" s="1">
        <v>6.3590123229907494E-3</v>
      </c>
      <c r="BC12" s="1">
        <v>8.6368349209210854E-3</v>
      </c>
      <c r="BD12" s="1">
        <v>-1.1085020644659799E-2</v>
      </c>
      <c r="BE12" s="1">
        <v>1.0071574438441644E-4</v>
      </c>
      <c r="BF12" s="1">
        <v>-6.3314162384584677E-4</v>
      </c>
      <c r="BG12" s="1">
        <v>4.4481184091755346E-3</v>
      </c>
      <c r="BH12" s="1">
        <v>-5.565447364745818E-3</v>
      </c>
      <c r="BI12" s="1">
        <v>8.4139945984652575E-3</v>
      </c>
      <c r="BJ12" s="1">
        <v>-9.313349162041816E-3</v>
      </c>
      <c r="BK12" s="1">
        <v>-1.1823743943352144E-2</v>
      </c>
      <c r="BL12" s="1">
        <v>-1.2192269314072676E-3</v>
      </c>
      <c r="BM12" s="1">
        <v>-2.0087653886789736E-4</v>
      </c>
      <c r="BN12" s="1">
        <v>1.5005926124251751E-3</v>
      </c>
      <c r="BO12" s="1">
        <v>3.2473829829279821E-4</v>
      </c>
      <c r="BP12" s="1">
        <v>9.8877574968404408E-3</v>
      </c>
      <c r="BQ12" s="1">
        <v>-3.6460038214590137E-3</v>
      </c>
      <c r="BR12" s="1">
        <v>7.0152999618770737E-3</v>
      </c>
      <c r="BS12" s="1">
        <v>-1.2926894458602671E-2</v>
      </c>
      <c r="BT12" s="1">
        <v>-1.004936238423064E-3</v>
      </c>
      <c r="BU12" s="1">
        <v>-6.2919373349570387E-3</v>
      </c>
      <c r="BV12" s="1">
        <v>2.6025608962231342E-3</v>
      </c>
      <c r="BW12" s="1">
        <v>-6.8175521721177482E-3</v>
      </c>
      <c r="BX12" s="1">
        <v>5.471334732176987E-3</v>
      </c>
      <c r="BY12" s="1">
        <v>6.796143338430774E-3</v>
      </c>
      <c r="BZ12" s="1">
        <v>7.3120263146672984E-3</v>
      </c>
      <c r="CA12" s="1">
        <v>5.3962664703900085E-3</v>
      </c>
      <c r="CB12" s="1">
        <v>-4.8536956317701135E-4</v>
      </c>
      <c r="CC12" s="1">
        <v>-2.1771068535459195E-3</v>
      </c>
      <c r="CD12" s="1">
        <v>4.4395687797039313E-3</v>
      </c>
      <c r="CE12" s="1">
        <v>-3.5806674205961994E-3</v>
      </c>
      <c r="CF12" s="1">
        <v>-7.1189358464234659E-4</v>
      </c>
      <c r="CG12" s="1">
        <v>1.277752289969368E-3</v>
      </c>
      <c r="CH12" s="1">
        <v>-8.5794917938115528E-3</v>
      </c>
      <c r="CI12" s="1">
        <v>-5.2638550814934973E-3</v>
      </c>
      <c r="CJ12" s="1">
        <v>3.7881470712796891E-3</v>
      </c>
      <c r="CK12" s="1">
        <v>7.018983660886588E-3</v>
      </c>
      <c r="CL12" s="1">
        <v>-4.6136156045218299E-3</v>
      </c>
      <c r="CM12" s="1">
        <v>2.0915438504486919E-3</v>
      </c>
      <c r="CN12" s="1">
        <v>-7.5514095403480114E-3</v>
      </c>
      <c r="CO12" s="1">
        <v>-2.9158301522382649E-3</v>
      </c>
      <c r="CP12" s="1">
        <v>3.2673981645810687E-3</v>
      </c>
      <c r="CQ12" s="1">
        <v>-4.8905326218652567E-4</v>
      </c>
      <c r="CR12" s="1">
        <v>-6.5233272868844699E-3</v>
      </c>
      <c r="CS12" s="1">
        <v>-3.2088728060189822E-3</v>
      </c>
      <c r="CT12" s="1">
        <v>5.7692433164197934E-3</v>
      </c>
      <c r="CU12" s="1">
        <v>1.1336639283100469E-3</v>
      </c>
      <c r="CV12" s="1">
        <v>5.1782920783962766E-3</v>
      </c>
      <c r="CW12" s="1">
        <v>-5.0495643885092936E-3</v>
      </c>
      <c r="CX12" s="1">
        <v>-6.3314162384584677E-4</v>
      </c>
      <c r="CY12" s="1">
        <v>-1.0167907696842553E-2</v>
      </c>
      <c r="CZ12" s="1">
        <v>-7.6007261441410137E-3</v>
      </c>
      <c r="DA12" s="1">
        <v>2.4781760306431533E-3</v>
      </c>
      <c r="DB12" s="1">
        <v>2.8462869462108492E-3</v>
      </c>
      <c r="DC12" s="1">
        <v>-5.2441515854141779E-3</v>
      </c>
      <c r="DD12" s="1">
        <v>6.5228041807293691E-3</v>
      </c>
      <c r="DE12" s="1">
        <v>-1.2677120246700306E-2</v>
      </c>
      <c r="DF12" s="1">
        <v>1.0935543246383309E-2</v>
      </c>
      <c r="DG12" s="1">
        <v>-9.8523274234373764E-4</v>
      </c>
      <c r="DH12" s="1">
        <v>2.4128396297803389E-3</v>
      </c>
      <c r="DI12" s="1">
        <v>4.0270071908053151E-3</v>
      </c>
      <c r="DJ12" s="1">
        <v>-2.7471723640375353E-3</v>
      </c>
      <c r="DK12" s="1">
        <v>5.1399140591414094E-5</v>
      </c>
      <c r="DL12" s="1">
        <v>-1.4812036714423903E-2</v>
      </c>
      <c r="DM12" s="1">
        <v>-2.0177789771754391E-2</v>
      </c>
      <c r="DN12" s="1">
        <v>-5.3882399470734851E-3</v>
      </c>
      <c r="DO12" s="1">
        <v>6.2309437584012334E-3</v>
      </c>
      <c r="DP12" s="1">
        <v>1.8597400392039914E-2</v>
      </c>
      <c r="DQ12" s="1">
        <v>-5.4730400697846487E-3</v>
      </c>
      <c r="DR12" s="1">
        <v>-3.3418073010705734E-3</v>
      </c>
      <c r="DS12" s="1">
        <v>-1.3436117969872485E-3</v>
      </c>
      <c r="DT12" s="1">
        <v>-1.0320545687973477E-2</v>
      </c>
      <c r="DU12" s="1">
        <v>6.6668925423886971E-3</v>
      </c>
      <c r="DV12" s="1">
        <v>-6.8732415810093123E-4</v>
      </c>
      <c r="DW12" s="1">
        <v>4.5428901670418464E-3</v>
      </c>
      <c r="DX12" s="1">
        <v>1.5427034272833734E-2</v>
      </c>
      <c r="DY12" s="1">
        <v>2.7055576403770681E-4</v>
      </c>
      <c r="DZ12" s="1">
        <v>2.9952412383322455E-3</v>
      </c>
      <c r="EA12" s="1">
        <v>-6.7179144837893542E-3</v>
      </c>
      <c r="EB12" s="1">
        <v>1.7630970840429666E-2</v>
      </c>
      <c r="EC12" s="1">
        <v>7.1088894882908107E-3</v>
      </c>
      <c r="ED12" s="1">
        <v>2.5952799323982104E-2</v>
      </c>
      <c r="EE12" s="1">
        <v>-9.5866883197432071E-3</v>
      </c>
      <c r="EF12" s="1">
        <v>9.685802901916514E-3</v>
      </c>
      <c r="EG12" s="1">
        <v>7.403114373524089E-3</v>
      </c>
      <c r="EH12" s="1">
        <v>1.5941821388389121E-3</v>
      </c>
      <c r="EI12" s="1">
        <v>-5.5323283087328062E-3</v>
      </c>
      <c r="EJ12" s="1">
        <v>7.1888236805398853E-3</v>
      </c>
      <c r="EK12" s="1">
        <v>2.1863156083150037E-3</v>
      </c>
      <c r="EL12" s="1">
        <v>2.6271303227645565E-3</v>
      </c>
      <c r="EM12" s="1">
        <v>-7.5970424451314994E-3</v>
      </c>
      <c r="EN12" s="1">
        <v>-3.1104173491431492E-3</v>
      </c>
      <c r="EO12" s="1">
        <v>-7.6007261441410137E-3</v>
      </c>
      <c r="EP12" s="1">
        <v>-2.1525374270044972E-3</v>
      </c>
      <c r="EQ12" s="1">
        <v>-6.9322051767735648E-3</v>
      </c>
      <c r="ER12" s="1">
        <v>-6.4950741613335403E-3</v>
      </c>
      <c r="ES12" s="1">
        <v>-7.0897090983665714E-3</v>
      </c>
      <c r="ET12" s="1">
        <v>4.9339608649352773E-4</v>
      </c>
      <c r="EU12" s="1">
        <v>-3.4724801027962021E-3</v>
      </c>
      <c r="EV12" s="10">
        <v>1.3773899782977619E-3</v>
      </c>
    </row>
    <row r="13" spans="1:152" x14ac:dyDescent="0.25">
      <c r="A13" s="21">
        <f t="shared" ca="1" si="0"/>
        <v>2.1397463478501969E-2</v>
      </c>
      <c r="B13" s="5">
        <v>12</v>
      </c>
      <c r="C13" s="9">
        <v>2.0031750074453264E-2</v>
      </c>
      <c r="D13" s="1">
        <v>1.8808028929806587E-2</v>
      </c>
      <c r="E13" s="1">
        <v>2.1031856377026224E-2</v>
      </c>
      <c r="F13" s="1">
        <v>2.1158756217245674E-2</v>
      </c>
      <c r="G13" s="1">
        <v>2.1143663798063077E-2</v>
      </c>
      <c r="H13" s="1">
        <v>1.9015785967523464E-2</v>
      </c>
      <c r="I13" s="1">
        <v>2.2072391278347911E-2</v>
      </c>
      <c r="J13" s="1">
        <v>2.0158649914672703E-2</v>
      </c>
      <c r="K13" s="1">
        <v>2.1412555897684558E-2</v>
      </c>
      <c r="L13" s="1">
        <v>1.9864421635485092E-2</v>
      </c>
      <c r="M13" s="1">
        <v>1.9158543612099732E-2</v>
      </c>
      <c r="N13" s="1">
        <v>2.1397463478501969E-2</v>
      </c>
      <c r="O13" s="1">
        <v>1.9991321475704541E-2</v>
      </c>
      <c r="P13" s="1">
        <v>2.30883553852777E-2</v>
      </c>
      <c r="Q13" s="1">
        <v>1.8158437309526772E-2</v>
      </c>
      <c r="R13" s="1">
        <v>1.9620100330255508E-2</v>
      </c>
      <c r="S13" s="1">
        <v>1.9015785967523464E-2</v>
      </c>
      <c r="T13" s="1">
        <v>1.9467864310469943E-2</v>
      </c>
      <c r="U13" s="1">
        <v>1.7228944444067702E-2</v>
      </c>
      <c r="V13" s="1">
        <v>2.0945385135555501E-2</v>
      </c>
      <c r="W13" s="1">
        <v>1.768102278701417E-2</v>
      </c>
      <c r="X13" s="1">
        <v>1.9888992429877E-2</v>
      </c>
      <c r="Y13" s="1">
        <v>2.3621290925721607E-2</v>
      </c>
      <c r="Z13" s="1">
        <v>1.7355078899112933E-2</v>
      </c>
      <c r="AA13" s="1">
        <v>2.1397463478501969E-2</v>
      </c>
      <c r="AB13" s="1">
        <v>1.8188622147891957E-2</v>
      </c>
      <c r="AC13" s="1">
        <v>1.9030878386706064E-2</v>
      </c>
      <c r="AD13" s="1">
        <v>1.9412343292538624E-2</v>
      </c>
      <c r="AE13" s="1">
        <v>1.8919836350843437E-2</v>
      </c>
      <c r="AF13" s="1">
        <v>2.1031856377026224E-2</v>
      </c>
      <c r="AG13" s="1">
        <v>1.9919942653416411E-2</v>
      </c>
      <c r="AH13" s="1">
        <v>1.6553251259047531E-2</v>
      </c>
      <c r="AI13" s="1">
        <v>2.2931270706693058E-2</v>
      </c>
      <c r="AJ13" s="1">
        <v>2.1001671538661039E-2</v>
      </c>
      <c r="AK13" s="1">
        <v>1.9300535871501774E-2</v>
      </c>
      <c r="AL13" s="1">
        <v>1.9173636031282332E-2</v>
      </c>
      <c r="AM13" s="1">
        <v>1.7554122946794731E-2</v>
      </c>
      <c r="AN13" s="1">
        <v>2.2326956343961025E-2</v>
      </c>
      <c r="AO13" s="1">
        <v>2.1905062839379746E-2</v>
      </c>
      <c r="AP13" s="1">
        <v>1.9539243132758077E-2</v>
      </c>
      <c r="AQ13" s="1">
        <v>2.0087271092384569E-2</v>
      </c>
      <c r="AR13" s="1">
        <v>1.7274221701615487E-2</v>
      </c>
      <c r="AS13" s="1">
        <v>2.289007672277012E-2</v>
      </c>
      <c r="AT13" s="1">
        <v>1.8395613800434616E-2</v>
      </c>
      <c r="AU13" s="1">
        <v>2.0381499371572184E-2</v>
      </c>
      <c r="AV13" s="1">
        <v>1.8863549947737902E-2</v>
      </c>
      <c r="AW13" s="1">
        <v>2.1509270899538822E-2</v>
      </c>
      <c r="AX13" s="1">
        <v>2.1651263158940861E-2</v>
      </c>
      <c r="AY13" s="1">
        <v>1.9777950394014372E-2</v>
      </c>
      <c r="AZ13" s="1">
        <v>1.9666142972977516E-2</v>
      </c>
      <c r="BA13" s="1">
        <v>-4.8899837756298473E-3</v>
      </c>
      <c r="BB13" s="1">
        <v>-1.7374288481253816E-3</v>
      </c>
      <c r="BC13" s="1">
        <v>-5.3269696993937278E-3</v>
      </c>
      <c r="BD13" s="1">
        <v>5.3244124181626388E-4</v>
      </c>
      <c r="BE13" s="1">
        <v>-4.326863396820757E-3</v>
      </c>
      <c r="BF13" s="1">
        <v>1.7561623864629297E-3</v>
      </c>
      <c r="BG13" s="1">
        <v>-1.1894008884988771E-3</v>
      </c>
      <c r="BH13" s="1">
        <v>6.4330461669491953E-3</v>
      </c>
      <c r="BI13" s="1">
        <v>-3.3259917090735598E-3</v>
      </c>
      <c r="BJ13" s="1">
        <v>3.7968035903575888E-3</v>
      </c>
      <c r="BK13" s="1">
        <v>3.8436116182538199E-3</v>
      </c>
      <c r="BL13" s="1">
        <v>3.7459117805740266E-4</v>
      </c>
      <c r="BM13" s="1">
        <v>-1.3654423175021232E-3</v>
      </c>
      <c r="BN13" s="1">
        <v>-7.9284356348371769E-4</v>
      </c>
      <c r="BO13" s="1">
        <v>2.8680761100727571E-3</v>
      </c>
      <c r="BP13" s="1">
        <v>-3.5242703715811421E-3</v>
      </c>
      <c r="BQ13" s="1">
        <v>2.2328115238013091E-3</v>
      </c>
      <c r="BR13" s="1">
        <v>2.3359059548030761E-3</v>
      </c>
      <c r="BS13" s="1">
        <v>-5.4236847012479814E-3</v>
      </c>
      <c r="BT13" s="1">
        <v>2.0258198712586502E-3</v>
      </c>
      <c r="BU13" s="1">
        <v>-3.3205223050217746E-4</v>
      </c>
      <c r="BV13" s="1">
        <v>-7.214647411955882E-4</v>
      </c>
      <c r="BW13" s="1">
        <v>-4.5655706580770491E-3</v>
      </c>
      <c r="BX13" s="1">
        <v>-1.575789772122688E-4</v>
      </c>
      <c r="BY13" s="1">
        <v>-2.0871781452443073E-3</v>
      </c>
      <c r="BZ13" s="1">
        <v>-3.3973705313616893E-3</v>
      </c>
      <c r="CA13" s="1">
        <v>-5.6211979785813302E-3</v>
      </c>
      <c r="CB13" s="1">
        <v>-5.7084346052262858E-3</v>
      </c>
      <c r="CC13" s="1">
        <v>-7.3732254555241086E-4</v>
      </c>
      <c r="CD13" s="1">
        <v>2.462805795022515E-3</v>
      </c>
      <c r="CE13" s="1">
        <v>2.1527197114780891E-3</v>
      </c>
      <c r="CF13" s="1">
        <v>2.7166054754614068E-3</v>
      </c>
      <c r="CG13" s="1">
        <v>1.2081344268364408E-3</v>
      </c>
      <c r="CH13" s="1">
        <v>-2.2862221929261014E-3</v>
      </c>
      <c r="CI13" s="1">
        <v>3.4716250876305615E-3</v>
      </c>
      <c r="CJ13" s="1">
        <v>1.1613263989402028E-3</v>
      </c>
      <c r="CK13" s="1">
        <v>-4.0881561355644615E-3</v>
      </c>
      <c r="CL13" s="1">
        <v>-4.4228130135007876E-3</v>
      </c>
      <c r="CM13" s="1">
        <v>3.3605830517679444E-3</v>
      </c>
      <c r="CN13" s="1">
        <v>1.5174551252066376E-3</v>
      </c>
      <c r="CO13" s="1">
        <v>2.573847830885146E-3</v>
      </c>
      <c r="CP13" s="1">
        <v>-3.0033662178853039E-4</v>
      </c>
      <c r="CQ13" s="1">
        <v>7.1562748514125262E-4</v>
      </c>
      <c r="CR13" s="1">
        <v>5.3211324433393783E-3</v>
      </c>
      <c r="CS13" s="1">
        <v>1.883062226682386E-3</v>
      </c>
      <c r="CT13" s="1">
        <v>3.3050620338366254E-3</v>
      </c>
      <c r="CU13" s="1">
        <v>2.248669328158117E-3</v>
      </c>
      <c r="CV13" s="1">
        <v>-8.48364581415041E-4</v>
      </c>
      <c r="CW13" s="1">
        <v>5.1228537808318091E-3</v>
      </c>
      <c r="CX13" s="1">
        <v>1.7561623864629297E-3</v>
      </c>
      <c r="CY13" s="1">
        <v>7.1664564055964886E-4</v>
      </c>
      <c r="CZ13" s="1">
        <v>4.241952483861602E-3</v>
      </c>
      <c r="DA13" s="1">
        <v>-3.4605863839096886E-3</v>
      </c>
      <c r="DB13" s="1">
        <v>2.693818221662132E-3</v>
      </c>
      <c r="DC13" s="1">
        <v>-3.0803145640522119E-4</v>
      </c>
      <c r="DD13" s="1">
        <v>-6.5576202934828475E-3</v>
      </c>
      <c r="DE13" s="1">
        <v>9.9593711656695439E-3</v>
      </c>
      <c r="DF13" s="1">
        <v>-3.5002495974841858E-3</v>
      </c>
      <c r="DG13" s="1">
        <v>-1.7538366727771464E-3</v>
      </c>
      <c r="DH13" s="1">
        <v>-3.3804945715864808E-3</v>
      </c>
      <c r="DI13" s="1">
        <v>1.8047539549517905E-3</v>
      </c>
      <c r="DJ13" s="1">
        <v>5.2551179237380306E-4</v>
      </c>
      <c r="DK13" s="1">
        <v>-1.6023660381657961E-3</v>
      </c>
      <c r="DL13" s="1">
        <v>3.3124596184025343E-3</v>
      </c>
      <c r="DM13" s="1">
        <v>1.9150306056401941E-3</v>
      </c>
      <c r="DN13" s="1">
        <v>7.3250344491646198E-4</v>
      </c>
      <c r="DO13" s="1">
        <v>1.9475115995280529E-3</v>
      </c>
      <c r="DP13" s="1">
        <v>-3.8008573058193138E-3</v>
      </c>
      <c r="DQ13" s="1">
        <v>-1.0274826370144869E-2</v>
      </c>
      <c r="DR13" s="1">
        <v>2.7961472674896751E-3</v>
      </c>
      <c r="DS13" s="1">
        <v>-2.3645304646566969E-3</v>
      </c>
      <c r="DT13" s="1">
        <v>5.4093872254027328E-3</v>
      </c>
      <c r="DU13" s="1">
        <v>-7.5981551948045428E-3</v>
      </c>
      <c r="DV13" s="1">
        <v>1.7088043382717608E-3</v>
      </c>
      <c r="DW13" s="1">
        <v>4.9456156883438858E-4</v>
      </c>
      <c r="DX13" s="1">
        <v>-1.4033219904839977E-3</v>
      </c>
      <c r="DY13" s="1">
        <v>2.8207180618815709E-3</v>
      </c>
      <c r="DZ13" s="1">
        <v>4.4251387271865856E-3</v>
      </c>
      <c r="EA13" s="1">
        <v>-1.097527938976519E-4</v>
      </c>
      <c r="EB13" s="1">
        <v>-1.260564345907737E-3</v>
      </c>
      <c r="EC13" s="1">
        <v>-5.1760490850773309E-3</v>
      </c>
      <c r="ED13" s="1">
        <v>-3.9118993416819431E-3</v>
      </c>
      <c r="EE13" s="1">
        <v>-6.7363855788096956E-4</v>
      </c>
      <c r="EF13" s="1">
        <v>3.8929685719168994E-3</v>
      </c>
      <c r="EG13" s="1">
        <v>4.710654016339114E-3</v>
      </c>
      <c r="EH13" s="1">
        <v>-8.3047986033641229E-3</v>
      </c>
      <c r="EI13" s="1">
        <v>1.7730383462381556E-3</v>
      </c>
      <c r="EJ13" s="1">
        <v>3.0594253231378665E-3</v>
      </c>
      <c r="EK13" s="1">
        <v>5.0445455091012118E-3</v>
      </c>
      <c r="EL13" s="1">
        <v>-1.7292658783852489E-3</v>
      </c>
      <c r="EM13" s="1">
        <v>-2.1821096065059355E-3</v>
      </c>
      <c r="EN13" s="1">
        <v>-2.8570374063518842E-3</v>
      </c>
      <c r="EO13" s="1">
        <v>4.241952483861602E-3</v>
      </c>
      <c r="EP13" s="1">
        <v>-1.7451236827420568E-3</v>
      </c>
      <c r="EQ13" s="1">
        <v>-1.7609814870988838E-3</v>
      </c>
      <c r="ER13" s="1">
        <v>-2.1107307842178052E-3</v>
      </c>
      <c r="ES13" s="1">
        <v>1.5990469089806857E-4</v>
      </c>
      <c r="ET13" s="1">
        <v>8.1974007156141587E-4</v>
      </c>
      <c r="EU13" s="1">
        <v>2.9563308921360994E-3</v>
      </c>
      <c r="EV13" s="10">
        <v>5.663952291015838E-3</v>
      </c>
    </row>
    <row r="14" spans="1:152" x14ac:dyDescent="0.25">
      <c r="A14" s="21">
        <f t="shared" ca="1" si="0"/>
        <v>3.171794351024905E-2</v>
      </c>
      <c r="B14" s="5">
        <v>13</v>
      </c>
      <c r="C14" s="9">
        <v>1.8852216530277903E-2</v>
      </c>
      <c r="D14" s="1">
        <v>3.1541357324053269E-2</v>
      </c>
      <c r="E14" s="1">
        <v>2.4959383699881828E-2</v>
      </c>
      <c r="F14" s="1">
        <v>2.7174429578638061E-2</v>
      </c>
      <c r="G14" s="1">
        <v>1.5561229718192201E-2</v>
      </c>
      <c r="H14" s="1">
        <v>8.0249492428671985E-3</v>
      </c>
      <c r="I14" s="1">
        <v>1.8200823889514613E-2</v>
      </c>
      <c r="J14" s="1">
        <v>2.1067262409034136E-2</v>
      </c>
      <c r="K14" s="1">
        <v>3.1604521336150514E-2</v>
      </c>
      <c r="L14" s="1">
        <v>2.9502897631492834E-2</v>
      </c>
      <c r="M14" s="1">
        <v>1.4960095239430196E-2</v>
      </c>
      <c r="N14" s="1">
        <v>1.9991321475704642E-2</v>
      </c>
      <c r="O14" s="1">
        <v>3.171794351024905E-2</v>
      </c>
      <c r="P14" s="1">
        <v>2.9028091176925331E-2</v>
      </c>
      <c r="Q14" s="1">
        <v>8.8529280698262727E-3</v>
      </c>
      <c r="R14" s="1">
        <v>-4.126221084243431E-3</v>
      </c>
      <c r="S14" s="1">
        <v>8.0249492428671985E-3</v>
      </c>
      <c r="T14" s="1">
        <v>1.8137659877417368E-2</v>
      </c>
      <c r="U14" s="1">
        <v>1.310643364114294E-2</v>
      </c>
      <c r="V14" s="1">
        <v>9.8786108411544685E-3</v>
      </c>
      <c r="W14" s="1">
        <v>2.3219144275693111E-2</v>
      </c>
      <c r="X14" s="1">
        <v>1.191707053371489E-2</v>
      </c>
      <c r="Y14" s="1">
        <v>1.3409347851533212E-2</v>
      </c>
      <c r="Z14" s="1">
        <v>2.2214579262538253E-2</v>
      </c>
      <c r="AA14" s="1">
        <v>1.9991321475704642E-2</v>
      </c>
      <c r="AB14" s="1">
        <v>3.2079327790718017E-2</v>
      </c>
      <c r="AC14" s="1">
        <v>1.963814910331307E-2</v>
      </c>
      <c r="AD14" s="1">
        <v>1.939018699694265E-2</v>
      </c>
      <c r="AE14" s="1">
        <v>2.2143203342363617E-2</v>
      </c>
      <c r="AF14" s="1">
        <v>2.4959383699881828E-2</v>
      </c>
      <c r="AG14" s="1">
        <v>2.8250370511967555E-2</v>
      </c>
      <c r="AH14" s="1">
        <v>2.1790030969972046E-2</v>
      </c>
      <c r="AI14" s="1">
        <v>3.5866455772773816E-3</v>
      </c>
      <c r="AJ14" s="1">
        <v>1.7329839789900839E-3</v>
      </c>
      <c r="AK14" s="1">
        <v>2.8788340978632303E-2</v>
      </c>
      <c r="AL14" s="1">
        <v>2.6573295099876069E-2</v>
      </c>
      <c r="AM14" s="1">
        <v>2.1004098396936878E-2</v>
      </c>
      <c r="AN14" s="1">
        <v>1.5737815904387987E-2</v>
      </c>
      <c r="AO14" s="1">
        <v>2.8851504990729547E-2</v>
      </c>
      <c r="AP14" s="1">
        <v>2.160523287569887E-2</v>
      </c>
      <c r="AQ14" s="1">
        <v>1.7599689410752635E-2</v>
      </c>
      <c r="AR14" s="1">
        <v>4.7946033222480554E-2</v>
      </c>
      <c r="AS14" s="1">
        <v>2.33454722998876E-2</v>
      </c>
      <c r="AT14" s="1">
        <v>1.5456019452171042E-2</v>
      </c>
      <c r="AU14" s="1">
        <v>9.1640541882939373E-3</v>
      </c>
      <c r="AV14" s="1">
        <v>3.0288830204527988E-2</v>
      </c>
      <c r="AW14" s="1">
        <v>1.0593167494015003E-2</v>
      </c>
      <c r="AX14" s="1">
        <v>2.4421413233217081E-2</v>
      </c>
      <c r="AY14" s="1">
        <v>1.4422124772765449E-2</v>
      </c>
      <c r="AZ14" s="1">
        <v>2.3820278754455117E-2</v>
      </c>
      <c r="BA14" s="1">
        <v>-6.6427364431138908E-3</v>
      </c>
      <c r="BB14" s="1">
        <v>-1.0585115895962879E-2</v>
      </c>
      <c r="BC14" s="1">
        <v>-5.1422472172181766E-3</v>
      </c>
      <c r="BD14" s="1">
        <v>1.0779410318564227E-2</v>
      </c>
      <c r="BE14" s="1">
        <v>9.6491995238576211E-4</v>
      </c>
      <c r="BF14" s="1">
        <v>-1.909730475211124E-3</v>
      </c>
      <c r="BG14" s="1">
        <v>-1.4590659360909112E-2</v>
      </c>
      <c r="BH14" s="1">
        <v>6.9422411317363875E-3</v>
      </c>
      <c r="BI14" s="1">
        <v>1.7898737935059285E-4</v>
      </c>
      <c r="BJ14" s="1">
        <v>-2.5611231159744247E-3</v>
      </c>
      <c r="BK14" s="1">
        <v>1.8492276980085015E-2</v>
      </c>
      <c r="BL14" s="1">
        <v>-7.7689355384446546E-3</v>
      </c>
      <c r="BM14" s="1">
        <v>1.8365948955890499E-2</v>
      </c>
      <c r="BN14" s="1">
        <v>-3.2254216068336606E-3</v>
      </c>
      <c r="BO14" s="1">
        <v>-5.2007172872968518E-3</v>
      </c>
      <c r="BP14" s="1">
        <v>-5.5036314976871382E-3</v>
      </c>
      <c r="BQ14" s="1">
        <v>-9.3828469384388824E-3</v>
      </c>
      <c r="BR14" s="1">
        <v>3.5249262954561711E-3</v>
      </c>
      <c r="BS14" s="1">
        <v>1.586910662491732E-2</v>
      </c>
      <c r="BT14" s="1">
        <v>7.2404614001080909E-3</v>
      </c>
      <c r="BU14" s="1">
        <v>-1.5418638187868197E-2</v>
      </c>
      <c r="BV14" s="1">
        <v>2.4215139144785104E-4</v>
      </c>
      <c r="BW14" s="1">
        <v>8.1480280553191675E-3</v>
      </c>
      <c r="BX14" s="1">
        <v>9.5670804430838217E-4</v>
      </c>
      <c r="BY14" s="1">
        <v>-8.9695355397890163E-4</v>
      </c>
      <c r="BZ14" s="1">
        <v>-3.2885856189309049E-3</v>
      </c>
      <c r="CA14" s="1">
        <v>3.2933880052405228E-3</v>
      </c>
      <c r="CB14" s="1">
        <v>-4.8942851108477684E-3</v>
      </c>
      <c r="CC14" s="1">
        <v>-4.4779487263589407E-3</v>
      </c>
      <c r="CD14" s="1">
        <v>5.7399721742124044E-3</v>
      </c>
      <c r="CE14" s="1">
        <v>9.4555072788643085E-3</v>
      </c>
      <c r="CF14" s="1">
        <v>1.0170063931724843E-2</v>
      </c>
      <c r="CG14" s="1">
        <v>2.0958129897351071E-3</v>
      </c>
      <c r="CH14" s="1">
        <v>3.1352731162245968E-4</v>
      </c>
      <c r="CI14" s="1">
        <v>-1.0458787871768363E-2</v>
      </c>
      <c r="CJ14" s="1">
        <v>-1.8957587106324322E-2</v>
      </c>
      <c r="CK14" s="1">
        <v>-6.218188150547671E-3</v>
      </c>
      <c r="CL14" s="1">
        <v>1.5083174051882177E-2</v>
      </c>
      <c r="CM14" s="1">
        <v>-7.9537336327178184E-3</v>
      </c>
      <c r="CN14" s="1">
        <v>5.2733776277222814E-3</v>
      </c>
      <c r="CO14" s="1">
        <v>3.2349179351618459E-3</v>
      </c>
      <c r="CP14" s="1">
        <v>-5.9784379522546272E-3</v>
      </c>
      <c r="CQ14" s="1">
        <v>4.8488293351560876E-3</v>
      </c>
      <c r="CR14" s="1">
        <v>1.0233227943822115E-2</v>
      </c>
      <c r="CS14" s="1">
        <v>3.0531540354508148E-4</v>
      </c>
      <c r="CT14" s="1">
        <v>-6.70120651319254E-3</v>
      </c>
      <c r="CU14" s="1">
        <v>-4.6627468206321045E-3</v>
      </c>
      <c r="CV14" s="1">
        <v>-1.9728944873083961E-3</v>
      </c>
      <c r="CW14" s="1">
        <v>4.5506090667843686E-3</v>
      </c>
      <c r="CX14" s="1">
        <v>-1.909730475211124E-3</v>
      </c>
      <c r="CY14" s="1">
        <v>-1.3911186764625619E-2</v>
      </c>
      <c r="CZ14" s="1">
        <v>4.2043988917396646E-3</v>
      </c>
      <c r="DA14" s="1">
        <v>1.5098526163973575E-3</v>
      </c>
      <c r="DB14" s="1">
        <v>2.1027751870819709E-3</v>
      </c>
      <c r="DC14" s="1">
        <v>-2.432526836451631E-3</v>
      </c>
      <c r="DD14" s="1">
        <v>4.1997049497210798E-3</v>
      </c>
      <c r="DE14" s="1">
        <v>6.2978106883199766E-3</v>
      </c>
      <c r="DF14" s="1">
        <v>7.4824798537294016E-3</v>
      </c>
      <c r="DG14" s="1">
        <v>1.5266722435424826E-2</v>
      </c>
      <c r="DH14" s="1">
        <v>-1.7328501600905835E-2</v>
      </c>
      <c r="DI14" s="1">
        <v>-6.5094462215725124E-3</v>
      </c>
      <c r="DJ14" s="1">
        <v>7.4322216917281202E-3</v>
      </c>
      <c r="DK14" s="1">
        <v>-1.0405878359687031E-4</v>
      </c>
      <c r="DL14" s="1">
        <v>8.4579044630563316E-3</v>
      </c>
      <c r="DM14" s="1">
        <v>-2.1214007179839491E-3</v>
      </c>
      <c r="DN14" s="1">
        <v>-9.191086646818853E-3</v>
      </c>
      <c r="DO14" s="1">
        <v>4.2569977499049873E-4</v>
      </c>
      <c r="DP14" s="1">
        <v>-1.8001011999842453E-2</v>
      </c>
      <c r="DQ14" s="1">
        <v>1.4320627492348647E-2</v>
      </c>
      <c r="DR14" s="1">
        <v>2.1903648163616118E-2</v>
      </c>
      <c r="DS14" s="1">
        <v>-6.5012343134951307E-3</v>
      </c>
      <c r="DT14" s="1">
        <v>-3.3911503987131553E-4</v>
      </c>
      <c r="DU14" s="1">
        <v>1.0958264760088307E-2</v>
      </c>
      <c r="DV14" s="1">
        <v>7.6088078779239041E-3</v>
      </c>
      <c r="DW14" s="1">
        <v>-8.9010782865245174E-3</v>
      </c>
      <c r="DX14" s="1">
        <v>-1.3145396491982455E-3</v>
      </c>
      <c r="DY14" s="1">
        <v>4.3178210658382041E-3</v>
      </c>
      <c r="DZ14" s="1">
        <v>-1.7261820916684763E-3</v>
      </c>
      <c r="EA14" s="1">
        <v>3.2500920405861018E-3</v>
      </c>
      <c r="EB14" s="1">
        <v>5.6206063473647639E-3</v>
      </c>
      <c r="EC14" s="1">
        <v>1.0058910012954612E-2</v>
      </c>
      <c r="ED14" s="1">
        <v>-1.5495957760791892E-2</v>
      </c>
      <c r="EE14" s="1">
        <v>2.5355353877255689E-3</v>
      </c>
      <c r="EF14" s="1">
        <v>6.9994614910845465E-3</v>
      </c>
      <c r="EG14" s="1">
        <v>1.2144109901457532E-2</v>
      </c>
      <c r="EH14" s="1">
        <v>3.3085621106647665E-3</v>
      </c>
      <c r="EI14" s="1">
        <v>-1.5949646457186068E-2</v>
      </c>
      <c r="EJ14" s="1">
        <v>-2.8652870370952151E-3</v>
      </c>
      <c r="EK14" s="1">
        <v>-2.2641525583332236E-3</v>
      </c>
      <c r="EL14" s="1">
        <v>-2.3191046623530897E-3</v>
      </c>
      <c r="EM14" s="1">
        <v>-5.5387155542641793E-3</v>
      </c>
      <c r="EN14" s="1">
        <v>-3.7482179680741502E-3</v>
      </c>
      <c r="EO14" s="1">
        <v>4.2043988917396646E-3</v>
      </c>
      <c r="EP14" s="1">
        <v>-7.039204780159878E-3</v>
      </c>
      <c r="EQ14" s="1">
        <v>-1.1759304897966644E-2</v>
      </c>
      <c r="ER14" s="1">
        <v>-2.0711425559826781E-3</v>
      </c>
      <c r="ES14" s="1">
        <v>1.240028391590532E-2</v>
      </c>
      <c r="ET14" s="1">
        <v>-1.0034135307305653E-3</v>
      </c>
      <c r="EU14" s="1">
        <v>-1.5773060270990281E-2</v>
      </c>
      <c r="EV14" s="10">
        <v>-2.8021230249979708E-3</v>
      </c>
    </row>
    <row r="15" spans="1:152" x14ac:dyDescent="0.25">
      <c r="A15" s="21">
        <f t="shared" ca="1" si="0"/>
        <v>3.5481738701061832E-2</v>
      </c>
      <c r="B15" s="5">
        <v>14</v>
      </c>
      <c r="C15" s="9">
        <v>1.7739996448472718E-2</v>
      </c>
      <c r="D15" s="1">
        <v>2.7702307569744324E-2</v>
      </c>
      <c r="E15" s="1">
        <v>2.7331425734752023E-2</v>
      </c>
      <c r="F15" s="1">
        <v>3.0098325661902722E-2</v>
      </c>
      <c r="G15" s="1">
        <v>1.7554555530976568E-2</v>
      </c>
      <c r="H15" s="1">
        <v>7.8930180399894474E-3</v>
      </c>
      <c r="I15" s="1">
        <v>2.5634760292578579E-2</v>
      </c>
      <c r="J15" s="1">
        <v>2.0506896375623404E-2</v>
      </c>
      <c r="K15" s="1">
        <v>3.5632125516204094E-2</v>
      </c>
      <c r="L15" s="1">
        <v>2.6261191249774798E-2</v>
      </c>
      <c r="M15" s="1">
        <v>1.0915467089344063E-2</v>
      </c>
      <c r="N15" s="1">
        <v>2.3088355385277939E-2</v>
      </c>
      <c r="O15" s="1">
        <v>2.9028091176925497E-2</v>
      </c>
      <c r="P15" s="1">
        <v>3.5481738701061832E-2</v>
      </c>
      <c r="Q15" s="1">
        <v>1.324037803064745E-3</v>
      </c>
      <c r="R15" s="1">
        <v>-3.3600225861094464E-3</v>
      </c>
      <c r="S15" s="1">
        <v>7.8930180399894474E-3</v>
      </c>
      <c r="T15" s="1">
        <v>1.7704942346118822E-2</v>
      </c>
      <c r="U15" s="1">
        <v>5.5320540501849567E-3</v>
      </c>
      <c r="V15" s="1">
        <v>1.3276431079148577E-2</v>
      </c>
      <c r="W15" s="1">
        <v>1.5343978356314318E-2</v>
      </c>
      <c r="X15" s="1">
        <v>1.4717547399118094E-2</v>
      </c>
      <c r="Y15" s="1">
        <v>2.2717473550285638E-2</v>
      </c>
      <c r="Z15" s="1">
        <v>2.0587174986057874E-2</v>
      </c>
      <c r="AA15" s="1">
        <v>2.3088355385277939E-2</v>
      </c>
      <c r="AB15" s="1">
        <v>2.641157806491707E-2</v>
      </c>
      <c r="AC15" s="1">
        <v>2.0436788170915616E-2</v>
      </c>
      <c r="AD15" s="1">
        <v>1.6449266943645437E-2</v>
      </c>
      <c r="AE15" s="1">
        <v>1.7925437365968855E-2</v>
      </c>
      <c r="AF15" s="1">
        <v>2.7331425734752023E-2</v>
      </c>
      <c r="AG15" s="1">
        <v>2.7516866652248187E-2</v>
      </c>
      <c r="AH15" s="1">
        <v>1.5273870151606531E-2</v>
      </c>
      <c r="AI15" s="1">
        <v>7.6272985120588331E-3</v>
      </c>
      <c r="AJ15" s="1">
        <v>2.2438854728997122E-3</v>
      </c>
      <c r="AK15" s="1">
        <v>2.6226137147420905E-2</v>
      </c>
      <c r="AL15" s="1">
        <v>2.3459237220270233E-2</v>
      </c>
      <c r="AM15" s="1">
        <v>1.2577078429163632E-2</v>
      </c>
      <c r="AN15" s="1">
        <v>1.8880339138157714E-2</v>
      </c>
      <c r="AO15" s="1">
        <v>3.4155955093880676E-2</v>
      </c>
      <c r="AP15" s="1">
        <v>1.9216166870796136E-2</v>
      </c>
      <c r="AQ15" s="1">
        <v>1.899567185094609E-2</v>
      </c>
      <c r="AR15" s="1">
        <v>4.3163364442963432E-2</v>
      </c>
      <c r="AS15" s="1">
        <v>3.1203614249233839E-2</v>
      </c>
      <c r="AT15" s="1">
        <v>1.8890509543884413E-2</v>
      </c>
      <c r="AU15" s="1">
        <v>1.3241376976794682E-2</v>
      </c>
      <c r="AV15" s="1">
        <v>2.8957982972217709E-2</v>
      </c>
      <c r="AW15" s="1">
        <v>1.3311485181502469E-2</v>
      </c>
      <c r="AX15" s="1">
        <v>2.8622155239579304E-2</v>
      </c>
      <c r="AY15" s="1">
        <v>1.2206196594171345E-2</v>
      </c>
      <c r="AZ15" s="1">
        <v>2.1983066797946822E-2</v>
      </c>
      <c r="BA15" s="1">
        <v>-2.0106834783094305E-2</v>
      </c>
      <c r="BB15" s="1">
        <v>-1.2397511856484592E-2</v>
      </c>
      <c r="BC15" s="1">
        <v>-1.7374988958297512E-2</v>
      </c>
      <c r="BD15" s="1">
        <v>1.2574695692579373E-2</v>
      </c>
      <c r="BE15" s="1">
        <v>-7.7835596720181727E-3</v>
      </c>
      <c r="BF15" s="1">
        <v>2.6123845713077552E-3</v>
      </c>
      <c r="BG15" s="1">
        <v>-1.2618006876334614E-2</v>
      </c>
      <c r="BH15" s="1">
        <v>1.8948064606281241E-2</v>
      </c>
      <c r="BI15" s="1">
        <v>-1.0480351394461072E-2</v>
      </c>
      <c r="BJ15" s="1">
        <v>1.0507148415413611E-2</v>
      </c>
      <c r="BK15" s="1">
        <v>2.3562016790747653E-2</v>
      </c>
      <c r="BL15" s="1">
        <v>-2.991523487701403E-3</v>
      </c>
      <c r="BM15" s="1">
        <v>7.7023808978281261E-3</v>
      </c>
      <c r="BN15" s="1">
        <v>-4.0617579726786269E-3</v>
      </c>
      <c r="BO15" s="1">
        <v>2.4269436538116185E-3</v>
      </c>
      <c r="BP15" s="1">
        <v>-1.4758475846289084E-2</v>
      </c>
      <c r="BQ15" s="1">
        <v>8.8066502678041392E-4</v>
      </c>
      <c r="BR15" s="1">
        <v>2.9029877958655775E-3</v>
      </c>
      <c r="BS15" s="1">
        <v>4.9456513764041254E-3</v>
      </c>
      <c r="BT15" s="1">
        <v>8.4017335478130707E-3</v>
      </c>
      <c r="BU15" s="1">
        <v>-6.0490266394099181E-3</v>
      </c>
      <c r="BV15" s="1">
        <v>-2.5505334480013155E-3</v>
      </c>
      <c r="BW15" s="1">
        <v>-7.7358939539338978E-4</v>
      </c>
      <c r="BX15" s="1">
        <v>-2.5154793456474232E-3</v>
      </c>
      <c r="BY15" s="1">
        <v>-7.8988923848065506E-3</v>
      </c>
      <c r="BZ15" s="1">
        <v>-1.1991575919138384E-2</v>
      </c>
      <c r="CA15" s="1">
        <v>-1.1620694084146083E-2</v>
      </c>
      <c r="CB15" s="1">
        <v>-1.3387467731027345E-2</v>
      </c>
      <c r="CC15" s="1">
        <v>-2.8060825702052525E-3</v>
      </c>
      <c r="CD15" s="1">
        <v>5.6698877230162634E-3</v>
      </c>
      <c r="CE15" s="1">
        <v>1.1168633474963743E-2</v>
      </c>
      <c r="CF15" s="1">
        <v>1.1203687577317635E-2</v>
      </c>
      <c r="CG15" s="1">
        <v>2.8328795911577911E-3</v>
      </c>
      <c r="CH15" s="1">
        <v>1.1120417208768454E-4</v>
      </c>
      <c r="CI15" s="1">
        <v>3.4621240364349354E-3</v>
      </c>
      <c r="CJ15" s="1">
        <v>-1.0221988784176229E-2</v>
      </c>
      <c r="CK15" s="1">
        <v>-1.4793529948642976E-2</v>
      </c>
      <c r="CL15" s="1">
        <v>2.248859653961233E-3</v>
      </c>
      <c r="CM15" s="1">
        <v>9.5077323148820038E-4</v>
      </c>
      <c r="CN15" s="1">
        <v>9.6223548479325363E-3</v>
      </c>
      <c r="CO15" s="1">
        <v>8.181238527963014E-3</v>
      </c>
      <c r="CP15" s="1">
        <v>-5.5379283950020451E-3</v>
      </c>
      <c r="CQ15" s="1">
        <v>4.309050013481211E-3</v>
      </c>
      <c r="CR15" s="1">
        <v>1.9133505523777405E-2</v>
      </c>
      <c r="CS15" s="1">
        <v>5.3792844984584462E-3</v>
      </c>
      <c r="CT15" s="1">
        <v>-3.0490217098518881E-4</v>
      </c>
      <c r="CU15" s="1">
        <v>1.136214148984337E-3</v>
      </c>
      <c r="CV15" s="1">
        <v>-5.3174333751520014E-3</v>
      </c>
      <c r="CW15" s="1">
        <v>1.4855381071949409E-2</v>
      </c>
      <c r="CX15" s="1">
        <v>2.6123845713077552E-3</v>
      </c>
      <c r="CY15" s="1">
        <v>-1.2611710480288918E-3</v>
      </c>
      <c r="CZ15" s="1">
        <v>1.4259823624171299E-2</v>
      </c>
      <c r="DA15" s="1">
        <v>-7.0182794102612136E-3</v>
      </c>
      <c r="DB15" s="1">
        <v>4.8888893577420257E-3</v>
      </c>
      <c r="DC15" s="1">
        <v>6.9104351634849957E-4</v>
      </c>
      <c r="DD15" s="1">
        <v>-1.3471926934397551E-2</v>
      </c>
      <c r="DE15" s="1">
        <v>2.8898838216971333E-2</v>
      </c>
      <c r="DF15" s="1">
        <v>-8.018405690530651E-3</v>
      </c>
      <c r="DG15" s="1">
        <v>5.6306530277266068E-3</v>
      </c>
      <c r="DH15" s="1">
        <v>-1.7306247858444569E-2</v>
      </c>
      <c r="DI15" s="1">
        <v>-2.1911891235905506E-3</v>
      </c>
      <c r="DJ15" s="1">
        <v>6.5154465952076803E-3</v>
      </c>
      <c r="DK15" s="1">
        <v>-3.1460908957794105E-3</v>
      </c>
      <c r="DL15" s="1">
        <v>1.8467839871291511E-2</v>
      </c>
      <c r="DM15" s="1">
        <v>1.2608382690078423E-2</v>
      </c>
      <c r="DN15" s="1">
        <v>-1.0056219258249761E-3</v>
      </c>
      <c r="DO15" s="1">
        <v>8.3125992576407184E-4</v>
      </c>
      <c r="DP15" s="1">
        <v>-2.6607073920166056E-2</v>
      </c>
      <c r="DQ15" s="1">
        <v>-8.9280829546389533E-3</v>
      </c>
      <c r="DR15" s="1">
        <v>1.9199433135549421E-2</v>
      </c>
      <c r="DS15" s="1">
        <v>-7.459269449961314E-3</v>
      </c>
      <c r="DT15" s="1">
        <v>1.5330058109148545E-2</v>
      </c>
      <c r="DU15" s="1">
        <v>-1.1775261492224104E-2</v>
      </c>
      <c r="DV15" s="1">
        <v>7.8412302023888551E-3</v>
      </c>
      <c r="DW15" s="1">
        <v>-6.2838726579224043E-3</v>
      </c>
      <c r="DX15" s="1">
        <v>-1.1156187452673652E-2</v>
      </c>
      <c r="DY15" s="1">
        <v>7.6557892848927115E-3</v>
      </c>
      <c r="DZ15" s="1">
        <v>5.9941779450731428E-3</v>
      </c>
      <c r="EA15" s="1">
        <v>4.9691679681764826E-3</v>
      </c>
      <c r="EB15" s="1">
        <v>-8.1337384033190289E-3</v>
      </c>
      <c r="EC15" s="1">
        <v>-7.8680188753884085E-3</v>
      </c>
      <c r="ED15" s="1">
        <v>-2.9118424725112807E-2</v>
      </c>
      <c r="EE15" s="1">
        <v>4.9341138658225894E-3</v>
      </c>
      <c r="EF15" s="1">
        <v>6.4702220871271227E-3</v>
      </c>
      <c r="EG15" s="1">
        <v>1.203907604378238E-2</v>
      </c>
      <c r="EH15" s="1">
        <v>-1.4832764643932619E-2</v>
      </c>
      <c r="EI15" s="1">
        <v>-2.7022873679984167E-3</v>
      </c>
      <c r="EJ15" s="1">
        <v>6.4581900826790747E-4</v>
      </c>
      <c r="EK15" s="1">
        <v>7.2849074499004105E-3</v>
      </c>
      <c r="EL15" s="1">
        <v>-5.9129908229301103E-3</v>
      </c>
      <c r="EM15" s="1">
        <v>-3.4366941203372537E-3</v>
      </c>
      <c r="EN15" s="1">
        <v>-5.9830990276378958E-3</v>
      </c>
      <c r="EO15" s="1">
        <v>1.4259823624171299E-2</v>
      </c>
      <c r="EP15" s="1">
        <v>-6.1685399451340325E-3</v>
      </c>
      <c r="EQ15" s="1">
        <v>-6.4240890673379764E-3</v>
      </c>
      <c r="ER15" s="1">
        <v>-1.9254695956599428E-3</v>
      </c>
      <c r="ES15" s="1">
        <v>1.0758516944681797E-2</v>
      </c>
      <c r="ET15" s="1">
        <v>7.611517210562857E-4</v>
      </c>
      <c r="EU15" s="1">
        <v>-1.3765037608172563E-3</v>
      </c>
      <c r="EV15" s="10">
        <v>8.5756369547276782E-3</v>
      </c>
    </row>
    <row r="16" spans="1:152" x14ac:dyDescent="0.25">
      <c r="A16" s="21">
        <f t="shared" ca="1" si="0"/>
        <v>5.4527273034183671E-2</v>
      </c>
      <c r="B16" s="5">
        <v>15</v>
      </c>
      <c r="C16" s="9">
        <v>2.6227614001439359E-2</v>
      </c>
      <c r="D16" s="1">
        <v>5.456845235456656E-3</v>
      </c>
      <c r="E16" s="1">
        <v>9.5489741924632554E-3</v>
      </c>
      <c r="F16" s="1">
        <v>4.4913536072553051E-3</v>
      </c>
      <c r="G16" s="1">
        <v>2.8273678479942665E-2</v>
      </c>
      <c r="H16" s="1">
        <v>3.5148596513475322E-2</v>
      </c>
      <c r="I16" s="1">
        <v>1.0245020315100412E-2</v>
      </c>
      <c r="J16" s="1">
        <v>2.1169993416231436E-2</v>
      </c>
      <c r="K16" s="1">
        <v>-5.6238875631605539E-3</v>
      </c>
      <c r="L16" s="1">
        <v>1.3910548655033994E-2</v>
      </c>
      <c r="M16" s="1">
        <v>3.7848633225207554E-2</v>
      </c>
      <c r="N16" s="1">
        <v>1.8158437309526793E-2</v>
      </c>
      <c r="O16" s="1">
        <v>8.8529280698260576E-3</v>
      </c>
      <c r="P16" s="1">
        <v>1.3240378030644692E-3</v>
      </c>
      <c r="Q16" s="1">
        <v>5.4527273034183671E-2</v>
      </c>
      <c r="R16" s="1">
        <v>5.7425143332810347E-2</v>
      </c>
      <c r="S16" s="1">
        <v>3.5148596513475322E-2</v>
      </c>
      <c r="T16" s="1">
        <v>2.1325753113717622E-2</v>
      </c>
      <c r="U16" s="1">
        <v>4.1015949029398382E-2</v>
      </c>
      <c r="V16" s="1">
        <v>3.1981280709284465E-2</v>
      </c>
      <c r="W16" s="1">
        <v>2.719310562964071E-2</v>
      </c>
      <c r="X16" s="1">
        <v>2.3527577289707113E-2</v>
      </c>
      <c r="Y16" s="1">
        <v>2.2250566266533378E-2</v>
      </c>
      <c r="Z16" s="1">
        <v>4.4183462745629315E-3</v>
      </c>
      <c r="AA16" s="1">
        <v>1.8158437309526793E-2</v>
      </c>
      <c r="AB16" s="1">
        <v>6.9626232888089779E-3</v>
      </c>
      <c r="AC16" s="1">
        <v>1.1366271640787962E-2</v>
      </c>
      <c r="AD16" s="1">
        <v>2.7733392054791681E-2</v>
      </c>
      <c r="AE16" s="1">
        <v>2.4181549522936066E-2</v>
      </c>
      <c r="AF16" s="1">
        <v>9.5489741924632554E-3</v>
      </c>
      <c r="AG16" s="1">
        <v>7.5029097139599488E-3</v>
      </c>
      <c r="AH16" s="1">
        <v>1.7389383854197249E-2</v>
      </c>
      <c r="AI16" s="1">
        <v>5.3946308133647092E-2</v>
      </c>
      <c r="AJ16" s="1">
        <v>5.7113623937837935E-2</v>
      </c>
      <c r="AK16" s="1">
        <v>9.0086877673122706E-3</v>
      </c>
      <c r="AL16" s="1">
        <v>1.4066308352520207E-2</v>
      </c>
      <c r="AM16" s="1">
        <v>3.2250726214848646E-2</v>
      </c>
      <c r="AN16" s="1">
        <v>3.1669761314312067E-2</v>
      </c>
      <c r="AO16" s="1">
        <v>-2.0720450313049393E-3</v>
      </c>
      <c r="AP16" s="1">
        <v>2.2675771469583744E-2</v>
      </c>
      <c r="AQ16" s="1">
        <v>1.9819975060365314E-2</v>
      </c>
      <c r="AR16" s="1">
        <v>-3.0331025588663654E-2</v>
      </c>
      <c r="AS16" s="1">
        <v>5.0316400324062899E-3</v>
      </c>
      <c r="AT16" s="1">
        <v>5.1143923972001293E-3</v>
      </c>
      <c r="AU16" s="1">
        <v>2.7079419821562728E-2</v>
      </c>
      <c r="AV16" s="1">
        <v>-9.5079370561740317E-4</v>
      </c>
      <c r="AW16" s="1">
        <v>3.6883141597006203E-2</v>
      </c>
      <c r="AX16" s="1">
        <v>8.0431961391109197E-3</v>
      </c>
      <c r="AY16" s="1">
        <v>3.6342855171855232E-2</v>
      </c>
      <c r="AZ16" s="1">
        <v>1.7618150884375822E-2</v>
      </c>
      <c r="BA16" s="1">
        <v>2.7667024317733879E-2</v>
      </c>
      <c r="BB16" s="1">
        <v>1.3730495109898239E-2</v>
      </c>
      <c r="BC16" s="1">
        <v>1.7707542844804219E-2</v>
      </c>
      <c r="BD16" s="1">
        <v>-2.1984368381529701E-2</v>
      </c>
      <c r="BE16" s="1">
        <v>1.0289030358280882E-3</v>
      </c>
      <c r="BF16" s="1">
        <v>-1.213599615546998E-3</v>
      </c>
      <c r="BG16" s="1">
        <v>1.0874698700679794E-2</v>
      </c>
      <c r="BH16" s="1">
        <v>-1.2761611506622805E-2</v>
      </c>
      <c r="BI16" s="1">
        <v>1.5890245396479485E-2</v>
      </c>
      <c r="BJ16" s="1">
        <v>-1.7196193301885931E-2</v>
      </c>
      <c r="BK16" s="1">
        <v>-2.5463203580692942E-2</v>
      </c>
      <c r="BL16" s="1">
        <v>-9.0208022057458592E-4</v>
      </c>
      <c r="BM16" s="1">
        <v>-3.3017379834585359E-3</v>
      </c>
      <c r="BN16" s="1">
        <v>3.4594942419961666E-3</v>
      </c>
      <c r="BO16" s="1">
        <v>8.3246486295629474E-4</v>
      </c>
      <c r="BP16" s="1">
        <v>1.9597847625821313E-2</v>
      </c>
      <c r="BQ16" s="1">
        <v>-5.4194143806315515E-3</v>
      </c>
      <c r="BR16" s="1">
        <v>1.1445918569114907E-2</v>
      </c>
      <c r="BS16" s="1">
        <v>-2.4799486315362551E-2</v>
      </c>
      <c r="BT16" s="1">
        <v>-3.5711834890227029E-3</v>
      </c>
      <c r="BU16" s="1">
        <v>-8.5039778200285548E-3</v>
      </c>
      <c r="BV16" s="1">
        <v>4.8095125978622755E-3</v>
      </c>
      <c r="BW16" s="1">
        <v>-1.2638180666443385E-2</v>
      </c>
      <c r="BX16" s="1">
        <v>9.7113734855840128E-3</v>
      </c>
      <c r="BY16" s="1">
        <v>1.2878689289774856E-2</v>
      </c>
      <c r="BZ16" s="1">
        <v>1.4540227040613377E-2</v>
      </c>
      <c r="CA16" s="1">
        <v>1.0448098083606791E-2</v>
      </c>
      <c r="CB16" s="1">
        <v>1.3404224308005003E-3</v>
      </c>
      <c r="CC16" s="1">
        <v>-2.9481446990778926E-3</v>
      </c>
      <c r="CD16" s="1">
        <v>6.3882979839069709E-3</v>
      </c>
      <c r="CE16" s="1">
        <v>-8.6288040742306255E-3</v>
      </c>
      <c r="CF16" s="1">
        <v>-3.7269431865088881E-3</v>
      </c>
      <c r="CG16" s="1">
        <v>1.6421967936714466E-3</v>
      </c>
      <c r="CH16" s="1">
        <v>-1.4953690650510859E-2</v>
      </c>
      <c r="CI16" s="1">
        <v>-8.4309704873361813E-3</v>
      </c>
      <c r="CJ16" s="1">
        <v>9.9092070724784431E-3</v>
      </c>
      <c r="CK16" s="1">
        <v>1.4695986738099576E-2</v>
      </c>
      <c r="CL16" s="1">
        <v>-9.9381439547111539E-3</v>
      </c>
      <c r="CM16" s="1">
        <v>4.3843073948119093E-3</v>
      </c>
      <c r="CN16" s="1">
        <v>-1.4880683317818472E-2</v>
      </c>
      <c r="CO16" s="1">
        <v>-6.4269798982411197E-3</v>
      </c>
      <c r="CP16" s="1">
        <v>7.0113367738517812E-3</v>
      </c>
      <c r="CQ16" s="1">
        <v>-1.9096457381841681E-3</v>
      </c>
      <c r="CR16" s="1">
        <v>-1.4807675985126098E-2</v>
      </c>
      <c r="CS16" s="1">
        <v>-6.2712202007549345E-3</v>
      </c>
      <c r="CT16" s="1">
        <v>1.0791946335885969E-2</v>
      </c>
      <c r="CU16" s="1">
        <v>2.3382429163086166E-3</v>
      </c>
      <c r="CV16" s="1">
        <v>9.8671331830702119E-3</v>
      </c>
      <c r="CW16" s="1">
        <v>-1.1100073755784298E-2</v>
      </c>
      <c r="CX16" s="1">
        <v>-1.213599615546998E-3</v>
      </c>
      <c r="CY16" s="1">
        <v>-1.5992454747606119E-2</v>
      </c>
      <c r="CZ16" s="1">
        <v>-1.5421234879171006E-2</v>
      </c>
      <c r="DA16" s="1">
        <v>5.0056856345325057E-3</v>
      </c>
      <c r="DB16" s="1">
        <v>4.1132013390235422E-3</v>
      </c>
      <c r="DC16" s="1">
        <v>-8.9308435733031488E-3</v>
      </c>
      <c r="DD16" s="1">
        <v>1.2534575901294101E-2</v>
      </c>
      <c r="DE16" s="1">
        <v>-2.6273200647609643E-2</v>
      </c>
      <c r="DF16" s="1">
        <v>1.9170981872546719E-2</v>
      </c>
      <c r="DG16" s="1">
        <v>-4.0710565749896427E-3</v>
      </c>
      <c r="DH16" s="1">
        <v>8.2150753281315936E-3</v>
      </c>
      <c r="DI16" s="1">
        <v>7.9765632658515551E-3</v>
      </c>
      <c r="DJ16" s="1">
        <v>-6.3865665590570886E-3</v>
      </c>
      <c r="DK16" s="1">
        <v>4.8835147447555405E-4</v>
      </c>
      <c r="DL16" s="1">
        <v>-2.8932558883956294E-2</v>
      </c>
      <c r="DM16" s="1">
        <v>-3.637869678592405E-2</v>
      </c>
      <c r="DN16" s="1">
        <v>-8.2347974506659372E-3</v>
      </c>
      <c r="DO16" s="1">
        <v>1.0676599977583787E-2</v>
      </c>
      <c r="DP16" s="1">
        <v>3.7553233321769602E-2</v>
      </c>
      <c r="DQ16" s="1">
        <v>-9.9707379482194824E-3</v>
      </c>
      <c r="DR16" s="1">
        <v>-1.0561447880857527E-2</v>
      </c>
      <c r="DS16" s="1">
        <v>-7.0590718390434182E-4</v>
      </c>
      <c r="DT16" s="1">
        <v>-1.9782809341741772E-2</v>
      </c>
      <c r="DU16" s="1">
        <v>1.1838529778656931E-2</v>
      </c>
      <c r="DV16" s="1">
        <v>-2.990483724687687E-3</v>
      </c>
      <c r="DW16" s="1">
        <v>9.638101016690076E-3</v>
      </c>
      <c r="DX16" s="1">
        <v>2.8320731414761255E-2</v>
      </c>
      <c r="DY16" s="1">
        <v>-9.4441924618439421E-4</v>
      </c>
      <c r="DZ16" s="1">
        <v>4.6534877641745132E-3</v>
      </c>
      <c r="EA16" s="1">
        <v>-1.2638445802644949E-2</v>
      </c>
      <c r="EB16" s="1">
        <v>3.1020768126493486E-2</v>
      </c>
      <c r="EC16" s="1">
        <v>1.2223056506321717E-2</v>
      </c>
      <c r="ED16" s="1">
        <v>5.0368511203917721E-2</v>
      </c>
      <c r="EE16" s="1">
        <v>-1.7540306690366686E-2</v>
      </c>
      <c r="EF16" s="1">
        <v>1.5266941470333126E-2</v>
      </c>
      <c r="EG16" s="1">
        <v>1.005356118763899E-2</v>
      </c>
      <c r="EH16" s="1">
        <v>4.236632179202976E-3</v>
      </c>
      <c r="EI16" s="1">
        <v>-7.5387513280287671E-3</v>
      </c>
      <c r="EJ16" s="1">
        <v>1.2722664456087093E-2</v>
      </c>
      <c r="EK16" s="1">
        <v>3.1477097108221913E-3</v>
      </c>
      <c r="EL16" s="1">
        <v>5.5459720596834905E-3</v>
      </c>
      <c r="EM16" s="1">
        <v>-1.2171166710186337E-2</v>
      </c>
      <c r="EN16" s="1">
        <v>-4.2577497157599564E-3</v>
      </c>
      <c r="EO16" s="1">
        <v>-1.5421234879171006E-2</v>
      </c>
      <c r="EP16" s="1">
        <v>-2.2116852372566637E-3</v>
      </c>
      <c r="EQ16" s="1">
        <v>-9.9693425341968456E-3</v>
      </c>
      <c r="ER16" s="1">
        <v>-1.0821148354320215E-2</v>
      </c>
      <c r="ES16" s="1">
        <v>-1.499602967612064E-2</v>
      </c>
      <c r="ET16" s="1">
        <v>8.7287820214032585E-4</v>
      </c>
      <c r="EU16" s="1">
        <v>-4.1426684936593516E-3</v>
      </c>
      <c r="EV16" s="10">
        <v>1.6419316574698833E-3</v>
      </c>
    </row>
    <row r="17" spans="1:152" x14ac:dyDescent="0.25">
      <c r="A17" s="21">
        <f t="shared" ca="1" si="0"/>
        <v>7.8846065862220177E-2</v>
      </c>
      <c r="B17" s="5">
        <v>16</v>
      </c>
      <c r="C17" s="9">
        <v>2.5716621231178807E-2</v>
      </c>
      <c r="D17" s="1">
        <v>-6.7580993685863872E-3</v>
      </c>
      <c r="E17" s="1">
        <v>6.660860030274704E-3</v>
      </c>
      <c r="F17" s="1">
        <v>2.5785973009774532E-4</v>
      </c>
      <c r="G17" s="1">
        <v>3.2426100930609394E-2</v>
      </c>
      <c r="H17" s="1">
        <v>4.6524584962081728E-2</v>
      </c>
      <c r="I17" s="1">
        <v>1.7447941144793103E-2</v>
      </c>
      <c r="J17" s="1">
        <v>1.9313620931001849E-2</v>
      </c>
      <c r="K17" s="1">
        <v>-1.25481408702562E-2</v>
      </c>
      <c r="L17" s="1">
        <v>2.276779215933257E-3</v>
      </c>
      <c r="M17" s="1">
        <v>3.8369382131906007E-2</v>
      </c>
      <c r="N17" s="1">
        <v>1.9620100330255422E-2</v>
      </c>
      <c r="O17" s="1">
        <v>-4.1262210842437017E-3</v>
      </c>
      <c r="P17" s="1">
        <v>-3.3600225861097829E-3</v>
      </c>
      <c r="Q17" s="1">
        <v>5.7425143332810111E-2</v>
      </c>
      <c r="R17" s="1">
        <v>7.8846065862220177E-2</v>
      </c>
      <c r="S17" s="1">
        <v>4.6524584962081728E-2</v>
      </c>
      <c r="T17" s="1">
        <v>2.3237982646462915E-2</v>
      </c>
      <c r="U17" s="1">
        <v>4.1987264448113501E-2</v>
      </c>
      <c r="V17" s="1">
        <v>4.2906702645874192E-2</v>
      </c>
      <c r="W17" s="1">
        <v>1.8700662132494703E-2</v>
      </c>
      <c r="X17" s="1">
        <v>3.3871824061354583E-2</v>
      </c>
      <c r="Y17" s="1">
        <v>3.3039059729116541E-2</v>
      </c>
      <c r="Z17" s="1">
        <v>5.1682254774236269E-3</v>
      </c>
      <c r="AA17" s="1">
        <v>1.9620100330255422E-2</v>
      </c>
      <c r="AB17" s="1">
        <v>-6.9113390682131598E-3</v>
      </c>
      <c r="AC17" s="1">
        <v>1.4356343761570078E-2</v>
      </c>
      <c r="AD17" s="1">
        <v>2.5563381531552035E-2</v>
      </c>
      <c r="AE17" s="1">
        <v>1.9007141531748276E-2</v>
      </c>
      <c r="AF17" s="1">
        <v>6.660860030274704E-3</v>
      </c>
      <c r="AG17" s="1">
        <v>-4.8619669155827716E-5</v>
      </c>
      <c r="AH17" s="1">
        <v>1.3743384963062932E-2</v>
      </c>
      <c r="AI17" s="1">
        <v>6.7379460115090467E-2</v>
      </c>
      <c r="AJ17" s="1">
        <v>7.0997342431297961E-2</v>
      </c>
      <c r="AK17" s="1">
        <v>-2.0185936878262811E-4</v>
      </c>
      <c r="AL17" s="1">
        <v>6.2011409313943583E-3</v>
      </c>
      <c r="AM17" s="1">
        <v>2.5103662432671661E-2</v>
      </c>
      <c r="AN17" s="1">
        <v>3.5057979214952045E-2</v>
      </c>
      <c r="AO17" s="1">
        <v>-5.9919008704524407E-3</v>
      </c>
      <c r="AP17" s="1">
        <v>1.9160381231375048E-2</v>
      </c>
      <c r="AQ17" s="1">
        <v>2.3391222346089716E-2</v>
      </c>
      <c r="AR17" s="1">
        <v>-5.4517459153421419E-2</v>
      </c>
      <c r="AS17" s="1">
        <v>7.1205791291550774E-3</v>
      </c>
      <c r="AT17" s="1">
        <v>1.5955306591942053E-2</v>
      </c>
      <c r="AU17" s="1">
        <v>4.0428064061158314E-2</v>
      </c>
      <c r="AV17" s="1">
        <v>-9.0834982536754788E-3</v>
      </c>
      <c r="AW17" s="1">
        <v>4.5385341230590084E-2</v>
      </c>
      <c r="AX17" s="1">
        <v>6.8140997299015044E-3</v>
      </c>
      <c r="AY17" s="1">
        <v>3.8522621831532808E-2</v>
      </c>
      <c r="AZ17" s="1">
        <v>1.275738093119809E-2</v>
      </c>
      <c r="BA17" s="1">
        <v>2.4727169042437075E-2</v>
      </c>
      <c r="BB17" s="1">
        <v>2.3167968655481902E-2</v>
      </c>
      <c r="BC17" s="1">
        <v>1.5845530157544224E-2</v>
      </c>
      <c r="BD17" s="1">
        <v>-2.9501756876679094E-2</v>
      </c>
      <c r="BE17" s="1">
        <v>-3.2102310433599068E-3</v>
      </c>
      <c r="BF17" s="1">
        <v>2.9729637230861555E-3</v>
      </c>
      <c r="BG17" s="1">
        <v>2.7398809770196514E-2</v>
      </c>
      <c r="BH17" s="1">
        <v>-1.4590162924966954E-2</v>
      </c>
      <c r="BI17" s="1">
        <v>8.150046426248822E-3</v>
      </c>
      <c r="BJ17" s="1">
        <v>-5.2957163632995352E-3</v>
      </c>
      <c r="BK17" s="1">
        <v>-4.0968362623808735E-2</v>
      </c>
      <c r="BL17" s="1">
        <v>1.0821687154008303E-2</v>
      </c>
      <c r="BM17" s="1">
        <v>-2.9388279620469082E-2</v>
      </c>
      <c r="BN17" s="1">
        <v>6.4376063396668903E-3</v>
      </c>
      <c r="BO17" s="1">
        <v>9.6824434225166872E-3</v>
      </c>
      <c r="BP17" s="1">
        <v>1.8630648141513662E-2</v>
      </c>
      <c r="BQ17" s="1">
        <v>1.1281406252888676E-2</v>
      </c>
      <c r="BR17" s="1">
        <v>3.6993997778032861E-3</v>
      </c>
      <c r="BS17" s="1">
        <v>-4.2087951943302088E-2</v>
      </c>
      <c r="BT17" s="1">
        <v>-1.1585239407266548E-2</v>
      </c>
      <c r="BU17" s="1">
        <v>1.6498251399468158E-2</v>
      </c>
      <c r="BV17" s="1">
        <v>2.3600049245790095E-3</v>
      </c>
      <c r="BW17" s="1">
        <v>-2.2572471643517611E-2</v>
      </c>
      <c r="BX17" s="1">
        <v>4.8386435092949015E-3</v>
      </c>
      <c r="BY17" s="1">
        <v>8.4565258255023951E-3</v>
      </c>
      <c r="BZ17" s="1">
        <v>1.2227647841336703E-2</v>
      </c>
      <c r="CA17" s="1">
        <v>-1.1913115575243882E-3</v>
      </c>
      <c r="CB17" s="1">
        <v>4.6384923875622402E-3</v>
      </c>
      <c r="CC17" s="1">
        <v>4.1122074545777709E-3</v>
      </c>
      <c r="CD17" s="1">
        <v>-2.7036005223736725E-3</v>
      </c>
      <c r="CE17" s="1">
        <v>-1.7988239707443562E-2</v>
      </c>
      <c r="CF17" s="1">
        <v>-1.5509601122727673E-2</v>
      </c>
      <c r="CG17" s="1">
        <v>-1.2578773916284841E-3</v>
      </c>
      <c r="CH17" s="1">
        <v>-1.1478911129745611E-2</v>
      </c>
      <c r="CI17" s="1">
        <v>1.1587885652142249E-2</v>
      </c>
      <c r="CJ17" s="1">
        <v>3.4414768868880646E-2</v>
      </c>
      <c r="CK17" s="1">
        <v>1.615200955679777E-2</v>
      </c>
      <c r="CL17" s="1">
        <v>-3.0727674473693387E-2</v>
      </c>
      <c r="CM17" s="1">
        <v>1.6238683422320446E-2</v>
      </c>
      <c r="CN17" s="1">
        <v>-1.6389276877071549E-2</v>
      </c>
      <c r="CO17" s="1">
        <v>-7.3543982925518975E-3</v>
      </c>
      <c r="CP17" s="1">
        <v>1.2993846339470649E-2</v>
      </c>
      <c r="CQ17" s="1">
        <v>-7.8141173914322432E-3</v>
      </c>
      <c r="CR17" s="1">
        <v>-2.1299642624397486E-2</v>
      </c>
      <c r="CS17" s="1">
        <v>-3.4300365770908031E-3</v>
      </c>
      <c r="CT17" s="1">
        <v>1.8564082307409566E-2</v>
      </c>
      <c r="CU17" s="1">
        <v>9.5292037228899146E-3</v>
      </c>
      <c r="CV17" s="1">
        <v>8.7630052247559681E-3</v>
      </c>
      <c r="CW17" s="1">
        <v>-1.0819040909132629E-2</v>
      </c>
      <c r="CX17" s="1">
        <v>2.9729637230861555E-3</v>
      </c>
      <c r="CY17" s="1">
        <v>1.0065925842731804E-2</v>
      </c>
      <c r="CZ17" s="1">
        <v>-1.3633484149661423E-2</v>
      </c>
      <c r="DA17" s="1">
        <v>-9.1415741483019675E-4</v>
      </c>
      <c r="DB17" s="1">
        <v>1.1914359365279986E-3</v>
      </c>
      <c r="DC17" s="1">
        <v>-2.473357801785335E-3</v>
      </c>
      <c r="DD17" s="1">
        <v>-1.6803559129641155E-3</v>
      </c>
      <c r="DE17" s="1">
        <v>-2.0409529683196106E-2</v>
      </c>
      <c r="DF17" s="1">
        <v>-3.4096105973983881E-4</v>
      </c>
      <c r="DG17" s="1">
        <v>-2.5646482861194156E-2</v>
      </c>
      <c r="DH17" s="1">
        <v>2.8355488545502044E-2</v>
      </c>
      <c r="DI17" s="1">
        <v>1.559639936725396E-2</v>
      </c>
      <c r="DJ17" s="1">
        <v>-1.4552922347422143E-2</v>
      </c>
      <c r="DK17" s="1">
        <v>-4.5443831594982331E-4</v>
      </c>
      <c r="DL17" s="1">
        <v>-2.9071363034358033E-2</v>
      </c>
      <c r="DM17" s="1">
        <v>-1.9470437073437125E-2</v>
      </c>
      <c r="DN17" s="1">
        <v>8.3137233127330776E-3</v>
      </c>
      <c r="DO17" s="1">
        <v>7.4411965370782124E-3</v>
      </c>
      <c r="DP17" s="1">
        <v>4.8137685801123271E-2</v>
      </c>
      <c r="DQ17" s="1">
        <v>-3.301583278123766E-2</v>
      </c>
      <c r="DR17" s="1">
        <v>-3.6806609209070251E-2</v>
      </c>
      <c r="DS17" s="1">
        <v>7.5475248145991589E-3</v>
      </c>
      <c r="DT17" s="1">
        <v>-9.2494033353200111E-3</v>
      </c>
      <c r="DU17" s="1">
        <v>-1.2467437027482514E-2</v>
      </c>
      <c r="DV17" s="1">
        <v>-1.1921044063079492E-2</v>
      </c>
      <c r="DW17" s="1">
        <v>1.9367521383088199E-2</v>
      </c>
      <c r="DX17" s="1">
        <v>1.9480998639298211E-2</v>
      </c>
      <c r="DY17" s="1">
        <v>-5.21156436364896E-3</v>
      </c>
      <c r="DZ17" s="1">
        <v>8.0541553355853585E-3</v>
      </c>
      <c r="EA17" s="1">
        <v>-1.2953959517050195E-2</v>
      </c>
      <c r="EB17" s="1">
        <v>1.1325795809122463E-2</v>
      </c>
      <c r="EC17" s="1">
        <v>-9.5290793438862764E-3</v>
      </c>
      <c r="ED17" s="1">
        <v>5.2788483571301448E-2</v>
      </c>
      <c r="EE17" s="1">
        <v>-1.543259810176608E-2</v>
      </c>
      <c r="EF17" s="1">
        <v>2.0711116908719018E-3</v>
      </c>
      <c r="EG17" s="1">
        <v>-8.2562503247660957E-3</v>
      </c>
      <c r="EH17" s="1">
        <v>-6.7908727820226514E-3</v>
      </c>
      <c r="EI17" s="1">
        <v>1.9100804427251455E-2</v>
      </c>
      <c r="EJ17" s="1">
        <v>1.4150676236508744E-2</v>
      </c>
      <c r="EK17" s="1">
        <v>8.2073950352121311E-3</v>
      </c>
      <c r="EL17" s="1">
        <v>5.9485619842271631E-3</v>
      </c>
      <c r="EM17" s="1">
        <v>-1.18087437066694E-3</v>
      </c>
      <c r="EN17" s="1">
        <v>9.9128481479539982E-4</v>
      </c>
      <c r="EO17" s="1">
        <v>-1.3633484149661423E-2</v>
      </c>
      <c r="EP17" s="1">
        <v>7.7007645142259315E-3</v>
      </c>
      <c r="EQ17" s="1">
        <v>9.4529670442246583E-3</v>
      </c>
      <c r="ER17" s="1">
        <v>-5.2584757857548139E-3</v>
      </c>
      <c r="ES17" s="1">
        <v>-2.7512162647402888E-2</v>
      </c>
      <c r="ET17" s="1">
        <v>2.4839193676464422E-3</v>
      </c>
      <c r="EU17" s="1">
        <v>2.1732682711594141E-2</v>
      </c>
      <c r="EV17" s="10">
        <v>8.3606347348389037E-3</v>
      </c>
    </row>
    <row r="18" spans="1:152" x14ac:dyDescent="0.25">
      <c r="A18" s="21">
        <f t="shared" ca="1" si="0"/>
        <v>3.3221302790191823E-2</v>
      </c>
      <c r="B18" s="5">
        <v>17</v>
      </c>
      <c r="C18" s="9">
        <v>2.1739769379282944E-2</v>
      </c>
      <c r="D18" s="1">
        <v>8.462873447968422E-3</v>
      </c>
      <c r="E18" s="1">
        <v>1.369975034688263E-2</v>
      </c>
      <c r="F18" s="1">
        <v>1.1028539416274394E-2</v>
      </c>
      <c r="G18" s="1">
        <v>2.4358207828740069E-2</v>
      </c>
      <c r="H18" s="1">
        <v>3.3221302790191823E-2</v>
      </c>
      <c r="I18" s="1">
        <v>1.9374551450898142E-2</v>
      </c>
      <c r="J18" s="1">
        <v>1.9068558448674694E-2</v>
      </c>
      <c r="K18" s="1">
        <v>5.6861175550578791E-3</v>
      </c>
      <c r="L18" s="1">
        <v>1.0696160173475383E-2</v>
      </c>
      <c r="M18" s="1">
        <v>2.7108577481075022E-2</v>
      </c>
      <c r="N18" s="1">
        <v>1.9015785967523555E-2</v>
      </c>
      <c r="O18" s="1">
        <v>8.0249492428671187E-3</v>
      </c>
      <c r="P18" s="1">
        <v>7.8930180399892635E-3</v>
      </c>
      <c r="Q18" s="1">
        <v>3.5148596513475336E-2</v>
      </c>
      <c r="R18" s="1">
        <v>4.652458496208195E-2</v>
      </c>
      <c r="S18" s="1">
        <v>3.3221302790191823E-2</v>
      </c>
      <c r="T18" s="1">
        <v>2.2151307343808671E-2</v>
      </c>
      <c r="U18" s="1">
        <v>3.0244098857360138E-2</v>
      </c>
      <c r="V18" s="1">
        <v>3.0085781413906706E-2</v>
      </c>
      <c r="W18" s="1">
        <v>1.9174103410976973E-2</v>
      </c>
      <c r="X18" s="1">
        <v>2.7852494688399759E-2</v>
      </c>
      <c r="Y18" s="1">
        <v>2.4252662866437791E-2</v>
      </c>
      <c r="Z18" s="1">
        <v>1.7684733892794763E-2</v>
      </c>
      <c r="AA18" s="1">
        <v>1.9015785967523555E-2</v>
      </c>
      <c r="AB18" s="1">
        <v>8.4892596885439847E-3</v>
      </c>
      <c r="AC18" s="1">
        <v>1.9891634377726147E-2</v>
      </c>
      <c r="AD18" s="1">
        <v>2.1766155619858521E-2</v>
      </c>
      <c r="AE18" s="1">
        <v>1.9121330929825833E-2</v>
      </c>
      <c r="AF18" s="1">
        <v>1.369975034688263E-2</v>
      </c>
      <c r="AG18" s="1">
        <v>1.1081311897425533E-2</v>
      </c>
      <c r="AH18" s="1">
        <v>1.9997179340028426E-2</v>
      </c>
      <c r="AI18" s="1">
        <v>3.7223565795528865E-2</v>
      </c>
      <c r="AJ18" s="1">
        <v>4.0359087171813982E-2</v>
      </c>
      <c r="AK18" s="1">
        <v>1.110769813800111E-2</v>
      </c>
      <c r="AL18" s="1">
        <v>1.3778909068609346E-2</v>
      </c>
      <c r="AM18" s="1">
        <v>2.1845314341585223E-2</v>
      </c>
      <c r="AN18" s="1">
        <v>2.392028362363878E-2</v>
      </c>
      <c r="AO18" s="1">
        <v>8.3309422450905668E-3</v>
      </c>
      <c r="AP18" s="1">
        <v>1.9094944689250257E-2</v>
      </c>
      <c r="AQ18" s="1">
        <v>2.2124921103233108E-2</v>
      </c>
      <c r="AR18" s="1">
        <v>-9.7449063800368885E-3</v>
      </c>
      <c r="AS18" s="1">
        <v>1.3620591625155928E-2</v>
      </c>
      <c r="AT18" s="1">
        <v>2.3359534996810288E-2</v>
      </c>
      <c r="AU18" s="1">
        <v>3.0497319378432433E-2</v>
      </c>
      <c r="AV18" s="1">
        <v>8.8480251719185721E-3</v>
      </c>
      <c r="AW18" s="1">
        <v>2.967424344938098E-2</v>
      </c>
      <c r="AX18" s="1">
        <v>1.3673364106307068E-2</v>
      </c>
      <c r="AY18" s="1">
        <v>2.7082191240499459E-2</v>
      </c>
      <c r="AZ18" s="1">
        <v>1.642373375864202E-2</v>
      </c>
      <c r="BA18" s="1">
        <v>1.1958033860613698E-2</v>
      </c>
      <c r="BB18" s="1">
        <v>1.2211254381686007E-2</v>
      </c>
      <c r="BC18" s="1">
        <v>9.6983608945311883E-3</v>
      </c>
      <c r="BD18" s="1">
        <v>-1.26527199228397E-2</v>
      </c>
      <c r="BE18" s="1">
        <v>1.6583418621308604E-3</v>
      </c>
      <c r="BF18" s="1">
        <v>6.2417600847484989E-4</v>
      </c>
      <c r="BG18" s="1">
        <v>1.5241230795668831E-2</v>
      </c>
      <c r="BH18" s="1">
        <v>-1.140082656983761E-2</v>
      </c>
      <c r="BI18" s="1">
        <v>3.5064768636876437E-3</v>
      </c>
      <c r="BJ18" s="1">
        <v>-1.7410419199099525E-3</v>
      </c>
      <c r="BK18" s="1">
        <v>-2.1953739089392757E-2</v>
      </c>
      <c r="BL18" s="1">
        <v>6.7896737987427902E-3</v>
      </c>
      <c r="BM18" s="1">
        <v>-1.6400227303571699E-2</v>
      </c>
      <c r="BN18" s="1">
        <v>3.786083625335529E-3</v>
      </c>
      <c r="BO18" s="1">
        <v>3.2426144579319471E-3</v>
      </c>
      <c r="BP18" s="1">
        <v>9.2340504488543085E-3</v>
      </c>
      <c r="BQ18" s="1">
        <v>6.7105150770160882E-3</v>
      </c>
      <c r="BR18" s="1">
        <v>-3.2288763345594412E-3</v>
      </c>
      <c r="BS18" s="1">
        <v>-1.4289764999791926E-2</v>
      </c>
      <c r="BT18" s="1">
        <v>-8.1597602312502154E-3</v>
      </c>
      <c r="BU18" s="1">
        <v>1.3313937072385332E-2</v>
      </c>
      <c r="BV18" s="1">
        <v>7.297209707771285E-4</v>
      </c>
      <c r="BW18" s="1">
        <v>-6.3289046891183282E-3</v>
      </c>
      <c r="BX18" s="1">
        <v>3.1818300625140183E-4</v>
      </c>
      <c r="BY18" s="1">
        <v>3.4537043825365044E-3</v>
      </c>
      <c r="BZ18" s="1">
        <v>6.562839518246058E-3</v>
      </c>
      <c r="CA18" s="1">
        <v>1.3259626193318358E-3</v>
      </c>
      <c r="CB18" s="1">
        <v>7.8238396523988007E-3</v>
      </c>
      <c r="CC18" s="1">
        <v>4.1712353492856791E-3</v>
      </c>
      <c r="CD18" s="1">
        <v>-5.9000872651676778E-3</v>
      </c>
      <c r="CE18" s="1">
        <v>-1.083097116185848E-2</v>
      </c>
      <c r="CF18" s="1">
        <v>-1.1242509126384206E-2</v>
      </c>
      <c r="CG18" s="1">
        <v>-2.4058004055079879E-3</v>
      </c>
      <c r="CH18" s="1">
        <v>-7.0687606625394195E-4</v>
      </c>
      <c r="CI18" s="1">
        <v>6.6577425958649489E-3</v>
      </c>
      <c r="CJ18" s="1">
        <v>1.7806896763974803E-2</v>
      </c>
      <c r="CK18" s="1">
        <v>9.6455884133800351E-3</v>
      </c>
      <c r="CL18" s="1">
        <v>-1.2441629998235143E-2</v>
      </c>
      <c r="CM18" s="1">
        <v>5.8874391479646349E-3</v>
      </c>
      <c r="CN18" s="1">
        <v>-7.3630705427743387E-3</v>
      </c>
      <c r="CO18" s="1">
        <v>-5.1297838172673776E-3</v>
      </c>
      <c r="CP18" s="1">
        <v>6.4309083153682167E-3</v>
      </c>
      <c r="CQ18" s="1">
        <v>-5.0506250955406617E-3</v>
      </c>
      <c r="CR18" s="1">
        <v>-1.4019265019294722E-2</v>
      </c>
      <c r="CS18" s="1">
        <v>-2.0470349221334005E-3</v>
      </c>
      <c r="CT18" s="1">
        <v>5.5022874240144848E-3</v>
      </c>
      <c r="CU18" s="1">
        <v>3.2690006985075237E-3</v>
      </c>
      <c r="CV18" s="1">
        <v>3.4009319013853651E-3</v>
      </c>
      <c r="CW18" s="1">
        <v>-8.2916914341280706E-3</v>
      </c>
      <c r="CX18" s="1">
        <v>6.2417600847484989E-4</v>
      </c>
      <c r="CY18" s="1">
        <v>1.0496826068500886E-2</v>
      </c>
      <c r="CZ18" s="1">
        <v>-7.9732810617273858E-3</v>
      </c>
      <c r="DA18" s="1">
        <v>1.1272900649045015E-3</v>
      </c>
      <c r="DB18" s="1">
        <v>-2.9632384433099235E-3</v>
      </c>
      <c r="DC18" s="1">
        <v>1.3805105859768241E-3</v>
      </c>
      <c r="DD18" s="1">
        <v>1.2592212677823567E-3</v>
      </c>
      <c r="DE18" s="1">
        <v>-1.4323482536024321E-2</v>
      </c>
      <c r="DF18" s="1">
        <v>-2.6993760375542131E-3</v>
      </c>
      <c r="DG18" s="1">
        <v>-1.3436992241138354E-2</v>
      </c>
      <c r="DH18" s="1">
        <v>1.8668776303779069E-2</v>
      </c>
      <c r="DI18" s="1">
        <v>5.8470840369907323E-3</v>
      </c>
      <c r="DJ18" s="1">
        <v>-7.8149636182739679E-3</v>
      </c>
      <c r="DK18" s="1">
        <v>1.0481313431777994E-3</v>
      </c>
      <c r="DL18" s="1">
        <v>-1.2877778717842583E-2</v>
      </c>
      <c r="DM18" s="1">
        <v>-3.2707665490660787E-3</v>
      </c>
      <c r="DN18" s="1">
        <v>7.0553116899923357E-3</v>
      </c>
      <c r="DO18" s="1">
        <v>-2.6564127212608257E-4</v>
      </c>
      <c r="DP18" s="1">
        <v>2.2855742993145092E-2</v>
      </c>
      <c r="DQ18" s="1">
        <v>-8.4706153227213227E-3</v>
      </c>
      <c r="DR18" s="1">
        <v>-2.279078388884255E-2</v>
      </c>
      <c r="DS18" s="1">
        <v>7.1872428928701909E-3</v>
      </c>
      <c r="DT18" s="1">
        <v>-4.9696908883201246E-3</v>
      </c>
      <c r="DU18" s="1">
        <v>-4.415579836233155E-3</v>
      </c>
      <c r="DV18" s="1">
        <v>-8.2528878233752712E-3</v>
      </c>
      <c r="DW18" s="1">
        <v>8.9562191727002582E-3</v>
      </c>
      <c r="DX18" s="1">
        <v>5.2087117919682596E-3</v>
      </c>
      <c r="DY18" s="1">
        <v>-5.63444937391816E-3</v>
      </c>
      <c r="DZ18" s="1">
        <v>-3.7118623442836118E-4</v>
      </c>
      <c r="EA18" s="1">
        <v>-4.3470629991898407E-3</v>
      </c>
      <c r="EB18" s="1">
        <v>-9.0401351714855527E-4</v>
      </c>
      <c r="EC18" s="1">
        <v>-4.9062765224855975E-3</v>
      </c>
      <c r="ED18" s="1">
        <v>2.2085439545244764E-2</v>
      </c>
      <c r="EE18" s="1">
        <v>-3.9355250346641141E-3</v>
      </c>
      <c r="EF18" s="1">
        <v>-6.8426770269197773E-3</v>
      </c>
      <c r="EG18" s="1">
        <v>-1.2596636852661977E-2</v>
      </c>
      <c r="EH18" s="1">
        <v>2.1086834374093866E-3</v>
      </c>
      <c r="EI18" s="1">
        <v>1.2730112794007833E-2</v>
      </c>
      <c r="EJ18" s="1">
        <v>2.3527971773310286E-3</v>
      </c>
      <c r="EK18" s="1">
        <v>-3.9757247500393778E-4</v>
      </c>
      <c r="EL18" s="1">
        <v>3.7193422737860637E-3</v>
      </c>
      <c r="EM18" s="1">
        <v>4.9011836862120906E-3</v>
      </c>
      <c r="EN18" s="1">
        <v>4.5424182028375171E-3</v>
      </c>
      <c r="EO18" s="1">
        <v>-7.9732810617273858E-3</v>
      </c>
      <c r="EP18" s="1">
        <v>7.1608566522946143E-3</v>
      </c>
      <c r="EQ18" s="1">
        <v>1.0602371030803165E-2</v>
      </c>
      <c r="ER18" s="1">
        <v>1.8448210316536762E-3</v>
      </c>
      <c r="ES18" s="1">
        <v>-1.3130999238914906E-2</v>
      </c>
      <c r="ET18" s="1">
        <v>5.5743465692537075E-4</v>
      </c>
      <c r="EU18" s="1">
        <v>1.2292188588906544E-2</v>
      </c>
      <c r="EV18" s="10">
        <v>-4.2395871557951437E-4</v>
      </c>
    </row>
    <row r="19" spans="1:152" x14ac:dyDescent="0.25">
      <c r="A19" s="21">
        <f t="shared" ca="1" si="0"/>
        <v>2.0561472391976726E-2</v>
      </c>
      <c r="B19" s="5">
        <v>18</v>
      </c>
      <c r="C19" s="9">
        <v>1.9892903786024235E-2</v>
      </c>
      <c r="D19" s="1">
        <v>1.8892771989629492E-2</v>
      </c>
      <c r="E19" s="1">
        <v>1.9050502890660129E-2</v>
      </c>
      <c r="F19" s="1">
        <v>1.8798550427625342E-2</v>
      </c>
      <c r="G19" s="1">
        <v>1.9971769236539552E-2</v>
      </c>
      <c r="H19" s="1">
        <v>2.2151307343808636E-2</v>
      </c>
      <c r="I19" s="1">
        <v>1.9963345903902995E-2</v>
      </c>
      <c r="J19" s="1">
        <v>1.9640951322989444E-2</v>
      </c>
      <c r="K19" s="1">
        <v>1.829464550155576E-2</v>
      </c>
      <c r="L19" s="1">
        <v>1.8389612340452055E-2</v>
      </c>
      <c r="M19" s="1">
        <v>2.0483352218353547E-2</v>
      </c>
      <c r="N19" s="1">
        <v>1.9467864310469974E-2</v>
      </c>
      <c r="O19" s="1">
        <v>1.8137659877417268E-2</v>
      </c>
      <c r="P19" s="1">
        <v>1.770494234611859E-2</v>
      </c>
      <c r="Q19" s="1">
        <v>2.1325753113717653E-2</v>
      </c>
      <c r="R19" s="1">
        <v>2.3237982646463113E-2</v>
      </c>
      <c r="S19" s="1">
        <v>2.2151307343808636E-2</v>
      </c>
      <c r="T19" s="1">
        <v>2.0561472391976726E-2</v>
      </c>
      <c r="U19" s="1">
        <v>2.1576960299860299E-2</v>
      </c>
      <c r="V19" s="1">
        <v>2.1057699262301888E-2</v>
      </c>
      <c r="W19" s="1">
        <v>1.9987125348028385E-2</v>
      </c>
      <c r="X19" s="1">
        <v>2.1560858911479325E-2</v>
      </c>
      <c r="Y19" s="1">
        <v>1.9625595211500611E-2</v>
      </c>
      <c r="Z19" s="1">
        <v>2.15677916903316E-2</v>
      </c>
      <c r="AA19" s="1">
        <v>1.9467864310469974E-2</v>
      </c>
      <c r="AB19" s="1">
        <v>1.8979315495889229E-2</v>
      </c>
      <c r="AC19" s="1">
        <v>2.0978088534894426E-2</v>
      </c>
      <c r="AD19" s="1">
        <v>1.9979447292283969E-2</v>
      </c>
      <c r="AE19" s="1">
        <v>1.9814038335508915E-2</v>
      </c>
      <c r="AF19" s="1">
        <v>1.9050502890660129E-2</v>
      </c>
      <c r="AG19" s="1">
        <v>1.8971637440144812E-2</v>
      </c>
      <c r="AH19" s="1">
        <v>2.1324262559933367E-2</v>
      </c>
      <c r="AI19" s="1">
        <v>2.0303332426981801E-2</v>
      </c>
      <c r="AJ19" s="1">
        <v>2.1396940508488553E-2</v>
      </c>
      <c r="AK19" s="1">
        <v>1.9058180946404546E-2</v>
      </c>
      <c r="AL19" s="1">
        <v>1.9310133409439337E-2</v>
      </c>
      <c r="AM19" s="1">
        <v>2.0239077811063176E-2</v>
      </c>
      <c r="AN19" s="1">
        <v>1.9216657124327324E-2</v>
      </c>
      <c r="AO19" s="1">
        <v>1.8460054458330814E-2</v>
      </c>
      <c r="AP19" s="1">
        <v>1.9727494829249181E-2</v>
      </c>
      <c r="AQ19" s="1">
        <v>2.0474928885716989E-2</v>
      </c>
      <c r="AR19" s="1">
        <v>1.8057303873117665E-2</v>
      </c>
      <c r="AS19" s="1">
        <v>1.8790872371880922E-2</v>
      </c>
      <c r="AT19" s="1">
        <v>2.2480634703574462E-2</v>
      </c>
      <c r="AU19" s="1">
        <v>2.1726267868254379E-2</v>
      </c>
      <c r="AV19" s="1">
        <v>1.947479708932225E-2</v>
      </c>
      <c r="AW19" s="1">
        <v>2.0389130656349397E-2</v>
      </c>
      <c r="AX19" s="1">
        <v>1.8963959384400396E-2</v>
      </c>
      <c r="AY19" s="1">
        <v>2.0396808712093813E-2</v>
      </c>
      <c r="AZ19" s="1">
        <v>1.9475542366214391E-2</v>
      </c>
      <c r="BA19" s="1">
        <v>2.126822189141328E-3</v>
      </c>
      <c r="BB19" s="1">
        <v>2.2761297575354042E-3</v>
      </c>
      <c r="BC19" s="1">
        <v>2.5434383320590281E-3</v>
      </c>
      <c r="BD19" s="1">
        <v>-1.3285796216826809E-3</v>
      </c>
      <c r="BE19" s="1">
        <v>1.7010374366949257E-3</v>
      </c>
      <c r="BF19" s="1">
        <v>-3.2844782528794123E-4</v>
      </c>
      <c r="BG19" s="1">
        <v>3.0235638140032155E-3</v>
      </c>
      <c r="BH19" s="1">
        <v>-3.6881375203235145E-3</v>
      </c>
      <c r="BI19" s="1">
        <v>6.1585268782473473E-4</v>
      </c>
      <c r="BJ19" s="1">
        <v>-2.5800570740918197E-4</v>
      </c>
      <c r="BK19" s="1">
        <v>-4.263229841163993E-3</v>
      </c>
      <c r="BL19" s="1">
        <v>1.5125943126866187E-3</v>
      </c>
      <c r="BM19" s="1">
        <v>-3.0669768650165297E-3</v>
      </c>
      <c r="BN19" s="1">
        <v>8.5170376247854784E-4</v>
      </c>
      <c r="BO19" s="1">
        <v>-2.4958237477262085E-4</v>
      </c>
      <c r="BP19" s="1">
        <v>1.7017827135870668E-3</v>
      </c>
      <c r="BQ19" s="1">
        <v>1.2529637939074148E-3</v>
      </c>
      <c r="BR19" s="1">
        <v>-2.4130190936607308E-3</v>
      </c>
      <c r="BS19" s="1">
        <v>4.4895317726539527E-4</v>
      </c>
      <c r="BT19" s="1">
        <v>-2.2483554137778181E-3</v>
      </c>
      <c r="BU19" s="1">
        <v>3.8491180440941991E-3</v>
      </c>
      <c r="BV19" s="1">
        <v>1.7726199751003091E-5</v>
      </c>
      <c r="BW19" s="1">
        <v>1.0317235538502938E-3</v>
      </c>
      <c r="BX19" s="1">
        <v>-6.5084240620148781E-4</v>
      </c>
      <c r="BY19" s="1">
        <v>4.4276567530526084E-4</v>
      </c>
      <c r="BZ19" s="1">
        <v>1.4498302505522795E-3</v>
      </c>
      <c r="CA19" s="1">
        <v>1.2920993495216422E-3</v>
      </c>
      <c r="CB19" s="1">
        <v>3.5420795746694857E-3</v>
      </c>
      <c r="CC19" s="1">
        <v>1.4337288621713018E-3</v>
      </c>
      <c r="CD19" s="1">
        <v>-2.6649715566955216E-3</v>
      </c>
      <c r="CE19" s="1">
        <v>-2.5003078768126089E-3</v>
      </c>
      <c r="CF19" s="1">
        <v>-3.1688764827650998E-3</v>
      </c>
      <c r="CG19" s="1">
        <v>-1.075881881755749E-3</v>
      </c>
      <c r="CH19" s="1">
        <v>1.771479554573685E-3</v>
      </c>
      <c r="CI19" s="1">
        <v>1.0798767813879409E-3</v>
      </c>
      <c r="CJ19" s="1">
        <v>2.929342251999062E-3</v>
      </c>
      <c r="CK19" s="1">
        <v>2.3703513195395577E-3</v>
      </c>
      <c r="CL19" s="1">
        <v>-6.3623157160479574E-4</v>
      </c>
      <c r="CM19" s="1">
        <v>-8.4173417997567002E-5</v>
      </c>
      <c r="CN19" s="1">
        <v>-9.977617081325732E-4</v>
      </c>
      <c r="CO19" s="1">
        <v>-1.5009213573100103E-3</v>
      </c>
      <c r="CP19" s="1">
        <v>1.0171127192536017E-3</v>
      </c>
      <c r="CQ19" s="1">
        <v>-1.2412908385308029E-3</v>
      </c>
      <c r="CR19" s="1">
        <v>-3.7670029708388314E-3</v>
      </c>
      <c r="CS19" s="1">
        <v>-5.8040028832272855E-4</v>
      </c>
      <c r="CT19" s="1">
        <v>-6.6619851769032443E-4</v>
      </c>
      <c r="CU19" s="1">
        <v>-1.6303886851288737E-4</v>
      </c>
      <c r="CV19" s="1">
        <v>2.6967866278579042E-4</v>
      </c>
      <c r="CW19" s="1">
        <v>-2.6810729450764959E-3</v>
      </c>
      <c r="CX19" s="1">
        <v>-3.2844782528794123E-4</v>
      </c>
      <c r="CY19" s="1">
        <v>3.4590030932735265E-3</v>
      </c>
      <c r="CZ19" s="1">
        <v>-1.9775798143904198E-3</v>
      </c>
      <c r="DA19" s="1">
        <v>9.8084984921628648E-4</v>
      </c>
      <c r="DB19" s="1">
        <v>-1.8826129754941252E-3</v>
      </c>
      <c r="DC19" s="1">
        <v>1.1301574176103644E-3</v>
      </c>
      <c r="DD19" s="1">
        <v>1.4135673805149643E-3</v>
      </c>
      <c r="DE19" s="1">
        <v>-4.4244264961831314E-3</v>
      </c>
      <c r="DF19" s="1">
        <v>-1.0171779128967696E-3</v>
      </c>
      <c r="DG19" s="1">
        <v>-2.1980747775553998E-3</v>
      </c>
      <c r="DH19" s="1">
        <v>4.7341215199363067E-3</v>
      </c>
      <c r="DI19" s="1">
        <v>1.2383811925548854E-4</v>
      </c>
      <c r="DJ19" s="1">
        <v>-1.4583187768320086E-3</v>
      </c>
      <c r="DK19" s="1">
        <v>7.2121933043707911E-4</v>
      </c>
      <c r="DL19" s="1">
        <v>-1.7263726282477736E-3</v>
      </c>
      <c r="DM19" s="1">
        <v>1.5306721721470885E-3</v>
      </c>
      <c r="DN19" s="1">
        <v>2.0430004308532226E-3</v>
      </c>
      <c r="DO19" s="1">
        <v>-1.544117006199601E-3</v>
      </c>
      <c r="DP19" s="1">
        <v>3.4919511469276212E-3</v>
      </c>
      <c r="DQ19" s="1">
        <v>2.1756122715794624E-3</v>
      </c>
      <c r="DR19" s="1">
        <v>-5.3058120095561823E-3</v>
      </c>
      <c r="DS19" s="1">
        <v>2.4757179621519004E-3</v>
      </c>
      <c r="DT19" s="1">
        <v>-1.3166892641823455E-3</v>
      </c>
      <c r="DU19" s="1">
        <v>5.0072436727209915E-4</v>
      </c>
      <c r="DV19" s="1">
        <v>-2.2134308890442329E-3</v>
      </c>
      <c r="DW19" s="1">
        <v>1.1309026945025037E-3</v>
      </c>
      <c r="DX19" s="1">
        <v>-6.0749454883134504E-4</v>
      </c>
      <c r="DY19" s="1">
        <v>-2.134565438528916E-3</v>
      </c>
      <c r="DZ19" s="1">
        <v>-1.8902910312385418E-3</v>
      </c>
      <c r="EA19" s="1">
        <v>4.4227391848027098E-5</v>
      </c>
      <c r="EB19" s="1">
        <v>-2.2754496742864345E-3</v>
      </c>
      <c r="EC19" s="1">
        <v>-4.2747475745959912E-4</v>
      </c>
      <c r="ED19" s="1">
        <v>2.3279009475421081E-3</v>
      </c>
      <c r="EE19" s="1">
        <v>7.1279599780051973E-4</v>
      </c>
      <c r="EF19" s="1">
        <v>-4.0537277501266518E-3</v>
      </c>
      <c r="EG19" s="1">
        <v>-5.2262012821487208E-3</v>
      </c>
      <c r="EH19" s="1">
        <v>2.8372480986796778E-3</v>
      </c>
      <c r="EI19" s="1">
        <v>2.9558434440960894E-3</v>
      </c>
      <c r="EJ19" s="1">
        <v>-1.4652515556842841E-3</v>
      </c>
      <c r="EK19" s="1">
        <v>-1.9768345374982788E-3</v>
      </c>
      <c r="EL19" s="1">
        <v>9.7317179347186644E-4</v>
      </c>
      <c r="EM19" s="1">
        <v>2.8057905988098687E-3</v>
      </c>
      <c r="EN19" s="1">
        <v>2.3103090053768465E-3</v>
      </c>
      <c r="EO19" s="1">
        <v>-1.9775798143904198E-3</v>
      </c>
      <c r="EP19" s="1">
        <v>2.3891744558921669E-3</v>
      </c>
      <c r="EQ19" s="1">
        <v>3.8051771183124673E-3</v>
      </c>
      <c r="ER19" s="1">
        <v>1.9718130360823222E-3</v>
      </c>
      <c r="ES19" s="1">
        <v>-1.8756801966418497E-3</v>
      </c>
      <c r="ET19" s="1">
        <v>-2.0697979429461916E-4</v>
      </c>
      <c r="EU19" s="1">
        <v>2.2007313318838598E-3</v>
      </c>
      <c r="EV19" s="10">
        <v>-2.0633780437580157E-3</v>
      </c>
    </row>
    <row r="20" spans="1:152" x14ac:dyDescent="0.25">
      <c r="A20" s="21">
        <f t="shared" ca="1" si="0"/>
        <v>3.4985338510717175E-2</v>
      </c>
      <c r="B20" s="5">
        <v>19</v>
      </c>
      <c r="C20" s="9">
        <v>2.321327976587826E-2</v>
      </c>
      <c r="D20" s="1">
        <v>1.2984990093316282E-2</v>
      </c>
      <c r="E20" s="1">
        <v>1.2834653391404558E-2</v>
      </c>
      <c r="F20" s="1">
        <v>9.8800699059771822E-3</v>
      </c>
      <c r="G20" s="1">
        <v>2.3138111414922412E-2</v>
      </c>
      <c r="H20" s="1">
        <v>3.0244098857360045E-2</v>
      </c>
      <c r="I20" s="1">
        <v>1.2562873141666396E-2</v>
      </c>
      <c r="J20" s="1">
        <v>2.0258696280450898E-2</v>
      </c>
      <c r="K20" s="1">
        <v>3.9709029351224449E-3</v>
      </c>
      <c r="L20" s="1">
        <v>1.6061017126570081E-2</v>
      </c>
      <c r="M20" s="1">
        <v>3.063732265492463E-2</v>
      </c>
      <c r="N20" s="1">
        <v>1.7228944444067661E-2</v>
      </c>
      <c r="O20" s="1">
        <v>1.3106433641142692E-2</v>
      </c>
      <c r="P20" s="1">
        <v>5.5320540501846262E-3</v>
      </c>
      <c r="Q20" s="1">
        <v>4.1015949029398334E-2</v>
      </c>
      <c r="R20" s="1">
        <v>4.1987264448113668E-2</v>
      </c>
      <c r="S20" s="1">
        <v>3.0244098857360045E-2</v>
      </c>
      <c r="T20" s="1">
        <v>2.1576960299860219E-2</v>
      </c>
      <c r="U20" s="1">
        <v>3.4985338510717175E-2</v>
      </c>
      <c r="V20" s="1">
        <v>2.5896083001567476E-2</v>
      </c>
      <c r="W20" s="1">
        <v>2.631819995321736E-2</v>
      </c>
      <c r="X20" s="1">
        <v>2.2820055968313688E-2</v>
      </c>
      <c r="Y20" s="1">
        <v>1.707860774215595E-2</v>
      </c>
      <c r="Z20" s="1">
        <v>1.5424906233352617E-2</v>
      </c>
      <c r="AA20" s="1">
        <v>1.7228944444067661E-2</v>
      </c>
      <c r="AB20" s="1">
        <v>1.4499866011507887E-2</v>
      </c>
      <c r="AC20" s="1">
        <v>1.6986057348414813E-2</v>
      </c>
      <c r="AD20" s="1">
        <v>2.4728155684069893E-2</v>
      </c>
      <c r="AE20" s="1">
        <v>2.3288448116834136E-2</v>
      </c>
      <c r="AF20" s="1">
        <v>1.2834653391404558E-2</v>
      </c>
      <c r="AG20" s="1">
        <v>1.2909821742360406E-2</v>
      </c>
      <c r="AH20" s="1">
        <v>2.3045561021181275E-2</v>
      </c>
      <c r="AI20" s="1">
        <v>3.5002720553502453E-2</v>
      </c>
      <c r="AJ20" s="1">
        <v>3.9350736409295005E-2</v>
      </c>
      <c r="AK20" s="1">
        <v>1.4424697660552039E-2</v>
      </c>
      <c r="AL20" s="1">
        <v>1.7379281145979399E-2</v>
      </c>
      <c r="AM20" s="1">
        <v>2.9272783438644721E-2</v>
      </c>
      <c r="AN20" s="1">
        <v>2.3259554962748851E-2</v>
      </c>
      <c r="AO20" s="1">
        <v>5.4106105023582016E-3</v>
      </c>
      <c r="AP20" s="1">
        <v>2.1773572198642503E-2</v>
      </c>
      <c r="AQ20" s="1">
        <v>2.0062084381668614E-2</v>
      </c>
      <c r="AR20" s="1">
        <v>-4.7887860161185056E-3</v>
      </c>
      <c r="AS20" s="1">
        <v>8.2900256368297152E-3</v>
      </c>
      <c r="AT20" s="1">
        <v>1.5153125983614483E-2</v>
      </c>
      <c r="AU20" s="1">
        <v>2.4259763535549431E-2</v>
      </c>
      <c r="AV20" s="1">
        <v>9.8337947091066066E-3</v>
      </c>
      <c r="AW20" s="1">
        <v>2.7532402467585516E-2</v>
      </c>
      <c r="AX20" s="1">
        <v>1.1319777473212939E-2</v>
      </c>
      <c r="AY20" s="1">
        <v>2.9122446736733011E-2</v>
      </c>
      <c r="AZ20" s="1">
        <v>1.8818988713215141E-2</v>
      </c>
      <c r="BA20" s="1">
        <v>2.1098145903819119E-2</v>
      </c>
      <c r="BB20" s="1">
        <v>1.037257092865139E-2</v>
      </c>
      <c r="BC20" s="1">
        <v>1.6507242952373713E-2</v>
      </c>
      <c r="BD20" s="1">
        <v>-1.2946041508158864E-2</v>
      </c>
      <c r="BE20" s="1">
        <v>6.1286165778999813E-3</v>
      </c>
      <c r="BF20" s="1">
        <v>-2.7177518355968565E-3</v>
      </c>
      <c r="BG20" s="1">
        <v>8.6610831116774693E-3</v>
      </c>
      <c r="BH20" s="1">
        <v>-1.5686631052018646E-2</v>
      </c>
      <c r="BI20" s="1">
        <v>1.2355838995363428E-2</v>
      </c>
      <c r="BJ20" s="1">
        <v>-1.3368158459808707E-2</v>
      </c>
      <c r="BK20" s="1">
        <v>-1.9930585402770054E-2</v>
      </c>
      <c r="BL20" s="1">
        <v>-8.122379677819036E-5</v>
      </c>
      <c r="BM20" s="1">
        <v>-1.902411086382394E-3</v>
      </c>
      <c r="BN20" s="1">
        <v>3.145139938387307E-3</v>
      </c>
      <c r="BO20" s="1">
        <v>-2.7929201865527185E-3</v>
      </c>
      <c r="BP20" s="1">
        <v>1.511381058200852E-2</v>
      </c>
      <c r="BQ20" s="1">
        <v>-4.6258515513530468E-3</v>
      </c>
      <c r="BR20" s="1">
        <v>2.2663749134131383E-3</v>
      </c>
      <c r="BS20" s="1">
        <v>-7.0542565800893742E-3</v>
      </c>
      <c r="BT20" s="1">
        <v>-5.2791115234596432E-3</v>
      </c>
      <c r="BU20" s="1">
        <v>-2.1107670603608096E-3</v>
      </c>
      <c r="BV20" s="1">
        <v>3.341751837169591E-3</v>
      </c>
      <c r="BW20" s="1">
        <v>-1.2202579601905128E-3</v>
      </c>
      <c r="BX20" s="1">
        <v>4.9780713031876388E-3</v>
      </c>
      <c r="BY20" s="1">
        <v>9.3260871589802043E-3</v>
      </c>
      <c r="BZ20" s="1">
        <v>1.2159227096581144E-2</v>
      </c>
      <c r="CA20" s="1">
        <v>1.2309563798492854E-2</v>
      </c>
      <c r="CB20" s="1">
        <v>8.7651446167186335E-3</v>
      </c>
      <c r="CC20" s="1">
        <v>-6.055445822342187E-6</v>
      </c>
      <c r="CD20" s="1">
        <v>-6.8820857201422336E-4</v>
      </c>
      <c r="CE20" s="1">
        <v>-8.2336950088870188E-3</v>
      </c>
      <c r="CF20" s="1">
        <v>-6.5973755428689745E-3</v>
      </c>
      <c r="CG20" s="1">
        <v>-1.0062640186229467E-3</v>
      </c>
      <c r="CH20" s="1">
        <v>-4.5217900463118861E-3</v>
      </c>
      <c r="CI20" s="1">
        <v>-7.6556033877362706E-3</v>
      </c>
      <c r="CJ20" s="1">
        <v>5.5561629243383835E-3</v>
      </c>
      <c r="CK20" s="1">
        <v>1.3477491115990475E-2</v>
      </c>
      <c r="CL20" s="1">
        <v>-8.2703416262594129E-4</v>
      </c>
      <c r="CM20" s="1">
        <v>-1.3532126193169618E-3</v>
      </c>
      <c r="CN20" s="1">
        <v>-1.0066626373687351E-2</v>
      </c>
      <c r="CO20" s="1">
        <v>-6.9905993404335461E-3</v>
      </c>
      <c r="CP20" s="1">
        <v>4.5848475056230638E-3</v>
      </c>
      <c r="CQ20" s="1">
        <v>-2.4459715858587035E-3</v>
      </c>
      <c r="CR20" s="1">
        <v>-1.5611462701062798E-2</v>
      </c>
      <c r="CS20" s="1">
        <v>-5.6723353210242182E-3</v>
      </c>
      <c r="CT20" s="1">
        <v>1.7979827648927048E-3</v>
      </c>
      <c r="CU20" s="1">
        <v>-1.2780442683610997E-3</v>
      </c>
      <c r="CV20" s="1">
        <v>6.2963353225969805E-3</v>
      </c>
      <c r="CW20" s="1">
        <v>-1.2853491114417723E-2</v>
      </c>
      <c r="CX20" s="1">
        <v>-2.7177518355968565E-3</v>
      </c>
      <c r="CY20" s="1">
        <v>-7.4255502441288868E-3</v>
      </c>
      <c r="CZ20" s="1">
        <v>-1.3820258442393218E-2</v>
      </c>
      <c r="DA20" s="1">
        <v>6.9196122637689358E-3</v>
      </c>
      <c r="DB20" s="1">
        <v>-1.7301442509455971E-3</v>
      </c>
      <c r="DC20" s="1">
        <v>-3.8059627113987762E-3</v>
      </c>
      <c r="DD20" s="1">
        <v>1.4493991854727016E-2</v>
      </c>
      <c r="DE20" s="1">
        <v>-2.7060917908553157E-2</v>
      </c>
      <c r="DF20" s="1">
        <v>1.3418614930970549E-2</v>
      </c>
      <c r="DG20" s="1">
        <v>-1.4294708471221489E-3</v>
      </c>
      <c r="DH20" s="1">
        <v>1.0527455721302925E-2</v>
      </c>
      <c r="DI20" s="1">
        <v>2.3460913551088258E-3</v>
      </c>
      <c r="DJ20" s="1">
        <v>-4.7310029332435187E-3</v>
      </c>
      <c r="DK20" s="1">
        <v>2.3749845091940933E-3</v>
      </c>
      <c r="DL20" s="1">
        <v>-1.985086896107438E-2</v>
      </c>
      <c r="DM20" s="1">
        <v>-2.0562148205247689E-2</v>
      </c>
      <c r="DN20" s="1">
        <v>-4.0777429611369223E-3</v>
      </c>
      <c r="DO20" s="1">
        <v>2.7393151526733973E-3</v>
      </c>
      <c r="DP20" s="1">
        <v>2.589020884478662E-2</v>
      </c>
      <c r="DQ20" s="1">
        <v>6.9773985719395401E-3</v>
      </c>
      <c r="DR20" s="1">
        <v>-1.1443766578116576E-2</v>
      </c>
      <c r="DS20" s="1">
        <v>3.4966366298211579E-3</v>
      </c>
      <c r="DT20" s="1">
        <v>-1.7046622177558743E-2</v>
      </c>
      <c r="DU20" s="1">
        <v>1.4765772104465169E-2</v>
      </c>
      <c r="DV20" s="1">
        <v>-4.6095593854170967E-3</v>
      </c>
      <c r="DW20" s="1">
        <v>5.1792312927097447E-3</v>
      </c>
      <c r="DX20" s="1">
        <v>1.6222861714486215E-2</v>
      </c>
      <c r="DY20" s="1">
        <v>-4.6847277363729588E-3</v>
      </c>
      <c r="DZ20" s="1">
        <v>-3.3201885200930779E-3</v>
      </c>
      <c r="EA20" s="1">
        <v>-6.5639342980438678E-3</v>
      </c>
      <c r="EB20" s="1">
        <v>1.661608551205079E-2</v>
      </c>
      <c r="EC20" s="1">
        <v>1.1857463815908371E-2</v>
      </c>
      <c r="ED20" s="1">
        <v>3.2192599613205947E-2</v>
      </c>
      <c r="EE20" s="1">
        <v>-8.2002537640619086E-3</v>
      </c>
      <c r="EF20" s="1">
        <v>1.7391065798727789E-3</v>
      </c>
      <c r="EG20" s="1">
        <v>-2.5337409249639141E-3</v>
      </c>
      <c r="EH20" s="1">
        <v>1.2736228840882553E-2</v>
      </c>
      <c r="EI20" s="1">
        <v>-4.3495232108750823E-3</v>
      </c>
      <c r="EJ20" s="1">
        <v>2.6641468017175353E-3</v>
      </c>
      <c r="EK20" s="1">
        <v>-4.8350644382846829E-3</v>
      </c>
      <c r="EL20" s="1">
        <v>5.3295679946214827E-3</v>
      </c>
      <c r="EM20" s="1">
        <v>-2.6091422398158773E-3</v>
      </c>
      <c r="EN20" s="1">
        <v>2.0569290625854011E-3</v>
      </c>
      <c r="EO20" s="1">
        <v>-1.3820258442393218E-2</v>
      </c>
      <c r="EP20" s="1">
        <v>1.9817607116295252E-3</v>
      </c>
      <c r="EQ20" s="1">
        <v>-1.3660465713624254E-3</v>
      </c>
      <c r="ER20" s="1">
        <v>-2.4125303410335933E-3</v>
      </c>
      <c r="ES20" s="1">
        <v>-9.1252939859066511E-3</v>
      </c>
      <c r="ET20" s="1">
        <v>-5.3332377936268771E-4</v>
      </c>
      <c r="EU20" s="1">
        <v>-4.2280796630486464E-3</v>
      </c>
      <c r="EV20" s="10">
        <v>-6.3499403564762878E-3</v>
      </c>
    </row>
    <row r="21" spans="1:152" x14ac:dyDescent="0.25">
      <c r="A21" s="21">
        <f t="shared" ca="1" si="0"/>
        <v>2.9973467287160438E-2</v>
      </c>
      <c r="B21" s="5">
        <v>20</v>
      </c>
      <c r="C21" s="9">
        <v>2.1878615667712084E-2</v>
      </c>
      <c r="D21" s="1">
        <v>8.3781303881456104E-3</v>
      </c>
      <c r="E21" s="1">
        <v>1.5681103833248847E-2</v>
      </c>
      <c r="F21" s="1">
        <v>1.3388745205894829E-2</v>
      </c>
      <c r="G21" s="1">
        <v>2.5530102390263702E-2</v>
      </c>
      <c r="H21" s="1">
        <v>3.0085781413906762E-2</v>
      </c>
      <c r="I21" s="1">
        <v>2.1483596825343183E-2</v>
      </c>
      <c r="J21" s="1">
        <v>1.9586257040358067E-2</v>
      </c>
      <c r="K21" s="1">
        <v>8.804027951186795E-3</v>
      </c>
      <c r="L21" s="1">
        <v>1.2170969468508517E-2</v>
      </c>
      <c r="M21" s="1">
        <v>2.5783768874821318E-2</v>
      </c>
      <c r="N21" s="1">
        <v>2.0945385135555668E-2</v>
      </c>
      <c r="O21" s="1">
        <v>9.8786108411544997E-3</v>
      </c>
      <c r="P21" s="1">
        <v>1.3276431079148505E-2</v>
      </c>
      <c r="Q21" s="1">
        <v>3.1981280709284556E-2</v>
      </c>
      <c r="R21" s="1">
        <v>4.2906702645874442E-2</v>
      </c>
      <c r="S21" s="1">
        <v>3.0085781413906762E-2</v>
      </c>
      <c r="T21" s="1">
        <v>2.1057699262301999E-2</v>
      </c>
      <c r="U21" s="1">
        <v>2.5896083001567628E-2</v>
      </c>
      <c r="V21" s="1">
        <v>2.9973467287160438E-2</v>
      </c>
      <c r="W21" s="1">
        <v>1.6868000849962865E-2</v>
      </c>
      <c r="X21" s="1">
        <v>2.6180628206797542E-2</v>
      </c>
      <c r="Y21" s="1">
        <v>2.8248358580658904E-2</v>
      </c>
      <c r="Z21" s="1">
        <v>1.3472021101576186E-2</v>
      </c>
      <c r="AA21" s="1">
        <v>2.0945385135555668E-2</v>
      </c>
      <c r="AB21" s="1">
        <v>7.6985663405468099E-3</v>
      </c>
      <c r="AC21" s="1">
        <v>1.7944424229537889E-2</v>
      </c>
      <c r="AD21" s="1">
        <v>2.1199051620113284E-2</v>
      </c>
      <c r="AE21" s="1">
        <v>1.8227128945160466E-2</v>
      </c>
      <c r="AF21" s="1">
        <v>1.5681103833248847E-2</v>
      </c>
      <c r="AG21" s="1">
        <v>1.2029617110697229E-2</v>
      </c>
      <c r="AH21" s="1">
        <v>1.5226168039142687E-2</v>
      </c>
      <c r="AI21" s="1">
        <v>3.9851504075240254E-2</v>
      </c>
      <c r="AJ21" s="1">
        <v>3.9963818201986599E-2</v>
      </c>
      <c r="AK21" s="1">
        <v>1.1350053063098428E-2</v>
      </c>
      <c r="AL21" s="1">
        <v>1.3642411690452445E-2</v>
      </c>
      <c r="AM21" s="1">
        <v>1.9160359477316889E-2</v>
      </c>
      <c r="AN21" s="1">
        <v>2.7030582843272595E-2</v>
      </c>
      <c r="AO21" s="1">
        <v>1.1775950626139613E-2</v>
      </c>
      <c r="AP21" s="1">
        <v>1.8906692992759266E-2</v>
      </c>
      <c r="AQ21" s="1">
        <v>2.1737263309900799E-2</v>
      </c>
      <c r="AR21" s="1">
        <v>-1.0527988551538985E-2</v>
      </c>
      <c r="AS21" s="1">
        <v>1.7719795976045248E-2</v>
      </c>
      <c r="AT21" s="1">
        <v>1.9274514093670536E-2</v>
      </c>
      <c r="AU21" s="1">
        <v>2.9152550881750346E-2</v>
      </c>
      <c r="AV21" s="1">
        <v>8.2367780303343255E-3</v>
      </c>
      <c r="AW21" s="1">
        <v>3.0794383692570523E-2</v>
      </c>
      <c r="AX21" s="1">
        <v>1.6360667880847647E-2</v>
      </c>
      <c r="AY21" s="1">
        <v>2.6463332922420112E-2</v>
      </c>
      <c r="AZ21" s="1">
        <v>1.6614334365405249E-2</v>
      </c>
      <c r="BA21" s="1">
        <v>4.9412278958424517E-3</v>
      </c>
      <c r="BB21" s="1">
        <v>8.1976957760251656E-3</v>
      </c>
      <c r="BC21" s="1">
        <v>1.8279528630783387E-3</v>
      </c>
      <c r="BD21" s="1">
        <v>-1.0791699059340793E-2</v>
      </c>
      <c r="BE21" s="1">
        <v>-4.3695589713849126E-3</v>
      </c>
      <c r="BF21" s="1">
        <v>2.708786220225667E-3</v>
      </c>
      <c r="BG21" s="1">
        <v>1.1028266093166688E-2</v>
      </c>
      <c r="BH21" s="1">
        <v>-1.2796428825649145E-3</v>
      </c>
      <c r="BI21" s="1">
        <v>-4.3536753321071243E-4</v>
      </c>
      <c r="BJ21" s="1">
        <v>2.3137673778567854E-3</v>
      </c>
      <c r="BK21" s="1">
        <v>-1.3846897629974972E-2</v>
      </c>
      <c r="BL21" s="1">
        <v>5.6516706641135395E-3</v>
      </c>
      <c r="BM21" s="1">
        <v>-1.4698692756057341E-2</v>
      </c>
      <c r="BN21" s="1">
        <v>2.1415362993731958E-3</v>
      </c>
      <c r="BO21" s="1">
        <v>6.3602729427772921E-3</v>
      </c>
      <c r="BP21" s="1">
        <v>4.0079973636860423E-3</v>
      </c>
      <c r="BQ21" s="1">
        <v>7.6903628069099339E-3</v>
      </c>
      <c r="BR21" s="1">
        <v>1.5200487139043345E-3</v>
      </c>
      <c r="BS21" s="1">
        <v>-2.0162402878305383E-2</v>
      </c>
      <c r="BT21" s="1">
        <v>-3.8855849462137888E-3</v>
      </c>
      <c r="BU21" s="1">
        <v>9.1327667977889101E-3</v>
      </c>
      <c r="BV21" s="1">
        <v>-9.4699701695347832E-6</v>
      </c>
      <c r="BW21" s="1">
        <v>-1.1926198901045737E-2</v>
      </c>
      <c r="BX21" s="1">
        <v>8.1144643524055406E-4</v>
      </c>
      <c r="BY21" s="1">
        <v>9.2376056198688848E-4</v>
      </c>
      <c r="BZ21" s="1">
        <v>1.7156387363320182E-3</v>
      </c>
      <c r="CA21" s="1">
        <v>-5.5873347087712182E-3</v>
      </c>
      <c r="CB21" s="1">
        <v>-1.4266745274970401E-3</v>
      </c>
      <c r="CC21" s="1">
        <v>2.0001839415619144E-3</v>
      </c>
      <c r="CD21" s="1">
        <v>-7.7230991344968969E-4</v>
      </c>
      <c r="CE21" s="1">
        <v>-6.1779435735677991E-3</v>
      </c>
      <c r="CF21" s="1">
        <v>-5.3570271681577103E-3</v>
      </c>
      <c r="CG21" s="1">
        <v>-1.2178409691584145E-4</v>
      </c>
      <c r="CH21" s="1">
        <v>-4.764577813753796E-3</v>
      </c>
      <c r="CI21" s="1">
        <v>9.0494909021075348E-3</v>
      </c>
      <c r="CJ21" s="1">
        <v>1.60388809109159E-2</v>
      </c>
      <c r="CK21" s="1">
        <v>3.1870809582759535E-3</v>
      </c>
      <c r="CL21" s="1">
        <v>-1.6228211440131195E-2</v>
      </c>
      <c r="CM21" s="1">
        <v>9.3321956177301098E-3</v>
      </c>
      <c r="CN21" s="1">
        <v>-4.8478537094351574E-3</v>
      </c>
      <c r="CO21" s="1">
        <v>-1.0550146290722508E-3</v>
      </c>
      <c r="CP21" s="1">
        <v>5.1134589743260135E-3</v>
      </c>
      <c r="CQ21" s="1">
        <v>-3.0937067718686592E-3</v>
      </c>
      <c r="CR21" s="1">
        <v>-4.9311296051165326E-3</v>
      </c>
      <c r="CS21" s="1">
        <v>4.1642759287167062E-4</v>
      </c>
      <c r="CT21" s="1">
        <v>9.4735479755413913E-3</v>
      </c>
      <c r="CU21" s="1">
        <v>5.6807088951784847E-3</v>
      </c>
      <c r="CV21" s="1">
        <v>2.2828886571844894E-3</v>
      </c>
      <c r="CW21" s="1">
        <v>-4.8776470821978654E-4</v>
      </c>
      <c r="CX21" s="1">
        <v>2.708786220225667E-3</v>
      </c>
      <c r="CY21" s="1">
        <v>7.7544686157869636E-3</v>
      </c>
      <c r="CZ21" s="1">
        <v>-1.75374876347539E-3</v>
      </c>
      <c r="DA21" s="1">
        <v>-3.3141461682215274E-3</v>
      </c>
      <c r="DB21" s="1">
        <v>1.6131927538463233E-3</v>
      </c>
      <c r="DC21" s="1">
        <v>-5.7678288038827408E-5</v>
      </c>
      <c r="DD21" s="1">
        <v>-6.7119664062155367E-3</v>
      </c>
      <c r="DE21" s="1">
        <v>6.0315125828354701E-5</v>
      </c>
      <c r="DF21" s="1">
        <v>-5.1824477221416951E-3</v>
      </c>
      <c r="DG21" s="1">
        <v>-1.2992754136360135E-2</v>
      </c>
      <c r="DH21" s="1">
        <v>1.0554160212256206E-2</v>
      </c>
      <c r="DI21" s="1">
        <v>7.5279998726869857E-3</v>
      </c>
      <c r="DJ21" s="1">
        <v>-5.8311330490681927E-3</v>
      </c>
      <c r="DK21" s="1">
        <v>-1.275454025425133E-3</v>
      </c>
      <c r="DL21" s="1">
        <v>-7.8389464711923207E-3</v>
      </c>
      <c r="DM21" s="1">
        <v>-2.8864081155730269E-3</v>
      </c>
      <c r="DN21" s="1">
        <v>5.74481470405553E-3</v>
      </c>
      <c r="DO21" s="1">
        <v>3.2259873336015262E-3</v>
      </c>
      <c r="DP21" s="1">
        <v>1.5562934540398081E-2</v>
      </c>
      <c r="DQ21" s="1">
        <v>-2.0921053964445775E-2</v>
      </c>
      <c r="DR21" s="1">
        <v>-1.4688824611796714E-2</v>
      </c>
      <c r="DS21" s="1">
        <v>2.3469944660615208E-3</v>
      </c>
      <c r="DT21" s="1">
        <v>1.7563856012649259E-3</v>
      </c>
      <c r="DU21" s="1">
        <v>-1.2514459398309891E-2</v>
      </c>
      <c r="DV21" s="1">
        <v>-4.3306525960592982E-3</v>
      </c>
      <c r="DW21" s="1">
        <v>8.3198780470321136E-3</v>
      </c>
      <c r="DX21" s="1">
        <v>4.4128843503155653E-3</v>
      </c>
      <c r="DY21" s="1">
        <v>-6.7916587350770087E-4</v>
      </c>
      <c r="DZ21" s="1">
        <v>5.944243523996728E-3</v>
      </c>
      <c r="EA21" s="1">
        <v>-4.5010431849355666E-3</v>
      </c>
      <c r="EB21" s="1">
        <v>1.1087181123010589E-4</v>
      </c>
      <c r="EC21" s="1">
        <v>-9.6548508501033935E-3</v>
      </c>
      <c r="ED21" s="1">
        <v>1.5845639256020672E-2</v>
      </c>
      <c r="EE21" s="1">
        <v>-5.3219595903456554E-3</v>
      </c>
      <c r="EF21" s="1">
        <v>1.1040192951237704E-3</v>
      </c>
      <c r="EG21" s="1">
        <v>-2.6597815541741752E-3</v>
      </c>
      <c r="EH21" s="1">
        <v>-9.0333632646345183E-3</v>
      </c>
      <c r="EI21" s="1">
        <v>1.154730769614987E-2</v>
      </c>
      <c r="EJ21" s="1">
        <v>6.8774740561531513E-3</v>
      </c>
      <c r="EK21" s="1">
        <v>6.6238075715955354E-3</v>
      </c>
      <c r="EL21" s="1">
        <v>1.0169046019288773E-3</v>
      </c>
      <c r="EM21" s="1">
        <v>-8.6716519103770956E-5</v>
      </c>
      <c r="EN21" s="1">
        <v>-6.2492820889129691E-4</v>
      </c>
      <c r="EO21" s="1">
        <v>-1.75374876347539E-3</v>
      </c>
      <c r="EP21" s="1">
        <v>3.0265585136603282E-3</v>
      </c>
      <c r="EQ21" s="1">
        <v>5.0362124253917617E-3</v>
      </c>
      <c r="ER21" s="1">
        <v>-2.2377227886464998E-3</v>
      </c>
      <c r="ES21" s="1">
        <v>-1.1095414351375021E-2</v>
      </c>
      <c r="ET21" s="1">
        <v>1.5841545227813503E-3</v>
      </c>
      <c r="EU21" s="1">
        <v>1.3047788149158752E-2</v>
      </c>
      <c r="EV21" s="10">
        <v>7.3033716191943428E-3</v>
      </c>
    </row>
    <row r="22" spans="1:152" x14ac:dyDescent="0.25">
      <c r="A22" s="21">
        <f t="shared" ca="1" si="0"/>
        <v>2.7131221890268765E-2</v>
      </c>
      <c r="B22" s="5">
        <v>21</v>
      </c>
      <c r="C22" s="9">
        <v>2.1366414172619537E-2</v>
      </c>
      <c r="D22" s="1">
        <v>2.341488863497735E-2</v>
      </c>
      <c r="E22" s="1">
        <v>1.8185405935182031E-2</v>
      </c>
      <c r="F22" s="1">
        <v>1.7650080917328108E-2</v>
      </c>
      <c r="G22" s="1">
        <v>1.8751672822721881E-2</v>
      </c>
      <c r="H22" s="1">
        <v>1.9174103410976844E-2</v>
      </c>
      <c r="I22" s="1">
        <v>1.3151667594671216E-2</v>
      </c>
      <c r="J22" s="1">
        <v>2.0831089154765635E-2</v>
      </c>
      <c r="K22" s="1">
        <v>1.6579430881620311E-2</v>
      </c>
      <c r="L22" s="1">
        <v>2.3754469293546746E-2</v>
      </c>
      <c r="M22" s="1">
        <v>2.4012097392203141E-2</v>
      </c>
      <c r="N22" s="1">
        <v>1.7681022787014063E-2</v>
      </c>
      <c r="O22" s="1">
        <v>2.321914427569283E-2</v>
      </c>
      <c r="P22" s="1">
        <v>1.5343978356313921E-2</v>
      </c>
      <c r="Q22" s="1">
        <v>2.7193105629640647E-2</v>
      </c>
      <c r="R22" s="1">
        <v>1.8700662132494817E-2</v>
      </c>
      <c r="S22" s="1">
        <v>1.9174103410976844E-2</v>
      </c>
      <c r="T22" s="1">
        <v>1.998712534802826E-2</v>
      </c>
      <c r="U22" s="1">
        <v>2.6318199953217339E-2</v>
      </c>
      <c r="V22" s="1">
        <v>1.6868000849962636E-2</v>
      </c>
      <c r="W22" s="1">
        <v>2.7131221890268765E-2</v>
      </c>
      <c r="X22" s="1">
        <v>1.652842019139324E-2</v>
      </c>
      <c r="Y22" s="1">
        <v>1.2451540087218734E-2</v>
      </c>
      <c r="Z22" s="1">
        <v>1.9307964030889462E-2</v>
      </c>
      <c r="AA22" s="1">
        <v>1.7681022787014063E-2</v>
      </c>
      <c r="AB22" s="1">
        <v>2.4989921818853129E-2</v>
      </c>
      <c r="AC22" s="1">
        <v>1.8072511505583085E-2</v>
      </c>
      <c r="AD22" s="1">
        <v>2.294144735649533E-2</v>
      </c>
      <c r="AE22" s="1">
        <v>2.3981155522517207E-2</v>
      </c>
      <c r="AF22" s="1">
        <v>1.8185405935182031E-2</v>
      </c>
      <c r="AG22" s="1">
        <v>2.080014728507968E-2</v>
      </c>
      <c r="AH22" s="1">
        <v>2.4372644241086216E-2</v>
      </c>
      <c r="AI22" s="1">
        <v>1.8082487184955361E-2</v>
      </c>
      <c r="AJ22" s="1">
        <v>2.0388589745969549E-2</v>
      </c>
      <c r="AK22" s="1">
        <v>2.2375180468955473E-2</v>
      </c>
      <c r="AL22" s="1">
        <v>2.2910505486809382E-2</v>
      </c>
      <c r="AM22" s="1">
        <v>2.7666546908122668E-2</v>
      </c>
      <c r="AN22" s="1">
        <v>1.8555928463437375E-2</v>
      </c>
      <c r="AO22" s="1">
        <v>1.5539722715598439E-2</v>
      </c>
      <c r="AP22" s="1">
        <v>2.2406122338641414E-2</v>
      </c>
      <c r="AQ22" s="1">
        <v>1.8412092164152481E-2</v>
      </c>
      <c r="AR22" s="1">
        <v>2.3013424237036055E-2</v>
      </c>
      <c r="AS22" s="1">
        <v>1.3460306383554691E-2</v>
      </c>
      <c r="AT22" s="1">
        <v>1.4274225690378662E-2</v>
      </c>
      <c r="AU22" s="1">
        <v>1.5488712025371363E-2</v>
      </c>
      <c r="AV22" s="1">
        <v>2.0460566626510281E-2</v>
      </c>
      <c r="AW22" s="1">
        <v>1.8247289674553913E-2</v>
      </c>
      <c r="AX22" s="1">
        <v>1.6610372751306238E-2</v>
      </c>
      <c r="AY22" s="1">
        <v>2.2437064208327348E-2</v>
      </c>
      <c r="AZ22" s="1">
        <v>2.1870797320787505E-2</v>
      </c>
      <c r="BA22" s="1">
        <v>1.1266934232346849E-2</v>
      </c>
      <c r="BB22" s="1">
        <v>4.374463045008839E-4</v>
      </c>
      <c r="BC22" s="1">
        <v>9.3523203899016638E-3</v>
      </c>
      <c r="BD22" s="1">
        <v>-1.6219012070017545E-3</v>
      </c>
      <c r="BE22" s="1">
        <v>6.1713121524641611E-3</v>
      </c>
      <c r="BF22" s="1">
        <v>-3.6703756693595539E-3</v>
      </c>
      <c r="BG22" s="1">
        <v>-3.5565838699880628E-3</v>
      </c>
      <c r="BH22" s="1">
        <v>-7.9739420025044978E-3</v>
      </c>
      <c r="BI22" s="1">
        <v>9.4652148195006093E-3</v>
      </c>
      <c r="BJ22" s="1">
        <v>-1.1885122247307863E-2</v>
      </c>
      <c r="BK22" s="1">
        <v>-2.2400761545412207E-3</v>
      </c>
      <c r="BL22" s="1">
        <v>-5.3583032828342786E-3</v>
      </c>
      <c r="BM22" s="1">
        <v>1.1430839352172848E-2</v>
      </c>
      <c r="BN22" s="1">
        <v>2.1076007553041606E-4</v>
      </c>
      <c r="BO22" s="1">
        <v>-6.2851170192572241E-3</v>
      </c>
      <c r="BP22" s="1">
        <v>7.581542846741382E-3</v>
      </c>
      <c r="BQ22" s="1">
        <v>-1.0083402834461644E-2</v>
      </c>
      <c r="BR22" s="1">
        <v>3.0822321543119181E-3</v>
      </c>
      <c r="BS22" s="1">
        <v>7.6844615969680515E-3</v>
      </c>
      <c r="BT22" s="1">
        <v>6.3229329401282182E-4</v>
      </c>
      <c r="BU22" s="1">
        <v>-1.1575586088651849E-2</v>
      </c>
      <c r="BV22" s="1">
        <v>2.6297570661435628E-3</v>
      </c>
      <c r="BW22" s="1">
        <v>6.1403702827782097E-3</v>
      </c>
      <c r="BX22" s="1">
        <v>4.0090458907348393E-3</v>
      </c>
      <c r="BY22" s="1">
        <v>6.315148451749051E-3</v>
      </c>
      <c r="BZ22" s="1">
        <v>7.0462178288874661E-3</v>
      </c>
      <c r="CA22" s="1">
        <v>1.2275700528682779E-2</v>
      </c>
      <c r="CB22" s="1">
        <v>4.4833845389894364E-3</v>
      </c>
      <c r="CC22" s="1">
        <v>-2.7435619329366397E-3</v>
      </c>
      <c r="CD22" s="1">
        <v>2.5469071364580161E-3</v>
      </c>
      <c r="CE22" s="1">
        <v>9.6968276158916275E-5</v>
      </c>
      <c r="CF22" s="1">
        <v>1.4762571007501911E-3</v>
      </c>
      <c r="CG22" s="1">
        <v>3.2365450512937197E-4</v>
      </c>
      <c r="CH22" s="1">
        <v>-2.043434425484169E-3</v>
      </c>
      <c r="CI22" s="1">
        <v>-1.3233469202213202E-2</v>
      </c>
      <c r="CJ22" s="1">
        <v>-9.3213915876372844E-3</v>
      </c>
      <c r="CK22" s="1">
        <v>6.2022540221501055E-3</v>
      </c>
      <c r="CL22" s="1">
        <v>1.0978364264004507E-2</v>
      </c>
      <c r="CM22" s="1">
        <v>-7.3248251852790977E-3</v>
      </c>
      <c r="CN22" s="1">
        <v>-3.7013175390455053E-3</v>
      </c>
      <c r="CO22" s="1">
        <v>-3.3617368804761023E-3</v>
      </c>
      <c r="CP22" s="1">
        <v>-8.2894809049145757E-4</v>
      </c>
      <c r="CQ22" s="1">
        <v>1.3633626711512491E-3</v>
      </c>
      <c r="CR22" s="1">
        <v>-5.3592006526068416E-3</v>
      </c>
      <c r="CS22" s="1">
        <v>-4.2057006872134768E-3</v>
      </c>
      <c r="CT22" s="1">
        <v>-4.3705031768120281E-3</v>
      </c>
      <c r="CU22" s="1">
        <v>-4.710083835381431E-3</v>
      </c>
      <c r="CV22" s="1">
        <v>3.1650820839974787E-3</v>
      </c>
      <c r="CW22" s="1">
        <v>-7.2428726253660879E-3</v>
      </c>
      <c r="CX22" s="1">
        <v>-3.6703756693595539E-3</v>
      </c>
      <c r="CY22" s="1">
        <v>-1.4463373219356111E-2</v>
      </c>
      <c r="CZ22" s="1">
        <v>-7.8245571950561303E-3</v>
      </c>
      <c r="DA22" s="1">
        <v>6.7731720480808666E-3</v>
      </c>
      <c r="DB22" s="1">
        <v>-6.4951878312969821E-4</v>
      </c>
      <c r="DC22" s="1">
        <v>-4.0563158797650954E-3</v>
      </c>
      <c r="DD22" s="1">
        <v>1.4648337967459776E-2</v>
      </c>
      <c r="DE22" s="1">
        <v>-1.7161861868711874E-2</v>
      </c>
      <c r="DF22" s="1">
        <v>1.5100813055628139E-2</v>
      </c>
      <c r="DG22" s="1">
        <v>9.8094466164609442E-3</v>
      </c>
      <c r="DH22" s="1">
        <v>-3.4071990625396814E-3</v>
      </c>
      <c r="DI22" s="1">
        <v>-3.377154562626293E-3</v>
      </c>
      <c r="DJ22" s="1">
        <v>1.6256419081985725E-3</v>
      </c>
      <c r="DK22" s="1">
        <v>2.0480724964535152E-3</v>
      </c>
      <c r="DL22" s="1">
        <v>-8.6994628714794353E-3</v>
      </c>
      <c r="DM22" s="1">
        <v>-1.5760709484034369E-2</v>
      </c>
      <c r="DN22" s="1">
        <v>-9.090054220275888E-3</v>
      </c>
      <c r="DO22" s="1">
        <v>1.4608394186000004E-3</v>
      </c>
      <c r="DP22" s="1">
        <v>6.5264169985693003E-3</v>
      </c>
      <c r="DQ22" s="1">
        <v>1.7623626166240525E-2</v>
      </c>
      <c r="DR22" s="1">
        <v>6.041205301169892E-3</v>
      </c>
      <c r="DS22" s="1">
        <v>-1.2148883008969782E-3</v>
      </c>
      <c r="DT22" s="1">
        <v>-1.3393620553420849E-2</v>
      </c>
      <c r="DU22" s="1">
        <v>1.96820763079706E-2</v>
      </c>
      <c r="DV22" s="1">
        <v>1.429897548914049E-3</v>
      </c>
      <c r="DW22" s="1">
        <v>-2.6460851854878745E-3</v>
      </c>
      <c r="DX22" s="1">
        <v>1.0406655373686735E-2</v>
      </c>
      <c r="DY22" s="1">
        <v>-1.1848438009836003E-3</v>
      </c>
      <c r="DZ22" s="1">
        <v>-4.8392933169031441E-3</v>
      </c>
      <c r="EA22" s="1">
        <v>-2.1726439070058508E-3</v>
      </c>
      <c r="EB22" s="1">
        <v>1.5244649354913029E-2</v>
      </c>
      <c r="EC22" s="1">
        <v>1.6336265580934539E-2</v>
      </c>
      <c r="ED22" s="1">
        <v>1.2435061015503422E-2</v>
      </c>
      <c r="EE22" s="1">
        <v>-3.5519327315971239E-3</v>
      </c>
      <c r="EF22" s="1">
        <v>4.5280558566660016E-3</v>
      </c>
      <c r="EG22" s="1">
        <v>4.8366946455494532E-3</v>
      </c>
      <c r="EH22" s="1">
        <v>1.346479350215303E-2</v>
      </c>
      <c r="EI22" s="1">
        <v>-1.4123792560786705E-2</v>
      </c>
      <c r="EJ22" s="1">
        <v>-1.1539019312976559E-3</v>
      </c>
      <c r="EK22" s="1">
        <v>-6.4143265007789232E-3</v>
      </c>
      <c r="EL22" s="1">
        <v>2.5833975143074311E-3</v>
      </c>
      <c r="EM22" s="1">
        <v>-4.704535327217943E-3</v>
      </c>
      <c r="EN22" s="1">
        <v>-1.7518013487510808E-4</v>
      </c>
      <c r="EO22" s="1">
        <v>-7.8245571950561303E-3</v>
      </c>
      <c r="EP22" s="1">
        <v>-2.7899214847727713E-3</v>
      </c>
      <c r="EQ22" s="1">
        <v>-8.1632404838529668E-3</v>
      </c>
      <c r="ER22" s="1">
        <v>-2.2855383366047893E-3</v>
      </c>
      <c r="ES22" s="1">
        <v>2.1300250563665302E-3</v>
      </c>
      <c r="ET22" s="1">
        <v>-1.2977382305825458E-3</v>
      </c>
      <c r="EU22" s="1">
        <v>-1.4319536920071207E-2</v>
      </c>
      <c r="EV22" s="10">
        <v>-7.9893596846546885E-3</v>
      </c>
    </row>
    <row r="23" spans="1:152" x14ac:dyDescent="0.25">
      <c r="A23" s="21">
        <f t="shared" ca="1" si="0"/>
        <v>2.6452934610762681E-2</v>
      </c>
      <c r="B23" s="5">
        <v>22</v>
      </c>
      <c r="C23" s="9">
        <v>1.9748629409074431E-2</v>
      </c>
      <c r="D23" s="1">
        <v>1.3169204663038822E-2</v>
      </c>
      <c r="E23" s="1">
        <v>1.7369241606078785E-2</v>
      </c>
      <c r="F23" s="1">
        <v>1.6389413880720037E-2</v>
      </c>
      <c r="G23" s="1">
        <v>2.1848647880594423E-2</v>
      </c>
      <c r="H23" s="1">
        <v>2.7852494688399572E-2</v>
      </c>
      <c r="I23" s="1">
        <v>2.2821412678442891E-2</v>
      </c>
      <c r="J23" s="1">
        <v>1.8768801683715676E-2</v>
      </c>
      <c r="K23" s="1">
        <v>1.4429758430002528E-2</v>
      </c>
      <c r="L23" s="1">
        <v>1.289689825907344E-2</v>
      </c>
      <c r="M23" s="1">
        <v>2.1148189486711329E-2</v>
      </c>
      <c r="N23" s="1">
        <v>1.9888992429876913E-2</v>
      </c>
      <c r="O23" s="1">
        <v>1.1917070533714685E-2</v>
      </c>
      <c r="P23" s="1">
        <v>1.4717547399117764E-2</v>
      </c>
      <c r="Q23" s="1">
        <v>2.3527577289706975E-2</v>
      </c>
      <c r="R23" s="1">
        <v>3.3871824061354569E-2</v>
      </c>
      <c r="S23" s="1">
        <v>2.7852494688399572E-2</v>
      </c>
      <c r="T23" s="1">
        <v>2.1560858911479186E-2</v>
      </c>
      <c r="U23" s="1">
        <v>2.2820055968313595E-2</v>
      </c>
      <c r="V23" s="1">
        <v>2.6180628206797292E-2</v>
      </c>
      <c r="W23" s="1">
        <v>1.6528420191393216E-2</v>
      </c>
      <c r="X23" s="1">
        <v>2.6452934610762681E-2</v>
      </c>
      <c r="Y23" s="1">
        <v>2.4089029372916883E-2</v>
      </c>
      <c r="Z23" s="1">
        <v>2.2105471719409957E-2</v>
      </c>
      <c r="AA23" s="1">
        <v>1.9888992429876913E-2</v>
      </c>
      <c r="AB23" s="1">
        <v>1.2609109289958204E-2</v>
      </c>
      <c r="AC23" s="1">
        <v>2.2393260688525186E-2</v>
      </c>
      <c r="AD23" s="1">
        <v>1.9188534035993812E-2</v>
      </c>
      <c r="AE23" s="1">
        <v>1.7648610937554439E-2</v>
      </c>
      <c r="AF23" s="1">
        <v>1.7369241606078785E-2</v>
      </c>
      <c r="AG23" s="1">
        <v>1.5269223134558814E-2</v>
      </c>
      <c r="AH23" s="1">
        <v>2.0152879196202726E-2</v>
      </c>
      <c r="AI23" s="1">
        <v>2.6615843124225269E-2</v>
      </c>
      <c r="AJ23" s="1">
        <v>2.8287709605827563E-2</v>
      </c>
      <c r="AK23" s="1">
        <v>1.4709127761478195E-2</v>
      </c>
      <c r="AL23" s="1">
        <v>1.5688955486836943E-2</v>
      </c>
      <c r="AM23" s="1">
        <v>1.7508247916751971E-2</v>
      </c>
      <c r="AN23" s="1">
        <v>2.0596513751270286E-2</v>
      </c>
      <c r="AO23" s="1">
        <v>1.5969681528441901E-2</v>
      </c>
      <c r="AP23" s="1">
        <v>1.8208706310635057E-2</v>
      </c>
      <c r="AQ23" s="1">
        <v>2.2120954284559805E-2</v>
      </c>
      <c r="AR23" s="1">
        <v>6.4423539686904521E-3</v>
      </c>
      <c r="AS23" s="1">
        <v>1.904952772532064E-2</v>
      </c>
      <c r="AT23" s="1">
        <v>2.755764279177407E-2</v>
      </c>
      <c r="AU23" s="1">
        <v>2.7992857709202047E-2</v>
      </c>
      <c r="AV23" s="1">
        <v>1.5541529538524196E-2</v>
      </c>
      <c r="AW23" s="1">
        <v>2.4368398704392537E-2</v>
      </c>
      <c r="AX23" s="1">
        <v>1.7929336979159403E-2</v>
      </c>
      <c r="AY23" s="1">
        <v>2.1708284859791947E-2</v>
      </c>
      <c r="AZ23" s="1">
        <v>1.722887858527631E-2</v>
      </c>
      <c r="BA23" s="1">
        <v>2.0033043854911017E-3</v>
      </c>
      <c r="BB23" s="1">
        <v>7.1761061263795403E-3</v>
      </c>
      <c r="BC23" s="1">
        <v>2.8357061625370952E-3</v>
      </c>
      <c r="BD23" s="1">
        <v>-5.2668024066587424E-3</v>
      </c>
      <c r="BE23" s="1">
        <v>4.5631835954145633E-4</v>
      </c>
      <c r="BF23" s="1">
        <v>1.3126223393768663E-3</v>
      </c>
      <c r="BG23" s="1">
        <v>1.1088354100304294E-2</v>
      </c>
      <c r="BH23" s="1">
        <v>-5.8029955769499444E-3</v>
      </c>
      <c r="BI23" s="1">
        <v>-2.1883129199092924E-3</v>
      </c>
      <c r="BJ23" s="1">
        <v>4.3854056087453339E-3</v>
      </c>
      <c r="BK23" s="1">
        <v>-1.2522783343788035E-2</v>
      </c>
      <c r="BL23" s="1">
        <v>6.8967367949038794E-3</v>
      </c>
      <c r="BM23" s="1">
        <v>-1.5043890877715453E-2</v>
      </c>
      <c r="BN23" s="1">
        <v>2.4243934478985416E-3</v>
      </c>
      <c r="BO23" s="1">
        <v>3.4126408108968651E-3</v>
      </c>
      <c r="BP23" s="1">
        <v>2.143667406293577E-3</v>
      </c>
      <c r="BQ23" s="1">
        <v>8.5770229141457488E-3</v>
      </c>
      <c r="BR23" s="1">
        <v>-6.2240846393573704E-3</v>
      </c>
      <c r="BS23" s="1">
        <v>-7.1029341118529141E-3</v>
      </c>
      <c r="BT23" s="1">
        <v>-6.3715105876701178E-3</v>
      </c>
      <c r="BU23" s="1">
        <v>1.5413271498996885E-2</v>
      </c>
      <c r="BV23" s="1">
        <v>-9.2775915294558003E-4</v>
      </c>
      <c r="BW23" s="1">
        <v>-3.0432601896154127E-3</v>
      </c>
      <c r="BX23" s="1">
        <v>-2.7399886553503353E-3</v>
      </c>
      <c r="BY23" s="1">
        <v>-1.0681221737480831E-3</v>
      </c>
      <c r="BZ23" s="1">
        <v>1.1638396809348361E-3</v>
      </c>
      <c r="CA23" s="1">
        <v>-3.0361972621051406E-3</v>
      </c>
      <c r="CB23" s="1">
        <v>6.0404328150684694E-3</v>
      </c>
      <c r="CC23" s="1">
        <v>4.7967183233839014E-3</v>
      </c>
      <c r="CD23" s="1">
        <v>-7.2039123647161321E-3</v>
      </c>
      <c r="CE23" s="1">
        <v>-7.3513383130288865E-3</v>
      </c>
      <c r="CF23" s="1">
        <v>-9.1635678154336417E-3</v>
      </c>
      <c r="CG23" s="1">
        <v>-2.5996256345478599E-3</v>
      </c>
      <c r="CH23" s="1">
        <v>3.5291016289099239E-3</v>
      </c>
      <c r="CI23" s="1">
        <v>9.697213660306972E-3</v>
      </c>
      <c r="CJ23" s="1">
        <v>1.4308563317985502E-2</v>
      </c>
      <c r="CK23" s="1">
        <v>3.9558969086983323E-3</v>
      </c>
      <c r="CL23" s="1">
        <v>-9.7475653913036628E-3</v>
      </c>
      <c r="CM23" s="1">
        <v>4.9525639093362384E-3</v>
      </c>
      <c r="CN23" s="1">
        <v>-2.1869562097800027E-3</v>
      </c>
      <c r="CO23" s="1">
        <v>-2.4592626137453846E-3</v>
      </c>
      <c r="CP23" s="1">
        <v>3.9643165463379149E-3</v>
      </c>
      <c r="CQ23" s="1">
        <v>-4.1395487329872263E-3</v>
      </c>
      <c r="CR23" s="1">
        <v>-7.9030140484699293E-3</v>
      </c>
      <c r="CS23" s="1">
        <v>3.3279461401813232E-4</v>
      </c>
      <c r="CT23" s="1">
        <v>2.5802390338508507E-3</v>
      </c>
      <c r="CU23" s="1">
        <v>2.8525454378162327E-3</v>
      </c>
      <c r="CV23" s="1">
        <v>5.2068572413153935E-5</v>
      </c>
      <c r="CW23" s="1">
        <v>-3.571033722267053E-3</v>
      </c>
      <c r="CX23" s="1">
        <v>1.3126223393768663E-3</v>
      </c>
      <c r="CY23" s="1">
        <v>1.5223191816783034E-2</v>
      </c>
      <c r="CZ23" s="1">
        <v>-2.0892469228786306E-3</v>
      </c>
      <c r="DA23" s="1">
        <v>-1.1262584727990133E-3</v>
      </c>
      <c r="DB23" s="1">
        <v>-3.6221070938077318E-3</v>
      </c>
      <c r="DC23" s="1">
        <v>4.0465432680894253E-3</v>
      </c>
      <c r="DD23" s="1">
        <v>-3.926735338202092E-3</v>
      </c>
      <c r="DE23" s="1">
        <v>-3.7526937668413418E-3</v>
      </c>
      <c r="DF23" s="1">
        <v>-9.2230608246138893E-3</v>
      </c>
      <c r="DG23" s="1">
        <v>-1.2022180979887678E-2</v>
      </c>
      <c r="DH23" s="1">
        <v>1.4802102754375594E-2</v>
      </c>
      <c r="DI23" s="1">
        <v>3.5019304601586546E-3</v>
      </c>
      <c r="DJ23" s="1">
        <v>-5.4498191613623417E-3</v>
      </c>
      <c r="DK23" s="1">
        <v>5.5402764644282843E-4</v>
      </c>
      <c r="DL23" s="1">
        <v>-2.7967682442720104E-3</v>
      </c>
      <c r="DM23" s="1">
        <v>8.5118236875845119E-3</v>
      </c>
      <c r="DN23" s="1">
        <v>9.4987143404535249E-3</v>
      </c>
      <c r="DO23" s="1">
        <v>-3.2023747415295956E-3</v>
      </c>
      <c r="DP23" s="1">
        <v>9.6447835786369826E-3</v>
      </c>
      <c r="DQ23" s="1">
        <v>-7.0220641002306863E-3</v>
      </c>
      <c r="DR23" s="1">
        <v>-1.8157971170855734E-2</v>
      </c>
      <c r="DS23" s="1">
        <v>6.6982374750504461E-3</v>
      </c>
      <c r="DT23" s="1">
        <v>2.383096424126728E-3</v>
      </c>
      <c r="DU23" s="1">
        <v>-9.3789064105662193E-3</v>
      </c>
      <c r="DV23" s="1">
        <v>-6.7019532906864646E-3</v>
      </c>
      <c r="DW23" s="1">
        <v>5.7338923148415391E-3</v>
      </c>
      <c r="DX23" s="1">
        <v>-4.0431961562151716E-3</v>
      </c>
      <c r="DY23" s="1">
        <v>-4.6019348191664936E-3</v>
      </c>
      <c r="DZ23" s="1">
        <v>-9.6199324920712148E-4</v>
      </c>
      <c r="EA23" s="1">
        <v>-2.8543705811346493E-4</v>
      </c>
      <c r="EB23" s="1">
        <v>-1.0747501357903422E-2</v>
      </c>
      <c r="EC23" s="1">
        <v>-9.5108497937291328E-3</v>
      </c>
      <c r="ED23" s="1">
        <v>4.9001338276662351E-3</v>
      </c>
      <c r="EE23" s="1">
        <v>1.5267924442912903E-3</v>
      </c>
      <c r="EF23" s="1">
        <v>-1.0598718699461364E-2</v>
      </c>
      <c r="EG23" s="1">
        <v>-1.4370603652583615E-2</v>
      </c>
      <c r="EH23" s="1">
        <v>-8.6237170647321393E-4</v>
      </c>
      <c r="EI23" s="1">
        <v>1.4950885412817645E-2</v>
      </c>
      <c r="EJ23" s="1">
        <v>-1.1023562700096176E-3</v>
      </c>
      <c r="EK23" s="1">
        <v>-4.0189787612651684E-4</v>
      </c>
      <c r="EL23" s="1">
        <v>1.5338553718015693E-3</v>
      </c>
      <c r="EM23" s="1">
        <v>8.090734625177072E-3</v>
      </c>
      <c r="EN23" s="1">
        <v>5.1583143766110798E-3</v>
      </c>
      <c r="EO23" s="1">
        <v>-2.0892469228786306E-3</v>
      </c>
      <c r="EP23" s="1">
        <v>7.2583328481310785E-3</v>
      </c>
      <c r="EQ23" s="1">
        <v>1.298281032446056E-2</v>
      </c>
      <c r="ER23" s="1">
        <v>4.7385820243329435E-3</v>
      </c>
      <c r="ES23" s="1">
        <v>-7.969569985160449E-3</v>
      </c>
      <c r="ET23" s="1">
        <v>4.2208426327991488E-4</v>
      </c>
      <c r="EU23" s="1">
        <v>1.3698751283493495E-2</v>
      </c>
      <c r="EV23" s="10">
        <v>1.581974969540878E-4</v>
      </c>
    </row>
    <row r="24" spans="1:152" x14ac:dyDescent="0.25">
      <c r="A24" s="21">
        <f t="shared" ca="1" si="0"/>
        <v>3.3093050117994724E-2</v>
      </c>
      <c r="B24" s="5">
        <v>23</v>
      </c>
      <c r="C24" s="9">
        <v>2.0910669962856343E-2</v>
      </c>
      <c r="D24" s="1">
        <v>1.0262647960426988E-2</v>
      </c>
      <c r="E24" s="1">
        <v>1.9734407152700043E-2</v>
      </c>
      <c r="F24" s="1">
        <v>1.8721777836064449E-2</v>
      </c>
      <c r="G24" s="1">
        <v>2.5646549558992857E-2</v>
      </c>
      <c r="H24" s="1">
        <v>2.4252662866437721E-2</v>
      </c>
      <c r="I24" s="1">
        <v>2.6059466453866878E-2</v>
      </c>
      <c r="J24" s="1">
        <v>1.9898040646220735E-2</v>
      </c>
      <c r="K24" s="1">
        <v>1.6696519202793247E-2</v>
      </c>
      <c r="L24" s="1">
        <v>1.4421977168168766E-2</v>
      </c>
      <c r="M24" s="1">
        <v>2.1074303456377064E-2</v>
      </c>
      <c r="N24" s="1">
        <v>2.3621290925721669E-2</v>
      </c>
      <c r="O24" s="1">
        <v>1.3409347851533172E-2</v>
      </c>
      <c r="P24" s="1">
        <v>2.2717473550285486E-2</v>
      </c>
      <c r="Q24" s="1">
        <v>2.2250566266533378E-2</v>
      </c>
      <c r="R24" s="1">
        <v>3.3039059729116638E-2</v>
      </c>
      <c r="S24" s="1">
        <v>2.4252662866437721E-2</v>
      </c>
      <c r="T24" s="1">
        <v>1.9625595211500618E-2</v>
      </c>
      <c r="U24" s="1">
        <v>1.7078607742155985E-2</v>
      </c>
      <c r="V24" s="1">
        <v>2.8248358580658772E-2</v>
      </c>
      <c r="W24" s="1">
        <v>1.2451540087218882E-2</v>
      </c>
      <c r="X24" s="1">
        <v>2.4089029372917029E-2</v>
      </c>
      <c r="Y24" s="1">
        <v>3.3093050117994724E-2</v>
      </c>
      <c r="Z24" s="1">
        <v>1.1306936796017061E-2</v>
      </c>
      <c r="AA24" s="1">
        <v>2.3621290925721669E-2</v>
      </c>
      <c r="AB24" s="1">
        <v>8.4010228206765208E-3</v>
      </c>
      <c r="AC24" s="1">
        <v>1.73278911435093E-2</v>
      </c>
      <c r="AD24" s="1">
        <v>1.9049044823105876E-2</v>
      </c>
      <c r="AE24" s="1">
        <v>1.6174790366719816E-2</v>
      </c>
      <c r="AF24" s="1">
        <v>1.9734407152700043E-2</v>
      </c>
      <c r="AG24" s="1">
        <v>1.4998527556563515E-2</v>
      </c>
      <c r="AH24" s="1">
        <v>9.8813905845074393E-3</v>
      </c>
      <c r="AI24" s="1">
        <v>3.7579646312777909E-2</v>
      </c>
      <c r="AJ24" s="1">
        <v>3.3583950598556886E-2</v>
      </c>
      <c r="AK24" s="1">
        <v>1.3136902416813048E-2</v>
      </c>
      <c r="AL24" s="1">
        <v>1.4149531733448642E-2</v>
      </c>
      <c r="AM24" s="1">
        <v>1.346416940385449E-2</v>
      </c>
      <c r="AN24" s="1">
        <v>2.8793249450099034E-2</v>
      </c>
      <c r="AO24" s="1">
        <v>1.9570773659179308E-2</v>
      </c>
      <c r="AP24" s="1">
        <v>1.8036415506470282E-2</v>
      </c>
      <c r="AQ24" s="1">
        <v>2.1487220351251071E-2</v>
      </c>
      <c r="AR24" s="1">
        <v>-3.69570742662928E-3</v>
      </c>
      <c r="AS24" s="1">
        <v>2.5319282571951429E-2</v>
      </c>
      <c r="AT24" s="1">
        <v>1.7631996097183911E-2</v>
      </c>
      <c r="AU24" s="1">
        <v>2.6963283829303061E-2</v>
      </c>
      <c r="AV24" s="1">
        <v>1.083919834882173E-2</v>
      </c>
      <c r="AW24" s="1">
        <v>2.9533433332014497E-2</v>
      </c>
      <c r="AX24" s="1">
        <v>2.1596032292450509E-2</v>
      </c>
      <c r="AY24" s="1">
        <v>2.2935928596127531E-2</v>
      </c>
      <c r="AZ24" s="1">
        <v>1.7023786189834675E-2</v>
      </c>
      <c r="BA24" s="1">
        <v>-8.3993526404878595E-3</v>
      </c>
      <c r="BB24" s="1">
        <v>1.4853234466591925E-3</v>
      </c>
      <c r="BC24" s="1">
        <v>-1.0697056708479202E-2</v>
      </c>
      <c r="BD24" s="1">
        <v>-5.0581909003497121E-3</v>
      </c>
      <c r="BE24" s="1">
        <v>-1.1873319518635517E-2</v>
      </c>
      <c r="BF24" s="1">
        <v>5.5898311020796294E-3</v>
      </c>
      <c r="BG24" s="1">
        <v>4.9361282914399708E-3</v>
      </c>
      <c r="BH24" s="1">
        <v>1.2841038648606279E-2</v>
      </c>
      <c r="BI24" s="1">
        <v>-8.2905406992884699E-3</v>
      </c>
      <c r="BJ24" s="1">
        <v>1.0738627593090199E-2</v>
      </c>
      <c r="BK24" s="1">
        <v>-5.1760431668840257E-4</v>
      </c>
      <c r="BL24" s="1">
        <v>5.0449402326393777E-3</v>
      </c>
      <c r="BM24" s="1">
        <v>-1.3385346801420908E-2</v>
      </c>
      <c r="BN24" s="1">
        <v>-2.6748975189186744E-4</v>
      </c>
      <c r="BO24" s="1">
        <v>1.0325710698216157E-2</v>
      </c>
      <c r="BP24" s="1">
        <v>-5.6887316776225334E-3</v>
      </c>
      <c r="BQ24" s="1">
        <v>1.0629815651890778E-2</v>
      </c>
      <c r="BR24" s="1">
        <v>4.7091757600103007E-3</v>
      </c>
      <c r="BS24" s="1">
        <v>-2.3533970837700438E-2</v>
      </c>
      <c r="BT24" s="1">
        <v>1.3988423753833815E-3</v>
      </c>
      <c r="BU24" s="1">
        <v>6.9382248913443419E-3</v>
      </c>
      <c r="BV24" s="1">
        <v>-1.8566694569222102E-3</v>
      </c>
      <c r="BW24" s="1">
        <v>-1.6772832608292737E-2</v>
      </c>
      <c r="BX24" s="1">
        <v>-5.7159470556649057E-4</v>
      </c>
      <c r="BY24" s="1">
        <v>-4.5672904197875501E-3</v>
      </c>
      <c r="BZ24" s="1">
        <v>-6.7013609942581272E-3</v>
      </c>
      <c r="CA24" s="1">
        <v>-1.6173120186531168E-2</v>
      </c>
      <c r="CB24" s="1">
        <v>-1.2418210388075755E-2</v>
      </c>
      <c r="CC24" s="1">
        <v>3.0906063650286419E-4</v>
      </c>
      <c r="CD24" s="1">
        <v>3.6965464433746931E-3</v>
      </c>
      <c r="CE24" s="1">
        <v>3.8621305874778772E-4</v>
      </c>
      <c r="CF24" s="1">
        <v>1.6712878101035056E-3</v>
      </c>
      <c r="CG24" s="1">
        <v>2.139026257298865E-3</v>
      </c>
      <c r="CH24" s="1">
        <v>-6.7245230276249505E-3</v>
      </c>
      <c r="CI24" s="1">
        <v>1.4353065931391698E-2</v>
      </c>
      <c r="CJ24" s="1">
        <v>1.3395258167077418E-2</v>
      </c>
      <c r="CK24" s="1">
        <v>-6.9738064289782548E-3</v>
      </c>
      <c r="CL24" s="1">
        <v>-1.9951192018353419E-2</v>
      </c>
      <c r="CM24" s="1">
        <v>1.3199965154602217E-2</v>
      </c>
      <c r="CN24" s="1">
        <v>6.9031801242240912E-4</v>
      </c>
      <c r="CO24" s="1">
        <v>4.849647220164191E-3</v>
      </c>
      <c r="CP24" s="1">
        <v>2.6067647044941931E-3</v>
      </c>
      <c r="CQ24" s="1">
        <v>-7.3522819908719735E-4</v>
      </c>
      <c r="CR24" s="1">
        <v>8.1051590524697514E-3</v>
      </c>
      <c r="CS24" s="1">
        <v>4.5772017854440634E-3</v>
      </c>
      <c r="CT24" s="1">
        <v>1.2623414766207472E-2</v>
      </c>
      <c r="CU24" s="1">
        <v>8.46408555846569E-3</v>
      </c>
      <c r="CV24" s="1">
        <v>-8.440401402866303E-4</v>
      </c>
      <c r="CW24" s="1">
        <v>1.0706968074135702E-2</v>
      </c>
      <c r="CX24" s="1">
        <v>5.5898311020796294E-3</v>
      </c>
      <c r="CY24" s="1">
        <v>8.6402956088739991E-3</v>
      </c>
      <c r="CZ24" s="1">
        <v>8.4133430774443289E-3</v>
      </c>
      <c r="DA24" s="1">
        <v>-9.735169872864987E-3</v>
      </c>
      <c r="DB24" s="1">
        <v>6.1388010428198199E-3</v>
      </c>
      <c r="DC24" s="1">
        <v>1.4950621428206842E-4</v>
      </c>
      <c r="DD24" s="1">
        <v>-1.9043295571617293E-2</v>
      </c>
      <c r="DE24" s="1">
        <v>2.1989609925137803E-2</v>
      </c>
      <c r="DF24" s="1">
        <v>-1.2477450354684821E-2</v>
      </c>
      <c r="DG24" s="1">
        <v>-1.2804717341726248E-2</v>
      </c>
      <c r="DH24" s="1">
        <v>5.0843272027800701E-4</v>
      </c>
      <c r="DI24" s="1">
        <v>8.4681646297656288E-3</v>
      </c>
      <c r="DJ24" s="1">
        <v>-2.7564077610584582E-3</v>
      </c>
      <c r="DK24" s="1">
        <v>-4.1502944536135865E-3</v>
      </c>
      <c r="DL24" s="1">
        <v>3.2413845530669394E-3</v>
      </c>
      <c r="DM24" s="1">
        <v>4.8622237770517655E-3</v>
      </c>
      <c r="DN24" s="1">
        <v>6.4745655154489386E-3</v>
      </c>
      <c r="DO24" s="1">
        <v>5.2898052197049468E-3</v>
      </c>
      <c r="DP24" s="1">
        <v>8.0404018836495103E-4</v>
      </c>
      <c r="DQ24" s="1">
        <v>-3.4972088039623414E-2</v>
      </c>
      <c r="DR24" s="1">
        <v>-4.540880478564005E-3</v>
      </c>
      <c r="DS24" s="1">
        <v>-2.8335601833033956E-3</v>
      </c>
      <c r="DT24" s="1">
        <v>1.372577306197556E-2</v>
      </c>
      <c r="DU24" s="1">
        <v>-2.536835487278416E-2</v>
      </c>
      <c r="DV24" s="1">
        <v>3.9029213004772648E-4</v>
      </c>
      <c r="DW24" s="1">
        <v>6.3340940552950205E-3</v>
      </c>
      <c r="DX24" s="1">
        <v>-1.9930618457761722E-3</v>
      </c>
      <c r="DY24" s="1">
        <v>5.1261717261842123E-3</v>
      </c>
      <c r="DZ24" s="1">
        <v>1.2736305778706814E-2</v>
      </c>
      <c r="EA24" s="1">
        <v>-2.452302807383868E-3</v>
      </c>
      <c r="EB24" s="1">
        <v>-5.1714212558368576E-3</v>
      </c>
      <c r="EC24" s="1">
        <v>-1.8498404702177066E-2</v>
      </c>
      <c r="ED24" s="1">
        <v>-3.4906058842454346E-4</v>
      </c>
      <c r="EE24" s="1">
        <v>-3.7373775587395859E-3</v>
      </c>
      <c r="EF24" s="1">
        <v>7.1197708405009164E-3</v>
      </c>
      <c r="EG24" s="1">
        <v>6.3795869585854779E-3</v>
      </c>
      <c r="EH24" s="1">
        <v>-2.3475070214079196E-2</v>
      </c>
      <c r="EI24" s="1">
        <v>1.2799624816615781E-2</v>
      </c>
      <c r="EJ24" s="1">
        <v>1.0025684815841474E-2</v>
      </c>
      <c r="EK24" s="1">
        <v>1.4597930918457267E-2</v>
      </c>
      <c r="EL24" s="1">
        <v>-3.1376651369780205E-3</v>
      </c>
      <c r="EM24" s="1">
        <v>-3.2696391115442265E-3</v>
      </c>
      <c r="EN24" s="1">
        <v>-5.7078146396894562E-3</v>
      </c>
      <c r="EO24" s="1">
        <v>8.4133430774443289E-3</v>
      </c>
      <c r="EP24" s="1">
        <v>-9.7193504355290103E-4</v>
      </c>
      <c r="EQ24" s="1">
        <v>1.1937950498721456E-3</v>
      </c>
      <c r="ER24" s="1">
        <v>-4.8588188165745692E-3</v>
      </c>
      <c r="ES24" s="1">
        <v>-6.6432915340801126E-3</v>
      </c>
      <c r="ET24" s="1">
        <v>2.7196557169935076E-3</v>
      </c>
      <c r="EU24" s="1">
        <v>1.5946324707721952E-2</v>
      </c>
      <c r="EV24" s="10">
        <v>1.645955605820772E-2</v>
      </c>
    </row>
    <row r="25" spans="1:152" x14ac:dyDescent="0.25">
      <c r="A25" s="21">
        <f t="shared" ca="1" si="0"/>
        <v>3.8834692925999476E-2</v>
      </c>
      <c r="B25" s="5">
        <v>24</v>
      </c>
      <c r="C25" s="9">
        <v>1.5632931268749262E-2</v>
      </c>
      <c r="D25" s="1">
        <v>2.8474920539416249E-2</v>
      </c>
      <c r="E25" s="1">
        <v>2.2426778436320349E-2</v>
      </c>
      <c r="F25" s="1">
        <v>2.4799887777276097E-2</v>
      </c>
      <c r="G25" s="1">
        <v>1.2608860217201284E-2</v>
      </c>
      <c r="H25" s="1">
        <v>1.7684733892794541E-2</v>
      </c>
      <c r="I25" s="1">
        <v>2.2638977610102723E-2</v>
      </c>
      <c r="J25" s="1">
        <v>1.8006040609704982E-2</v>
      </c>
      <c r="K25" s="1">
        <v>2.9546106459187566E-2</v>
      </c>
      <c r="L25" s="1">
        <v>1.9841469921582228E-2</v>
      </c>
      <c r="M25" s="1">
        <v>1.1212193442133866E-2</v>
      </c>
      <c r="N25" s="1">
        <v>1.735507889911278E-2</v>
      </c>
      <c r="O25" s="1">
        <v>2.2214579262537976E-2</v>
      </c>
      <c r="P25" s="1">
        <v>2.0587174986057444E-2</v>
      </c>
      <c r="Q25" s="1">
        <v>4.4183462745627788E-3</v>
      </c>
      <c r="R25" s="1">
        <v>5.1682254774236269E-3</v>
      </c>
      <c r="S25" s="1">
        <v>1.7684733892794541E-2</v>
      </c>
      <c r="T25" s="1">
        <v>2.1567791690331434E-2</v>
      </c>
      <c r="U25" s="1">
        <v>1.5424906233352548E-2</v>
      </c>
      <c r="V25" s="1">
        <v>1.3472021101575887E-2</v>
      </c>
      <c r="W25" s="1">
        <v>1.9307964030889413E-2</v>
      </c>
      <c r="X25" s="1">
        <v>2.2105471719409908E-2</v>
      </c>
      <c r="Y25" s="1">
        <v>1.1306936796016853E-2</v>
      </c>
      <c r="Z25" s="1">
        <v>3.8834692925999476E-2</v>
      </c>
      <c r="AA25" s="1">
        <v>1.735507889911278E-2</v>
      </c>
      <c r="AB25" s="1">
        <v>2.8800401394712377E-2</v>
      </c>
      <c r="AC25" s="1">
        <v>2.9875761452869326E-2</v>
      </c>
      <c r="AD25" s="1">
        <v>1.5958412124045362E-2</v>
      </c>
      <c r="AE25" s="1">
        <v>1.8657002320297211E-2</v>
      </c>
      <c r="AF25" s="1">
        <v>2.2426778436320349E-2</v>
      </c>
      <c r="AG25" s="1">
        <v>2.5450849487868299E-2</v>
      </c>
      <c r="AH25" s="1">
        <v>3.1177684874053757E-2</v>
      </c>
      <c r="AI25" s="1">
        <v>-6.1679894750478748E-3</v>
      </c>
      <c r="AJ25" s="1">
        <v>-1.955276683829249E-3</v>
      </c>
      <c r="AK25" s="1">
        <v>2.57763303431644E-2</v>
      </c>
      <c r="AL25" s="1">
        <v>2.340322100220868E-2</v>
      </c>
      <c r="AM25" s="1">
        <v>1.6934854689933665E-2</v>
      </c>
      <c r="AN25" s="1">
        <v>6.3485189403230113E-3</v>
      </c>
      <c r="AO25" s="1">
        <v>2.6847516262935717E-2</v>
      </c>
      <c r="AP25" s="1">
        <v>1.833152146500111E-2</v>
      </c>
      <c r="AQ25" s="1">
        <v>2.1242310835035305E-2</v>
      </c>
      <c r="AR25" s="1">
        <v>5.1997988913576931E-2</v>
      </c>
      <c r="AS25" s="1">
        <v>2.1450335870432019E-2</v>
      </c>
      <c r="AT25" s="1">
        <v>3.9046892099781821E-2</v>
      </c>
      <c r="AU25" s="1">
        <v>1.9406881523158059E-2</v>
      </c>
      <c r="AV25" s="1">
        <v>3.408430010570232E-2</v>
      </c>
      <c r="AW25" s="1">
        <v>7.5371606799937152E-3</v>
      </c>
      <c r="AX25" s="1">
        <v>2.2101297581024248E-2</v>
      </c>
      <c r="AY25" s="1">
        <v>1.0886712586837766E-2</v>
      </c>
      <c r="AZ25" s="1">
        <v>2.0704630805956831E-2</v>
      </c>
      <c r="BA25" s="1">
        <v>-3.7490248315614205E-3</v>
      </c>
      <c r="BB25" s="1">
        <v>2.3295045824409111E-4</v>
      </c>
      <c r="BC25" s="1">
        <v>4.5589449309764996E-3</v>
      </c>
      <c r="BD25" s="1">
        <v>9.7212136836814095E-3</v>
      </c>
      <c r="BE25" s="1">
        <v>1.1352792098547615E-2</v>
      </c>
      <c r="BF25" s="1">
        <v>-3.1207755869855913E-3</v>
      </c>
      <c r="BG25" s="1">
        <v>3.1437398282783413E-3</v>
      </c>
      <c r="BH25" s="1">
        <v>-1.2734842909093602E-2</v>
      </c>
      <c r="BI25" s="1">
        <v>-2.8900380855724772E-3</v>
      </c>
      <c r="BJ25" s="1">
        <v>3.8852707543678699E-3</v>
      </c>
      <c r="BK25" s="1">
        <v>-1.6150012687901061E-3</v>
      </c>
      <c r="BL25" s="1">
        <v>4.0027265742672569E-3</v>
      </c>
      <c r="BM25" s="1">
        <v>-3.7573731083327261E-3</v>
      </c>
      <c r="BN25" s="1">
        <v>1.417418059529163E-3</v>
      </c>
      <c r="BO25" s="1">
        <v>-6.1448466385335548E-3</v>
      </c>
      <c r="BP25" s="1">
        <v>-2.0268772011978881E-3</v>
      </c>
      <c r="BQ25" s="1">
        <v>3.0262840083789405E-3</v>
      </c>
      <c r="BR25" s="1">
        <v>-1.7901285800184172E-2</v>
      </c>
      <c r="BS25" s="1">
        <v>2.656789071017035E-2</v>
      </c>
      <c r="BT25" s="1">
        <v>-7.2202066966905176E-3</v>
      </c>
      <c r="BU25" s="1">
        <v>1.6410127446510075E-2</v>
      </c>
      <c r="BV25" s="1">
        <v>-1.8188521658011603E-3</v>
      </c>
      <c r="BW25" s="1">
        <v>1.8797600976710932E-2</v>
      </c>
      <c r="BX25" s="1">
        <v>-7.7537125873833324E-3</v>
      </c>
      <c r="BY25" s="1">
        <v>-3.5409997961646927E-3</v>
      </c>
      <c r="BZ25" s="1">
        <v>3.4623213975784606E-4</v>
      </c>
      <c r="CA25" s="1">
        <v>6.3943742428537592E-3</v>
      </c>
      <c r="CB25" s="1">
        <v>1.8476294259800477E-2</v>
      </c>
      <c r="CC25" s="1">
        <v>7.0267976258152204E-3</v>
      </c>
      <c r="CD25" s="1">
        <v>-1.5528176459228438E-2</v>
      </c>
      <c r="CE25" s="1">
        <v>-4.8470973557347835E-3</v>
      </c>
      <c r="CF25" s="1">
        <v>-1.0781957777316956E-2</v>
      </c>
      <c r="CG25" s="1">
        <v>-6.0315649570198276E-3</v>
      </c>
      <c r="CH25" s="1">
        <v>1.8358838439901076E-2</v>
      </c>
      <c r="CI25" s="1">
        <v>2.375322297786725E-3</v>
      </c>
      <c r="CJ25" s="1">
        <v>-5.3129293386183774E-4</v>
      </c>
      <c r="CK25" s="1">
        <v>3.907983220384284E-3</v>
      </c>
      <c r="CL25" s="1">
        <v>1.2325060526050285E-2</v>
      </c>
      <c r="CM25" s="1">
        <v>-8.8434368347854037E-3</v>
      </c>
      <c r="CN25" s="1">
        <v>4.3240332911777118E-3</v>
      </c>
      <c r="CO25" s="1">
        <v>-4.3094173266563091E-3</v>
      </c>
      <c r="CP25" s="1">
        <v>-1.2811721367226858E-3</v>
      </c>
      <c r="CQ25" s="1">
        <v>-3.3329747607679788E-3</v>
      </c>
      <c r="CR25" s="1">
        <v>-9.7107718575456525E-3</v>
      </c>
      <c r="CS25" s="1">
        <v>-7.4766624602987108E-4</v>
      </c>
      <c r="CT25" s="1">
        <v>-1.4452816401071461E-2</v>
      </c>
      <c r="CU25" s="1">
        <v>-5.8193657832374401E-3</v>
      </c>
      <c r="CV25" s="1">
        <v>-4.1919615067569083E-3</v>
      </c>
      <c r="CW25" s="1">
        <v>-8.8476109731710634E-3</v>
      </c>
      <c r="CX25" s="1">
        <v>-3.1207755869855913E-3</v>
      </c>
      <c r="CY25" s="1">
        <v>1.8396449495265588E-2</v>
      </c>
      <c r="CZ25" s="1">
        <v>-2.6485761331969254E-3</v>
      </c>
      <c r="DA25" s="1">
        <v>5.356625240061294E-3</v>
      </c>
      <c r="DB25" s="1">
        <v>-1.2353212670802249E-2</v>
      </c>
      <c r="DC25" s="1">
        <v>9.3386005298668195E-3</v>
      </c>
      <c r="DD25" s="1">
        <v>6.9840295165418398E-3</v>
      </c>
      <c r="DE25" s="1">
        <v>-1.2050444281522549E-2</v>
      </c>
      <c r="DF25" s="1">
        <v>-9.0984041178411579E-3</v>
      </c>
      <c r="DG25" s="1">
        <v>-2.5692846461042307E-4</v>
      </c>
      <c r="DH25" s="1">
        <v>1.3230006604175032E-2</v>
      </c>
      <c r="DI25" s="1">
        <v>-7.9283007058012223E-3</v>
      </c>
      <c r="DJ25" s="1">
        <v>-6.9569100142027884E-4</v>
      </c>
      <c r="DK25" s="1">
        <v>4.3801826741729638E-3</v>
      </c>
      <c r="DL25" s="1">
        <v>8.3579838255928296E-3</v>
      </c>
      <c r="DM25" s="1">
        <v>2.43271357784621E-2</v>
      </c>
      <c r="DN25" s="1">
        <v>9.5507997036491654E-3</v>
      </c>
      <c r="DO25" s="1">
        <v>-1.4400841156461869E-2</v>
      </c>
      <c r="DP25" s="1">
        <v>-8.3443507765946501E-3</v>
      </c>
      <c r="DQ25" s="1">
        <v>2.997359200000968E-2</v>
      </c>
      <c r="DR25" s="1">
        <v>-1.2244105127674168E-2</v>
      </c>
      <c r="DS25" s="1">
        <v>1.1178203980129725E-2</v>
      </c>
      <c r="DT25" s="1">
        <v>-6.3267618458803798E-5</v>
      </c>
      <c r="DU25" s="1">
        <v>6.7718303427594662E-3</v>
      </c>
      <c r="DV25" s="1">
        <v>-6.9560322782985518E-3</v>
      </c>
      <c r="DW25" s="1">
        <v>-4.0410687698786696E-3</v>
      </c>
      <c r="DX25" s="1">
        <v>-1.7519655561892805E-2</v>
      </c>
      <c r="DY25" s="1">
        <v>-9.9801033298465014E-3</v>
      </c>
      <c r="DZ25" s="1">
        <v>-1.57027645776463E-2</v>
      </c>
      <c r="EA25" s="1">
        <v>8.4754396454922304E-3</v>
      </c>
      <c r="EB25" s="1">
        <v>-2.3992196012553452E-2</v>
      </c>
      <c r="EC25" s="1">
        <v>-1.3947264471102228E-4</v>
      </c>
      <c r="ED25" s="1">
        <v>-1.9563109909166765E-2</v>
      </c>
      <c r="EE25" s="1">
        <v>1.4410300067074402E-2</v>
      </c>
      <c r="EF25" s="1">
        <v>-2.7459203739296917E-2</v>
      </c>
      <c r="EG25" s="1">
        <v>-2.8647845478967621E-2</v>
      </c>
      <c r="EH25" s="1">
        <v>1.9179231215002285E-2</v>
      </c>
      <c r="EI25" s="1">
        <v>9.7629988774315668E-3</v>
      </c>
      <c r="EJ25" s="1">
        <v>-1.7424912208009832E-2</v>
      </c>
      <c r="EK25" s="1">
        <v>-1.6028245432942415E-2</v>
      </c>
      <c r="EL25" s="1">
        <v>2.0070733332172297E-3</v>
      </c>
      <c r="EM25" s="1">
        <v>1.916069288737153E-2</v>
      </c>
      <c r="EN25" s="1">
        <v>1.3876794176381574E-2</v>
      </c>
      <c r="EO25" s="1">
        <v>-2.6485761331969254E-3</v>
      </c>
      <c r="EP25" s="1">
        <v>1.0852723124833624E-2</v>
      </c>
      <c r="EQ25" s="1">
        <v>1.9698372916450019E-2</v>
      </c>
      <c r="ER25" s="1">
        <v>1.5924422662041207E-2</v>
      </c>
      <c r="ES25" s="1">
        <v>4.376008535787318E-3</v>
      </c>
      <c r="ET25" s="1">
        <v>-2.5311203132975246E-3</v>
      </c>
      <c r="EU25" s="1">
        <v>3.5026576005532661E-3</v>
      </c>
      <c r="EV25" s="10">
        <v>-1.6353726288238529E-2</v>
      </c>
    </row>
    <row r="26" spans="1:152" x14ac:dyDescent="0.25">
      <c r="A26" s="21">
        <f t="shared" ca="1" si="0"/>
        <v>2.1397463478501969E-2</v>
      </c>
      <c r="B26" s="5">
        <v>25</v>
      </c>
      <c r="C26" s="9">
        <v>2.0031750074453264E-2</v>
      </c>
      <c r="D26" s="1">
        <v>1.8808028929806587E-2</v>
      </c>
      <c r="E26" s="1">
        <v>2.1031856377026224E-2</v>
      </c>
      <c r="F26" s="1">
        <v>2.1158756217245674E-2</v>
      </c>
      <c r="G26" s="1">
        <v>2.1143663798063077E-2</v>
      </c>
      <c r="H26" s="1">
        <v>1.9015785967523464E-2</v>
      </c>
      <c r="I26" s="1">
        <v>2.2072391278347911E-2</v>
      </c>
      <c r="J26" s="1">
        <v>2.0158649914672703E-2</v>
      </c>
      <c r="K26" s="1">
        <v>2.1412555897684558E-2</v>
      </c>
      <c r="L26" s="1">
        <v>1.9864421635485092E-2</v>
      </c>
      <c r="M26" s="1">
        <v>1.9158543612099732E-2</v>
      </c>
      <c r="N26" s="1">
        <v>2.1397463478501969E-2</v>
      </c>
      <c r="O26" s="1">
        <v>1.9991321475704541E-2</v>
      </c>
      <c r="P26" s="1">
        <v>2.30883553852777E-2</v>
      </c>
      <c r="Q26" s="1">
        <v>1.8158437309526772E-2</v>
      </c>
      <c r="R26" s="1">
        <v>1.9620100330255508E-2</v>
      </c>
      <c r="S26" s="1">
        <v>1.9015785967523464E-2</v>
      </c>
      <c r="T26" s="1">
        <v>1.9467864310469943E-2</v>
      </c>
      <c r="U26" s="1">
        <v>1.7228944444067702E-2</v>
      </c>
      <c r="V26" s="1">
        <v>2.0945385135555501E-2</v>
      </c>
      <c r="W26" s="1">
        <v>1.768102278701417E-2</v>
      </c>
      <c r="X26" s="1">
        <v>1.9888992429877E-2</v>
      </c>
      <c r="Y26" s="1">
        <v>2.3621290925721607E-2</v>
      </c>
      <c r="Z26" s="1">
        <v>1.7355078899112933E-2</v>
      </c>
      <c r="AA26" s="1">
        <v>2.1397463478501969E-2</v>
      </c>
      <c r="AB26" s="1">
        <v>1.8188622147891957E-2</v>
      </c>
      <c r="AC26" s="1">
        <v>1.9030878386706064E-2</v>
      </c>
      <c r="AD26" s="1">
        <v>1.9412343292538624E-2</v>
      </c>
      <c r="AE26" s="1">
        <v>1.8919836350843437E-2</v>
      </c>
      <c r="AF26" s="1">
        <v>2.1031856377026224E-2</v>
      </c>
      <c r="AG26" s="1">
        <v>1.9919942653416411E-2</v>
      </c>
      <c r="AH26" s="1">
        <v>1.6553251259047531E-2</v>
      </c>
      <c r="AI26" s="1">
        <v>2.2931270706693058E-2</v>
      </c>
      <c r="AJ26" s="1">
        <v>2.1001671538661039E-2</v>
      </c>
      <c r="AK26" s="1">
        <v>1.9300535871501774E-2</v>
      </c>
      <c r="AL26" s="1">
        <v>1.9173636031282332E-2</v>
      </c>
      <c r="AM26" s="1">
        <v>1.7554122946794731E-2</v>
      </c>
      <c r="AN26" s="1">
        <v>2.2326956343961025E-2</v>
      </c>
      <c r="AO26" s="1">
        <v>2.1905062839379746E-2</v>
      </c>
      <c r="AP26" s="1">
        <v>1.9539243132758077E-2</v>
      </c>
      <c r="AQ26" s="1">
        <v>2.0087271092384569E-2</v>
      </c>
      <c r="AR26" s="1">
        <v>1.7274221701615487E-2</v>
      </c>
      <c r="AS26" s="1">
        <v>2.289007672277012E-2</v>
      </c>
      <c r="AT26" s="1">
        <v>1.8395613800434616E-2</v>
      </c>
      <c r="AU26" s="1">
        <v>2.0381499371572184E-2</v>
      </c>
      <c r="AV26" s="1">
        <v>1.8863549947737902E-2</v>
      </c>
      <c r="AW26" s="1">
        <v>2.1509270899538822E-2</v>
      </c>
      <c r="AX26" s="1">
        <v>2.1651263158940861E-2</v>
      </c>
      <c r="AY26" s="1">
        <v>1.9777950394014372E-2</v>
      </c>
      <c r="AZ26" s="1">
        <v>1.9666142972977516E-2</v>
      </c>
      <c r="BA26" s="1">
        <v>-4.8899837756298473E-3</v>
      </c>
      <c r="BB26" s="1">
        <v>-1.7374288481253816E-3</v>
      </c>
      <c r="BC26" s="1">
        <v>-5.3269696993937278E-3</v>
      </c>
      <c r="BD26" s="1">
        <v>5.3244124181626388E-4</v>
      </c>
      <c r="BE26" s="1">
        <v>-4.326863396820757E-3</v>
      </c>
      <c r="BF26" s="1">
        <v>1.7561623864629297E-3</v>
      </c>
      <c r="BG26" s="1">
        <v>-1.1894008884988771E-3</v>
      </c>
      <c r="BH26" s="1">
        <v>6.4330461669491953E-3</v>
      </c>
      <c r="BI26" s="1">
        <v>-3.3259917090735598E-3</v>
      </c>
      <c r="BJ26" s="1">
        <v>3.7968035903575888E-3</v>
      </c>
      <c r="BK26" s="1">
        <v>3.8436116182538199E-3</v>
      </c>
      <c r="BL26" s="1">
        <v>3.7459117805740266E-4</v>
      </c>
      <c r="BM26" s="1">
        <v>-1.3654423175021232E-3</v>
      </c>
      <c r="BN26" s="1">
        <v>-7.9284356348371769E-4</v>
      </c>
      <c r="BO26" s="1">
        <v>2.8680761100727571E-3</v>
      </c>
      <c r="BP26" s="1">
        <v>-3.5242703715811421E-3</v>
      </c>
      <c r="BQ26" s="1">
        <v>2.2328115238013091E-3</v>
      </c>
      <c r="BR26" s="1">
        <v>2.3359059548030761E-3</v>
      </c>
      <c r="BS26" s="1">
        <v>-5.4236847012479814E-3</v>
      </c>
      <c r="BT26" s="1">
        <v>2.0258198712586502E-3</v>
      </c>
      <c r="BU26" s="1">
        <v>-3.3205223050217746E-4</v>
      </c>
      <c r="BV26" s="1">
        <v>-7.214647411955882E-4</v>
      </c>
      <c r="BW26" s="1">
        <v>-4.5655706580770491E-3</v>
      </c>
      <c r="BX26" s="1">
        <v>-1.575789772122688E-4</v>
      </c>
      <c r="BY26" s="1">
        <v>-2.0871781452443073E-3</v>
      </c>
      <c r="BZ26" s="1">
        <v>-3.3973705313616893E-3</v>
      </c>
      <c r="CA26" s="1">
        <v>-5.6211979785813302E-3</v>
      </c>
      <c r="CB26" s="1">
        <v>-5.7084346052262858E-3</v>
      </c>
      <c r="CC26" s="1">
        <v>-7.3732254555241086E-4</v>
      </c>
      <c r="CD26" s="1">
        <v>2.462805795022515E-3</v>
      </c>
      <c r="CE26" s="1">
        <v>2.1527197114780891E-3</v>
      </c>
      <c r="CF26" s="1">
        <v>2.7166054754614068E-3</v>
      </c>
      <c r="CG26" s="1">
        <v>1.2081344268364408E-3</v>
      </c>
      <c r="CH26" s="1">
        <v>-2.2862221929261014E-3</v>
      </c>
      <c r="CI26" s="1">
        <v>3.4716250876305615E-3</v>
      </c>
      <c r="CJ26" s="1">
        <v>1.1613263989402028E-3</v>
      </c>
      <c r="CK26" s="1">
        <v>-4.0881561355644615E-3</v>
      </c>
      <c r="CL26" s="1">
        <v>-4.4228130135007876E-3</v>
      </c>
      <c r="CM26" s="1">
        <v>3.3605830517679444E-3</v>
      </c>
      <c r="CN26" s="1">
        <v>1.5174551252066376E-3</v>
      </c>
      <c r="CO26" s="1">
        <v>2.573847830885146E-3</v>
      </c>
      <c r="CP26" s="1">
        <v>-3.0033662178853039E-4</v>
      </c>
      <c r="CQ26" s="1">
        <v>7.1562748514125262E-4</v>
      </c>
      <c r="CR26" s="1">
        <v>5.3211324433393783E-3</v>
      </c>
      <c r="CS26" s="1">
        <v>1.883062226682386E-3</v>
      </c>
      <c r="CT26" s="1">
        <v>3.3050620338366254E-3</v>
      </c>
      <c r="CU26" s="1">
        <v>2.248669328158117E-3</v>
      </c>
      <c r="CV26" s="1">
        <v>-8.48364581415041E-4</v>
      </c>
      <c r="CW26" s="1">
        <v>5.1228537808318091E-3</v>
      </c>
      <c r="CX26" s="1">
        <v>1.7561623864629297E-3</v>
      </c>
      <c r="CY26" s="1">
        <v>7.1664564055964886E-4</v>
      </c>
      <c r="CZ26" s="1">
        <v>4.241952483861602E-3</v>
      </c>
      <c r="DA26" s="1">
        <v>-3.4605863839096886E-3</v>
      </c>
      <c r="DB26" s="1">
        <v>2.693818221662132E-3</v>
      </c>
      <c r="DC26" s="1">
        <v>-3.0803145640522119E-4</v>
      </c>
      <c r="DD26" s="1">
        <v>-6.5576202934828475E-3</v>
      </c>
      <c r="DE26" s="1">
        <v>9.9593711656695439E-3</v>
      </c>
      <c r="DF26" s="1">
        <v>-3.5002495974841858E-3</v>
      </c>
      <c r="DG26" s="1">
        <v>-1.7538366727771464E-3</v>
      </c>
      <c r="DH26" s="1">
        <v>-3.3804945715864808E-3</v>
      </c>
      <c r="DI26" s="1">
        <v>1.8047539549517905E-3</v>
      </c>
      <c r="DJ26" s="1">
        <v>5.2551179237380306E-4</v>
      </c>
      <c r="DK26" s="1">
        <v>-1.6023660381657961E-3</v>
      </c>
      <c r="DL26" s="1">
        <v>3.3124596184025343E-3</v>
      </c>
      <c r="DM26" s="1">
        <v>1.9150306056401941E-3</v>
      </c>
      <c r="DN26" s="1">
        <v>7.3250344491646198E-4</v>
      </c>
      <c r="DO26" s="1">
        <v>1.9475115995280529E-3</v>
      </c>
      <c r="DP26" s="1">
        <v>-3.8008573058193138E-3</v>
      </c>
      <c r="DQ26" s="1">
        <v>-1.0274826370144869E-2</v>
      </c>
      <c r="DR26" s="1">
        <v>2.7961472674896751E-3</v>
      </c>
      <c r="DS26" s="1">
        <v>-2.3645304646566969E-3</v>
      </c>
      <c r="DT26" s="1">
        <v>5.4093872254027328E-3</v>
      </c>
      <c r="DU26" s="1">
        <v>-7.5981551948045428E-3</v>
      </c>
      <c r="DV26" s="1">
        <v>1.7088043382717608E-3</v>
      </c>
      <c r="DW26" s="1">
        <v>4.9456156883438858E-4</v>
      </c>
      <c r="DX26" s="1">
        <v>-1.4033219904839977E-3</v>
      </c>
      <c r="DY26" s="1">
        <v>2.8207180618815709E-3</v>
      </c>
      <c r="DZ26" s="1">
        <v>4.4251387271865856E-3</v>
      </c>
      <c r="EA26" s="1">
        <v>-1.097527938976519E-4</v>
      </c>
      <c r="EB26" s="1">
        <v>-1.260564345907737E-3</v>
      </c>
      <c r="EC26" s="1">
        <v>-5.1760490850773309E-3</v>
      </c>
      <c r="ED26" s="1">
        <v>-3.9118993416819431E-3</v>
      </c>
      <c r="EE26" s="1">
        <v>-6.7363855788096956E-4</v>
      </c>
      <c r="EF26" s="1">
        <v>3.8929685719168994E-3</v>
      </c>
      <c r="EG26" s="1">
        <v>4.710654016339114E-3</v>
      </c>
      <c r="EH26" s="1">
        <v>-8.3047986033641229E-3</v>
      </c>
      <c r="EI26" s="1">
        <v>1.7730383462381556E-3</v>
      </c>
      <c r="EJ26" s="1">
        <v>3.0594253231378665E-3</v>
      </c>
      <c r="EK26" s="1">
        <v>5.0445455091012118E-3</v>
      </c>
      <c r="EL26" s="1">
        <v>-1.7292658783852489E-3</v>
      </c>
      <c r="EM26" s="1">
        <v>-2.1821096065059355E-3</v>
      </c>
      <c r="EN26" s="1">
        <v>-2.8570374063518842E-3</v>
      </c>
      <c r="EO26" s="1">
        <v>4.241952483861602E-3</v>
      </c>
      <c r="EP26" s="1">
        <v>-1.7451236827420568E-3</v>
      </c>
      <c r="EQ26" s="1">
        <v>-1.7609814870988838E-3</v>
      </c>
      <c r="ER26" s="1">
        <v>-2.1107307842178052E-3</v>
      </c>
      <c r="ES26" s="1">
        <v>1.5990469089806857E-4</v>
      </c>
      <c r="ET26" s="1">
        <v>8.1974007156141587E-4</v>
      </c>
      <c r="EU26" s="1">
        <v>2.9563308921360994E-3</v>
      </c>
      <c r="EV26" s="10">
        <v>5.663952291015838E-3</v>
      </c>
    </row>
    <row r="27" spans="1:152" x14ac:dyDescent="0.25">
      <c r="A27" s="21">
        <f t="shared" ca="1" si="0"/>
        <v>3.5496720912002649E-2</v>
      </c>
      <c r="B27" s="5">
        <v>26</v>
      </c>
      <c r="C27" s="9">
        <v>1.7829022264925318E-2</v>
      </c>
      <c r="D27" s="1">
        <v>3.4363170966842424E-2</v>
      </c>
      <c r="E27" s="1">
        <v>2.4575571639626939E-2</v>
      </c>
      <c r="F27" s="1">
        <v>2.7202271412914231E-2</v>
      </c>
      <c r="G27" s="1">
        <v>1.2935222601317548E-2</v>
      </c>
      <c r="H27" s="1">
        <v>8.489259688544179E-3</v>
      </c>
      <c r="I27" s="1">
        <v>1.7071815488535841E-2</v>
      </c>
      <c r="J27" s="1">
        <v>2.0455722038212609E-2</v>
      </c>
      <c r="K27" s="1">
        <v>3.2455670959488828E-2</v>
      </c>
      <c r="L27" s="1">
        <v>2.9452628017430781E-2</v>
      </c>
      <c r="M27" s="1">
        <v>1.3709172663510932E-2</v>
      </c>
      <c r="N27" s="1">
        <v>1.8188622147892158E-2</v>
      </c>
      <c r="O27" s="1">
        <v>3.2079327790718072E-2</v>
      </c>
      <c r="P27" s="1">
        <v>2.6411578064916945E-2</v>
      </c>
      <c r="Q27" s="1">
        <v>6.962623288809297E-3</v>
      </c>
      <c r="R27" s="1">
        <v>-6.9113390682127435E-3</v>
      </c>
      <c r="S27" s="1">
        <v>8.489259688544179E-3</v>
      </c>
      <c r="T27" s="1">
        <v>1.8979315495889451E-2</v>
      </c>
      <c r="U27" s="1">
        <v>1.4499866011508239E-2</v>
      </c>
      <c r="V27" s="1">
        <v>7.6985663405469001E-3</v>
      </c>
      <c r="W27" s="1">
        <v>2.4989921818853511E-2</v>
      </c>
      <c r="X27" s="1">
        <v>1.2609109289958509E-2</v>
      </c>
      <c r="Y27" s="1">
        <v>8.4010228206766457E-3</v>
      </c>
      <c r="Z27" s="1">
        <v>2.8800401394712724E-2</v>
      </c>
      <c r="AA27" s="1">
        <v>1.8188622147892158E-2</v>
      </c>
      <c r="AB27" s="1">
        <v>3.5496720912002649E-2</v>
      </c>
      <c r="AC27" s="1">
        <v>2.2756308500140869E-2</v>
      </c>
      <c r="AD27" s="1">
        <v>1.8962572210085543E-2</v>
      </c>
      <c r="AE27" s="1">
        <v>2.272282192853306E-2</v>
      </c>
      <c r="AF27" s="1">
        <v>2.4575571639626939E-2</v>
      </c>
      <c r="AG27" s="1">
        <v>2.9469371303234682E-2</v>
      </c>
      <c r="AH27" s="1">
        <v>2.7290508280781771E-2</v>
      </c>
      <c r="AI27" s="1">
        <v>-4.7492193315636505E-3</v>
      </c>
      <c r="AJ27" s="1">
        <v>-3.9585259835663994E-3</v>
      </c>
      <c r="AK27" s="1">
        <v>3.0602921248394907E-2</v>
      </c>
      <c r="AL27" s="1">
        <v>2.7976221475107615E-2</v>
      </c>
      <c r="AM27" s="1">
        <v>2.236322204556622E-2</v>
      </c>
      <c r="AN27" s="1">
        <v>1.0651379425193203E-2</v>
      </c>
      <c r="AO27" s="1">
        <v>2.8695421241041311E-2</v>
      </c>
      <c r="AP27" s="1">
        <v>2.1589271983372835E-2</v>
      </c>
      <c r="AQ27" s="1">
        <v>1.7845765550729226E-2</v>
      </c>
      <c r="AR27" s="1">
        <v>5.7301012446298261E-2</v>
      </c>
      <c r="AS27" s="1">
        <v>2.1174921804146277E-2</v>
      </c>
      <c r="AT27" s="1">
        <v>2.1296645243621605E-2</v>
      </c>
      <c r="AU27" s="1">
        <v>8.8488595715110197E-3</v>
      </c>
      <c r="AV27" s="1">
        <v>3.4379914252646332E-2</v>
      </c>
      <c r="AW27" s="1">
        <v>6.5482731095827668E-3</v>
      </c>
      <c r="AX27" s="1">
        <v>2.3442021694466714E-2</v>
      </c>
      <c r="AY27" s="1">
        <v>1.2575622718350707E-2</v>
      </c>
      <c r="AZ27" s="1">
        <v>2.4215971756660112E-2</v>
      </c>
      <c r="BA27" s="1">
        <v>-3.2568853819056158E-3</v>
      </c>
      <c r="BB27" s="1">
        <v>-8.9078918219028247E-3</v>
      </c>
      <c r="BC27" s="1">
        <v>5.2010762234580565E-4</v>
      </c>
      <c r="BD27" s="1">
        <v>1.2431819675754545E-2</v>
      </c>
      <c r="BE27" s="1">
        <v>7.2666569970474548E-3</v>
      </c>
      <c r="BF27" s="1">
        <v>-4.1023290261625895E-3</v>
      </c>
      <c r="BG27" s="1">
        <v>-1.2651398254546423E-2</v>
      </c>
      <c r="BH27" s="1">
        <v>-1.5806094065467097E-3</v>
      </c>
      <c r="BI27" s="1">
        <v>2.3393707618319087E-3</v>
      </c>
      <c r="BJ27" s="1">
        <v>-4.859535802552075E-3</v>
      </c>
      <c r="BK27" s="1">
        <v>1.459393941240357E-2</v>
      </c>
      <c r="BL27" s="1">
        <v>-7.055142110808918E-3</v>
      </c>
      <c r="BM27" s="1">
        <v>1.8408939427110776E-2</v>
      </c>
      <c r="BN27" s="1">
        <v>-2.17808573300508E-3</v>
      </c>
      <c r="BO27" s="1">
        <v>-8.9961286897703302E-3</v>
      </c>
      <c r="BP27" s="1">
        <v>-2.8972854989387752E-3</v>
      </c>
      <c r="BQ27" s="1">
        <v>-1.0455791946289594E-2</v>
      </c>
      <c r="BR27" s="1">
        <v>-2.6594090554472455E-3</v>
      </c>
      <c r="BS27" s="1">
        <v>2.6427505472251867E-2</v>
      </c>
      <c r="BT27" s="1">
        <v>3.7442837220914658E-3</v>
      </c>
      <c r="BU27" s="1">
        <v>-1.1124761854811569E-2</v>
      </c>
      <c r="BV27" s="1">
        <v>4.3187075447831229E-4</v>
      </c>
      <c r="BW27" s="1">
        <v>1.6280306262069555E-2</v>
      </c>
      <c r="BX27" s="1">
        <v>-7.1842247648581763E-4</v>
      </c>
      <c r="BY27" s="1">
        <v>7.2270871511471643E-5</v>
      </c>
      <c r="BZ27" s="1">
        <v>-2.7058572565148362E-4</v>
      </c>
      <c r="CA27" s="1">
        <v>9.5170136015640013E-3</v>
      </c>
      <c r="CB27" s="1">
        <v>4.3138439124011281E-3</v>
      </c>
      <c r="CC27" s="1">
        <v>-2.1613424472011755E-3</v>
      </c>
      <c r="CD27" s="1">
        <v>-3.2709282159953945E-5</v>
      </c>
      <c r="CE27" s="1">
        <v>6.3709834953787712E-3</v>
      </c>
      <c r="CF27" s="1">
        <v>5.220690264414643E-3</v>
      </c>
      <c r="CG27" s="1">
        <v>-3.5882259351899086E-4</v>
      </c>
      <c r="CH27" s="1">
        <v>6.5094502206579745E-3</v>
      </c>
      <c r="CI27" s="1">
        <v>-1.2722891836610031E-2</v>
      </c>
      <c r="CJ27" s="1">
        <v>-1.9812297808474603E-2</v>
      </c>
      <c r="CK27" s="1">
        <v>-1.7469922679746452E-3</v>
      </c>
      <c r="CL27" s="1">
        <v>2.1500219237036336E-2</v>
      </c>
      <c r="CM27" s="1">
        <v>-1.2756378408217847E-2</v>
      </c>
      <c r="CN27" s="1">
        <v>4.9113202388595106E-3</v>
      </c>
      <c r="CO27" s="1">
        <v>7.7728944786366327E-7</v>
      </c>
      <c r="CP27" s="1">
        <v>-5.938335451452597E-3</v>
      </c>
      <c r="CQ27" s="1">
        <v>3.4014271249285261E-3</v>
      </c>
      <c r="CR27" s="1">
        <v>3.3131902570610328E-3</v>
      </c>
      <c r="CS27" s="1">
        <v>-1.4756292528753118E-3</v>
      </c>
      <c r="CT27" s="1">
        <v>-1.2773121694021755E-2</v>
      </c>
      <c r="CU27" s="1">
        <v>-7.8625787446101048E-3</v>
      </c>
      <c r="CV27" s="1">
        <v>-2.1948290188089793E-3</v>
      </c>
      <c r="CW27" s="1">
        <v>-1.9234660037096476E-3</v>
      </c>
      <c r="CX27" s="1">
        <v>-4.1023290261625895E-3</v>
      </c>
      <c r="CY27" s="1">
        <v>-1.0070648009430111E-2</v>
      </c>
      <c r="CZ27" s="1">
        <v>-7.865881033093311E-5</v>
      </c>
      <c r="DA27" s="1">
        <v>5.6773277833377066E-3</v>
      </c>
      <c r="DB27" s="1">
        <v>-3.0817017523889524E-3</v>
      </c>
      <c r="DC27" s="1">
        <v>2.6321343340480335E-5</v>
      </c>
      <c r="DD27" s="1">
        <v>1.134507750913882E-2</v>
      </c>
      <c r="DE27" s="1">
        <v>-5.0606953418061672E-3</v>
      </c>
      <c r="DF27" s="1">
        <v>8.2537976992132882E-3</v>
      </c>
      <c r="DG27" s="1">
        <v>1.649349690204199E-2</v>
      </c>
      <c r="DH27" s="1">
        <v>-1.1149447658330661E-2</v>
      </c>
      <c r="DI27" s="1">
        <v>-9.79476455548281E-3</v>
      </c>
      <c r="DJ27" s="1">
        <v>6.7226408606304196E-3</v>
      </c>
      <c r="DK27" s="1">
        <v>2.2766779478570302E-3</v>
      </c>
      <c r="DL27" s="1">
        <v>7.4585839123680053E-3</v>
      </c>
      <c r="DM27" s="1">
        <v>1.9125576260422029E-3</v>
      </c>
      <c r="DN27" s="1">
        <v>-7.4774348077506388E-3</v>
      </c>
      <c r="DO27" s="1">
        <v>-4.5748515805160324E-3</v>
      </c>
      <c r="DP27" s="1">
        <v>-1.6453077062316936E-2</v>
      </c>
      <c r="DQ27" s="1">
        <v>2.9820212790017352E-2</v>
      </c>
      <c r="DR27" s="1">
        <v>1.638851674837058E-2</v>
      </c>
      <c r="DS27" s="1">
        <v>-1.8096850819495254E-3</v>
      </c>
      <c r="DT27" s="1">
        <v>-4.9557151881347572E-3</v>
      </c>
      <c r="DU27" s="1">
        <v>1.8848833660229949E-2</v>
      </c>
      <c r="DV27" s="1">
        <v>4.4387976845060677E-3</v>
      </c>
      <c r="DW27" s="1">
        <v>-1.0137621152645732E-2</v>
      </c>
      <c r="DX27" s="1">
        <v>-4.1605014012894882E-3</v>
      </c>
      <c r="DY27" s="1">
        <v>-4.5500197910166088E-4</v>
      </c>
      <c r="DZ27" s="1">
        <v>-9.1090513611569203E-3</v>
      </c>
      <c r="EA27" s="1">
        <v>5.2629776041111763E-3</v>
      </c>
      <c r="EB27" s="1">
        <v>1.0594115736772929E-3</v>
      </c>
      <c r="EC27" s="1">
        <v>1.4297890593785157E-2</v>
      </c>
      <c r="ED27" s="1">
        <v>-1.6486563633924742E-2</v>
      </c>
      <c r="EE27" s="1">
        <v>6.4132708350753027E-3</v>
      </c>
      <c r="EF27" s="1">
        <v>-2.7723317268338182E-3</v>
      </c>
      <c r="EG27" s="1">
        <v>1.3307745887766211E-3</v>
      </c>
      <c r="EH27" s="1">
        <v>1.4779213916227298E-2</v>
      </c>
      <c r="EI27" s="1">
        <v>-1.4981190958841744E-2</v>
      </c>
      <c r="EJ27" s="1">
        <v>-9.4686512441237609E-3</v>
      </c>
      <c r="EK27" s="1">
        <v>-1.0242601306317146E-2</v>
      </c>
      <c r="EL27" s="1">
        <v>-3.5002182543026131E-4</v>
      </c>
      <c r="EM27" s="1">
        <v>8.3375797714166713E-4</v>
      </c>
      <c r="EN27" s="1">
        <v>1.9505646364979916E-3</v>
      </c>
      <c r="EO27" s="1">
        <v>-7.865881033093311E-5</v>
      </c>
      <c r="EP27" s="1">
        <v>-2.9432350271097509E-3</v>
      </c>
      <c r="EQ27" s="1">
        <v>-5.536448228789223E-3</v>
      </c>
      <c r="ER27" s="1">
        <v>3.4437144646250577E-3</v>
      </c>
      <c r="ES27" s="1">
        <v>1.3109590352365228E-2</v>
      </c>
      <c r="ET27" s="1">
        <v>-2.274265118587776E-3</v>
      </c>
      <c r="EU27" s="1">
        <v>-1.7265034134966096E-2</v>
      </c>
      <c r="EV27" s="10">
        <v>-1.1376151251477371E-2</v>
      </c>
    </row>
    <row r="28" spans="1:152" x14ac:dyDescent="0.25">
      <c r="A28" s="21">
        <f t="shared" ca="1" si="0"/>
        <v>2.55866528074025E-2</v>
      </c>
      <c r="B28" s="5">
        <v>27</v>
      </c>
      <c r="C28" s="9">
        <v>1.754047351102582E-2</v>
      </c>
      <c r="D28" s="1">
        <v>2.2916036313661223E-2</v>
      </c>
      <c r="E28" s="1">
        <v>2.1213049070464396E-2</v>
      </c>
      <c r="F28" s="1">
        <v>2.2383998319103773E-2</v>
      </c>
      <c r="G28" s="1">
        <v>1.6688979889427427E-2</v>
      </c>
      <c r="H28" s="1">
        <v>1.9891634377726147E-2</v>
      </c>
      <c r="I28" s="1">
        <v>2.278794903761576E-2</v>
      </c>
      <c r="J28" s="1">
        <v>1.8711422759665183E-2</v>
      </c>
      <c r="K28" s="1">
        <v>2.47258968163825E-2</v>
      </c>
      <c r="L28" s="1">
        <v>1.8467199854673683E-2</v>
      </c>
      <c r="M28" s="1">
        <v>1.5038847200226621E-2</v>
      </c>
      <c r="N28" s="1">
        <v>1.9030878386706154E-2</v>
      </c>
      <c r="O28" s="1">
        <v>1.9638149103313046E-2</v>
      </c>
      <c r="P28" s="1">
        <v>2.0436788170915432E-2</v>
      </c>
      <c r="Q28" s="1">
        <v>1.1366271640788045E-2</v>
      </c>
      <c r="R28" s="1">
        <v>1.43563437615703E-2</v>
      </c>
      <c r="S28" s="1">
        <v>1.9891634377726147E-2</v>
      </c>
      <c r="T28" s="1">
        <v>2.0978088534894482E-2</v>
      </c>
      <c r="U28" s="1">
        <v>1.6986057348414962E-2</v>
      </c>
      <c r="V28" s="1">
        <v>1.7944424229537834E-2</v>
      </c>
      <c r="W28" s="1">
        <v>1.8072511505583269E-2</v>
      </c>
      <c r="X28" s="1">
        <v>2.2393260688525367E-2</v>
      </c>
      <c r="Y28" s="1">
        <v>1.7327891143509341E-2</v>
      </c>
      <c r="Z28" s="1">
        <v>2.9875761452869576E-2</v>
      </c>
      <c r="AA28" s="1">
        <v>1.9030878386706154E-2</v>
      </c>
      <c r="AB28" s="1">
        <v>2.2756308500140737E-2</v>
      </c>
      <c r="AC28" s="1">
        <v>2.55866528074025E-2</v>
      </c>
      <c r="AD28" s="1">
        <v>1.7380745697505348E-2</v>
      </c>
      <c r="AE28" s="1">
        <v>1.839196713262424E-2</v>
      </c>
      <c r="AF28" s="1">
        <v>2.1213049070464396E-2</v>
      </c>
      <c r="AG28" s="1">
        <v>2.2064542692062802E-2</v>
      </c>
      <c r="AH28" s="1">
        <v>2.4947741553320586E-2</v>
      </c>
      <c r="AI28" s="1">
        <v>7.875802062923376E-3</v>
      </c>
      <c r="AJ28" s="1">
        <v>9.8230122111117035E-3</v>
      </c>
      <c r="AK28" s="1">
        <v>2.1904814878542331E-2</v>
      </c>
      <c r="AL28" s="1">
        <v>2.0733865629902967E-2</v>
      </c>
      <c r="AM28" s="1">
        <v>1.6901562256943906E-2</v>
      </c>
      <c r="AN28" s="1">
        <v>1.3411092679079251E-2</v>
      </c>
      <c r="AO28" s="1">
        <v>2.3714675381263609E-2</v>
      </c>
      <c r="AP28" s="1">
        <v>1.8551694946144712E-2</v>
      </c>
      <c r="AQ28" s="1">
        <v>2.1137816348414967E-2</v>
      </c>
      <c r="AR28" s="1">
        <v>3.4071112637444001E-2</v>
      </c>
      <c r="AS28" s="1">
        <v>2.1692232511025825E-2</v>
      </c>
      <c r="AT28" s="1">
        <v>3.1450661420020933E-2</v>
      </c>
      <c r="AU28" s="1">
        <v>2.1382039253406489E-2</v>
      </c>
      <c r="AV28" s="1">
        <v>2.6513379151050356E-2</v>
      </c>
      <c r="AW28" s="1">
        <v>1.4506809205669172E-2</v>
      </c>
      <c r="AX28" s="1">
        <v>2.1372776883984881E-2</v>
      </c>
      <c r="AY28" s="1">
        <v>1.5198575013747093E-2</v>
      </c>
      <c r="AZ28" s="1">
        <v>1.9722644194784075E-2</v>
      </c>
      <c r="BA28" s="1">
        <v>-3.5039209892060996E-3</v>
      </c>
      <c r="BB28" s="1">
        <v>8.9206091578541979E-4</v>
      </c>
      <c r="BC28" s="1">
        <v>1.104643283301926E-3</v>
      </c>
      <c r="BD28" s="1">
        <v>4.5553741058024094E-3</v>
      </c>
      <c r="BE28" s="1">
        <v>4.7772188427405021E-3</v>
      </c>
      <c r="BF28" s="1">
        <v>-8.2018869683297968E-4</v>
      </c>
      <c r="BG28" s="1">
        <v>3.4781823180556892E-3</v>
      </c>
      <c r="BH28" s="1">
        <v>-5.8103255197995834E-3</v>
      </c>
      <c r="BI28" s="1">
        <v>-3.2689604536361716E-3</v>
      </c>
      <c r="BJ28" s="1">
        <v>4.4272868297569462E-3</v>
      </c>
      <c r="BK28" s="1">
        <v>-1.925167592844515E-3</v>
      </c>
      <c r="BL28" s="1">
        <v>3.7131428536255895E-3</v>
      </c>
      <c r="BM28" s="1">
        <v>-5.5448885982870705E-3</v>
      </c>
      <c r="BN28" s="1">
        <v>9.6729363783486233E-4</v>
      </c>
      <c r="BO28" s="1">
        <v>-1.6716823184313861E-3</v>
      </c>
      <c r="BP28" s="1">
        <v>-2.013516113525779E-3</v>
      </c>
      <c r="BQ28" s="1">
        <v>4.1923262941870321E-3</v>
      </c>
      <c r="BR28" s="1">
        <v>-1.0281540146840545E-2</v>
      </c>
      <c r="BS28" s="1">
        <v>1.1323730894015255E-2</v>
      </c>
      <c r="BT28" s="1">
        <v>-4.5020266256931563E-3</v>
      </c>
      <c r="BU28" s="1">
        <v>1.2003545054993792E-2</v>
      </c>
      <c r="BV28" s="1">
        <v>-1.4590999509148939E-3</v>
      </c>
      <c r="BW28" s="1">
        <v>8.1303387751381073E-3</v>
      </c>
      <c r="BX28" s="1">
        <v>-4.8967149747835559E-3</v>
      </c>
      <c r="BY28" s="1">
        <v>-2.9495048265952145E-3</v>
      </c>
      <c r="BZ28" s="1">
        <v>-8.4256686488641541E-4</v>
      </c>
      <c r="CA28" s="1">
        <v>8.6042037831039753E-4</v>
      </c>
      <c r="CB28" s="1">
        <v>9.3105503931990713E-3</v>
      </c>
      <c r="CC28" s="1">
        <v>4.5646364752240098E-3</v>
      </c>
      <c r="CD28" s="1">
        <v>-9.1105908982011818E-3</v>
      </c>
      <c r="CE28" s="1">
        <v>-3.3310773770537927E-3</v>
      </c>
      <c r="CF28" s="1">
        <v>-6.7686924009224547E-3</v>
      </c>
      <c r="CG28" s="1">
        <v>-3.4063100991032352E-3</v>
      </c>
      <c r="CH28" s="1">
        <v>1.0024694369330442E-2</v>
      </c>
      <c r="CI28" s="1">
        <v>4.5117819212279892E-3</v>
      </c>
      <c r="CJ28" s="1">
        <v>2.9461443234982398E-3</v>
      </c>
      <c r="CK28" s="1">
        <v>1.4240989103428831E-3</v>
      </c>
      <c r="CL28" s="1">
        <v>3.2775515976385811E-3</v>
      </c>
      <c r="CM28" s="1">
        <v>-2.6829037535502781E-3</v>
      </c>
      <c r="CN28" s="1">
        <v>2.5329312355646255E-3</v>
      </c>
      <c r="CO28" s="1">
        <v>-1.9159052234229146E-3</v>
      </c>
      <c r="CP28" s="1">
        <v>-4.3927797284015746E-5</v>
      </c>
      <c r="CQ28" s="1">
        <v>-2.3950886639843572E-3</v>
      </c>
      <c r="CR28" s="1">
        <v>-4.958831898201177E-3</v>
      </c>
      <c r="CS28" s="1">
        <v>3.5076055180638388E-4</v>
      </c>
      <c r="CT28" s="1">
        <v>-6.2802465909394117E-3</v>
      </c>
      <c r="CU28" s="1">
        <v>-1.8314101319518716E-3</v>
      </c>
      <c r="CV28" s="1">
        <v>-2.6300491995542574E-3</v>
      </c>
      <c r="CW28" s="1">
        <v>-3.7033875580907635E-3</v>
      </c>
      <c r="CX28" s="1">
        <v>-8.2018869683297968E-4</v>
      </c>
      <c r="CY28" s="1">
        <v>1.3457729437588911E-2</v>
      </c>
      <c r="CZ28" s="1">
        <v>-3.0199302730732347E-4</v>
      </c>
      <c r="DA28" s="1">
        <v>1.4631111393071106E-3</v>
      </c>
      <c r="DB28" s="1">
        <v>-6.5606899890161413E-3</v>
      </c>
      <c r="DC28" s="1">
        <v>5.8590930442986577E-3</v>
      </c>
      <c r="DD28" s="1">
        <v>6.6447207170472478E-4</v>
      </c>
      <c r="DE28" s="1">
        <v>-3.7172298831225567E-3</v>
      </c>
      <c r="DF28" s="1">
        <v>-8.1579681242209268E-3</v>
      </c>
      <c r="DG28" s="1">
        <v>-3.1547155026225154E-3</v>
      </c>
      <c r="DH28" s="1">
        <v>8.9865148105479353E-3</v>
      </c>
      <c r="DI28" s="1">
        <v>-3.0385798736764502E-3</v>
      </c>
      <c r="DJ28" s="1">
        <v>-1.2603599084301947E-3</v>
      </c>
      <c r="DK28" s="1">
        <v>1.9422945798685531E-3</v>
      </c>
      <c r="DL28" s="1">
        <v>5.3177926803195941E-3</v>
      </c>
      <c r="DM28" s="1">
        <v>1.5874860656917067E-2</v>
      </c>
      <c r="DN28" s="1">
        <v>7.4339930114499797E-3</v>
      </c>
      <c r="DO28" s="1">
        <v>-7.8913670511759765E-3</v>
      </c>
      <c r="DP28" s="1">
        <v>-4.1474121988981788E-3</v>
      </c>
      <c r="DQ28" s="1">
        <v>1.142486004639709E-2</v>
      </c>
      <c r="DR28" s="1">
        <v>-9.3158015742284689E-3</v>
      </c>
      <c r="DS28" s="1">
        <v>6.6353539438475939E-3</v>
      </c>
      <c r="DT28" s="1">
        <v>2.4438561884834037E-3</v>
      </c>
      <c r="DU28" s="1">
        <v>-9.1042789544663882E-4</v>
      </c>
      <c r="DV28" s="1">
        <v>-4.5382471187783713E-3</v>
      </c>
      <c r="DW28" s="1">
        <v>-9.3164191196762336E-4</v>
      </c>
      <c r="DX28" s="1">
        <v>-1.1031904616057117E-2</v>
      </c>
      <c r="DY28" s="1">
        <v>-5.3897407403767778E-3</v>
      </c>
      <c r="DZ28" s="1">
        <v>-7.2524557970940623E-3</v>
      </c>
      <c r="EA28" s="1">
        <v>4.6036487041882374E-3</v>
      </c>
      <c r="EB28" s="1">
        <v>-1.5884691793556643E-2</v>
      </c>
      <c r="EC28" s="1">
        <v>-3.8688594787538721E-3</v>
      </c>
      <c r="ED28" s="1">
        <v>-1.134209787367646E-2</v>
      </c>
      <c r="EE28" s="1">
        <v>8.0412637280568994E-3</v>
      </c>
      <c r="EF28" s="1">
        <v>-1.5862313625503222E-2</v>
      </c>
      <c r="EG28" s="1">
        <v>-1.6958030152093156E-2</v>
      </c>
      <c r="EH28" s="1">
        <v>7.3799743059215495E-3</v>
      </c>
      <c r="EI28" s="1">
        <v>9.0088929786013572E-3</v>
      </c>
      <c r="EJ28" s="1">
        <v>-8.7428606727743968E-3</v>
      </c>
      <c r="EK28" s="1">
        <v>-7.0927279835735907E-3</v>
      </c>
      <c r="EL28" s="1">
        <v>7.7134533122918958E-4</v>
      </c>
      <c r="EM28" s="1">
        <v>1.1403646029876105E-2</v>
      </c>
      <c r="EN28" s="1">
        <v>7.6465753789664859E-3</v>
      </c>
      <c r="EO28" s="1">
        <v>-3.0199302730732347E-4</v>
      </c>
      <c r="EP28" s="1">
        <v>6.7950817573680655E-3</v>
      </c>
      <c r="EQ28" s="1">
        <v>1.2818818183506997E-2</v>
      </c>
      <c r="ER28" s="1">
        <v>8.977252441126321E-3</v>
      </c>
      <c r="ES28" s="1">
        <v>9.2181077532804689E-4</v>
      </c>
      <c r="ET28" s="1">
        <v>-1.0161370034386663E-3</v>
      </c>
      <c r="EU28" s="1">
        <v>5.7310057682531668E-3</v>
      </c>
      <c r="EV28" s="10">
        <v>-6.9330001700531191E-3</v>
      </c>
    </row>
    <row r="29" spans="1:152" x14ac:dyDescent="0.25">
      <c r="A29" s="21">
        <f t="shared" ca="1" si="0"/>
        <v>2.2171614111119731E-2</v>
      </c>
      <c r="B29" s="5">
        <v>28</v>
      </c>
      <c r="C29" s="9">
        <v>2.1583430100460259E-2</v>
      </c>
      <c r="D29" s="1">
        <v>1.8374388199425974E-2</v>
      </c>
      <c r="E29" s="1">
        <v>1.8011089729993178E-2</v>
      </c>
      <c r="F29" s="1">
        <v>1.7016370943390639E-2</v>
      </c>
      <c r="G29" s="1">
        <v>2.1401780865743868E-2</v>
      </c>
      <c r="H29" s="1">
        <v>2.1766155619858646E-2</v>
      </c>
      <c r="I29" s="1">
        <v>1.6631992463043692E-2</v>
      </c>
      <c r="J29" s="1">
        <v>2.058871131385772E-2</v>
      </c>
      <c r="K29" s="1">
        <v>1.5026933370185562E-2</v>
      </c>
      <c r="L29" s="1">
        <v>2.0384905783545199E-2</v>
      </c>
      <c r="M29" s="1">
        <v>2.4161051684324808E-2</v>
      </c>
      <c r="N29" s="1">
        <v>1.9412343292538783E-2</v>
      </c>
      <c r="O29" s="1">
        <v>1.9390186996942654E-2</v>
      </c>
      <c r="P29" s="1">
        <v>1.6449266943645315E-2</v>
      </c>
      <c r="Q29" s="1">
        <v>2.7733392054791889E-2</v>
      </c>
      <c r="R29" s="1">
        <v>2.5563381531552406E-2</v>
      </c>
      <c r="S29" s="1">
        <v>2.1766155619858646E-2</v>
      </c>
      <c r="T29" s="1">
        <v>1.9979447292284104E-2</v>
      </c>
      <c r="U29" s="1">
        <v>2.4728155684070129E-2</v>
      </c>
      <c r="V29" s="1">
        <v>2.1199051620113318E-2</v>
      </c>
      <c r="W29" s="1">
        <v>2.2941447356495594E-2</v>
      </c>
      <c r="X29" s="1">
        <v>1.9188534035994093E-2</v>
      </c>
      <c r="Y29" s="1">
        <v>1.9049044823105994E-2</v>
      </c>
      <c r="Z29" s="1">
        <v>1.5958412124045661E-2</v>
      </c>
      <c r="AA29" s="1">
        <v>1.9412343292538783E-2</v>
      </c>
      <c r="AB29" s="1">
        <v>1.8962572210085439E-2</v>
      </c>
      <c r="AC29" s="1">
        <v>1.7380745697505414E-2</v>
      </c>
      <c r="AD29" s="1">
        <v>2.2171614111119731E-2</v>
      </c>
      <c r="AE29" s="1">
        <v>2.1765079335176657E-2</v>
      </c>
      <c r="AF29" s="1">
        <v>1.8011089729993178E-2</v>
      </c>
      <c r="AG29" s="1">
        <v>1.8192738964709576E-2</v>
      </c>
      <c r="AH29" s="1">
        <v>1.9733481740143288E-2</v>
      </c>
      <c r="AI29" s="1">
        <v>2.6214805574954307E-2</v>
      </c>
      <c r="AJ29" s="1">
        <v>2.6781909574699628E-2</v>
      </c>
      <c r="AK29" s="1">
        <v>1.8780922975369048E-2</v>
      </c>
      <c r="AL29" s="1">
        <v>1.977564176197158E-2</v>
      </c>
      <c r="AM29" s="1">
        <v>2.3936166143098132E-2</v>
      </c>
      <c r="AN29" s="1">
        <v>2.2417579663260554E-2</v>
      </c>
      <c r="AO29" s="1">
        <v>1.5433468146128636E-2</v>
      </c>
      <c r="AP29" s="1">
        <v>2.1176895324517185E-2</v>
      </c>
      <c r="AQ29" s="1">
        <v>1.9391263281624639E-2</v>
      </c>
      <c r="AR29" s="1">
        <v>1.1571925917010452E-2</v>
      </c>
      <c r="AS29" s="1">
        <v>1.6246537698014776E-2</v>
      </c>
      <c r="AT29" s="1">
        <v>1.4579314857096185E-2</v>
      </c>
      <c r="AU29" s="1">
        <v>1.9595068811937167E-2</v>
      </c>
      <c r="AV29" s="1">
        <v>1.6182221380590348E-2</v>
      </c>
      <c r="AW29" s="1">
        <v>2.2803034428289473E-2</v>
      </c>
      <c r="AX29" s="1">
        <v>1.7422905719333706E-2</v>
      </c>
      <c r="AY29" s="1">
        <v>2.3572867673665336E-2</v>
      </c>
      <c r="AZ29" s="1">
        <v>2.0182176537914653E-2</v>
      </c>
      <c r="BA29" s="1">
        <v>6.819430131921829E-3</v>
      </c>
      <c r="BB29" s="1">
        <v>1.6863432597888708E-3</v>
      </c>
      <c r="BC29" s="1">
        <v>4.2207285371431424E-3</v>
      </c>
      <c r="BD29" s="1">
        <v>-4.0581602032816744E-3</v>
      </c>
      <c r="BE29" s="1">
        <v>6.4838816667605464E-4</v>
      </c>
      <c r="BF29" s="1">
        <v>-8.4911830224738277E-4</v>
      </c>
      <c r="BG29" s="1">
        <v>-9.9288783103682055E-5</v>
      </c>
      <c r="BH29" s="1">
        <v>-2.3687810667669534E-3</v>
      </c>
      <c r="BI29" s="1">
        <v>4.851072569630889E-3</v>
      </c>
      <c r="BJ29" s="1">
        <v>-5.8005559396639428E-3</v>
      </c>
      <c r="BK29" s="1">
        <v>-3.4067361598797696E-3</v>
      </c>
      <c r="BL29" s="1">
        <v>-2.0676463453946081E-3</v>
      </c>
      <c r="BM29" s="1">
        <v>3.2881734986010477E-3</v>
      </c>
      <c r="BN29" s="1">
        <v>3.0616970815740274E-4</v>
      </c>
      <c r="BO29" s="1">
        <v>-1.0307675369637878E-3</v>
      </c>
      <c r="BP29" s="1">
        <v>4.6483433240003605E-3</v>
      </c>
      <c r="BQ29" s="1">
        <v>-3.8321983773730167E-3</v>
      </c>
      <c r="BR29" s="1">
        <v>4.1444793569974658E-3</v>
      </c>
      <c r="BS29" s="1">
        <v>-3.5553725209607756E-3</v>
      </c>
      <c r="BT29" s="1">
        <v>5.5105897561623374E-4</v>
      </c>
      <c r="BU29" s="1">
        <v>-6.066525218036925E-3</v>
      </c>
      <c r="BV29" s="1">
        <v>1.5036177403904838E-3</v>
      </c>
      <c r="BW29" s="1">
        <v>-1.7475841824720964E-3</v>
      </c>
      <c r="BX29" s="1">
        <v>3.1076005485666386E-3</v>
      </c>
      <c r="BY29" s="1">
        <v>3.6747045483119592E-3</v>
      </c>
      <c r="BZ29" s="1">
        <v>3.6536245373978149E-3</v>
      </c>
      <c r="CA29" s="1">
        <v>4.0169230068306111E-3</v>
      </c>
      <c r="CB29" s="1">
        <v>-5.701398764711707E-4</v>
      </c>
      <c r="CC29" s="1">
        <v>-1.885997110678217E-3</v>
      </c>
      <c r="CD29" s="1">
        <v>3.1497605703949341E-3</v>
      </c>
      <c r="CE29" s="1">
        <v>-4.4365981098630491E-4</v>
      </c>
      <c r="CF29" s="1">
        <v>1.1603229971898499E-3</v>
      </c>
      <c r="CG29" s="1">
        <v>9.3651374064516318E-4</v>
      </c>
      <c r="CH29" s="1">
        <v>-4.3030494707405123E-3</v>
      </c>
      <c r="CI29" s="1">
        <v>-5.0085663986919465E-3</v>
      </c>
      <c r="CJ29" s="1">
        <v>-1.4573060391390169E-3</v>
      </c>
      <c r="CK29" s="1">
        <v>3.0443605158242057E-3</v>
      </c>
      <c r="CL29" s="1">
        <v>6.473118819940657E-4</v>
      </c>
      <c r="CM29" s="1">
        <v>-6.2423276102071407E-4</v>
      </c>
      <c r="CN29" s="1">
        <v>-3.2450906513955338E-3</v>
      </c>
      <c r="CO29" s="1">
        <v>-1.2345730672763053E-3</v>
      </c>
      <c r="CP29" s="1">
        <v>7.1270448410047649E-4</v>
      </c>
      <c r="CQ29" s="1">
        <v>5.2997896470209638E-4</v>
      </c>
      <c r="CR29" s="1">
        <v>-2.1871318320505553E-3</v>
      </c>
      <c r="CS29" s="1">
        <v>-1.8438370888499284E-3</v>
      </c>
      <c r="CT29" s="1">
        <v>1.5679340578149126E-3</v>
      </c>
      <c r="CU29" s="1">
        <v>-4.4258352630431597E-4</v>
      </c>
      <c r="CV29" s="1">
        <v>2.4983365269930224E-3</v>
      </c>
      <c r="CW29" s="1">
        <v>-2.3898610776811047E-3</v>
      </c>
      <c r="CX29" s="1">
        <v>-8.4911830224738277E-4</v>
      </c>
      <c r="CY29" s="1">
        <v>-7.9715450918795838E-3</v>
      </c>
      <c r="CZ29" s="1">
        <v>-3.7277769517784359E-3</v>
      </c>
      <c r="DA29" s="1">
        <v>1.9302538982715473E-3</v>
      </c>
      <c r="DB29" s="1">
        <v>1.6301954615811909E-3</v>
      </c>
      <c r="DC29" s="1">
        <v>-3.2028329738614109E-3</v>
      </c>
      <c r="DD29" s="1">
        <v>4.8711739515688857E-3</v>
      </c>
      <c r="DE29" s="1">
        <v>-6.6265369832474788E-3</v>
      </c>
      <c r="DF29" s="1">
        <v>7.5120355681758677E-3</v>
      </c>
      <c r="DG29" s="1">
        <v>2.3567924004467833E-3</v>
      </c>
      <c r="DH29" s="1">
        <v>-1.4582846681151576E-3</v>
      </c>
      <c r="DI29" s="1">
        <v>8.1820219437703928E-4</v>
      </c>
      <c r="DJ29" s="1">
        <v>-1.9867288782162568E-4</v>
      </c>
      <c r="DK29" s="1">
        <v>1.6570186629314559E-4</v>
      </c>
      <c r="DL29" s="1">
        <v>-6.7330133225001962E-3</v>
      </c>
      <c r="DM29" s="1">
        <v>-1.1341156216716122E-2</v>
      </c>
      <c r="DN29" s="1">
        <v>-4.5819302408108761E-3</v>
      </c>
      <c r="DO29" s="1">
        <v>3.2130982588432014E-3</v>
      </c>
      <c r="DP29" s="1">
        <v>7.1076533615967719E-3</v>
      </c>
      <c r="DQ29" s="1">
        <v>6.2525324210378069E-4</v>
      </c>
      <c r="DR29" s="1">
        <v>1.8318484225297513E-3</v>
      </c>
      <c r="DS29" s="1">
        <v>-1.6410101875135377E-3</v>
      </c>
      <c r="DT29" s="1">
        <v>-6.1015930053304537E-3</v>
      </c>
      <c r="DU29" s="1">
        <v>6.2502712185183718E-3</v>
      </c>
      <c r="DV29" s="1">
        <v>8.1712590969505033E-4</v>
      </c>
      <c r="DW29" s="1">
        <v>7.9712218346289498E-4</v>
      </c>
      <c r="DX29" s="1">
        <v>8.1434558853456171E-3</v>
      </c>
      <c r="DY29" s="1">
        <v>6.3547667497865917E-4</v>
      </c>
      <c r="DZ29" s="1">
        <v>8.6036221620532788E-4</v>
      </c>
      <c r="EA29" s="1">
        <v>-3.0001037282308615E-3</v>
      </c>
      <c r="EB29" s="1">
        <v>1.0538351949811779E-2</v>
      </c>
      <c r="EC29" s="1">
        <v>6.0897019947161249E-3</v>
      </c>
      <c r="ED29" s="1">
        <v>1.1491986999268018E-2</v>
      </c>
      <c r="EE29" s="1">
        <v>-4.6040865364070163E-3</v>
      </c>
      <c r="EF29" s="1">
        <v>6.0356091101665815E-3</v>
      </c>
      <c r="EG29" s="1">
        <v>5.650154345137659E-3</v>
      </c>
      <c r="EH29" s="1">
        <v>2.2513923458760618E-3</v>
      </c>
      <c r="EI29" s="1">
        <v>-5.9610275077603622E-3</v>
      </c>
      <c r="EJ29" s="1">
        <v>3.0314490241268102E-3</v>
      </c>
      <c r="EK29" s="1">
        <v>2.7217820554586297E-4</v>
      </c>
      <c r="EL29" s="1">
        <v>1.1604206528956912E-3</v>
      </c>
      <c r="EM29" s="1">
        <v>-4.8278957929516961E-3</v>
      </c>
      <c r="EN29" s="1">
        <v>-2.0475449634566045E-3</v>
      </c>
      <c r="EO29" s="1">
        <v>-3.7277769517784359E-3</v>
      </c>
      <c r="EP29" s="1">
        <v>-2.2291941981730096E-3</v>
      </c>
      <c r="EQ29" s="1">
        <v>-5.6188090492417103E-3</v>
      </c>
      <c r="ER29" s="1">
        <v>-3.630447760718615E-3</v>
      </c>
      <c r="ES29" s="1">
        <v>-1.5999264503672381E-3</v>
      </c>
      <c r="ET29" s="1">
        <v>5.1326424908987311E-6</v>
      </c>
      <c r="EU29" s="1">
        <v>-4.9452287102436723E-3</v>
      </c>
      <c r="EV29" s="10">
        <v>-3.1600580511360193E-4</v>
      </c>
    </row>
    <row r="30" spans="1:152" x14ac:dyDescent="0.25">
      <c r="A30" s="21">
        <f t="shared" ca="1" si="0"/>
        <v>2.2294049131959339E-2</v>
      </c>
      <c r="B30" s="5">
        <v>29</v>
      </c>
      <c r="C30" s="9">
        <v>2.0921526139897499E-2</v>
      </c>
      <c r="D30" s="1">
        <v>2.1879268733253819E-2</v>
      </c>
      <c r="E30" s="1">
        <v>1.9134222749130146E-2</v>
      </c>
      <c r="F30" s="1">
        <v>1.8819639350634017E-2</v>
      </c>
      <c r="G30" s="1">
        <v>1.9549003147835666E-2</v>
      </c>
      <c r="H30" s="1">
        <v>1.9121330929825767E-2</v>
      </c>
      <c r="I30" s="1">
        <v>1.6125242155896825E-2</v>
      </c>
      <c r="J30" s="1">
        <v>2.0606942741401377E-2</v>
      </c>
      <c r="K30" s="1">
        <v>1.8190472553641774E-2</v>
      </c>
      <c r="L30" s="1">
        <v>2.2457786740859593E-2</v>
      </c>
      <c r="M30" s="1">
        <v>2.2394246132168734E-2</v>
      </c>
      <c r="N30" s="1">
        <v>1.8919836350843416E-2</v>
      </c>
      <c r="O30" s="1">
        <v>2.2143203342363464E-2</v>
      </c>
      <c r="P30" s="1">
        <v>1.7925437365968563E-2</v>
      </c>
      <c r="Q30" s="1">
        <v>2.4181549522936087E-2</v>
      </c>
      <c r="R30" s="1">
        <v>1.9007141531748428E-2</v>
      </c>
      <c r="S30" s="1">
        <v>1.9121330929825767E-2</v>
      </c>
      <c r="T30" s="1">
        <v>1.981403833550887E-2</v>
      </c>
      <c r="U30" s="1">
        <v>2.3288448116834191E-2</v>
      </c>
      <c r="V30" s="1">
        <v>1.8227128945160306E-2</v>
      </c>
      <c r="W30" s="1">
        <v>2.3981155522517301E-2</v>
      </c>
      <c r="X30" s="1">
        <v>1.7648610937554529E-2</v>
      </c>
      <c r="Y30" s="1">
        <v>1.6174790366719743E-2</v>
      </c>
      <c r="Z30" s="1">
        <v>1.8657002320297322E-2</v>
      </c>
      <c r="AA30" s="1">
        <v>1.8919836350843416E-2</v>
      </c>
      <c r="AB30" s="1">
        <v>2.2722821928532796E-2</v>
      </c>
      <c r="AC30" s="1">
        <v>1.8391967132624119E-2</v>
      </c>
      <c r="AD30" s="1">
        <v>2.1765079335176483E-2</v>
      </c>
      <c r="AE30" s="1">
        <v>2.2294049131959339E-2</v>
      </c>
      <c r="AF30" s="1">
        <v>1.9134222749130146E-2</v>
      </c>
      <c r="AG30" s="1">
        <v>2.0506745741191979E-2</v>
      </c>
      <c r="AH30" s="1">
        <v>2.1766179913740042E-2</v>
      </c>
      <c r="AI30" s="1">
        <v>1.9698748358867986E-2</v>
      </c>
      <c r="AJ30" s="1">
        <v>2.0592950343533437E-2</v>
      </c>
      <c r="AK30" s="1">
        <v>2.1350298936470963E-2</v>
      </c>
      <c r="AL30" s="1">
        <v>2.1664882334967085E-2</v>
      </c>
      <c r="AM30" s="1">
        <v>2.4295738921013423E-2</v>
      </c>
      <c r="AN30" s="1">
        <v>1.9812937756945318E-2</v>
      </c>
      <c r="AO30" s="1">
        <v>1.7661502756858918E-2</v>
      </c>
      <c r="AP30" s="1">
        <v>2.1450495936680355E-2</v>
      </c>
      <c r="AQ30" s="1">
        <v>1.8970485140229892E-2</v>
      </c>
      <c r="AR30" s="1">
        <v>2.1100356725229252E-2</v>
      </c>
      <c r="AS30" s="1">
        <v>1.6603563163293207E-2</v>
      </c>
      <c r="AT30" s="1">
        <v>1.5648021727064004E-2</v>
      </c>
      <c r="AU30" s="1">
        <v>1.7119641140771677E-2</v>
      </c>
      <c r="AV30" s="1">
        <v>1.9928227733586205E-2</v>
      </c>
      <c r="AW30" s="1">
        <v>1.9334616749548936E-2</v>
      </c>
      <c r="AX30" s="1">
        <v>1.8290669553851162E-2</v>
      </c>
      <c r="AY30" s="1">
        <v>2.155069293688975E-2</v>
      </c>
      <c r="AZ30" s="1">
        <v>2.1135912538184233E-2</v>
      </c>
      <c r="BA30" s="1">
        <v>5.8812948963545917E-3</v>
      </c>
      <c r="BB30" s="1">
        <v>-2.8751207970791753E-4</v>
      </c>
      <c r="BC30" s="1">
        <v>4.4592236934698389E-3</v>
      </c>
      <c r="BD30" s="1">
        <v>-9.0378705739578569E-4</v>
      </c>
      <c r="BE30" s="1">
        <v>2.6719203027024824E-3</v>
      </c>
      <c r="BF30" s="1">
        <v>-1.8615296507520987E-3</v>
      </c>
      <c r="BG30" s="1">
        <v>-2.7675228761583834E-3</v>
      </c>
      <c r="BH30" s="1">
        <v>-3.1716126126866313E-3</v>
      </c>
      <c r="BI30" s="1">
        <v>5.2014793099758629E-3</v>
      </c>
      <c r="BJ30" s="1">
        <v>-6.6578136347527749E-3</v>
      </c>
      <c r="BK30" s="1">
        <v>-2.1218023027623489E-4</v>
      </c>
      <c r="BL30" s="1">
        <v>-3.447338462537107E-3</v>
      </c>
      <c r="BM30" s="1">
        <v>7.1654121289478553E-3</v>
      </c>
      <c r="BN30" s="1">
        <v>-1.2377447080766553E-4</v>
      </c>
      <c r="BO30" s="1">
        <v>-3.2340526428139386E-3</v>
      </c>
      <c r="BP30" s="1">
        <v>3.8796051073005083E-3</v>
      </c>
      <c r="BQ30" s="1">
        <v>-5.977998048374053E-3</v>
      </c>
      <c r="BR30" s="1">
        <v>2.833456754475619E-3</v>
      </c>
      <c r="BS30" s="1">
        <v>3.3150794975626702E-3</v>
      </c>
      <c r="BT30" s="1">
        <v>1.0968021530947374E-3</v>
      </c>
      <c r="BU30" s="1">
        <v>-7.8277414692687064E-3</v>
      </c>
      <c r="BV30" s="1">
        <v>1.5126831303638177E-3</v>
      </c>
      <c r="BW30" s="1">
        <v>2.5717233024930841E-3</v>
      </c>
      <c r="BX30" s="1">
        <v>2.6201709347524471E-3</v>
      </c>
      <c r="BY30" s="1">
        <v>3.5143729194179081E-3</v>
      </c>
      <c r="BZ30" s="1">
        <v>3.5650217088043796E-3</v>
      </c>
      <c r="CA30" s="1">
        <v>6.3100676929280525E-3</v>
      </c>
      <c r="CB30" s="1">
        <v>1.0861114909174741E-3</v>
      </c>
      <c r="CC30" s="1">
        <v>-2.074815470475274E-3</v>
      </c>
      <c r="CD30" s="1">
        <v>2.5188733559794972E-3</v>
      </c>
      <c r="CE30" s="1">
        <v>7.8221875459861569E-4</v>
      </c>
      <c r="CF30" s="1">
        <v>1.8897065589872468E-3</v>
      </c>
      <c r="CG30" s="1">
        <v>6.1848114569836021E-4</v>
      </c>
      <c r="CH30" s="1">
        <v>-2.1243636812981956E-3</v>
      </c>
      <c r="CI30" s="1">
        <v>-7.6651044389320078E-3</v>
      </c>
      <c r="CJ30" s="1">
        <v>-5.8271522587781781E-3</v>
      </c>
      <c r="CK30" s="1">
        <v>2.7721173029118772E-3</v>
      </c>
      <c r="CL30" s="1">
        <v>5.8446385048360541E-3</v>
      </c>
      <c r="CM30" s="1">
        <v>-3.7630224395967943E-3</v>
      </c>
      <c r="CN30" s="1">
        <v>-1.961726650961497E-3</v>
      </c>
      <c r="CO30" s="1">
        <v>-1.3832086433557232E-3</v>
      </c>
      <c r="CP30" s="1">
        <v>-6.5274426759052116E-4</v>
      </c>
      <c r="CQ30" s="1">
        <v>1.1474509424812158E-3</v>
      </c>
      <c r="CR30" s="1">
        <v>-1.7990896206247983E-3</v>
      </c>
      <c r="CS30" s="1">
        <v>-2.1761130492482308E-3</v>
      </c>
      <c r="CT30" s="1">
        <v>-1.8119814399291806E-3</v>
      </c>
      <c r="CU30" s="1">
        <v>-2.3904994475349543E-3</v>
      </c>
      <c r="CV30" s="1">
        <v>1.8272665288599464E-3</v>
      </c>
      <c r="CW30" s="1">
        <v>-3.1209638233001633E-3</v>
      </c>
      <c r="CX30" s="1">
        <v>-1.8615296507520987E-3</v>
      </c>
      <c r="CY30" s="1">
        <v>-9.4033669327176425E-3</v>
      </c>
      <c r="CZ30" s="1">
        <v>-3.8023873020836402E-3</v>
      </c>
      <c r="DA30" s="1">
        <v>3.3619192374172782E-3</v>
      </c>
      <c r="DB30" s="1">
        <v>4.6492688513418215E-4</v>
      </c>
      <c r="DC30" s="1">
        <v>-2.8068877386452327E-3</v>
      </c>
      <c r="DD30" s="1">
        <v>7.579685213812179E-3</v>
      </c>
      <c r="DE30" s="1">
        <v>-8.1214508572514874E-3</v>
      </c>
      <c r="DF30" s="1">
        <v>8.9004588379239837E-3</v>
      </c>
      <c r="DG30" s="1">
        <v>5.9550188533815246E-3</v>
      </c>
      <c r="DH30" s="1">
        <v>-3.3982975655553853E-3</v>
      </c>
      <c r="DI30" s="1">
        <v>-1.6498517234336818E-3</v>
      </c>
      <c r="DJ30" s="1">
        <v>1.2589318695902449E-3</v>
      </c>
      <c r="DK30" s="1">
        <v>8.3125965158033915E-4</v>
      </c>
      <c r="DL30" s="1">
        <v>-4.6954887081855357E-3</v>
      </c>
      <c r="DM30" s="1">
        <v>-9.8687961208096392E-3</v>
      </c>
      <c r="DN30" s="1">
        <v>-5.8158683318785438E-3</v>
      </c>
      <c r="DO30" s="1">
        <v>1.6230634789092882E-3</v>
      </c>
      <c r="DP30" s="1">
        <v>3.0839922304396923E-3</v>
      </c>
      <c r="DQ30" s="1">
        <v>8.3241419874453305E-3</v>
      </c>
      <c r="DR30" s="1">
        <v>4.9595192899431137E-3</v>
      </c>
      <c r="DS30" s="1">
        <v>-1.5981023554836431E-3</v>
      </c>
      <c r="DT30" s="1">
        <v>-7.1259512938130834E-3</v>
      </c>
      <c r="DU30" s="1">
        <v>1.0588665807045504E-2</v>
      </c>
      <c r="DV30" s="1">
        <v>1.5228664786998899E-3</v>
      </c>
      <c r="DW30" s="1">
        <v>-1.5992029340472017E-3</v>
      </c>
      <c r="DX30" s="1">
        <v>6.4699962522964394E-3</v>
      </c>
      <c r="DY30" s="1">
        <v>1.5034348663806041E-4</v>
      </c>
      <c r="DZ30" s="1">
        <v>-1.7511493022066352E-3</v>
      </c>
      <c r="EA30" s="1">
        <v>-1.485013535969866E-3</v>
      </c>
      <c r="EB30" s="1">
        <v>9.7429114546394094E-3</v>
      </c>
      <c r="EC30" s="1">
        <v>9.1654940255971942E-3</v>
      </c>
      <c r="ED30" s="1">
        <v>6.9860742297749231E-3</v>
      </c>
      <c r="EE30" s="1">
        <v>-2.5925013403584989E-3</v>
      </c>
      <c r="EF30" s="1">
        <v>4.3163600950829259E-3</v>
      </c>
      <c r="EG30" s="1">
        <v>4.7946811024793031E-3</v>
      </c>
      <c r="EH30" s="1">
        <v>6.208262800313908E-3</v>
      </c>
      <c r="EI30" s="1">
        <v>-8.8248489251118688E-3</v>
      </c>
      <c r="EJ30" s="1">
        <v>2.505404868474552E-4</v>
      </c>
      <c r="EK30" s="1">
        <v>-2.5947024974856125E-3</v>
      </c>
      <c r="EL30" s="1">
        <v>1.1458430500764678E-3</v>
      </c>
      <c r="EM30" s="1">
        <v>-3.863726753647382E-3</v>
      </c>
      <c r="EN30" s="1">
        <v>-1.0691325587007874E-3</v>
      </c>
      <c r="EO30" s="1">
        <v>-3.8023873020836402E-3</v>
      </c>
      <c r="EP30" s="1">
        <v>-2.4416555507626274E-3</v>
      </c>
      <c r="EQ30" s="1">
        <v>-6.0291541516017191E-3</v>
      </c>
      <c r="ER30" s="1">
        <v>-2.2272691524758935E-3</v>
      </c>
      <c r="ES30" s="1">
        <v>1.4733182678769718E-3</v>
      </c>
      <c r="ET30" s="1">
        <v>-5.9191212986797054E-4</v>
      </c>
      <c r="EU30" s="1">
        <v>-8.5609143160022133E-3</v>
      </c>
      <c r="EV30" s="10">
        <v>-3.4382556927645899E-3</v>
      </c>
    </row>
    <row r="31" spans="1:152" x14ac:dyDescent="0.25">
      <c r="A31" s="21">
        <f t="shared" ca="1" si="0"/>
        <v>2.3752530822274631E-2</v>
      </c>
      <c r="B31" s="5">
        <v>30</v>
      </c>
      <c r="C31" s="9">
        <v>1.848549813696718E-2</v>
      </c>
      <c r="D31" s="1">
        <v>2.5049980046600907E-2</v>
      </c>
      <c r="E31" s="1">
        <v>2.3752530822274631E-2</v>
      </c>
      <c r="F31" s="1">
        <v>2.5350072248385789E-2</v>
      </c>
      <c r="G31" s="1">
        <v>1.7836773524804044E-2</v>
      </c>
      <c r="H31" s="1">
        <v>1.3699750346882691E-2</v>
      </c>
      <c r="I31" s="1">
        <v>2.254567794466741E-2</v>
      </c>
      <c r="J31" s="1">
        <v>2.0083039563078327E-2</v>
      </c>
      <c r="K31" s="1">
        <v>2.8545155100608084E-2</v>
      </c>
      <c r="L31" s="1">
        <v>2.3361842273770708E-2</v>
      </c>
      <c r="M31" s="1">
        <v>1.4816006877770866E-2</v>
      </c>
      <c r="N31" s="1">
        <v>2.1031856377026342E-2</v>
      </c>
      <c r="O31" s="1">
        <v>2.4959383699881859E-2</v>
      </c>
      <c r="P31" s="1">
        <v>2.7331425734751898E-2</v>
      </c>
      <c r="Q31" s="1">
        <v>9.548974192463415E-3</v>
      </c>
      <c r="R31" s="1">
        <v>6.6608600302749572E-3</v>
      </c>
      <c r="S31" s="1">
        <v>1.3699750346882691E-2</v>
      </c>
      <c r="T31" s="1">
        <v>1.9050502890660233E-2</v>
      </c>
      <c r="U31" s="1">
        <v>1.2834653391404764E-2</v>
      </c>
      <c r="V31" s="1">
        <v>1.5681103833248809E-2</v>
      </c>
      <c r="W31" s="1">
        <v>1.8185405935182298E-2</v>
      </c>
      <c r="X31" s="1">
        <v>1.7369241606079E-2</v>
      </c>
      <c r="Y31" s="1">
        <v>1.9734407152700074E-2</v>
      </c>
      <c r="Z31" s="1">
        <v>2.2426778436320634E-2</v>
      </c>
      <c r="AA31" s="1">
        <v>2.1031856377026342E-2</v>
      </c>
      <c r="AB31" s="1">
        <v>2.4575571639626901E-2</v>
      </c>
      <c r="AC31" s="1">
        <v>2.1213049070464438E-2</v>
      </c>
      <c r="AD31" s="1">
        <v>1.8011089729993171E-2</v>
      </c>
      <c r="AE31" s="1">
        <v>1.9134222749130313E-2</v>
      </c>
      <c r="AF31" s="1">
        <v>2.3752530822274631E-2</v>
      </c>
      <c r="AG31" s="1">
        <v>2.4401255434437774E-2</v>
      </c>
      <c r="AH31" s="1">
        <v>1.9315415442568408E-2</v>
      </c>
      <c r="AI31" s="1">
        <v>1.0707286861477257E-2</v>
      </c>
      <c r="AJ31" s="1">
        <v>8.7259333751111452E-3</v>
      </c>
      <c r="AK31" s="1">
        <v>2.3926847027463765E-2</v>
      </c>
      <c r="AL31" s="1">
        <v>2.2329305601352611E-2</v>
      </c>
      <c r="AM31" s="1">
        <v>1.6587864509071151E-2</v>
      </c>
      <c r="AN31" s="1">
        <v>1.7746177178084993E-2</v>
      </c>
      <c r="AO31" s="1">
        <v>2.7422022081470942E-2</v>
      </c>
      <c r="AP31" s="1">
        <v>1.9608631156104322E-2</v>
      </c>
      <c r="AQ31" s="1">
        <v>1.9524911297634239E-2</v>
      </c>
      <c r="AR31" s="1">
        <v>3.5374549562149991E-2</v>
      </c>
      <c r="AS31" s="1">
        <v>2.5175756043196652E-2</v>
      </c>
      <c r="AT31" s="1">
        <v>2.1219925558713403E-2</v>
      </c>
      <c r="AU31" s="1">
        <v>1.6246108586941865E-2</v>
      </c>
      <c r="AV31" s="1">
        <v>2.6089393207267969E-2</v>
      </c>
      <c r="AW31" s="1">
        <v>1.5116099079555755E-2</v>
      </c>
      <c r="AX31" s="1">
        <v>2.422693922924864E-2</v>
      </c>
      <c r="AY31" s="1">
        <v>1.5290415284744875E-2</v>
      </c>
      <c r="AZ31" s="1">
        <v>2.1206172582215476E-2</v>
      </c>
      <c r="BA31" s="1">
        <v>-9.459073914760004E-3</v>
      </c>
      <c r="BB31" s="1">
        <v>-6.0476187192229081E-3</v>
      </c>
      <c r="BC31" s="1">
        <v>-7.2965277349557947E-3</v>
      </c>
      <c r="BD31" s="1">
        <v>7.2002446083913388E-3</v>
      </c>
      <c r="BE31" s="1">
        <v>-2.0294950496483333E-3</v>
      </c>
      <c r="BF31" s="1">
        <v>6.3576269875761319E-4</v>
      </c>
      <c r="BG31" s="1">
        <v>-6.1313385776929786E-3</v>
      </c>
      <c r="BH31" s="1">
        <v>7.2285477700190746E-3</v>
      </c>
      <c r="BI31" s="1">
        <v>-4.7570459831455967E-3</v>
      </c>
      <c r="BJ31" s="1">
        <v>4.6959425064578408E-3</v>
      </c>
      <c r="BK31" s="1">
        <v>1.1246671439593639E-2</v>
      </c>
      <c r="BL31" s="1">
        <v>-1.4293106460785826E-3</v>
      </c>
      <c r="BM31" s="1">
        <v>4.2563213315792818E-3</v>
      </c>
      <c r="BN31" s="1">
        <v>-1.8199991945825073E-3</v>
      </c>
      <c r="BO31" s="1">
        <v>-1.2961913405526264E-5</v>
      </c>
      <c r="BP31" s="1">
        <v>-6.9127156747008384E-3</v>
      </c>
      <c r="BQ31" s="1">
        <v>-6.0854251565586881E-6</v>
      </c>
      <c r="BR31" s="1">
        <v>-4.1052695015841856E-4</v>
      </c>
      <c r="BS31" s="1">
        <v>6.1325282860965405E-3</v>
      </c>
      <c r="BT31" s="1">
        <v>3.349560655756938E-3</v>
      </c>
      <c r="BU31" s="1">
        <v>-1.9805624232737077E-3</v>
      </c>
      <c r="BV31" s="1">
        <v>-1.2618709291384129E-3</v>
      </c>
      <c r="BW31" s="1">
        <v>2.2887208217111064E-3</v>
      </c>
      <c r="BX31" s="1">
        <v>-1.826875682831468E-3</v>
      </c>
      <c r="BY31" s="1">
        <v>-3.8082291691975854E-3</v>
      </c>
      <c r="BZ31" s="1">
        <v>-5.3151742485896842E-3</v>
      </c>
      <c r="CA31" s="1">
        <v>-4.0177250242634053E-3</v>
      </c>
      <c r="CB31" s="1">
        <v>-4.0945683944845334E-3</v>
      </c>
      <c r="CC31" s="1">
        <v>-7.8058603391544662E-4</v>
      </c>
      <c r="CD31" s="1">
        <v>1.1870144759527287E-3</v>
      </c>
      <c r="CE31" s="1">
        <v>4.9471020818680888E-3</v>
      </c>
      <c r="CF31" s="1">
        <v>4.3820973281750338E-3</v>
      </c>
      <c r="CG31" s="1">
        <v>7.1948255722769066E-4</v>
      </c>
      <c r="CH31" s="1">
        <v>2.0306847580518952E-3</v>
      </c>
      <c r="CI31" s="1">
        <v>9.4273138879145263E-4</v>
      </c>
      <c r="CJ31" s="1">
        <v>-5.8312463759081067E-3</v>
      </c>
      <c r="CK31" s="1">
        <v>-6.3477109210077834E-3</v>
      </c>
      <c r="CL31" s="1">
        <v>3.404977352599284E-3</v>
      </c>
      <c r="CM31" s="1">
        <v>-1.1360949325426679E-3</v>
      </c>
      <c r="CN31" s="1">
        <v>4.9539785701170529E-3</v>
      </c>
      <c r="CO31" s="1">
        <v>3.2658407972868527E-3</v>
      </c>
      <c r="CP31" s="1">
        <v>-2.943132213719649E-3</v>
      </c>
      <c r="CQ31" s="1">
        <v>1.8426155763648323E-3</v>
      </c>
      <c r="CR31" s="1">
        <v>7.8772723821822106E-3</v>
      </c>
      <c r="CS31" s="1">
        <v>2.2333041248687605E-3</v>
      </c>
      <c r="CT31" s="1">
        <v>-2.1755080932097321E-3</v>
      </c>
      <c r="CU31" s="1">
        <v>-4.8737032037953539E-4</v>
      </c>
      <c r="CV31" s="1">
        <v>-2.8594123552495706E-3</v>
      </c>
      <c r="CW31" s="1">
        <v>5.7216026906269733E-3</v>
      </c>
      <c r="CX31" s="1">
        <v>6.3576269875761319E-4</v>
      </c>
      <c r="CY31" s="1">
        <v>3.830051022033383E-4</v>
      </c>
      <c r="CZ31" s="1">
        <v>6.1038167297378983E-3</v>
      </c>
      <c r="DA31" s="1">
        <v>-2.3028821109495109E-3</v>
      </c>
      <c r="DB31" s="1">
        <v>9.2050390290052304E-4</v>
      </c>
      <c r="DC31" s="1">
        <v>1.1085730845875851E-3</v>
      </c>
      <c r="DD31" s="1">
        <v>-4.6749241458195461E-3</v>
      </c>
      <c r="DE31" s="1">
        <v>1.1489748923392136E-2</v>
      </c>
      <c r="DF31" s="1">
        <v>-3.823580166839544E-3</v>
      </c>
      <c r="DG31" s="1">
        <v>3.5154023515530635E-3</v>
      </c>
      <c r="DH31" s="1">
        <v>-7.2560696179741618E-3</v>
      </c>
      <c r="DI31" s="1">
        <v>-2.2677024610728153E-3</v>
      </c>
      <c r="DJ31" s="1">
        <v>3.257366287893854E-3</v>
      </c>
      <c r="DK31" s="1">
        <v>-8.7965689002748697E-4</v>
      </c>
      <c r="DL31" s="1">
        <v>9.3894959286792458E-3</v>
      </c>
      <c r="DM31" s="1">
        <v>7.8057074790660336E-3</v>
      </c>
      <c r="DN31" s="1">
        <v>-9.8279793019646206E-5</v>
      </c>
      <c r="DO31" s="1">
        <v>-1.1514459301846334E-3</v>
      </c>
      <c r="DP31" s="1">
        <v>-1.3569391952197644E-2</v>
      </c>
      <c r="DQ31" s="1">
        <v>4.7320903114111967E-4</v>
      </c>
      <c r="DR31" s="1">
        <v>8.5106459967033803E-3</v>
      </c>
      <c r="DS31" s="1">
        <v>-2.4703218278896814E-3</v>
      </c>
      <c r="DT31" s="1">
        <v>6.49450527824183E-3</v>
      </c>
      <c r="DU31" s="1">
        <v>-3.4680712682123235E-3</v>
      </c>
      <c r="DV31" s="1">
        <v>3.1667699411748098E-3</v>
      </c>
      <c r="DW31" s="1">
        <v>-3.7746475404649132E-3</v>
      </c>
      <c r="DX31" s="1">
        <v>-6.7185708172769771E-3</v>
      </c>
      <c r="DY31" s="1">
        <v>2.5180453290116773E-3</v>
      </c>
      <c r="DZ31" s="1">
        <v>7.4618769771139619E-4</v>
      </c>
      <c r="EA31" s="1">
        <v>3.2642427761428259E-3</v>
      </c>
      <c r="EB31" s="1">
        <v>-5.602314286388797E-3</v>
      </c>
      <c r="EC31" s="1">
        <v>-2.6098508009833547E-3</v>
      </c>
      <c r="ED31" s="1">
        <v>-1.5648218273531765E-2</v>
      </c>
      <c r="EE31" s="1">
        <v>3.8292475298358809E-3</v>
      </c>
      <c r="EF31" s="1">
        <v>3.486226609585065E-4</v>
      </c>
      <c r="EG31" s="1">
        <v>2.9787007594877461E-3</v>
      </c>
      <c r="EH31" s="1">
        <v>-4.0193230454074504E-3</v>
      </c>
      <c r="EI31" s="1">
        <v>-1.3051326706268653E-3</v>
      </c>
      <c r="EJ31" s="1">
        <v>-1.8001705423477694E-3</v>
      </c>
      <c r="EK31" s="1">
        <v>1.2205961046854018E-3</v>
      </c>
      <c r="EL31" s="1">
        <v>-2.4771983161386412E-3</v>
      </c>
      <c r="EM31" s="1">
        <v>1.666327588885335E-4</v>
      </c>
      <c r="EN31" s="1">
        <v>-1.3471888087525329E-3</v>
      </c>
      <c r="EO31" s="1">
        <v>6.1038167297378983E-3</v>
      </c>
      <c r="EP31" s="1">
        <v>-1.9959134209156688E-3</v>
      </c>
      <c r="EQ31" s="1">
        <v>-1.5146285256926947E-3</v>
      </c>
      <c r="ER31" s="1">
        <v>7.247610243326201E-4</v>
      </c>
      <c r="ES31" s="1">
        <v>5.9780407331421499E-3</v>
      </c>
      <c r="ET31" s="1">
        <v>-2.1436422798525034E-5</v>
      </c>
      <c r="EU31" s="1">
        <v>-1.3957290173459147E-3</v>
      </c>
      <c r="EV31" s="10">
        <v>1.6950045116594075E-3</v>
      </c>
    </row>
    <row r="32" spans="1:152" x14ac:dyDescent="0.25">
      <c r="A32" s="21">
        <f t="shared" ca="1" si="0"/>
        <v>2.6861962982864165E-2</v>
      </c>
      <c r="B32" s="5">
        <v>31</v>
      </c>
      <c r="C32" s="9">
        <v>1.8046038192765589E-2</v>
      </c>
      <c r="D32" s="1">
        <v>2.9322670531290649E-2</v>
      </c>
      <c r="E32" s="1">
        <v>2.4401255434437687E-2</v>
      </c>
      <c r="F32" s="1">
        <v>2.6568561438976349E-2</v>
      </c>
      <c r="G32" s="1">
        <v>1.5585330644339104E-2</v>
      </c>
      <c r="H32" s="1">
        <v>1.1081311897425533E-2</v>
      </c>
      <c r="I32" s="1">
        <v>2.0552140356907899E-2</v>
      </c>
      <c r="J32" s="1">
        <v>2.0213344197304261E-2</v>
      </c>
      <c r="K32" s="1">
        <v>3.0903173448053701E-2</v>
      </c>
      <c r="L32" s="1">
        <v>2.608306450742881E-2</v>
      </c>
      <c r="M32" s="1">
        <v>1.3858126955632162E-2</v>
      </c>
      <c r="N32" s="1">
        <v>1.9919942653416452E-2</v>
      </c>
      <c r="O32" s="1">
        <v>2.8250370511967486E-2</v>
      </c>
      <c r="P32" s="1">
        <v>2.7516866652247958E-2</v>
      </c>
      <c r="Q32" s="1">
        <v>7.5029097139600598E-3</v>
      </c>
      <c r="R32" s="1">
        <v>-4.8619669155640366E-5</v>
      </c>
      <c r="S32" s="1">
        <v>1.1081311897425533E-2</v>
      </c>
      <c r="T32" s="1">
        <v>1.8971637440144847E-2</v>
      </c>
      <c r="U32" s="1">
        <v>1.290982174236055E-2</v>
      </c>
      <c r="V32" s="1">
        <v>1.2029617110697118E-2</v>
      </c>
      <c r="W32" s="1">
        <v>2.0800147285079885E-2</v>
      </c>
      <c r="X32" s="1">
        <v>1.526922313455896E-2</v>
      </c>
      <c r="Y32" s="1">
        <v>1.499852755656348E-2</v>
      </c>
      <c r="Z32" s="1">
        <v>2.5450849487868514E-2</v>
      </c>
      <c r="AA32" s="1">
        <v>1.9919942653416452E-2</v>
      </c>
      <c r="AB32" s="1">
        <v>2.9469371303234553E-2</v>
      </c>
      <c r="AC32" s="1">
        <v>2.2064542692062782E-2</v>
      </c>
      <c r="AD32" s="1">
        <v>1.8192738964709489E-2</v>
      </c>
      <c r="AE32" s="1">
        <v>2.0506745741192069E-2</v>
      </c>
      <c r="AF32" s="1">
        <v>2.4401255434437687E-2</v>
      </c>
      <c r="AG32" s="1">
        <v>2.6861962982864165E-2</v>
      </c>
      <c r="AH32" s="1">
        <v>2.2651345779838405E-2</v>
      </c>
      <c r="AI32" s="1">
        <v>3.3830990584347923E-3</v>
      </c>
      <c r="AJ32" s="1">
        <v>2.434793845163194E-3</v>
      </c>
      <c r="AK32" s="1">
        <v>2.7008663754808069E-2</v>
      </c>
      <c r="AL32" s="1">
        <v>2.4841357750269407E-2</v>
      </c>
      <c r="AM32" s="1">
        <v>1.8632841280541209E-2</v>
      </c>
      <c r="AN32" s="1">
        <v>1.4513030625015938E-2</v>
      </c>
      <c r="AO32" s="1">
        <v>2.8589166671571121E-2</v>
      </c>
      <c r="AP32" s="1">
        <v>2.0360044969248165E-2</v>
      </c>
      <c r="AQ32" s="1">
        <v>1.8824936668200943E-2</v>
      </c>
      <c r="AR32" s="1">
        <v>4.5859514126272309E-2</v>
      </c>
      <c r="AS32" s="1">
        <v>2.3961153118605975E-2</v>
      </c>
      <c r="AT32" s="1">
        <v>2.1601734410338726E-2</v>
      </c>
      <c r="AU32" s="1">
        <v>1.295521635807638E-2</v>
      </c>
      <c r="AV32" s="1">
        <v>3.0101569006726007E-2</v>
      </c>
      <c r="AW32" s="1">
        <v>1.1104017863317862E-2</v>
      </c>
      <c r="AX32" s="1">
        <v>2.4254554662493783E-2</v>
      </c>
      <c r="AY32" s="1">
        <v>1.3711426183688258E-2</v>
      </c>
      <c r="AZ32" s="1">
        <v>2.2527350973786827E-2</v>
      </c>
      <c r="BA32" s="1">
        <v>-7.7043894823309797E-3</v>
      </c>
      <c r="BB32" s="1">
        <v>-7.65899486661515E-3</v>
      </c>
      <c r="BC32" s="1">
        <v>-4.6114842304130557E-3</v>
      </c>
      <c r="BD32" s="1">
        <v>9.9955606794743489E-3</v>
      </c>
      <c r="BE32" s="1">
        <v>1.7437330112590466E-3</v>
      </c>
      <c r="BF32" s="1">
        <v>-1.2810716590507219E-3</v>
      </c>
      <c r="BG32" s="1">
        <v>-9.1941031676623722E-3</v>
      </c>
      <c r="BH32" s="1">
        <v>4.0245515291905537E-3</v>
      </c>
      <c r="BI32" s="1">
        <v>-2.274771488038136E-3</v>
      </c>
      <c r="BJ32" s="1">
        <v>1.2250305050915816E-3</v>
      </c>
      <c r="BK32" s="1">
        <v>1.3427279407064757E-2</v>
      </c>
      <c r="BL32" s="1">
        <v>-3.764485173369532E-3</v>
      </c>
      <c r="BM32" s="1">
        <v>1.026627357353866E-2</v>
      </c>
      <c r="BN32" s="1">
        <v>-2.0826761003784056E-3</v>
      </c>
      <c r="BO32" s="1">
        <v>-3.7417792074771923E-3</v>
      </c>
      <c r="BP32" s="1">
        <v>-5.8304850216801332E-3</v>
      </c>
      <c r="BQ32" s="1">
        <v>-4.2045874892012516E-3</v>
      </c>
      <c r="BR32" s="1">
        <v>-1.5971618527620204E-3</v>
      </c>
      <c r="BS32" s="1">
        <v>1.5187671354322772E-2</v>
      </c>
      <c r="BT32" s="1">
        <v>3.6630494036945793E-3</v>
      </c>
      <c r="BU32" s="1">
        <v>-5.6157009841968954E-3</v>
      </c>
      <c r="BV32" s="1">
        <v>-6.9426857127509803E-4</v>
      </c>
      <c r="BW32" s="1">
        <v>8.3923517968189643E-3</v>
      </c>
      <c r="BX32" s="1">
        <v>-1.6198678186543601E-3</v>
      </c>
      <c r="BY32" s="1">
        <v>-2.5681730319259445E-3</v>
      </c>
      <c r="BZ32" s="1">
        <v>-3.6631790171414574E-3</v>
      </c>
      <c r="CA32" s="1">
        <v>1.2582360797115041E-3</v>
      </c>
      <c r="CB32" s="1">
        <v>-7.3968050305977043E-4</v>
      </c>
      <c r="CC32" s="1">
        <v>-1.3037776249430477E-3</v>
      </c>
      <c r="CD32" s="1">
        <v>5.701441517766484E-4</v>
      </c>
      <c r="CE32" s="1">
        <v>5.8303554082332482E-3</v>
      </c>
      <c r="CF32" s="1">
        <v>4.9047561608539861E-3</v>
      </c>
      <c r="CG32" s="1">
        <v>2.5403664199650025E-4</v>
      </c>
      <c r="CH32" s="1">
        <v>4.2498351754013536E-3</v>
      </c>
      <c r="CI32" s="1">
        <v>-4.4979890330890601E-3</v>
      </c>
      <c r="CJ32" s="1">
        <v>-1.1948212259976658E-2</v>
      </c>
      <c r="CK32" s="1">
        <v>-4.9048857743008711E-3</v>
      </c>
      <c r="CL32" s="1">
        <v>1.1169166855025597E-2</v>
      </c>
      <c r="CM32" s="1">
        <v>-6.0557859839597723E-3</v>
      </c>
      <c r="CN32" s="1">
        <v>5.3675471265091958E-3</v>
      </c>
      <c r="CO32" s="1">
        <v>2.1279411026473606E-3</v>
      </c>
      <c r="CP32" s="1">
        <v>-4.3966828768609856E-3</v>
      </c>
      <c r="CQ32" s="1">
        <v>2.5680434184790803E-3</v>
      </c>
      <c r="CR32" s="1">
        <v>6.485259077617038E-3</v>
      </c>
      <c r="CS32" s="1">
        <v>8.8623434548794691E-4</v>
      </c>
      <c r="CT32" s="1">
        <v>-6.8346844593951302E-3</v>
      </c>
      <c r="CU32" s="1">
        <v>-3.5950784355332881E-3</v>
      </c>
      <c r="CV32" s="1">
        <v>-2.8615745758137599E-3</v>
      </c>
      <c r="CW32" s="1">
        <v>2.9295455439750512E-3</v>
      </c>
      <c r="CX32" s="1">
        <v>-1.2810716590507219E-3</v>
      </c>
      <c r="CY32" s="1">
        <v>-3.5788198819537015E-3</v>
      </c>
      <c r="CZ32" s="1">
        <v>4.0181214329466503E-3</v>
      </c>
      <c r="DA32" s="1">
        <v>8.3440963352822417E-4</v>
      </c>
      <c r="DB32" s="1">
        <v>-8.0198750767821944E-4</v>
      </c>
      <c r="DC32" s="1">
        <v>8.7980424924405387E-4</v>
      </c>
      <c r="DD32" s="1">
        <v>1.5679134932477523E-3</v>
      </c>
      <c r="DE32" s="1">
        <v>5.4746295436581306E-3</v>
      </c>
      <c r="DF32" s="1">
        <v>6.6502021176083684E-4</v>
      </c>
      <c r="DG32" s="1">
        <v>9.0408426860276898E-3</v>
      </c>
      <c r="DH32" s="1">
        <v>-9.2005332639062826E-3</v>
      </c>
      <c r="DI32" s="1">
        <v>-5.5994077984796164E-3</v>
      </c>
      <c r="DJ32" s="1">
        <v>4.8983260646100826E-3</v>
      </c>
      <c r="DK32" s="1">
        <v>3.9430731769651145E-4</v>
      </c>
      <c r="DL32" s="1">
        <v>9.4250334613471543E-3</v>
      </c>
      <c r="DM32" s="1">
        <v>6.3321108933603806E-3</v>
      </c>
      <c r="DN32" s="1">
        <v>-2.9693108282857414E-3</v>
      </c>
      <c r="DO32" s="1">
        <v>-2.822592740272991E-3</v>
      </c>
      <c r="DP32" s="1">
        <v>-1.587184069928968E-2</v>
      </c>
      <c r="DQ32" s="1">
        <v>1.2821839865880473E-2</v>
      </c>
      <c r="DR32" s="1">
        <v>1.217915986973029E-2</v>
      </c>
      <c r="DS32" s="1">
        <v>-2.2358069685662132E-3</v>
      </c>
      <c r="DT32" s="1">
        <v>2.3363123599555238E-3</v>
      </c>
      <c r="DU32" s="1">
        <v>5.4170285707775406E-3</v>
      </c>
      <c r="DV32" s="1">
        <v>3.8260260452869198E-3</v>
      </c>
      <c r="DW32" s="1">
        <v>-6.6944137836951259E-3</v>
      </c>
      <c r="DX32" s="1">
        <v>-6.4237008896308005E-3</v>
      </c>
      <c r="DY32" s="1">
        <v>1.3653184968604355E-3</v>
      </c>
      <c r="DZ32" s="1">
        <v>-3.4093958280486149E-3</v>
      </c>
      <c r="EA32" s="1">
        <v>4.4355177828860337E-3</v>
      </c>
      <c r="EB32" s="1">
        <v>-3.6468858314241751E-3</v>
      </c>
      <c r="EC32" s="1">
        <v>4.0513270075665658E-3</v>
      </c>
      <c r="ED32" s="1">
        <v>-1.7429637650160389E-2</v>
      </c>
      <c r="EE32" s="1">
        <v>5.3611170302652958E-3</v>
      </c>
      <c r="EF32" s="1">
        <v>-1.2647784733334361E-3</v>
      </c>
      <c r="EG32" s="1">
        <v>2.1442342883646395E-3</v>
      </c>
      <c r="EH32" s="1">
        <v>3.5658127599501738E-3</v>
      </c>
      <c r="EI32" s="1">
        <v>-6.8184259058155297E-3</v>
      </c>
      <c r="EJ32" s="1">
        <v>-5.2833002886994752E-3</v>
      </c>
      <c r="EK32" s="1">
        <v>-3.5560965999925191E-3</v>
      </c>
      <c r="EL32" s="1">
        <v>-1.7729986868421643E-3</v>
      </c>
      <c r="EM32" s="1">
        <v>7.1039751140779955E-4</v>
      </c>
      <c r="EN32" s="1">
        <v>7.8199807916352893E-5</v>
      </c>
      <c r="EO32" s="1">
        <v>4.0181214329466503E-3</v>
      </c>
      <c r="EP32" s="1">
        <v>-2.3825077405101175E-3</v>
      </c>
      <c r="EQ32" s="1">
        <v>-2.9920167941780845E-3</v>
      </c>
      <c r="ER32" s="1">
        <v>2.0988050405111175E-3</v>
      </c>
      <c r="ES32" s="1">
        <v>9.3796388456313315E-3</v>
      </c>
      <c r="ET32" s="1">
        <v>-9.7139424551447029E-4</v>
      </c>
      <c r="EU32" s="1">
        <v>-7.890725925138703E-3</v>
      </c>
      <c r="EV32" s="10">
        <v>-3.7027973719364234E-3</v>
      </c>
    </row>
    <row r="33" spans="1:152" x14ac:dyDescent="0.25">
      <c r="A33" s="21">
        <f t="shared" ca="1" si="0"/>
        <v>3.0160670208012941E-2</v>
      </c>
      <c r="B33" s="5">
        <v>32</v>
      </c>
      <c r="C33" s="9">
        <v>1.8430249576469895E-2</v>
      </c>
      <c r="D33" s="1">
        <v>2.5987276117108271E-2</v>
      </c>
      <c r="E33" s="1">
        <v>1.9315415442568151E-2</v>
      </c>
      <c r="F33" s="1">
        <v>2.0044881452491947E-2</v>
      </c>
      <c r="G33" s="1">
        <v>1.5094319239199835E-2</v>
      </c>
      <c r="H33" s="1">
        <v>1.9997179340028301E-2</v>
      </c>
      <c r="I33" s="1">
        <v>1.6840799915164531E-2</v>
      </c>
      <c r="J33" s="1">
        <v>1.9159715586393691E-2</v>
      </c>
      <c r="K33" s="1">
        <v>2.1503813472339553E-2</v>
      </c>
      <c r="L33" s="1">
        <v>2.1060564960047989E-2</v>
      </c>
      <c r="M33" s="1">
        <v>1.8274549720295435E-2</v>
      </c>
      <c r="N33" s="1">
        <v>1.6553251259047427E-2</v>
      </c>
      <c r="O33" s="1">
        <v>2.1790030969971785E-2</v>
      </c>
      <c r="P33" s="1">
        <v>1.5273870151606125E-2</v>
      </c>
      <c r="Q33" s="1">
        <v>1.7389383854197166E-2</v>
      </c>
      <c r="R33" s="1">
        <v>1.3743384963063029E-2</v>
      </c>
      <c r="S33" s="1">
        <v>1.9997179340028301E-2</v>
      </c>
      <c r="T33" s="1">
        <v>2.1324262559933263E-2</v>
      </c>
      <c r="U33" s="1">
        <v>2.3045561021181257E-2</v>
      </c>
      <c r="V33" s="1">
        <v>1.5226168039142479E-2</v>
      </c>
      <c r="W33" s="1">
        <v>2.4372644241086219E-2</v>
      </c>
      <c r="X33" s="1">
        <v>2.0152879196202761E-2</v>
      </c>
      <c r="Y33" s="1">
        <v>9.8813905845073075E-3</v>
      </c>
      <c r="Z33" s="1">
        <v>3.1177684874053826E-2</v>
      </c>
      <c r="AA33" s="1">
        <v>1.6553251259047427E-2</v>
      </c>
      <c r="AB33" s="1">
        <v>2.7290508280781403E-2</v>
      </c>
      <c r="AC33" s="1">
        <v>2.4947741553320413E-2</v>
      </c>
      <c r="AD33" s="1">
        <v>1.9733481740143027E-2</v>
      </c>
      <c r="AE33" s="1">
        <v>2.1766179913739955E-2</v>
      </c>
      <c r="AF33" s="1">
        <v>1.9315415442568151E-2</v>
      </c>
      <c r="AG33" s="1">
        <v>2.2651345779838211E-2</v>
      </c>
      <c r="AH33" s="1">
        <v>3.0160670208012941E-2</v>
      </c>
      <c r="AI33" s="1">
        <v>4.6432797150981198E-3</v>
      </c>
      <c r="AJ33" s="1">
        <v>9.4142910159839277E-3</v>
      </c>
      <c r="AK33" s="1">
        <v>2.3954577943511343E-2</v>
      </c>
      <c r="AL33" s="1">
        <v>2.3225111933587547E-2</v>
      </c>
      <c r="AM33" s="1">
        <v>2.3643178231162423E-2</v>
      </c>
      <c r="AN33" s="1">
        <v>1.089707409206335E-2</v>
      </c>
      <c r="AO33" s="1">
        <v>1.9471115298742625E-2</v>
      </c>
      <c r="AP33" s="1">
        <v>2.0462947750066823E-2</v>
      </c>
      <c r="AQ33" s="1">
        <v>2.0021030396260131E-2</v>
      </c>
      <c r="AR33" s="1">
        <v>3.789724766105762E-2</v>
      </c>
      <c r="AS33" s="1">
        <v>1.5405718951548769E-2</v>
      </c>
      <c r="AT33" s="1">
        <v>2.8703069346650192E-2</v>
      </c>
      <c r="AU33" s="1">
        <v>1.8120181022605833E-2</v>
      </c>
      <c r="AV33" s="1">
        <v>2.7578056936898507E-2</v>
      </c>
      <c r="AW33" s="1">
        <v>1.2332155055679112E-2</v>
      </c>
      <c r="AX33" s="1">
        <v>1.8012183278895019E-2</v>
      </c>
      <c r="AY33" s="1">
        <v>1.6971317556622303E-2</v>
      </c>
      <c r="AZ33" s="1">
        <v>2.1192413759990619E-2</v>
      </c>
      <c r="BA33" s="1">
        <v>7.2673576827783012E-3</v>
      </c>
      <c r="BB33" s="1">
        <v>2.3419776842028839E-3</v>
      </c>
      <c r="BC33" s="1">
        <v>1.0890836676165458E-2</v>
      </c>
      <c r="BD33" s="1">
        <v>3.1191458065903538E-3</v>
      </c>
      <c r="BE33" s="1">
        <v>1.1776002542263721E-2</v>
      </c>
      <c r="BF33" s="1">
        <v>-4.4378807340480289E-3</v>
      </c>
      <c r="BG33" s="1">
        <v>1.9000603303961847E-3</v>
      </c>
      <c r="BH33" s="1">
        <v>-1.5414984299435441E-2</v>
      </c>
      <c r="BI33" s="1">
        <v>5.2585105654132033E-3</v>
      </c>
      <c r="BJ33" s="1">
        <v>-6.0273303953534071E-3</v>
      </c>
      <c r="BK33" s="1">
        <v>-5.9809594413745976E-3</v>
      </c>
      <c r="BL33" s="1">
        <v>-1.0878678696892019E-4</v>
      </c>
      <c r="BM33" s="1">
        <v>2.9859658481628457E-3</v>
      </c>
      <c r="BN33" s="1">
        <v>1.636362730510911E-3</v>
      </c>
      <c r="BO33" s="1">
        <v>-7.7738110713181027E-3</v>
      </c>
      <c r="BP33" s="1">
        <v>5.3903593653558332E-3</v>
      </c>
      <c r="BQ33" s="1">
        <v>-4.0184832779883162E-3</v>
      </c>
      <c r="BR33" s="1">
        <v>-9.783989347168065E-3</v>
      </c>
      <c r="BS33" s="1">
        <v>2.0062495092825892E-2</v>
      </c>
      <c r="BT33" s="1">
        <v>-5.4310443438570985E-3</v>
      </c>
      <c r="BU33" s="1">
        <v>4.5078558162272922E-3</v>
      </c>
      <c r="BV33" s="1">
        <v>7.7504792064449213E-4</v>
      </c>
      <c r="BW33" s="1">
        <v>1.5267632735708248E-2</v>
      </c>
      <c r="BX33" s="1">
        <v>-2.1189650628188617E-3</v>
      </c>
      <c r="BY33" s="1">
        <v>2.6520462380669532E-3</v>
      </c>
      <c r="BZ33" s="1">
        <v>6.1198253752796292E-3</v>
      </c>
      <c r="CA33" s="1">
        <v>1.2791686049819756E-2</v>
      </c>
      <c r="CB33" s="1">
        <v>1.6105096489342836E-2</v>
      </c>
      <c r="CC33" s="1">
        <v>3.2271435503011398E-3</v>
      </c>
      <c r="CD33" s="1">
        <v>-9.0545233372442552E-3</v>
      </c>
      <c r="CE33" s="1">
        <v>-4.7015783339332887E-3</v>
      </c>
      <c r="CF33" s="1">
        <v>-7.5955913173966494E-3</v>
      </c>
      <c r="CG33" s="1">
        <v>-3.9959633802413505E-3</v>
      </c>
      <c r="CH33" s="1">
        <v>1.0186552880958349E-2</v>
      </c>
      <c r="CI33" s="1">
        <v>-6.6249476053345663E-3</v>
      </c>
      <c r="CJ33" s="1">
        <v>-4.0423343342201393E-3</v>
      </c>
      <c r="CK33" s="1">
        <v>8.2843723488191939E-3</v>
      </c>
      <c r="CL33" s="1">
        <v>1.3545003115975396E-2</v>
      </c>
      <c r="CM33" s="1">
        <v>-9.8065092449150307E-3</v>
      </c>
      <c r="CN33" s="1">
        <v>-9.4625054060350905E-4</v>
      </c>
      <c r="CO33" s="1">
        <v>-5.8729616976637908E-3</v>
      </c>
      <c r="CP33" s="1">
        <v>-3.9633544308601693E-4</v>
      </c>
      <c r="CQ33" s="1">
        <v>-1.9632652066444087E-3</v>
      </c>
      <c r="CR33" s="1">
        <v>-1.2079053962165381E-2</v>
      </c>
      <c r="CS33" s="1">
        <v>-3.7084147241242607E-3</v>
      </c>
      <c r="CT33" s="1">
        <v>-1.1397290064705252E-2</v>
      </c>
      <c r="CU33" s="1">
        <v>-6.4705789076449707E-3</v>
      </c>
      <c r="CV33" s="1">
        <v>4.5581910720689234E-5</v>
      </c>
      <c r="CW33" s="1">
        <v>-1.1947205162222745E-2</v>
      </c>
      <c r="CX33" s="1">
        <v>-4.4378807340480289E-3</v>
      </c>
      <c r="CY33" s="1">
        <v>3.3377168643116684E-3</v>
      </c>
      <c r="CZ33" s="1">
        <v>-8.3463328132525813E-3</v>
      </c>
      <c r="DA33" s="1">
        <v>8.2856167606340722E-3</v>
      </c>
      <c r="DB33" s="1">
        <v>-8.7895813255441171E-3</v>
      </c>
      <c r="DC33" s="1">
        <v>3.360236762058641E-3</v>
      </c>
      <c r="DD33" s="1">
        <v>1.4801777578999718E-2</v>
      </c>
      <c r="DE33" s="1">
        <v>-2.1798051906043593E-2</v>
      </c>
      <c r="DF33" s="1">
        <v>4.2427403111871889E-3</v>
      </c>
      <c r="DG33" s="1">
        <v>4.5541400235361088E-3</v>
      </c>
      <c r="DH33" s="1">
        <v>8.9687118165790586E-3</v>
      </c>
      <c r="DI33" s="1">
        <v>-6.4931855520619364E-3</v>
      </c>
      <c r="DJ33" s="1">
        <v>-5.2693983121378241E-4</v>
      </c>
      <c r="DK33" s="1">
        <v>4.3759202696146762E-3</v>
      </c>
      <c r="DL33" s="1">
        <v>-2.6901556462684828E-3</v>
      </c>
      <c r="DM33" s="1">
        <v>4.0910339304672944E-3</v>
      </c>
      <c r="DN33" s="1">
        <v>8.8562123465500686E-4</v>
      </c>
      <c r="DO33" s="1">
        <v>-8.215815171794795E-3</v>
      </c>
      <c r="DP33" s="1">
        <v>2.7374373373607874E-3</v>
      </c>
      <c r="DQ33" s="1">
        <v>3.0023828403987263E-2</v>
      </c>
      <c r="DR33" s="1">
        <v>-7.1524295517750927E-3</v>
      </c>
      <c r="DS33" s="1">
        <v>7.401782053020653E-3</v>
      </c>
      <c r="DT33" s="1">
        <v>-1.0091482330732399E-2</v>
      </c>
      <c r="DU33" s="1">
        <v>1.7276393106403352E-2</v>
      </c>
      <c r="DV33" s="1">
        <v>-4.7241849783502682E-3</v>
      </c>
      <c r="DW33" s="1">
        <v>-3.0254064148492396E-3</v>
      </c>
      <c r="DX33" s="1">
        <v>-3.1585863732767269E-3</v>
      </c>
      <c r="DY33" s="1">
        <v>-8.0601153156203142E-3</v>
      </c>
      <c r="DZ33" s="1">
        <v>-1.3428743826487309E-2</v>
      </c>
      <c r="EA33" s="1">
        <v>3.228387962116025E-3</v>
      </c>
      <c r="EB33" s="1">
        <v>-4.8812159930095786E-3</v>
      </c>
      <c r="EC33" s="1">
        <v>1.047268363192061E-2</v>
      </c>
      <c r="ED33" s="1">
        <v>-4.4412430221967003E-4</v>
      </c>
      <c r="EE33" s="1">
        <v>6.1224009455793857E-3</v>
      </c>
      <c r="EF33" s="1">
        <v>-1.5438922102337251E-2</v>
      </c>
      <c r="EG33" s="1">
        <v>-1.6874003065953026E-2</v>
      </c>
      <c r="EH33" s="1">
        <v>2.1893035709599551E-2</v>
      </c>
      <c r="EI33" s="1">
        <v>-1.5889942927486134E-3</v>
      </c>
      <c r="EJ33" s="1">
        <v>-1.1551745509064841E-2</v>
      </c>
      <c r="EK33" s="1">
        <v>-1.4731975990160441E-2</v>
      </c>
      <c r="EL33" s="1">
        <v>3.6464542596908803E-3</v>
      </c>
      <c r="EM33" s="1">
        <v>9.7220288827346846E-3</v>
      </c>
      <c r="EN33" s="1">
        <v>9.4344802266175809E-3</v>
      </c>
      <c r="EO33" s="1">
        <v>-8.3463328132525813E-3</v>
      </c>
      <c r="EP33" s="1">
        <v>6.098549889347521E-3</v>
      </c>
      <c r="EQ33" s="1">
        <v>8.5506455190041825E-3</v>
      </c>
      <c r="ER33" s="1">
        <v>8.8607140728682449E-3</v>
      </c>
      <c r="ES33" s="1">
        <v>2.2352243523069484E-3</v>
      </c>
      <c r="ET33" s="1">
        <v>-2.4277892048680805E-3</v>
      </c>
      <c r="EU33" s="1">
        <v>-5.786239439885113E-3</v>
      </c>
      <c r="EV33" s="10">
        <v>-1.6035208153833573E-2</v>
      </c>
    </row>
    <row r="34" spans="1:152" x14ac:dyDescent="0.25">
      <c r="A34" s="21">
        <f t="shared" ca="1" si="0"/>
        <v>7.2030752606399462E-2</v>
      </c>
      <c r="B34" s="5">
        <v>33</v>
      </c>
      <c r="C34" s="9">
        <v>2.7022936161910427E-2</v>
      </c>
      <c r="D34" s="1">
        <v>-3.9410887446076071E-3</v>
      </c>
      <c r="E34" s="1">
        <v>1.0707286861477205E-2</v>
      </c>
      <c r="F34" s="1">
        <v>4.9993602323473441E-3</v>
      </c>
      <c r="G34" s="1">
        <v>3.4347123964952819E-2</v>
      </c>
      <c r="H34" s="1">
        <v>3.7223565795528823E-2</v>
      </c>
      <c r="I34" s="1">
        <v>1.7827928145677074E-2</v>
      </c>
      <c r="J34" s="1">
        <v>2.1315009532780593E-2</v>
      </c>
      <c r="K34" s="1">
        <v>-6.4164930259123232E-3</v>
      </c>
      <c r="L34" s="1">
        <v>9.2945722064071146E-3</v>
      </c>
      <c r="M34" s="1">
        <v>3.7630658833213843E-2</v>
      </c>
      <c r="N34" s="1">
        <v>2.2931270706693152E-2</v>
      </c>
      <c r="O34" s="1">
        <v>3.5866455772772809E-3</v>
      </c>
      <c r="P34" s="1">
        <v>7.6272985120586778E-3</v>
      </c>
      <c r="Q34" s="1">
        <v>5.3946308133647092E-2</v>
      </c>
      <c r="R34" s="1">
        <v>6.7379460115090606E-2</v>
      </c>
      <c r="S34" s="1">
        <v>3.7223565795528823E-2</v>
      </c>
      <c r="T34" s="1">
        <v>2.0303332426981791E-2</v>
      </c>
      <c r="U34" s="1">
        <v>3.5002720553502453E-2</v>
      </c>
      <c r="V34" s="1">
        <v>3.9851504075240129E-2</v>
      </c>
      <c r="W34" s="1">
        <v>1.8082487184955476E-2</v>
      </c>
      <c r="X34" s="1">
        <v>2.6615843124225463E-2</v>
      </c>
      <c r="Y34" s="1">
        <v>3.7579646312777937E-2</v>
      </c>
      <c r="Z34" s="1">
        <v>-6.1679894750476527E-3</v>
      </c>
      <c r="AA34" s="1">
        <v>2.2931270706693152E-2</v>
      </c>
      <c r="AB34" s="1">
        <v>-4.7492193315638864E-3</v>
      </c>
      <c r="AC34" s="1">
        <v>7.8758020629233483E-3</v>
      </c>
      <c r="AD34" s="1">
        <v>2.6214805574954148E-2</v>
      </c>
      <c r="AE34" s="1">
        <v>1.9698748358868035E-2</v>
      </c>
      <c r="AF34" s="1">
        <v>1.0707286861477205E-2</v>
      </c>
      <c r="AG34" s="1">
        <v>3.3830990584347853E-3</v>
      </c>
      <c r="AH34" s="1">
        <v>4.6432797150982308E-3</v>
      </c>
      <c r="AI34" s="1">
        <v>7.2030752606399462E-2</v>
      </c>
      <c r="AJ34" s="1">
        <v>6.9402814326688156E-2</v>
      </c>
      <c r="AK34" s="1">
        <v>2.5749684714785059E-3</v>
      </c>
      <c r="AL34" s="1">
        <v>8.2828951006083673E-3</v>
      </c>
      <c r="AM34" s="1">
        <v>2.3790413814085309E-2</v>
      </c>
      <c r="AN34" s="1">
        <v>4.1874858286837707E-2</v>
      </c>
      <c r="AO34" s="1">
        <v>9.9564190173789813E-5</v>
      </c>
      <c r="AP34" s="1">
        <v>2.0506878945824314E-2</v>
      </c>
      <c r="AQ34" s="1">
        <v>2.111146301393807E-2</v>
      </c>
      <c r="AR34" s="1">
        <v>-5.3040570644313959E-2</v>
      </c>
      <c r="AS34" s="1">
        <v>1.3131678622346044E-2</v>
      </c>
      <c r="AT34" s="1">
        <v>9.5265180915224401E-4</v>
      </c>
      <c r="AU34" s="1">
        <v>3.3131900340311521E-2</v>
      </c>
      <c r="AV34" s="1">
        <v>-9.8525618925799641E-3</v>
      </c>
      <c r="AW34" s="1">
        <v>4.6571107810168766E-2</v>
      </c>
      <c r="AX34" s="1">
        <v>1.1515417448433485E-2</v>
      </c>
      <c r="AY34" s="1">
        <v>3.843878942017015E-2</v>
      </c>
      <c r="AZ34" s="1">
        <v>1.4798952316694453E-2</v>
      </c>
      <c r="BA34" s="1">
        <v>1.4448029820108468E-2</v>
      </c>
      <c r="BB34" s="1">
        <v>1.2577209606917494E-2</v>
      </c>
      <c r="BC34" s="1">
        <v>2.0204994560499845E-3</v>
      </c>
      <c r="BD34" s="1">
        <v>-2.5354922585393846E-2</v>
      </c>
      <c r="BE34" s="1">
        <v>-1.4295149844383293E-2</v>
      </c>
      <c r="BF34" s="1">
        <v>5.6091023211241736E-3</v>
      </c>
      <c r="BG34" s="1">
        <v>1.3181793675031264E-2</v>
      </c>
      <c r="BH34" s="1">
        <v>6.1687293572157964E-3</v>
      </c>
      <c r="BI34" s="1">
        <v>4.8519842546038278E-3</v>
      </c>
      <c r="BJ34" s="1">
        <v>-3.5859056951091234E-3</v>
      </c>
      <c r="BK34" s="1">
        <v>-2.0703630094084963E-2</v>
      </c>
      <c r="BL34" s="1">
        <v>3.5857481095266375E-3</v>
      </c>
      <c r="BM34" s="1">
        <v>-1.5752821531475489E-2</v>
      </c>
      <c r="BN34" s="1">
        <v>2.173033454456616E-3</v>
      </c>
      <c r="BO34" s="1">
        <v>1.2933290124166621E-2</v>
      </c>
      <c r="BP34" s="1">
        <v>1.0356364364891166E-2</v>
      </c>
      <c r="BQ34" s="1">
        <v>6.0101398703955033E-3</v>
      </c>
      <c r="BR34" s="1">
        <v>1.8443725722867663E-2</v>
      </c>
      <c r="BS34" s="1">
        <v>-5.0967101380031118E-2</v>
      </c>
      <c r="BT34" s="1">
        <v>3.0826872967934515E-4</v>
      </c>
      <c r="BU34" s="1">
        <v>-3.5409486630869486E-3</v>
      </c>
      <c r="BV34" s="1">
        <v>2.3765799732990839E-3</v>
      </c>
      <c r="BW34" s="1">
        <v>-3.2227060318729045E-2</v>
      </c>
      <c r="BX34" s="1">
        <v>9.0961837082276925E-3</v>
      </c>
      <c r="BY34" s="1">
        <v>6.4682454285163865E-3</v>
      </c>
      <c r="BZ34" s="1">
        <v>4.6484377357613321E-3</v>
      </c>
      <c r="CA34" s="1">
        <v>-9.9999378703234804E-3</v>
      </c>
      <c r="CB34" s="1">
        <v>-1.6318504055980801E-2</v>
      </c>
      <c r="CC34" s="1">
        <v>-3.7384396935157271E-3</v>
      </c>
      <c r="CD34" s="1">
        <v>1.2735799093737787E-2</v>
      </c>
      <c r="CE34" s="1">
        <v>-5.3996578994504885E-3</v>
      </c>
      <c r="CF34" s="1">
        <v>1.319945835478134E-3</v>
      </c>
      <c r="CG34" s="1">
        <v>5.0045182530104315E-3</v>
      </c>
      <c r="CH34" s="1">
        <v>-2.349015786061659E-2</v>
      </c>
      <c r="CI34" s="1">
        <v>7.6264010443080343E-3</v>
      </c>
      <c r="CJ34" s="1">
        <v>2.2122242651986215E-2</v>
      </c>
      <c r="CK34" s="1">
        <v>3.6367606299625432E-3</v>
      </c>
      <c r="CL34" s="1">
        <v>-3.1819967281044068E-2</v>
      </c>
      <c r="CM34" s="1">
        <v>1.9449347340252734E-2</v>
      </c>
      <c r="CN34" s="1">
        <v>-1.2322808153221593E-2</v>
      </c>
      <c r="CO34" s="1">
        <v>9.1285279779312889E-4</v>
      </c>
      <c r="CP34" s="1">
        <v>8.689090670542729E-3</v>
      </c>
      <c r="CQ34" s="1">
        <v>-1.5115389630757092E-3</v>
      </c>
      <c r="CR34" s="1">
        <v>-1.1554584458266237E-3</v>
      </c>
      <c r="CS34" s="1">
        <v>-9.8824308005604489E-5</v>
      </c>
      <c r="CT34" s="1">
        <v>2.5360820488225036E-2</v>
      </c>
      <c r="CU34" s="1">
        <v>1.2125159537210314E-2</v>
      </c>
      <c r="CV34" s="1">
        <v>8.0845066024289453E-3</v>
      </c>
      <c r="CW34" s="1">
        <v>4.348921664460742E-3</v>
      </c>
      <c r="CX34" s="1">
        <v>5.6091023211241736E-3</v>
      </c>
      <c r="CY34" s="1">
        <v>-8.281159088686485E-3</v>
      </c>
      <c r="CZ34" s="1">
        <v>-3.0192270408501004E-3</v>
      </c>
      <c r="DA34" s="1">
        <v>-7.4159604928805967E-3</v>
      </c>
      <c r="DB34" s="1">
        <v>1.2691838191469365E-2</v>
      </c>
      <c r="DC34" s="1">
        <v>-9.2867807060715568E-3</v>
      </c>
      <c r="DD34" s="1">
        <v>-1.1456613427661994E-2</v>
      </c>
      <c r="DE34" s="1">
        <v>4.6610412794413775E-3</v>
      </c>
      <c r="DF34" s="1">
        <v>4.6105323219065714E-3</v>
      </c>
      <c r="DG34" s="1">
        <v>-1.6604913020700246E-2</v>
      </c>
      <c r="DH34" s="1">
        <v>3.9938372769653674E-3</v>
      </c>
      <c r="DI34" s="1">
        <v>1.7184541195957914E-2</v>
      </c>
      <c r="DJ34" s="1">
        <v>-7.8680105625877766E-3</v>
      </c>
      <c r="DK34" s="1">
        <v>-4.9915687320117585E-3</v>
      </c>
      <c r="DL34" s="1">
        <v>-2.1962814620994697E-2</v>
      </c>
      <c r="DM34" s="1">
        <v>-3.01011884994071E-2</v>
      </c>
      <c r="DN34" s="1">
        <v>-2.1661394218716323E-3</v>
      </c>
      <c r="DO34" s="1">
        <v>1.7591634233642919E-2</v>
      </c>
      <c r="DP34" s="1">
        <v>3.3144109979142022E-2</v>
      </c>
      <c r="DQ34" s="1">
        <v>-5.176818034881997E-2</v>
      </c>
      <c r="DR34" s="1">
        <v>-1.033735935547879E-2</v>
      </c>
      <c r="DS34" s="1">
        <v>-6.2067923566530292E-3</v>
      </c>
      <c r="DT34" s="1">
        <v>-1.6065123857800789E-3</v>
      </c>
      <c r="DU34" s="1">
        <v>-1.8577254711861918E-2</v>
      </c>
      <c r="DV34" s="1">
        <v>-3.4027624070286089E-4</v>
      </c>
      <c r="DW34" s="1">
        <v>1.536473350320286E-2</v>
      </c>
      <c r="DX34" s="1">
        <v>2.4966834557121217E-2</v>
      </c>
      <c r="DY34" s="1">
        <v>6.983911562339476E-3</v>
      </c>
      <c r="DZ34" s="1">
        <v>2.0824156581468037E-2</v>
      </c>
      <c r="EA34" s="1">
        <v>-1.4791160816358923E-2</v>
      </c>
      <c r="EB34" s="1">
        <v>2.5373927594806181E-2</v>
      </c>
      <c r="EC34" s="1">
        <v>-9.4332592160644713E-3</v>
      </c>
      <c r="ED34" s="1">
        <v>4.4967056275086709E-2</v>
      </c>
      <c r="EE34" s="1">
        <v>-2.1510764551287559E-2</v>
      </c>
      <c r="EF34" s="1">
        <v>2.6334592180169064E-2</v>
      </c>
      <c r="EG34" s="1">
        <v>2.1638342656838019E-2</v>
      </c>
      <c r="EH34" s="1">
        <v>-2.570395148447549E-2</v>
      </c>
      <c r="EI34" s="1">
        <v>4.9545018623282644E-3</v>
      </c>
      <c r="EJ34" s="1">
        <v>2.4915822036685312E-2</v>
      </c>
      <c r="EK34" s="1">
        <v>2.1632287168424316E-2</v>
      </c>
      <c r="EL34" s="1">
        <v>7.1635789711807507E-4</v>
      </c>
      <c r="EM34" s="1">
        <v>-1.782619213375522E-2</v>
      </c>
      <c r="EN34" s="1">
        <v>-1.2722849572739142E-2</v>
      </c>
      <c r="EO34" s="1">
        <v>-3.0192270408501004E-3</v>
      </c>
      <c r="EP34" s="1">
        <v>-5.3986617696967221E-3</v>
      </c>
      <c r="EQ34" s="1">
        <v>-1.1513681436511602E-2</v>
      </c>
      <c r="ER34" s="1">
        <v>-1.7622645614912696E-2</v>
      </c>
      <c r="ES34" s="1">
        <v>-2.0091994407803737E-2</v>
      </c>
      <c r="ET34" s="1">
        <v>4.1524267637856882E-3</v>
      </c>
      <c r="EU34" s="1">
        <v>1.2482236184213152E-2</v>
      </c>
      <c r="EV34" s="10">
        <v>2.2440417755380568E-2</v>
      </c>
    </row>
    <row r="35" spans="1:152" x14ac:dyDescent="0.25">
      <c r="A35" s="21">
        <f t="shared" ca="1" si="0"/>
        <v>6.9798083296515517E-2</v>
      </c>
      <c r="B35" s="5">
        <v>34</v>
      </c>
      <c r="C35" s="9">
        <v>2.6884089873481232E-2</v>
      </c>
      <c r="D35" s="1">
        <v>-3.856345684784851E-3</v>
      </c>
      <c r="E35" s="1">
        <v>8.7259333751109752E-3</v>
      </c>
      <c r="F35" s="1">
        <v>2.6391544427268876E-3</v>
      </c>
      <c r="G35" s="1">
        <v>3.3175229403429152E-2</v>
      </c>
      <c r="H35" s="1">
        <v>4.0359087171813829E-2</v>
      </c>
      <c r="I35" s="1">
        <v>1.5718882771231998E-2</v>
      </c>
      <c r="J35" s="1">
        <v>2.0797310941097158E-2</v>
      </c>
      <c r="K35" s="1">
        <v>-9.5344034220412877E-3</v>
      </c>
      <c r="L35" s="1">
        <v>7.8197629113739425E-3</v>
      </c>
      <c r="M35" s="1">
        <v>3.8955467439467484E-2</v>
      </c>
      <c r="N35" s="1">
        <v>2.1001671538660976E-2</v>
      </c>
      <c r="O35" s="1">
        <v>1.7329839789898549E-3</v>
      </c>
      <c r="P35" s="1">
        <v>2.2438854728994151E-3</v>
      </c>
      <c r="Q35" s="1">
        <v>5.7113623937837782E-2</v>
      </c>
      <c r="R35" s="1">
        <v>7.0997342431298099E-2</v>
      </c>
      <c r="S35" s="1">
        <v>4.0359087171813829E-2</v>
      </c>
      <c r="T35" s="1">
        <v>2.1396940508488449E-2</v>
      </c>
      <c r="U35" s="1">
        <v>3.9350736409294929E-2</v>
      </c>
      <c r="V35" s="1">
        <v>3.9963818201986412E-2</v>
      </c>
      <c r="W35" s="1">
        <v>2.0388589745969521E-2</v>
      </c>
      <c r="X35" s="1">
        <v>2.8287709605827632E-2</v>
      </c>
      <c r="Y35" s="1">
        <v>3.3583950598556789E-2</v>
      </c>
      <c r="Z35" s="1">
        <v>-1.9552766838291658E-3</v>
      </c>
      <c r="AA35" s="1">
        <v>2.1001671538660976E-2</v>
      </c>
      <c r="AB35" s="1">
        <v>-3.9585259835667602E-3</v>
      </c>
      <c r="AC35" s="1">
        <v>9.8230122111115648E-3</v>
      </c>
      <c r="AD35" s="1">
        <v>2.6781909574699336E-2</v>
      </c>
      <c r="AE35" s="1">
        <v>2.0592950343533339E-2</v>
      </c>
      <c r="AF35" s="1">
        <v>8.7259333751109752E-3</v>
      </c>
      <c r="AG35" s="1">
        <v>2.4347938451630552E-3</v>
      </c>
      <c r="AH35" s="1">
        <v>9.4142910159839277E-3</v>
      </c>
      <c r="AI35" s="1">
        <v>6.9402814326688045E-2</v>
      </c>
      <c r="AJ35" s="1">
        <v>6.9798083296515517E-2</v>
      </c>
      <c r="AK35" s="1">
        <v>2.3326135463811459E-3</v>
      </c>
      <c r="AL35" s="1">
        <v>8.4193924787652336E-3</v>
      </c>
      <c r="AM35" s="1">
        <v>2.6475368678353595E-2</v>
      </c>
      <c r="AN35" s="1">
        <v>3.8764559067203858E-2</v>
      </c>
      <c r="AO35" s="1">
        <v>-3.3454441908752908E-3</v>
      </c>
      <c r="AP35" s="1">
        <v>2.0695130642315263E-2</v>
      </c>
      <c r="AQ35" s="1">
        <v>2.1499120807270372E-2</v>
      </c>
      <c r="AR35" s="1">
        <v>-5.2257488472811933E-2</v>
      </c>
      <c r="AS35" s="1">
        <v>9.0324742714567169E-3</v>
      </c>
      <c r="AT35" s="1">
        <v>5.0376727122919407E-3</v>
      </c>
      <c r="AU35" s="1">
        <v>3.4476668836993601E-2</v>
      </c>
      <c r="AV35" s="1">
        <v>-9.2413147509957522E-3</v>
      </c>
      <c r="AW35" s="1">
        <v>4.5450967566979195E-2</v>
      </c>
      <c r="AX35" s="1">
        <v>8.8281136738928706E-3</v>
      </c>
      <c r="AY35" s="1">
        <v>3.9057647738249407E-2</v>
      </c>
      <c r="AZ35" s="1">
        <v>1.4608351709931175E-2</v>
      </c>
      <c r="BA35" s="1">
        <v>2.1464835784879649E-2</v>
      </c>
      <c r="BB35" s="1">
        <v>1.6590768212578322E-2</v>
      </c>
      <c r="BC35" s="1">
        <v>9.8909074875027508E-3</v>
      </c>
      <c r="BD35" s="1">
        <v>-2.721594344889279E-2</v>
      </c>
      <c r="BE35" s="1">
        <v>-8.2672490108675889E-3</v>
      </c>
      <c r="BF35" s="1">
        <v>3.52449210937332E-3</v>
      </c>
      <c r="BG35" s="1">
        <v>1.7394758377533348E-2</v>
      </c>
      <c r="BH35" s="1">
        <v>-3.9524543300569065E-3</v>
      </c>
      <c r="BI35" s="1">
        <v>8.7938286515021058E-3</v>
      </c>
      <c r="BJ35" s="1">
        <v>-7.6407149928758578E-3</v>
      </c>
      <c r="BK35" s="1">
        <v>-2.8810471553502748E-2</v>
      </c>
      <c r="BL35" s="1">
        <v>4.7237512441558743E-3</v>
      </c>
      <c r="BM35" s="1">
        <v>-1.7454356078989874E-2</v>
      </c>
      <c r="BN35" s="1">
        <v>3.8175807804188694E-3</v>
      </c>
      <c r="BO35" s="1">
        <v>9.8156316393212262E-3</v>
      </c>
      <c r="BP35" s="1">
        <v>1.5582417450059394E-2</v>
      </c>
      <c r="BQ35" s="1">
        <v>5.030292140501616E-3</v>
      </c>
      <c r="BR35" s="1">
        <v>1.3694800674403873E-2</v>
      </c>
      <c r="BS35" s="1">
        <v>-4.5094463501517718E-2</v>
      </c>
      <c r="BT35" s="1">
        <v>-3.9659065553570988E-3</v>
      </c>
      <c r="BU35" s="1">
        <v>6.4022161150943668E-4</v>
      </c>
      <c r="BV35" s="1">
        <v>3.1157709142456691E-3</v>
      </c>
      <c r="BW35" s="1">
        <v>-2.6629766106801706E-2</v>
      </c>
      <c r="BX35" s="1">
        <v>8.6029202792384796E-3</v>
      </c>
      <c r="BY35" s="1">
        <v>8.9981892490659243E-3</v>
      </c>
      <c r="BZ35" s="1">
        <v>9.4956385176753061E-3</v>
      </c>
      <c r="CA35" s="1">
        <v>-3.0866405422205201E-3</v>
      </c>
      <c r="CB35" s="1">
        <v>-7.0679898760850207E-3</v>
      </c>
      <c r="CC35" s="1">
        <v>-1.5673882857920318E-3</v>
      </c>
      <c r="CD35" s="1">
        <v>7.6080217420197993E-3</v>
      </c>
      <c r="CE35" s="1">
        <v>-1.0052685487741186E-2</v>
      </c>
      <c r="CF35" s="1">
        <v>-4.5655361227483759E-3</v>
      </c>
      <c r="CG35" s="1">
        <v>2.720501944418266E-3</v>
      </c>
      <c r="CH35" s="1">
        <v>-1.9432456113116781E-2</v>
      </c>
      <c r="CI35" s="1">
        <v>5.2346527380654345E-3</v>
      </c>
      <c r="CJ35" s="1">
        <v>2.3890258505045087E-2</v>
      </c>
      <c r="CK35" s="1">
        <v>1.0095268085066583E-2</v>
      </c>
      <c r="CL35" s="1">
        <v>-2.8033385839148092E-2</v>
      </c>
      <c r="CM35" s="1">
        <v>1.6004590870487223E-2</v>
      </c>
      <c r="CN35" s="1">
        <v>-1.4838024986560797E-2</v>
      </c>
      <c r="CO35" s="1">
        <v>-3.1619163904019892E-3</v>
      </c>
      <c r="CP35" s="1">
        <v>1.0006540011584866E-2</v>
      </c>
      <c r="CQ35" s="1">
        <v>-3.4684572867477309E-3</v>
      </c>
      <c r="CR35" s="1">
        <v>-1.0243593860004813E-2</v>
      </c>
      <c r="CS35" s="1">
        <v>-2.5622868230107121E-3</v>
      </c>
      <c r="CT35" s="1">
        <v>2.1389559936698124E-2</v>
      </c>
      <c r="CU35" s="1">
        <v>9.7134513405393169E-3</v>
      </c>
      <c r="CV35" s="1">
        <v>9.2025498466297567E-3</v>
      </c>
      <c r="CW35" s="1">
        <v>-3.4550050614475386E-3</v>
      </c>
      <c r="CX35" s="1">
        <v>3.52449210937332E-3</v>
      </c>
      <c r="CY35" s="1">
        <v>-5.5388016359725623E-3</v>
      </c>
      <c r="CZ35" s="1">
        <v>-9.2387593391020373E-3</v>
      </c>
      <c r="DA35" s="1">
        <v>-2.9745242597545712E-3</v>
      </c>
      <c r="DB35" s="1">
        <v>8.1154069943131374E-3</v>
      </c>
      <c r="DC35" s="1">
        <v>-7.8485918320559123E-3</v>
      </c>
      <c r="DD35" s="1">
        <v>-3.4854257536641314E-3</v>
      </c>
      <c r="DE35" s="1">
        <v>-9.7227563824112129E-3</v>
      </c>
      <c r="DF35" s="1">
        <v>7.093604006494017E-3</v>
      </c>
      <c r="DG35" s="1">
        <v>-1.7049151125478432E-2</v>
      </c>
      <c r="DH35" s="1">
        <v>1.2108453368488231E-2</v>
      </c>
      <c r="DI35" s="1">
        <v>1.5503625360261702E-2</v>
      </c>
      <c r="DJ35" s="1">
        <v>-9.8518411317935067E-3</v>
      </c>
      <c r="DK35" s="1">
        <v>-2.6679833634088435E-3</v>
      </c>
      <c r="DL35" s="1">
        <v>-2.7001646867644918E-2</v>
      </c>
      <c r="DM35" s="1">
        <v>-3.0485546932900121E-2</v>
      </c>
      <c r="DN35" s="1">
        <v>-8.5564243593477807E-4</v>
      </c>
      <c r="DO35" s="1">
        <v>1.4100005627915316E-2</v>
      </c>
      <c r="DP35" s="1">
        <v>4.0436918431889013E-2</v>
      </c>
      <c r="DQ35" s="1">
        <v>-3.9317741707095566E-2</v>
      </c>
      <c r="DR35" s="1">
        <v>-1.8439318632524571E-2</v>
      </c>
      <c r="DS35" s="1">
        <v>-1.3665439298443521E-3</v>
      </c>
      <c r="DT35" s="1">
        <v>-8.332588875365074E-3</v>
      </c>
      <c r="DU35" s="1">
        <v>-1.0478375149785224E-2</v>
      </c>
      <c r="DV35" s="1">
        <v>-4.2625114680188009E-3</v>
      </c>
      <c r="DW35" s="1">
        <v>1.6001074628871015E-2</v>
      </c>
      <c r="DX35" s="1">
        <v>2.5762661998773931E-2</v>
      </c>
      <c r="DY35" s="1">
        <v>2.0286280619290636E-3</v>
      </c>
      <c r="DZ35" s="1">
        <v>1.4508726823042967E-2</v>
      </c>
      <c r="EA35" s="1">
        <v>-1.4637180630613186E-2</v>
      </c>
      <c r="EB35" s="1">
        <v>2.4359042266427544E-2</v>
      </c>
      <c r="EC35" s="1">
        <v>-4.6846848884466857E-3</v>
      </c>
      <c r="ED35" s="1">
        <v>5.1206856564310788E-2</v>
      </c>
      <c r="EE35" s="1">
        <v>-2.0124329995605997E-2</v>
      </c>
      <c r="EF35" s="1">
        <v>1.8387895858125558E-2</v>
      </c>
      <c r="EG35" s="1">
        <v>1.1701487358350263E-2</v>
      </c>
      <c r="EH35" s="1">
        <v>-1.4561904782431634E-2</v>
      </c>
      <c r="EI35" s="1">
        <v>6.1373069601862451E-3</v>
      </c>
      <c r="EJ35" s="1">
        <v>2.0391145157863222E-2</v>
      </c>
      <c r="EK35" s="1">
        <v>1.4610907121824876E-2</v>
      </c>
      <c r="EL35" s="1">
        <v>3.4187955689752442E-3</v>
      </c>
      <c r="EM35" s="1">
        <v>-1.2838291928439327E-2</v>
      </c>
      <c r="EN35" s="1">
        <v>-7.555503161010349E-3</v>
      </c>
      <c r="EO35" s="1">
        <v>-9.2387593391020373E-3</v>
      </c>
      <c r="EP35" s="1">
        <v>-1.2643636310624429E-3</v>
      </c>
      <c r="EQ35" s="1">
        <v>-5.9475228311001993E-3</v>
      </c>
      <c r="ER35" s="1">
        <v>-1.3540101794612514E-2</v>
      </c>
      <c r="ES35" s="1">
        <v>-2.2127579295343591E-2</v>
      </c>
      <c r="ET35" s="1">
        <v>3.1257068979297087E-3</v>
      </c>
      <c r="EU35" s="1">
        <v>1.1726636623960979E-2</v>
      </c>
      <c r="EV35" s="10">
        <v>1.4713087420606785E-2</v>
      </c>
    </row>
    <row r="36" spans="1:152" x14ac:dyDescent="0.25">
      <c r="A36" s="21">
        <f t="shared" ca="1" si="0"/>
        <v>2.7521104521050294E-2</v>
      </c>
      <c r="B36" s="5">
        <v>35</v>
      </c>
      <c r="C36" s="9">
        <v>1.8268482209126566E-2</v>
      </c>
      <c r="D36" s="1">
        <v>3.009048048215238E-2</v>
      </c>
      <c r="E36" s="1">
        <v>2.3926847027463592E-2</v>
      </c>
      <c r="F36" s="1">
        <v>2.5983782222323368E-2</v>
      </c>
      <c r="G36" s="1">
        <v>1.5186665481782172E-2</v>
      </c>
      <c r="H36" s="1">
        <v>1.110769813800102E-2</v>
      </c>
      <c r="I36" s="1">
        <v>1.9065353076295047E-2</v>
      </c>
      <c r="J36" s="1">
        <v>2.0325417403986343E-2</v>
      </c>
      <c r="K36" s="1">
        <v>3.0097652612042922E-2</v>
      </c>
      <c r="L36" s="1">
        <v>2.6731405783772359E-2</v>
      </c>
      <c r="M36" s="1">
        <v>1.4667052585649321E-2</v>
      </c>
      <c r="N36" s="1">
        <v>1.9300535871501726E-2</v>
      </c>
      <c r="O36" s="1">
        <v>2.8788340978632136E-2</v>
      </c>
      <c r="P36" s="1">
        <v>2.6226137147420593E-2</v>
      </c>
      <c r="Q36" s="1">
        <v>9.0086877673122984E-3</v>
      </c>
      <c r="R36" s="1">
        <v>-2.0185936878249627E-4</v>
      </c>
      <c r="S36" s="1">
        <v>1.110769813800102E-2</v>
      </c>
      <c r="T36" s="1">
        <v>1.9058180946404504E-2</v>
      </c>
      <c r="U36" s="1">
        <v>1.4424697660552099E-2</v>
      </c>
      <c r="V36" s="1">
        <v>1.1350053063098248E-2</v>
      </c>
      <c r="W36" s="1">
        <v>2.2375180468955577E-2</v>
      </c>
      <c r="X36" s="1">
        <v>1.4709127761478265E-2</v>
      </c>
      <c r="Y36" s="1">
        <v>1.3136902416812937E-2</v>
      </c>
      <c r="Z36" s="1">
        <v>2.5776330343164539E-2</v>
      </c>
      <c r="AA36" s="1">
        <v>1.9300535871501726E-2</v>
      </c>
      <c r="AB36" s="1">
        <v>3.0602921248394688E-2</v>
      </c>
      <c r="AC36" s="1">
        <v>2.1904814878542213E-2</v>
      </c>
      <c r="AD36" s="1">
        <v>1.8780922975368874E-2</v>
      </c>
      <c r="AE36" s="1">
        <v>2.135029893647096E-2</v>
      </c>
      <c r="AF36" s="1">
        <v>2.3926847027463592E-2</v>
      </c>
      <c r="AG36" s="1">
        <v>2.7008663754807986E-2</v>
      </c>
      <c r="AH36" s="1">
        <v>2.3954577943511447E-2</v>
      </c>
      <c r="AI36" s="1">
        <v>2.5749684714784435E-3</v>
      </c>
      <c r="AJ36" s="1">
        <v>2.3326135463812014E-3</v>
      </c>
      <c r="AK36" s="1">
        <v>2.7521104521050294E-2</v>
      </c>
      <c r="AL36" s="1">
        <v>2.5464169326190517E-2</v>
      </c>
      <c r="AM36" s="1">
        <v>2.03182452740958E-2</v>
      </c>
      <c r="AN36" s="1">
        <v>1.3884525978261932E-2</v>
      </c>
      <c r="AO36" s="1">
        <v>2.7528276650940837E-2</v>
      </c>
      <c r="AP36" s="1">
        <v>2.0837858170228651E-2</v>
      </c>
      <c r="AQ36" s="1">
        <v>1.8545740180162196E-2</v>
      </c>
      <c r="AR36" s="1">
        <v>4.6816047882175679E-2</v>
      </c>
      <c r="AS36" s="1">
        <v>2.2389524728736662E-2</v>
      </c>
      <c r="AT36" s="1">
        <v>2.091483639199599E-2</v>
      </c>
      <c r="AU36" s="1">
        <v>1.2139751800376179E-2</v>
      </c>
      <c r="AV36" s="1">
        <v>3.0367738453188003E-2</v>
      </c>
      <c r="AW36" s="1">
        <v>1.0560354325820309E-2</v>
      </c>
      <c r="AX36" s="1">
        <v>2.3414406261221283E-2</v>
      </c>
      <c r="AY36" s="1">
        <v>1.4154611819407012E-2</v>
      </c>
      <c r="AZ36" s="1">
        <v>2.2894793365088432E-2</v>
      </c>
      <c r="BA36" s="1">
        <v>-5.0115698143348656E-3</v>
      </c>
      <c r="BB36" s="1">
        <v>-7.296515674510784E-3</v>
      </c>
      <c r="BC36" s="1">
        <v>-2.1649358821971554E-3</v>
      </c>
      <c r="BD36" s="1">
        <v>9.6365036046713506E-3</v>
      </c>
      <c r="BE36" s="1">
        <v>3.4934289361398668E-3</v>
      </c>
      <c r="BF36" s="1">
        <v>-2.1854946683544669E-3</v>
      </c>
      <c r="BG36" s="1">
        <v>-9.5886336645772449E-3</v>
      </c>
      <c r="BH36" s="1">
        <v>1.6233868342816066E-3</v>
      </c>
      <c r="BI36" s="1">
        <v>-1.4290373327577495E-4</v>
      </c>
      <c r="BJ36" s="1">
        <v>-1.3886238011859928E-3</v>
      </c>
      <c r="BK36" s="1">
        <v>1.2413331444932257E-2</v>
      </c>
      <c r="BL36" s="1">
        <v>-4.7199675835181559E-3</v>
      </c>
      <c r="BM36" s="1">
        <v>1.2398987185151165E-2</v>
      </c>
      <c r="BN36" s="1">
        <v>-1.9154088272093864E-3</v>
      </c>
      <c r="BO36" s="1">
        <v>-5.267311395698861E-3</v>
      </c>
      <c r="BP36" s="1">
        <v>-3.9795161519597059E-3</v>
      </c>
      <c r="BQ36" s="1">
        <v>-6.2572898822450818E-3</v>
      </c>
      <c r="BR36" s="1">
        <v>-1.4727741528438726E-3</v>
      </c>
      <c r="BS36" s="1">
        <v>1.7372362404025447E-2</v>
      </c>
      <c r="BT36" s="1">
        <v>3.4307949741536146E-3</v>
      </c>
      <c r="BU36" s="1">
        <v>-7.4896232938885272E-3</v>
      </c>
      <c r="BV36" s="1">
        <v>-1.3573160338523245E-4</v>
      </c>
      <c r="BW36" s="1">
        <v>1.0176675286961506E-2</v>
      </c>
      <c r="BX36" s="1">
        <v>-9.2543034066316747E-4</v>
      </c>
      <c r="BY36" s="1">
        <v>-1.1677852657603922E-3</v>
      </c>
      <c r="BZ36" s="1">
        <v>-1.9225809570999289E-3</v>
      </c>
      <c r="CA36" s="1">
        <v>4.2410524975888594E-3</v>
      </c>
      <c r="CB36" s="1">
        <v>9.5895602097617778E-4</v>
      </c>
      <c r="CC36" s="1">
        <v>-1.6381508561737618E-3</v>
      </c>
      <c r="CD36" s="1">
        <v>5.8416104201590435E-4</v>
      </c>
      <c r="CE36" s="1">
        <v>5.4877301690133915E-3</v>
      </c>
      <c r="CF36" s="1">
        <v>4.6980314317354582E-3</v>
      </c>
      <c r="CG36" s="1">
        <v>1.0662332171199225E-4</v>
      </c>
      <c r="CH36" s="1">
        <v>4.2902998033083426E-3</v>
      </c>
      <c r="CI36" s="1">
        <v>-7.282171414729699E-3</v>
      </c>
      <c r="CJ36" s="1">
        <v>-1.3695331924406258E-2</v>
      </c>
      <c r="CK36" s="1">
        <v>-3.1898174146817726E-3</v>
      </c>
      <c r="CL36" s="1">
        <v>1.3736029734609819E-2</v>
      </c>
      <c r="CM36" s="1">
        <v>-7.8366873568009466E-3</v>
      </c>
      <c r="CN36" s="1">
        <v>4.4977516824671725E-3</v>
      </c>
      <c r="CO36" s="1">
        <v>1.138676984087152E-3</v>
      </c>
      <c r="CP36" s="1">
        <v>-4.484784788311472E-3</v>
      </c>
      <c r="CQ36" s="1">
        <v>2.6759992828140778E-3</v>
      </c>
      <c r="CR36" s="1">
        <v>4.7052035616260077E-3</v>
      </c>
      <c r="CS36" s="1">
        <v>-1.2855947349468995E-4</v>
      </c>
      <c r="CT36" s="1">
        <v>-8.113945327836573E-3</v>
      </c>
      <c r="CU36" s="1">
        <v>-4.7548706294565524E-3</v>
      </c>
      <c r="CV36" s="1">
        <v>-2.1926667982450094E-3</v>
      </c>
      <c r="CW36" s="1">
        <v>8.6859114294207153E-4</v>
      </c>
      <c r="CX36" s="1">
        <v>-2.1854946683544669E-3</v>
      </c>
      <c r="CY36" s="1">
        <v>-6.1088230252730746E-3</v>
      </c>
      <c r="CZ36" s="1">
        <v>2.0070364864602976E-3</v>
      </c>
      <c r="DA36" s="1">
        <v>2.5400360388599212E-3</v>
      </c>
      <c r="DB36" s="1">
        <v>-1.359210341810262E-3</v>
      </c>
      <c r="DC36" s="1">
        <v>2.5509017868400111E-4</v>
      </c>
      <c r="DD36" s="1">
        <v>5.1022398700714643E-3</v>
      </c>
      <c r="DE36" s="1">
        <v>9.5442403792782467E-4</v>
      </c>
      <c r="DF36" s="1">
        <v>3.7651973206128241E-3</v>
      </c>
      <c r="DG36" s="1">
        <v>1.0968056567567315E-2</v>
      </c>
      <c r="DH36" s="1">
        <v>-9.2049840123985538E-3</v>
      </c>
      <c r="DI36" s="1">
        <v>-6.4630592180760366E-3</v>
      </c>
      <c r="DJ36" s="1">
        <v>5.0816810839141493E-3</v>
      </c>
      <c r="DK36" s="1">
        <v>1.0027137401329954E-3</v>
      </c>
      <c r="DL36" s="1">
        <v>7.4230463797000934E-3</v>
      </c>
      <c r="DM36" s="1">
        <v>3.386154211747875E-3</v>
      </c>
      <c r="DN36" s="1">
        <v>-4.606403772484547E-3</v>
      </c>
      <c r="DO36" s="1">
        <v>-2.9037047704277303E-3</v>
      </c>
      <c r="DP36" s="1">
        <v>-1.415062831522498E-2</v>
      </c>
      <c r="DQ36" s="1">
        <v>1.7471581955277978E-2</v>
      </c>
      <c r="DR36" s="1">
        <v>1.2720002875343604E-2</v>
      </c>
      <c r="DS36" s="1">
        <v>-2.044199941273004E-3</v>
      </c>
      <c r="DT36" s="1">
        <v>-7.9752226984847185E-4</v>
      </c>
      <c r="DU36" s="1">
        <v>9.9637338212400089E-3</v>
      </c>
      <c r="DV36" s="1">
        <v>3.7795415803939091E-3</v>
      </c>
      <c r="DW36" s="1">
        <v>-7.2178549094155699E-3</v>
      </c>
      <c r="DX36" s="1">
        <v>-4.4553713289357411E-3</v>
      </c>
      <c r="DY36" s="1">
        <v>6.9772485304951497E-4</v>
      </c>
      <c r="DZ36" s="1">
        <v>-4.9534678353969647E-3</v>
      </c>
      <c r="EA36" s="1">
        <v>4.091702597367932E-3</v>
      </c>
      <c r="EB36" s="1">
        <v>-8.960168812874366E-4</v>
      </c>
      <c r="EC36" s="1">
        <v>7.6367127852351498E-3</v>
      </c>
      <c r="ED36" s="1">
        <v>-1.4705144257296229E-2</v>
      </c>
      <c r="EE36" s="1">
        <v>4.8814013346458636E-3</v>
      </c>
      <c r="EF36" s="1">
        <v>-1.1589305925419763E-3</v>
      </c>
      <c r="EG36" s="1">
        <v>2.1652410598996443E-3</v>
      </c>
      <c r="EH36" s="1">
        <v>7.194078110869636E-3</v>
      </c>
      <c r="EI36" s="1">
        <v>-9.4678977236530952E-3</v>
      </c>
      <c r="EJ36" s="1">
        <v>-5.9855214977721245E-3</v>
      </c>
      <c r="EK36" s="1">
        <v>-5.4659086016392733E-3</v>
      </c>
      <c r="EL36" s="1">
        <v>-1.0542214547267816E-3</v>
      </c>
      <c r="EM36" s="1">
        <v>2.8999322462239588E-4</v>
      </c>
      <c r="EN36" s="1">
        <v>5.2517601982908155E-4</v>
      </c>
      <c r="EO36" s="1">
        <v>2.0070364864602976E-3</v>
      </c>
      <c r="EP36" s="1">
        <v>-2.5566407075153126E-3</v>
      </c>
      <c r="EQ36" s="1">
        <v>-4.0590599603038402E-3</v>
      </c>
      <c r="ER36" s="1">
        <v>2.0696704484465499E-3</v>
      </c>
      <c r="ES36" s="1">
        <v>9.7079922398760118E-3</v>
      </c>
      <c r="ET36" s="1">
        <v>-1.3243072958718655E-3</v>
      </c>
      <c r="EU36" s="1">
        <v>-1.0770037227173335E-2</v>
      </c>
      <c r="EV36" s="10">
        <v>-5.978349367881582E-3</v>
      </c>
    </row>
    <row r="37" spans="1:152" x14ac:dyDescent="0.25">
      <c r="A37" s="21">
        <f t="shared" ca="1" si="0"/>
        <v>2.4197740329116129E-2</v>
      </c>
      <c r="B37" s="5">
        <v>36</v>
      </c>
      <c r="C37" s="9">
        <v>1.9152830186050306E-2</v>
      </c>
      <c r="D37" s="1">
        <v>2.735340989918628E-2</v>
      </c>
      <c r="E37" s="1">
        <v>2.2329305601352534E-2</v>
      </c>
      <c r="F37" s="1">
        <v>2.3595734598427006E-2</v>
      </c>
      <c r="G37" s="1">
        <v>1.6640778037133434E-2</v>
      </c>
      <c r="H37" s="1">
        <v>1.3778909068609381E-2</v>
      </c>
      <c r="I37" s="1">
        <v>1.8085316102829065E-2</v>
      </c>
      <c r="J37" s="1">
        <v>2.0419259183124792E-2</v>
      </c>
      <c r="K37" s="1">
        <v>2.6128592592575963E-2</v>
      </c>
      <c r="L37" s="1">
        <v>2.5306866102801528E-2</v>
      </c>
      <c r="M37" s="1">
        <v>1.7242783767822571E-2</v>
      </c>
      <c r="N37" s="1">
        <v>1.9173636031282391E-2</v>
      </c>
      <c r="O37" s="1">
        <v>2.6573295099876E-2</v>
      </c>
      <c r="P37" s="1">
        <v>2.3459237220270004E-2</v>
      </c>
      <c r="Q37" s="1">
        <v>1.4066308352520335E-2</v>
      </c>
      <c r="R37" s="1">
        <v>6.2011409313945942E-3</v>
      </c>
      <c r="S37" s="1">
        <v>1.3778909068609381E-2</v>
      </c>
      <c r="T37" s="1">
        <v>1.9310133409439382E-2</v>
      </c>
      <c r="U37" s="1">
        <v>1.7379281145979562E-2</v>
      </c>
      <c r="V37" s="1">
        <v>1.3642411690452359E-2</v>
      </c>
      <c r="W37" s="1">
        <v>2.2910505486809594E-2</v>
      </c>
      <c r="X37" s="1">
        <v>1.5688955486837117E-2</v>
      </c>
      <c r="Y37" s="1">
        <v>1.4149531733448632E-2</v>
      </c>
      <c r="Z37" s="1">
        <v>2.3403221002208888E-2</v>
      </c>
      <c r="AA37" s="1">
        <v>1.9173636031282391E-2</v>
      </c>
      <c r="AB37" s="1">
        <v>2.797622147510748E-2</v>
      </c>
      <c r="AC37" s="1">
        <v>2.0733865629902946E-2</v>
      </c>
      <c r="AD37" s="1">
        <v>1.9775641761971514E-2</v>
      </c>
      <c r="AE37" s="1">
        <v>2.1664882334967193E-2</v>
      </c>
      <c r="AF37" s="1">
        <v>2.2329305601352534E-2</v>
      </c>
      <c r="AG37" s="1">
        <v>2.4841357750269407E-2</v>
      </c>
      <c r="AH37" s="1">
        <v>2.3225111933587748E-2</v>
      </c>
      <c r="AI37" s="1">
        <v>8.282895100608402E-3</v>
      </c>
      <c r="AJ37" s="1">
        <v>8.4193924787653932E-3</v>
      </c>
      <c r="AK37" s="1">
        <v>2.5464169326190608E-2</v>
      </c>
      <c r="AL37" s="1">
        <v>2.4197740329116129E-2</v>
      </c>
      <c r="AM37" s="1">
        <v>2.1644076489735108E-2</v>
      </c>
      <c r="AN37" s="1">
        <v>1.5860663237823154E-2</v>
      </c>
      <c r="AO37" s="1">
        <v>2.4239352019580291E-2</v>
      </c>
      <c r="AP37" s="1">
        <v>2.1042070759045985E-2</v>
      </c>
      <c r="AQ37" s="1">
        <v>1.8687321833518188E-2</v>
      </c>
      <c r="AR37" s="1">
        <v>3.8244150829860282E-2</v>
      </c>
      <c r="AS37" s="1">
        <v>2.046087087358894E-2</v>
      </c>
      <c r="AT37" s="1">
        <v>1.9159231503685419E-2</v>
      </c>
      <c r="AU37" s="1">
        <v>1.3799714913841438E-2</v>
      </c>
      <c r="AV37" s="1">
        <v>2.6887901546654155E-2</v>
      </c>
      <c r="AW37" s="1">
        <v>1.3485108467063283E-2</v>
      </c>
      <c r="AX37" s="1">
        <v>2.1706494025431327E-2</v>
      </c>
      <c r="AY37" s="1">
        <v>1.6619972191901363E-2</v>
      </c>
      <c r="AZ37" s="1">
        <v>2.2308499756120464E-2</v>
      </c>
      <c r="BA37" s="1">
        <v>-1.3806149107715732E-3</v>
      </c>
      <c r="BB37" s="1">
        <v>-4.9601811429096851E-3</v>
      </c>
      <c r="BC37" s="1">
        <v>4.3117309691989569E-5</v>
      </c>
      <c r="BD37" s="1">
        <v>6.1230733839824332E-3</v>
      </c>
      <c r="BE37" s="1">
        <v>3.2195927249942108E-3</v>
      </c>
      <c r="BF37" s="1">
        <v>-2.0775063291535332E-3</v>
      </c>
      <c r="BG37" s="1">
        <v>-7.3149300684374804E-3</v>
      </c>
      <c r="BH37" s="1">
        <v>2.5053685292326933E-5</v>
      </c>
      <c r="BI37" s="1">
        <v>1.6385572811415715E-3</v>
      </c>
      <c r="BJ37" s="1">
        <v>-3.1450204123747872E-3</v>
      </c>
      <c r="BK37" s="1">
        <v>8.2048275531962228E-3</v>
      </c>
      <c r="BL37" s="1">
        <v>-4.2957578765243296E-3</v>
      </c>
      <c r="BM37" s="1">
        <v>1.0654462166416863E-2</v>
      </c>
      <c r="BN37" s="1">
        <v>-1.3181973750753476E-3</v>
      </c>
      <c r="BO37" s="1">
        <v>-4.5895584780704197E-3</v>
      </c>
      <c r="BP37" s="1">
        <v>-1.3598090655394888E-3</v>
      </c>
      <c r="BQ37" s="1">
        <v>-6.164192604287938E-3</v>
      </c>
      <c r="BR37" s="1">
        <v>-3.7363850403905607E-5</v>
      </c>
      <c r="BS37" s="1">
        <v>1.2686601435204649E-2</v>
      </c>
      <c r="BT37" s="1">
        <v>2.6527973671341219E-3</v>
      </c>
      <c r="BU37" s="1">
        <v>-7.6023293523484504E-3</v>
      </c>
      <c r="BV37" s="1">
        <v>4.1373997453125495E-4</v>
      </c>
      <c r="BW37" s="1">
        <v>7.6416912921388261E-3</v>
      </c>
      <c r="BX37" s="1">
        <v>2.5643675114217761E-4</v>
      </c>
      <c r="BY37" s="1">
        <v>3.9293412929918437E-4</v>
      </c>
      <c r="BZ37" s="1">
        <v>-9.3380068465024127E-5</v>
      </c>
      <c r="CA37" s="1">
        <v>4.930724229368728E-3</v>
      </c>
      <c r="CB37" s="1">
        <v>1.0013411776234145E-3</v>
      </c>
      <c r="CC37" s="1">
        <v>-1.7837057276074639E-3</v>
      </c>
      <c r="CD37" s="1">
        <v>1.2290651466705799E-3</v>
      </c>
      <c r="CE37" s="1">
        <v>3.9192263642086004E-3</v>
      </c>
      <c r="CF37" s="1">
        <v>3.7619231408195231E-3</v>
      </c>
      <c r="CG37" s="1">
        <v>2.7724259637424819E-4</v>
      </c>
      <c r="CH37" s="1">
        <v>2.1520786417729577E-3</v>
      </c>
      <c r="CI37" s="1">
        <v>-7.4098157561303252E-3</v>
      </c>
      <c r="CJ37" s="1">
        <v>-1.1072605369196747E-2</v>
      </c>
      <c r="CK37" s="1">
        <v>-1.2025058421504115E-3</v>
      </c>
      <c r="CL37" s="1">
        <v>1.1105565991352023E-2</v>
      </c>
      <c r="CM37" s="1">
        <v>-6.4787990510660918E-3</v>
      </c>
      <c r="CN37" s="1">
        <v>2.3445922379910821E-3</v>
      </c>
      <c r="CO37" s="1">
        <v>2.9804844160633264E-4</v>
      </c>
      <c r="CP37" s="1">
        <v>-3.2074379480710197E-3</v>
      </c>
      <c r="CQ37" s="1">
        <v>2.1664831693699272E-3</v>
      </c>
      <c r="CR37" s="1">
        <v>2.5371058342092065E-3</v>
      </c>
      <c r="CS37" s="1">
        <v>-8.110773320790755E-4</v>
      </c>
      <c r="CT37" s="1">
        <v>-6.0132906985339617E-3</v>
      </c>
      <c r="CU37" s="1">
        <v>-3.9667469021492123E-3</v>
      </c>
      <c r="CV37" s="1">
        <v>-8.5268902254321665E-4</v>
      </c>
      <c r="CW37" s="1">
        <v>-4.6126051247187398E-4</v>
      </c>
      <c r="CX37" s="1">
        <v>-2.0775063291535332E-3</v>
      </c>
      <c r="CY37" s="1">
        <v>-7.2070043277545071E-3</v>
      </c>
      <c r="CZ37" s="1">
        <v>7.0561890279067715E-5</v>
      </c>
      <c r="DA37" s="1">
        <v>2.8139971050457919E-3</v>
      </c>
      <c r="DB37" s="1">
        <v>-7.5116459949535735E-4</v>
      </c>
      <c r="DC37" s="1">
        <v>-7.6556912709232041E-4</v>
      </c>
      <c r="DD37" s="1">
        <v>5.9280549846517875E-3</v>
      </c>
      <c r="DE37" s="1">
        <v>-2.0708675937985256E-3</v>
      </c>
      <c r="DF37" s="1">
        <v>5.4769511597166339E-3</v>
      </c>
      <c r="DG37" s="1">
        <v>9.2970439961721392E-3</v>
      </c>
      <c r="DH37" s="1">
        <v>-7.2694218634507396E-3</v>
      </c>
      <c r="DI37" s="1">
        <v>-4.8586567198618258E-3</v>
      </c>
      <c r="DJ37" s="1">
        <v>3.8074313458062708E-3</v>
      </c>
      <c r="DK37" s="1">
        <v>9.4556237728219729E-4</v>
      </c>
      <c r="DL37" s="1">
        <v>3.3835346837383026E-3</v>
      </c>
      <c r="DM37" s="1">
        <v>-1.0321625657712125E-3</v>
      </c>
      <c r="DN37" s="1">
        <v>-5.0095586256157891E-3</v>
      </c>
      <c r="DO37" s="1">
        <v>-1.3947820206486284E-3</v>
      </c>
      <c r="DP37" s="1">
        <v>-8.4057548000033185E-3</v>
      </c>
      <c r="DQ37" s="1">
        <v>1.4422435299333843E-2</v>
      </c>
      <c r="DR37" s="1">
        <v>1.0133175013543529E-2</v>
      </c>
      <c r="DS37" s="1">
        <v>-1.8955007460097931E-3</v>
      </c>
      <c r="DT37" s="1">
        <v>-2.9069986111699211E-3</v>
      </c>
      <c r="DU37" s="1">
        <v>1.0172044483175269E-2</v>
      </c>
      <c r="DV37" s="1">
        <v>3.0273165464959869E-3</v>
      </c>
      <c r="DW37" s="1">
        <v>-5.3449709176260126E-3</v>
      </c>
      <c r="DX37" s="1">
        <v>-8.1358213519158295E-4</v>
      </c>
      <c r="DY37" s="1">
        <v>5.1526439757912813E-4</v>
      </c>
      <c r="DZ37" s="1">
        <v>-3.8860283243334305E-3</v>
      </c>
      <c r="EA37" s="1">
        <v>2.2327972195887603E-3</v>
      </c>
      <c r="EB37" s="1">
        <v>2.6502925640216144E-3</v>
      </c>
      <c r="EC37" s="1">
        <v>8.1463065320225968E-3</v>
      </c>
      <c r="ED37" s="1">
        <v>-7.4747380949390721E-3</v>
      </c>
      <c r="EE37" s="1">
        <v>2.3901004429778372E-3</v>
      </c>
      <c r="EF37" s="1">
        <v>6.6616630333309057E-4</v>
      </c>
      <c r="EG37" s="1">
        <v>3.0417210740929564E-3</v>
      </c>
      <c r="EH37" s="1">
        <v>6.8654730073511479E-3</v>
      </c>
      <c r="EI37" s="1">
        <v>-9.2535481241392565E-3</v>
      </c>
      <c r="EJ37" s="1">
        <v>-3.9068341695654941E-3</v>
      </c>
      <c r="EK37" s="1">
        <v>-4.508839900254624E-3</v>
      </c>
      <c r="EL37" s="1">
        <v>-3.2086661979226737E-4</v>
      </c>
      <c r="EM37" s="1">
        <v>-1.0945801014674381E-3</v>
      </c>
      <c r="EN37" s="1">
        <v>-6.2601730141140059E-6</v>
      </c>
      <c r="EO37" s="1">
        <v>7.0561890279067715E-5</v>
      </c>
      <c r="EP37" s="1">
        <v>-2.5183123219310005E-3</v>
      </c>
      <c r="EQ37" s="1">
        <v>-4.715758024069705E-3</v>
      </c>
      <c r="ER37" s="1">
        <v>6.3735724813915708E-4</v>
      </c>
      <c r="ES37" s="1">
        <v>6.9631009158764145E-3</v>
      </c>
      <c r="ET37" s="1">
        <v>-1.0801755738704746E-3</v>
      </c>
      <c r="EU37" s="1">
        <v>-1.0033662923449527E-2</v>
      </c>
      <c r="EV37" s="10">
        <v>-5.1316514761758176E-3</v>
      </c>
    </row>
    <row r="38" spans="1:152" x14ac:dyDescent="0.25">
      <c r="A38" s="21">
        <f t="shared" ca="1" si="0"/>
        <v>2.8992378123762173E-2</v>
      </c>
      <c r="B38" s="5">
        <v>37</v>
      </c>
      <c r="C38" s="9">
        <v>2.2250762149543461E-2</v>
      </c>
      <c r="D38" s="1">
        <v>2.0677818052011417E-2</v>
      </c>
      <c r="E38" s="1">
        <v>1.6587864509071147E-2</v>
      </c>
      <c r="F38" s="1">
        <v>1.5262033293431931E-2</v>
      </c>
      <c r="G38" s="1">
        <v>2.0205785378073347E-2</v>
      </c>
      <c r="H38" s="1">
        <v>2.1845314341585414E-2</v>
      </c>
      <c r="I38" s="1">
        <v>1.2171630621205432E-2</v>
      </c>
      <c r="J38" s="1">
        <v>2.0924930933904261E-2</v>
      </c>
      <c r="K38" s="1">
        <v>1.2610370862153502E-2</v>
      </c>
      <c r="L38" s="1">
        <v>2.2329929612576089E-2</v>
      </c>
      <c r="M38" s="1">
        <v>2.6587828574376589E-2</v>
      </c>
      <c r="N38" s="1">
        <v>1.7554122946794905E-2</v>
      </c>
      <c r="O38" s="1">
        <v>2.1004098396936861E-2</v>
      </c>
      <c r="P38" s="1">
        <v>1.2577078429163491E-2</v>
      </c>
      <c r="Q38" s="1">
        <v>3.2250726214848903E-2</v>
      </c>
      <c r="R38" s="1">
        <v>2.5103662432672143E-2</v>
      </c>
      <c r="S38" s="1">
        <v>2.1845314341585414E-2</v>
      </c>
      <c r="T38" s="1">
        <v>2.0239077811063329E-2</v>
      </c>
      <c r="U38" s="1">
        <v>2.9272783438645013E-2</v>
      </c>
      <c r="V38" s="1">
        <v>1.9160359477316959E-2</v>
      </c>
      <c r="W38" s="1">
        <v>2.7666546908122959E-2</v>
      </c>
      <c r="X38" s="1">
        <v>1.7508247916752286E-2</v>
      </c>
      <c r="Y38" s="1">
        <v>1.3464169403854647E-2</v>
      </c>
      <c r="Z38" s="1">
        <v>1.6934854689933984E-2</v>
      </c>
      <c r="AA38" s="1">
        <v>1.7554122946794905E-2</v>
      </c>
      <c r="AB38" s="1">
        <v>2.2363222045566088E-2</v>
      </c>
      <c r="AC38" s="1">
        <v>1.6901562256943999E-2</v>
      </c>
      <c r="AD38" s="1">
        <v>2.3936166143098146E-2</v>
      </c>
      <c r="AE38" s="1">
        <v>2.4295738921013603E-2</v>
      </c>
      <c r="AF38" s="1">
        <v>1.6587864509071147E-2</v>
      </c>
      <c r="AG38" s="1">
        <v>1.8632841280541275E-2</v>
      </c>
      <c r="AH38" s="1">
        <v>2.3643178231162697E-2</v>
      </c>
      <c r="AI38" s="1">
        <v>2.3790413814085535E-2</v>
      </c>
      <c r="AJ38" s="1">
        <v>2.6475368678353976E-2</v>
      </c>
      <c r="AK38" s="1">
        <v>2.031824527409596E-2</v>
      </c>
      <c r="AL38" s="1">
        <v>2.1644076489735174E-2</v>
      </c>
      <c r="AM38" s="1">
        <v>2.8992378123762173E-2</v>
      </c>
      <c r="AN38" s="1">
        <v>2.0532065722998805E-2</v>
      </c>
      <c r="AO38" s="1">
        <v>1.2250798084238046E-2</v>
      </c>
      <c r="AP38" s="1">
        <v>2.2610334927458918E-2</v>
      </c>
      <c r="AQ38" s="1">
        <v>1.8553673817508672E-2</v>
      </c>
      <c r="AR38" s="1">
        <v>1.4441527184720785E-2</v>
      </c>
      <c r="AS38" s="1">
        <v>1.1531652528407132E-2</v>
      </c>
      <c r="AT38" s="1">
        <v>1.2518620802068284E-2</v>
      </c>
      <c r="AU38" s="1">
        <v>1.714867513883683E-2</v>
      </c>
      <c r="AV38" s="1">
        <v>1.6980729719976599E-2</v>
      </c>
      <c r="AW38" s="1">
        <v>2.1172043815797091E-2</v>
      </c>
      <c r="AX38" s="1">
        <v>1.4902460515516474E-2</v>
      </c>
      <c r="AY38" s="1">
        <v>2.4902424580821904E-2</v>
      </c>
      <c r="AZ38" s="1">
        <v>2.1284503711819718E-2</v>
      </c>
      <c r="BA38" s="1">
        <v>1.4897889135910322E-2</v>
      </c>
      <c r="BB38" s="1">
        <v>2.7737808361021632E-3</v>
      </c>
      <c r="BC38" s="1">
        <v>1.1560373581790989E-2</v>
      </c>
      <c r="BD38" s="1">
        <v>-5.1353314276905357E-3</v>
      </c>
      <c r="BE38" s="1">
        <v>5.8974759413186473E-3</v>
      </c>
      <c r="BF38" s="1">
        <v>-3.5623873301584771E-3</v>
      </c>
      <c r="BG38" s="1">
        <v>-1.282880273848111E-3</v>
      </c>
      <c r="BH38" s="1">
        <v>-9.5722751514936422E-3</v>
      </c>
      <c r="BI38" s="1">
        <v>1.124667583391812E-2</v>
      </c>
      <c r="BJ38" s="1">
        <v>-1.3641518858496515E-2</v>
      </c>
      <c r="BK38" s="1">
        <v>-6.4485800462771442E-3</v>
      </c>
      <c r="BL38" s="1">
        <v>-4.9340935758402926E-3</v>
      </c>
      <c r="BM38" s="1">
        <v>9.686314333438667E-3</v>
      </c>
      <c r="BN38" s="1">
        <v>8.0797152766462488E-4</v>
      </c>
      <c r="BO38" s="1">
        <v>-5.6073641016286188E-3</v>
      </c>
      <c r="BP38" s="1">
        <v>1.0201249933161766E-2</v>
      </c>
      <c r="BQ38" s="1">
        <v>-9.9903055565043336E-3</v>
      </c>
      <c r="BR38" s="1">
        <v>4.5176424567520412E-3</v>
      </c>
      <c r="BS38" s="1">
        <v>2.9987006281473744E-3</v>
      </c>
      <c r="BT38" s="1">
        <v>-1.4570431300653386E-4</v>
      </c>
      <c r="BU38" s="1">
        <v>-1.1688292147111597E-2</v>
      </c>
      <c r="BV38" s="1">
        <v>3.1792286440602072E-3</v>
      </c>
      <c r="BW38" s="1">
        <v>3.6053862879556753E-3</v>
      </c>
      <c r="BX38" s="1">
        <v>5.1909129825403397E-3</v>
      </c>
      <c r="BY38" s="1">
        <v>7.8758678468087914E-3</v>
      </c>
      <c r="BZ38" s="1">
        <v>8.8754187175225374E-3</v>
      </c>
      <c r="CA38" s="1">
        <v>1.2965372260462807E-2</v>
      </c>
      <c r="CB38" s="1">
        <v>4.5257696956368318E-3</v>
      </c>
      <c r="CC38" s="1">
        <v>-2.8891168043701787E-3</v>
      </c>
      <c r="CD38" s="1">
        <v>3.1918112411128269E-3</v>
      </c>
      <c r="CE38" s="1">
        <v>-1.4715355286457343E-3</v>
      </c>
      <c r="CF38" s="1">
        <v>5.4014880983439817E-4</v>
      </c>
      <c r="CG38" s="1">
        <v>4.9427377979178316E-4</v>
      </c>
      <c r="CH38" s="1">
        <v>-4.1816555870193978E-3</v>
      </c>
      <c r="CI38" s="1">
        <v>-1.3361113543613662E-2</v>
      </c>
      <c r="CJ38" s="1">
        <v>-6.6986650324275948E-3</v>
      </c>
      <c r="CK38" s="1">
        <v>8.1895655946816331E-3</v>
      </c>
      <c r="CL38" s="1">
        <v>8.3479005207468468E-3</v>
      </c>
      <c r="CM38" s="1">
        <v>-5.9669368795440755E-3</v>
      </c>
      <c r="CN38" s="1">
        <v>-5.8544769835214491E-3</v>
      </c>
      <c r="CO38" s="1">
        <v>-4.2023654229567733E-3</v>
      </c>
      <c r="CP38" s="1">
        <v>4.4839874974916816E-4</v>
      </c>
      <c r="CQ38" s="1">
        <v>8.5384655770723988E-4</v>
      </c>
      <c r="CR38" s="1">
        <v>-7.5272983800235144E-3</v>
      </c>
      <c r="CS38" s="1">
        <v>-4.8882185457977054E-3</v>
      </c>
      <c r="CT38" s="1">
        <v>-2.2698485475092581E-3</v>
      </c>
      <c r="CU38" s="1">
        <v>-3.9219601080739339E-3</v>
      </c>
      <c r="CV38" s="1">
        <v>4.5050598596994354E-3</v>
      </c>
      <c r="CW38" s="1">
        <v>-8.5727242807799031E-3</v>
      </c>
      <c r="CX38" s="1">
        <v>-3.5623873301584771E-3</v>
      </c>
      <c r="CY38" s="1">
        <v>-1.5561554521837356E-2</v>
      </c>
      <c r="CZ38" s="1">
        <v>-9.7610317912372041E-3</v>
      </c>
      <c r="DA38" s="1">
        <v>7.0471331142669125E-3</v>
      </c>
      <c r="DB38" s="1">
        <v>-4.1473040814622719E-5</v>
      </c>
      <c r="DC38" s="1">
        <v>-5.0769751855412604E-3</v>
      </c>
      <c r="DD38" s="1">
        <v>1.5474153082040268E-2</v>
      </c>
      <c r="DE38" s="1">
        <v>-2.0187153500438086E-2</v>
      </c>
      <c r="DF38" s="1">
        <v>1.6812566894732116E-2</v>
      </c>
      <c r="DG38" s="1">
        <v>8.1384340450659023E-3</v>
      </c>
      <c r="DH38" s="1">
        <v>-1.471636913591659E-3</v>
      </c>
      <c r="DI38" s="1">
        <v>-1.7727520644119088E-3</v>
      </c>
      <c r="DJ38" s="1">
        <v>3.5139217009085011E-4</v>
      </c>
      <c r="DK38" s="1">
        <v>1.9909211336028992E-3</v>
      </c>
      <c r="DL38" s="1">
        <v>-1.2738974567441094E-2</v>
      </c>
      <c r="DM38" s="1">
        <v>-2.0179026261553309E-2</v>
      </c>
      <c r="DN38" s="1">
        <v>-9.4932090734069496E-3</v>
      </c>
      <c r="DO38" s="1">
        <v>2.9697621683792627E-3</v>
      </c>
      <c r="DP38" s="1">
        <v>1.2271290513791167E-2</v>
      </c>
      <c r="DQ38" s="1">
        <v>1.4574479510296529E-2</v>
      </c>
      <c r="DR38" s="1">
        <v>3.4543774393699378E-3</v>
      </c>
      <c r="DS38" s="1">
        <v>-1.0661891056335804E-3</v>
      </c>
      <c r="DT38" s="1">
        <v>-1.5503096894742149E-2</v>
      </c>
      <c r="DU38" s="1">
        <v>1.9890386969905999E-2</v>
      </c>
      <c r="DV38" s="1">
        <v>6.7767251501629072E-4</v>
      </c>
      <c r="DW38" s="1">
        <v>-7.73201193698142E-4</v>
      </c>
      <c r="DX38" s="1">
        <v>1.4048444567431075E-2</v>
      </c>
      <c r="DY38" s="1">
        <v>-1.3673042564538371E-3</v>
      </c>
      <c r="DZ38" s="1">
        <v>-3.7718538058394355E-3</v>
      </c>
      <c r="EA38" s="1">
        <v>-4.0315492847848716E-3</v>
      </c>
      <c r="EB38" s="1">
        <v>1.8790958800222246E-2</v>
      </c>
      <c r="EC38" s="1">
        <v>1.6845859327722118E-2</v>
      </c>
      <c r="ED38" s="1">
        <v>1.9665467177860801E-2</v>
      </c>
      <c r="EE38" s="1">
        <v>-6.0432336232650041E-3</v>
      </c>
      <c r="EF38" s="1">
        <v>6.3531527525412246E-3</v>
      </c>
      <c r="EG38" s="1">
        <v>5.7131746597429145E-3</v>
      </c>
      <c r="EH38" s="1">
        <v>1.3136188398634702E-2</v>
      </c>
      <c r="EI38" s="1">
        <v>-1.3909442961272681E-2</v>
      </c>
      <c r="EJ38" s="1">
        <v>9.2478539690914879E-4</v>
      </c>
      <c r="EK38" s="1">
        <v>-5.4572577993941065E-3</v>
      </c>
      <c r="EL38" s="1">
        <v>3.3167523492421275E-3</v>
      </c>
      <c r="EM38" s="1">
        <v>-6.0891086533076122E-3</v>
      </c>
      <c r="EN38" s="1">
        <v>-7.0661632771812366E-4</v>
      </c>
      <c r="EO38" s="1">
        <v>-9.7610317912372041E-3</v>
      </c>
      <c r="EP38" s="1">
        <v>-2.7515930991882653E-3</v>
      </c>
      <c r="EQ38" s="1">
        <v>-8.8199385476186581E-3</v>
      </c>
      <c r="ER38" s="1">
        <v>-3.717851536912023E-3</v>
      </c>
      <c r="ES38" s="1">
        <v>-6.148662676329214E-4</v>
      </c>
      <c r="ET38" s="1">
        <v>-1.0536065085809954E-3</v>
      </c>
      <c r="EU38" s="1">
        <v>-1.3583162616347219E-2</v>
      </c>
      <c r="EV38" s="10">
        <v>-7.1426617929487637E-3</v>
      </c>
    </row>
    <row r="39" spans="1:152" x14ac:dyDescent="0.25">
      <c r="A39" s="21">
        <f t="shared" ca="1" si="0"/>
        <v>3.0737162695524137E-2</v>
      </c>
      <c r="B39" s="5">
        <v>38</v>
      </c>
      <c r="C39" s="9">
        <v>2.3046084310014231E-2</v>
      </c>
      <c r="D39" s="1">
        <v>1.1279884071946841E-2</v>
      </c>
      <c r="E39" s="1">
        <v>1.7746177178084799E-2</v>
      </c>
      <c r="F39" s="1">
        <v>1.5770039918523687E-2</v>
      </c>
      <c r="G39" s="1">
        <v>2.6279230863083203E-2</v>
      </c>
      <c r="H39" s="1">
        <v>2.39202836236386E-2</v>
      </c>
      <c r="I39" s="1">
        <v>1.9754538451781795E-2</v>
      </c>
      <c r="J39" s="1">
        <v>2.1069947050453092E-2</v>
      </c>
      <c r="K39" s="1">
        <v>1.1817765399401436E-2</v>
      </c>
      <c r="L39" s="1">
        <v>1.7713953163948901E-2</v>
      </c>
      <c r="M39" s="1">
        <v>2.6369854182382538E-2</v>
      </c>
      <c r="N39" s="1">
        <v>2.2326956343960952E-2</v>
      </c>
      <c r="O39" s="1">
        <v>1.5737815904387775E-2</v>
      </c>
      <c r="P39" s="1">
        <v>1.8880339138157412E-2</v>
      </c>
      <c r="Q39" s="1">
        <v>3.166976131431197E-2</v>
      </c>
      <c r="R39" s="1">
        <v>3.5057979214952059E-2</v>
      </c>
      <c r="S39" s="1">
        <v>2.39202836236386E-2</v>
      </c>
      <c r="T39" s="1">
        <v>1.9216657124327213E-2</v>
      </c>
      <c r="U39" s="1">
        <v>2.3259554962748785E-2</v>
      </c>
      <c r="V39" s="1">
        <v>2.7030582843272352E-2</v>
      </c>
      <c r="W39" s="1">
        <v>1.8555928463437385E-2</v>
      </c>
      <c r="X39" s="1">
        <v>2.0596513751270307E-2</v>
      </c>
      <c r="Y39" s="1">
        <v>2.8793249450098923E-2</v>
      </c>
      <c r="Z39" s="1">
        <v>6.3485189403231085E-3</v>
      </c>
      <c r="AA39" s="1">
        <v>2.2326956343960952E-2</v>
      </c>
      <c r="AB39" s="1">
        <v>1.0651379425192925E-2</v>
      </c>
      <c r="AC39" s="1">
        <v>1.341109267907907E-2</v>
      </c>
      <c r="AD39" s="1">
        <v>2.2417579663260301E-2</v>
      </c>
      <c r="AE39" s="1">
        <v>1.9812937756945231E-2</v>
      </c>
      <c r="AF39" s="1">
        <v>1.7746177178084799E-2</v>
      </c>
      <c r="AG39" s="1">
        <v>1.4513030625015827E-2</v>
      </c>
      <c r="AH39" s="1">
        <v>1.0897074092063364E-2</v>
      </c>
      <c r="AI39" s="1">
        <v>4.1874858286837582E-2</v>
      </c>
      <c r="AJ39" s="1">
        <v>3.8764559067203844E-2</v>
      </c>
      <c r="AK39" s="1">
        <v>1.3884525978261897E-2</v>
      </c>
      <c r="AL39" s="1">
        <v>1.5860663237823008E-2</v>
      </c>
      <c r="AM39" s="1">
        <v>2.053206572299851E-2</v>
      </c>
      <c r="AN39" s="1">
        <v>3.0737162695524137E-2</v>
      </c>
      <c r="AO39" s="1">
        <v>1.4422407305716478E-2</v>
      </c>
      <c r="AP39" s="1">
        <v>2.0441442403699175E-2</v>
      </c>
      <c r="AQ39" s="1">
        <v>1.9845161771081143E-2</v>
      </c>
      <c r="AR39" s="1">
        <v>-8.2680178709297822E-3</v>
      </c>
      <c r="AS39" s="1">
        <v>1.9631691118346589E-2</v>
      </c>
      <c r="AT39" s="1">
        <v>8.356880214020132E-3</v>
      </c>
      <c r="AU39" s="1">
        <v>2.3201155657585348E-2</v>
      </c>
      <c r="AV39" s="1">
        <v>8.0789615330137537E-3</v>
      </c>
      <c r="AW39" s="1">
        <v>3.086001002895937E-2</v>
      </c>
      <c r="AX39" s="1">
        <v>1.8374681824838729E-2</v>
      </c>
      <c r="AY39" s="1">
        <v>2.6998358829136468E-2</v>
      </c>
      <c r="AZ39" s="1">
        <v>1.846530514413805E-2</v>
      </c>
      <c r="BA39" s="1">
        <v>1.6788946382846823E-3</v>
      </c>
      <c r="BB39" s="1">
        <v>1.6204953331212246E-3</v>
      </c>
      <c r="BC39" s="1">
        <v>-4.1266698069634539E-3</v>
      </c>
      <c r="BD39" s="1">
        <v>-8.505885631554834E-3</v>
      </c>
      <c r="BE39" s="1">
        <v>-9.4265769388928861E-3</v>
      </c>
      <c r="BF39" s="1">
        <v>3.2603146065125557E-3</v>
      </c>
      <c r="BG39" s="1">
        <v>1.0242147005031857E-3</v>
      </c>
      <c r="BH39" s="1">
        <v>9.358065712344793E-3</v>
      </c>
      <c r="BI39" s="1">
        <v>2.0841469204224E-4</v>
      </c>
      <c r="BJ39" s="1">
        <v>-3.1231251719866793E-5</v>
      </c>
      <c r="BK39" s="1">
        <v>-1.6890065596693107E-3</v>
      </c>
      <c r="BL39" s="1">
        <v>-4.4626524573923576E-4</v>
      </c>
      <c r="BM39" s="1">
        <v>-2.7647692145784941E-3</v>
      </c>
      <c r="BN39" s="1">
        <v>-4.7848925987512697E-4</v>
      </c>
      <c r="BO39" s="1">
        <v>6.4934611595815275E-3</v>
      </c>
      <c r="BP39" s="1">
        <v>9.5976667223141715E-4</v>
      </c>
      <c r="BQ39" s="1">
        <v>1.4392486945225547E-3</v>
      </c>
      <c r="BR39" s="1">
        <v>1.1515449610504602E-2</v>
      </c>
      <c r="BS39" s="1">
        <v>-2.3168914436521387E-2</v>
      </c>
      <c r="BT39" s="1">
        <v>3.7337479056953407E-3</v>
      </c>
      <c r="BU39" s="1">
        <v>-6.7252629901701499E-3</v>
      </c>
      <c r="BV39" s="1">
        <v>7.4629601949683516E-4</v>
      </c>
      <c r="BW39" s="1">
        <v>-1.5983493364330165E-2</v>
      </c>
      <c r="BX39" s="1">
        <v>4.575723205183839E-3</v>
      </c>
      <c r="BY39" s="1">
        <v>1.4654239855500864E-3</v>
      </c>
      <c r="BZ39" s="1">
        <v>-1.0163705873297083E-3</v>
      </c>
      <c r="CA39" s="1">
        <v>-7.4826636934676519E-3</v>
      </c>
      <c r="CB39" s="1">
        <v>-1.3133156791144657E-2</v>
      </c>
      <c r="CC39" s="1">
        <v>-3.6794117988082076E-3</v>
      </c>
      <c r="CD39" s="1">
        <v>9.5393123509434907E-3</v>
      </c>
      <c r="CE39" s="1">
        <v>1.7576106461342153E-3</v>
      </c>
      <c r="CF39" s="1">
        <v>5.587037831821226E-3</v>
      </c>
      <c r="CG39" s="1">
        <v>3.8565952391305877E-3</v>
      </c>
      <c r="CH39" s="1">
        <v>-1.2718122797125302E-2</v>
      </c>
      <c r="CI39" s="1">
        <v>2.6962579880304149E-3</v>
      </c>
      <c r="CJ39" s="1">
        <v>5.5143705470800178E-3</v>
      </c>
      <c r="CK39" s="1">
        <v>-2.8696605134555936E-3</v>
      </c>
      <c r="CL39" s="1">
        <v>-1.3533922805586254E-2</v>
      </c>
      <c r="CM39" s="1">
        <v>9.0981030658965692E-3</v>
      </c>
      <c r="CN39" s="1">
        <v>-3.2966018189247367E-3</v>
      </c>
      <c r="CO39" s="1">
        <v>3.1374672730773226E-3</v>
      </c>
      <c r="CP39" s="1">
        <v>2.1261526464399425E-3</v>
      </c>
      <c r="CQ39" s="1">
        <v>1.251953332815546E-3</v>
      </c>
      <c r="CR39" s="1">
        <v>6.1249191592758212E-3</v>
      </c>
      <c r="CS39" s="1">
        <v>1.2841773469514442E-3</v>
      </c>
      <c r="CT39" s="1">
        <v>1.2299025604829643E-2</v>
      </c>
      <c r="CU39" s="1">
        <v>5.8649565128275974E-3</v>
      </c>
      <c r="CV39" s="1">
        <v>2.7224332790579467E-3</v>
      </c>
      <c r="CW39" s="1">
        <v>6.8762711394649914E-3</v>
      </c>
      <c r="CX39" s="1">
        <v>3.2603146065125557E-3</v>
      </c>
      <c r="CY39" s="1">
        <v>-7.8502588629178471E-3</v>
      </c>
      <c r="CZ39" s="1">
        <v>2.6409760470835625E-3</v>
      </c>
      <c r="DA39" s="1">
        <v>-5.3745130131463703E-3</v>
      </c>
      <c r="DB39" s="1">
        <v>8.5371638116309989E-3</v>
      </c>
      <c r="DC39" s="1">
        <v>-5.432912318309821E-3</v>
      </c>
      <c r="DD39" s="1">
        <v>-8.5170362469160071E-3</v>
      </c>
      <c r="DE39" s="1">
        <v>1.074708842661283E-2</v>
      </c>
      <c r="DF39" s="1">
        <v>2.2521173440917253E-3</v>
      </c>
      <c r="DG39" s="1">
        <v>-4.3954224006448883E-3</v>
      </c>
      <c r="DH39" s="1">
        <v>-5.6928749647580379E-3</v>
      </c>
      <c r="DI39" s="1">
        <v>7.4352258656942977E-3</v>
      </c>
      <c r="DJ39" s="1">
        <v>-1.1300518334400184E-3</v>
      </c>
      <c r="DK39" s="1">
        <v>-3.4889990728845938E-3</v>
      </c>
      <c r="DL39" s="1">
        <v>-5.7692303044796223E-3</v>
      </c>
      <c r="DM39" s="1">
        <v>-1.3901517975036429E-2</v>
      </c>
      <c r="DN39" s="1">
        <v>-3.4245510446127975E-3</v>
      </c>
      <c r="DO39" s="1">
        <v>9.8847964244382081E-3</v>
      </c>
      <c r="DP39" s="1">
        <v>7.8621671711634061E-3</v>
      </c>
      <c r="DQ39" s="1">
        <v>-2.7222962890304132E-2</v>
      </c>
      <c r="DR39" s="1">
        <v>3.6784659647484952E-3</v>
      </c>
      <c r="DS39" s="1">
        <v>-6.5670742783824343E-3</v>
      </c>
      <c r="DT39" s="1">
        <v>2.6732000612194606E-3</v>
      </c>
      <c r="DU39" s="1">
        <v>-1.0525397520613045E-2</v>
      </c>
      <c r="DV39" s="1">
        <v>3.3278799990009156E-3</v>
      </c>
      <c r="DW39" s="1">
        <v>4.9534312928144753E-3</v>
      </c>
      <c r="DX39" s="1">
        <v>1.0694547709790808E-2</v>
      </c>
      <c r="DY39" s="1">
        <v>6.5610265520698874E-3</v>
      </c>
      <c r="DZ39" s="1">
        <v>1.2398815011453929E-2</v>
      </c>
      <c r="EA39" s="1">
        <v>-6.1842642984989843E-3</v>
      </c>
      <c r="EB39" s="1">
        <v>1.3144118268534712E-2</v>
      </c>
      <c r="EC39" s="1">
        <v>-4.8104563946642503E-3</v>
      </c>
      <c r="ED39" s="1">
        <v>1.4264012249029567E-2</v>
      </c>
      <c r="EE39" s="1">
        <v>-1.0013691484186002E-2</v>
      </c>
      <c r="EF39" s="1">
        <v>1.7420803462376983E-2</v>
      </c>
      <c r="EG39" s="1">
        <v>1.729795612894177E-2</v>
      </c>
      <c r="EH39" s="1">
        <v>-1.6804395265043945E-2</v>
      </c>
      <c r="EI39" s="1">
        <v>-1.4161897709158017E-3</v>
      </c>
      <c r="EJ39" s="1">
        <v>1.311794297750718E-2</v>
      </c>
      <c r="EK39" s="1">
        <v>1.3027319658207845E-2</v>
      </c>
      <c r="EL39" s="1">
        <v>-1.5128618133234684E-3</v>
      </c>
      <c r="EM39" s="1">
        <v>-1.1744134076876633E-2</v>
      </c>
      <c r="EN39" s="1">
        <v>-9.171716184697476E-3</v>
      </c>
      <c r="EO39" s="1">
        <v>2.6409760470835625E-3</v>
      </c>
      <c r="EP39" s="1">
        <v>-5.9385696316284903E-3</v>
      </c>
      <c r="EQ39" s="1">
        <v>-1.0364277449933554E-2</v>
      </c>
      <c r="ER39" s="1">
        <v>-1.0519348797504671E-2</v>
      </c>
      <c r="ES39" s="1">
        <v>-5.7108309993161716E-3</v>
      </c>
      <c r="ET39" s="1">
        <v>2.2259420530642005E-3</v>
      </c>
      <c r="EU39" s="1">
        <v>3.0417420615251461E-3</v>
      </c>
      <c r="EV39" s="10">
        <v>1.3655824304961761E-2</v>
      </c>
    </row>
    <row r="40" spans="1:152" x14ac:dyDescent="0.25">
      <c r="A40" s="21">
        <f t="shared" ca="1" si="0"/>
        <v>3.5060761364822557E-2</v>
      </c>
      <c r="B40" s="5">
        <v>39</v>
      </c>
      <c r="C40" s="9">
        <v>1.6494358166758968E-2</v>
      </c>
      <c r="D40" s="1">
        <v>2.9756311261671619E-2</v>
      </c>
      <c r="E40" s="1">
        <v>2.7422022081471081E-2</v>
      </c>
      <c r="F40" s="1">
        <v>3.0710946712831731E-2</v>
      </c>
      <c r="G40" s="1">
        <v>1.5327213576658699E-2</v>
      </c>
      <c r="H40" s="1">
        <v>8.3309422450907611E-3</v>
      </c>
      <c r="I40" s="1">
        <v>2.5992539172212458E-2</v>
      </c>
      <c r="J40" s="1">
        <v>1.9783282798119608E-2</v>
      </c>
      <c r="K40" s="1">
        <v>3.7288795975553013E-2</v>
      </c>
      <c r="L40" s="1">
        <v>2.5562580359369071E-2</v>
      </c>
      <c r="M40" s="1">
        <v>8.8556188834074887E-3</v>
      </c>
      <c r="N40" s="1">
        <v>2.1905062839379989E-2</v>
      </c>
      <c r="O40" s="1">
        <v>2.8851504990729721E-2</v>
      </c>
      <c r="P40" s="1">
        <v>3.4155955093880662E-2</v>
      </c>
      <c r="Q40" s="1">
        <v>-2.0720450313046271E-3</v>
      </c>
      <c r="R40" s="1">
        <v>-5.9919008704521007E-3</v>
      </c>
      <c r="S40" s="1">
        <v>8.3309422450907611E-3</v>
      </c>
      <c r="T40" s="1">
        <v>1.8460054458331061E-2</v>
      </c>
      <c r="U40" s="1">
        <v>5.4106105023585538E-3</v>
      </c>
      <c r="V40" s="1">
        <v>1.1775950626139689E-2</v>
      </c>
      <c r="W40" s="1">
        <v>1.5539722715598857E-2</v>
      </c>
      <c r="X40" s="1">
        <v>1.5969681528442241E-2</v>
      </c>
      <c r="Y40" s="1">
        <v>1.957077365917945E-2</v>
      </c>
      <c r="Z40" s="1">
        <v>2.6847516262936161E-2</v>
      </c>
      <c r="AA40" s="1">
        <v>2.1905062839379989E-2</v>
      </c>
      <c r="AB40" s="1">
        <v>2.8695421241041432E-2</v>
      </c>
      <c r="AC40" s="1">
        <v>2.3714675381263796E-2</v>
      </c>
      <c r="AD40" s="1">
        <v>1.5433468146128775E-2</v>
      </c>
      <c r="AE40" s="1">
        <v>1.7661502756859227E-2</v>
      </c>
      <c r="AF40" s="1">
        <v>2.7422022081471081E-2</v>
      </c>
      <c r="AG40" s="1">
        <v>2.8589166671571357E-2</v>
      </c>
      <c r="AH40" s="1">
        <v>1.9471115298743041E-2</v>
      </c>
      <c r="AI40" s="1">
        <v>9.9564190173956346E-5</v>
      </c>
      <c r="AJ40" s="1">
        <v>-3.3454441908749785E-3</v>
      </c>
      <c r="AK40" s="1">
        <v>2.7528276650941163E-2</v>
      </c>
      <c r="AL40" s="1">
        <v>2.423935201958052E-2</v>
      </c>
      <c r="AM40" s="1">
        <v>1.2250798084238214E-2</v>
      </c>
      <c r="AN40" s="1">
        <v>1.442240730571679E-2</v>
      </c>
      <c r="AO40" s="1">
        <v>3.5060761364822557E-2</v>
      </c>
      <c r="AP40" s="1">
        <v>1.8722392777489421E-2</v>
      </c>
      <c r="AQ40" s="1">
        <v>1.9520944478961248E-2</v>
      </c>
      <c r="AR40" s="1">
        <v>5.1561809910877665E-2</v>
      </c>
      <c r="AS40" s="1">
        <v>3.0604692143361648E-2</v>
      </c>
      <c r="AT40" s="1">
        <v>2.5418033353677531E-2</v>
      </c>
      <c r="AU40" s="1">
        <v>1.3741646917711785E-2</v>
      </c>
      <c r="AV40" s="1">
        <v>3.2782897573873912E-2</v>
      </c>
      <c r="AW40" s="1">
        <v>9.8102543345676002E-3</v>
      </c>
      <c r="AX40" s="1">
        <v>2.8482912102101274E-2</v>
      </c>
      <c r="AY40" s="1">
        <v>9.9165089040376825E-3</v>
      </c>
      <c r="AZ40" s="1">
        <v>2.2011317408850064E-2</v>
      </c>
      <c r="BA40" s="1">
        <v>-1.9413803389882293E-2</v>
      </c>
      <c r="BB40" s="1">
        <v>-1.1082766974529076E-2</v>
      </c>
      <c r="BC40" s="1">
        <v>-1.4159182466949555E-2</v>
      </c>
      <c r="BD40" s="1">
        <v>1.458616212457255E-2</v>
      </c>
      <c r="BE40" s="1">
        <v>-3.2315185522374321E-3</v>
      </c>
      <c r="BF40" s="1">
        <v>1.3242090296598889E-3</v>
      </c>
      <c r="BG40" s="1">
        <v>-1.0284215273057236E-2</v>
      </c>
      <c r="BH40" s="1">
        <v>1.2826378762906931E-2</v>
      </c>
      <c r="BI40" s="1">
        <v>-1.0451835766742256E-2</v>
      </c>
      <c r="BJ40" s="1">
        <v>1.0822390035113365E-2</v>
      </c>
      <c r="BK40" s="1">
        <v>2.0677627185198569E-2</v>
      </c>
      <c r="BL40" s="1">
        <v>-1.3222476499172159E-3</v>
      </c>
      <c r="BM40" s="1">
        <v>5.6126577574357669E-3</v>
      </c>
      <c r="BN40" s="1">
        <v>-3.1816893720192294E-3</v>
      </c>
      <c r="BO40" s="1">
        <v>1.5706443955961977E-4</v>
      </c>
      <c r="BP40" s="1">
        <v>-1.4003098717261277E-2</v>
      </c>
      <c r="BQ40" s="1">
        <v>1.8604224119733517E-3</v>
      </c>
      <c r="BR40" s="1">
        <v>-3.4057352549561326E-3</v>
      </c>
      <c r="BS40" s="1">
        <v>1.3319359174035865E-2</v>
      </c>
      <c r="BT40" s="1">
        <v>5.137810299337256E-3</v>
      </c>
      <c r="BU40" s="1">
        <v>1.1877200333815924E-4</v>
      </c>
      <c r="BV40" s="1">
        <v>-2.9193510528608586E-3</v>
      </c>
      <c r="BW40" s="1">
        <v>5.5743653212143168E-3</v>
      </c>
      <c r="BX40" s="1">
        <v>-4.8850473444329544E-3</v>
      </c>
      <c r="BY40" s="1">
        <v>-8.3300557254818962E-3</v>
      </c>
      <c r="BZ40" s="1">
        <v>-1.071417408590062E-2</v>
      </c>
      <c r="CA40" s="1">
        <v>-8.3798849057000885E-3</v>
      </c>
      <c r="CB40" s="1">
        <v>-5.8779752318145403E-3</v>
      </c>
      <c r="CC40" s="1">
        <v>-1.5510305981694672E-4</v>
      </c>
      <c r="CD40" s="1">
        <v>-1.1681062359548966E-4</v>
      </c>
      <c r="CE40" s="1">
        <v>8.4267349306978989E-3</v>
      </c>
      <c r="CF40" s="1">
        <v>6.4610386391258032E-3</v>
      </c>
      <c r="CG40" s="1">
        <v>5.2565732818805541E-4</v>
      </c>
      <c r="CH40" s="1">
        <v>6.2666624532160542E-3</v>
      </c>
      <c r="CI40" s="1">
        <v>3.9822024532337255E-3</v>
      </c>
      <c r="CJ40" s="1">
        <v>-9.3295798218971313E-3</v>
      </c>
      <c r="CK40" s="1">
        <v>-1.2037402425689181E-2</v>
      </c>
      <c r="CL40" s="1">
        <v>6.0990419595310479E-3</v>
      </c>
      <c r="CM40" s="1">
        <v>-2.0709701711708363E-3</v>
      </c>
      <c r="CN40" s="1">
        <v>1.0130092903111631E-2</v>
      </c>
      <c r="CO40" s="1">
        <v>5.9363620008090791E-3</v>
      </c>
      <c r="CP40" s="1">
        <v>-5.4097239827496854E-3</v>
      </c>
      <c r="CQ40" s="1">
        <v>2.7536919389185184E-3</v>
      </c>
      <c r="CR40" s="1">
        <v>1.3993523353007208E-2</v>
      </c>
      <c r="CS40" s="1">
        <v>4.6131336610205249E-3</v>
      </c>
      <c r="CT40" s="1">
        <v>-5.0975564833731259E-3</v>
      </c>
      <c r="CU40" s="1">
        <v>-9.0382558107057406E-4</v>
      </c>
      <c r="CV40" s="1">
        <v>-6.2082756842215085E-3</v>
      </c>
      <c r="CW40" s="1">
        <v>1.0442260402488197E-2</v>
      </c>
      <c r="CX40" s="1">
        <v>1.3242090296598889E-3</v>
      </c>
      <c r="CY40" s="1">
        <v>5.1093708504858643E-3</v>
      </c>
      <c r="CZ40" s="1">
        <v>1.1987850868586968E-2</v>
      </c>
      <c r="DA40" s="1">
        <v>-4.5564306486526526E-3</v>
      </c>
      <c r="DB40" s="1">
        <v>2.6163525240303215E-4</v>
      </c>
      <c r="DC40" s="1">
        <v>3.7746057667005645E-3</v>
      </c>
      <c r="DD40" s="1">
        <v>-9.8608807518035871E-3</v>
      </c>
      <c r="DE40" s="1">
        <v>2.2060537692575384E-2</v>
      </c>
      <c r="DF40" s="1">
        <v>-1.0347264953898851E-2</v>
      </c>
      <c r="DG40" s="1">
        <v>4.9302136128040949E-3</v>
      </c>
      <c r="DH40" s="1">
        <v>-1.11227431673772E-2</v>
      </c>
      <c r="DI40" s="1">
        <v>-4.6128560379045391E-3</v>
      </c>
      <c r="DJ40" s="1">
        <v>5.6225107448058254E-3</v>
      </c>
      <c r="DK40" s="1">
        <v>-1.373760586762092E-3</v>
      </c>
      <c r="DL40" s="1">
        <v>1.9470506402250162E-2</v>
      </c>
      <c r="DM40" s="1">
        <v>1.9588297715716997E-2</v>
      </c>
      <c r="DN40" s="1">
        <v>2.3451228574419281E-3</v>
      </c>
      <c r="DO40" s="1">
        <v>-4.0881793995878116E-3</v>
      </c>
      <c r="DP40" s="1">
        <v>-2.6780351366705341E-2</v>
      </c>
      <c r="DQ40" s="1">
        <v>1.9217602536322209E-3</v>
      </c>
      <c r="DR40" s="1">
        <v>1.3143458714690491E-2</v>
      </c>
      <c r="DS40" s="1">
        <v>-2.9593272457090064E-3</v>
      </c>
      <c r="DT40" s="1">
        <v>1.3847292590688995E-2</v>
      </c>
      <c r="DU40" s="1">
        <v>-8.4313978425449645E-3</v>
      </c>
      <c r="DV40" s="1">
        <v>4.7177044738639373E-3</v>
      </c>
      <c r="DW40" s="1">
        <v>-6.9969743983232732E-3</v>
      </c>
      <c r="DX40" s="1">
        <v>-1.5970478765460032E-2</v>
      </c>
      <c r="DY40" s="1">
        <v>3.550559883763682E-3</v>
      </c>
      <c r="DZ40" s="1">
        <v>1.5538068293294988E-4</v>
      </c>
      <c r="EA40" s="1">
        <v>7.3258687172195747E-3</v>
      </c>
      <c r="EB40" s="1">
        <v>-1.5445802127143311E-2</v>
      </c>
      <c r="EC40" s="1">
        <v>-7.2144240722264996E-3</v>
      </c>
      <c r="ED40" s="1">
        <v>-3.2833523991109906E-2</v>
      </c>
      <c r="EE40" s="1">
        <v>9.2915650087916704E-3</v>
      </c>
      <c r="EF40" s="1">
        <v>-3.4074190115827921E-3</v>
      </c>
      <c r="EG40" s="1">
        <v>1.2047339595663911E-3</v>
      </c>
      <c r="EH40" s="1">
        <v>-6.9903781892896033E-3</v>
      </c>
      <c r="EI40" s="1">
        <v>9.1563994818331246E-4</v>
      </c>
      <c r="EJ40" s="1">
        <v>-5.2553239896880807E-3</v>
      </c>
      <c r="EK40" s="1">
        <v>1.2162707035631368E-3</v>
      </c>
      <c r="EL40" s="1">
        <v>-4.6626852181227349E-3</v>
      </c>
      <c r="EM40" s="1">
        <v>3.3561836978539192E-3</v>
      </c>
      <c r="EN40" s="1">
        <v>-7.3129263497855035E-4</v>
      </c>
      <c r="EO40" s="1">
        <v>1.1987850868586968E-2</v>
      </c>
      <c r="EP40" s="1">
        <v>-1.8984372250788195E-3</v>
      </c>
      <c r="EQ40" s="1">
        <v>8.6581076796510281E-4</v>
      </c>
      <c r="ER40" s="1">
        <v>3.6185220170122795E-3</v>
      </c>
      <c r="ES40" s="1">
        <v>1.1139469986896945E-2</v>
      </c>
      <c r="ET40" s="1">
        <v>-1.5678681644362702E-4</v>
      </c>
      <c r="EU40" s="1">
        <v>1.0833677241403605E-5</v>
      </c>
      <c r="EV40" s="10">
        <v>2.2771607241933237E-3</v>
      </c>
    </row>
    <row r="41" spans="1:152" x14ac:dyDescent="0.25">
      <c r="A41" s="21">
        <f t="shared" ca="1" si="0"/>
        <v>2.0972682735699723E-2</v>
      </c>
      <c r="B41" s="5">
        <v>40</v>
      </c>
      <c r="C41" s="9">
        <v>2.0699082123536376E-2</v>
      </c>
      <c r="D41" s="1">
        <v>2.1111458782391949E-2</v>
      </c>
      <c r="E41" s="1">
        <v>1.9608631156104114E-2</v>
      </c>
      <c r="F41" s="1">
        <v>1.940441856728688E-2</v>
      </c>
      <c r="G41" s="1">
        <v>1.994766831039246E-2</v>
      </c>
      <c r="H41" s="1">
        <v>1.9094944689250125E-2</v>
      </c>
      <c r="I41" s="1">
        <v>1.7612029436509549E-2</v>
      </c>
      <c r="J41" s="1">
        <v>2.049486953471915E-2</v>
      </c>
      <c r="K41" s="1">
        <v>1.8995993389652424E-2</v>
      </c>
      <c r="L41" s="1">
        <v>2.1809445464515909E-2</v>
      </c>
      <c r="M41" s="1">
        <v>2.1585320502151416E-2</v>
      </c>
      <c r="N41" s="1">
        <v>1.9539243132758E-2</v>
      </c>
      <c r="O41" s="1">
        <v>2.1605232875698675E-2</v>
      </c>
      <c r="P41" s="1">
        <v>1.9216166870795803E-2</v>
      </c>
      <c r="Q41" s="1">
        <v>2.2675771469583682E-2</v>
      </c>
      <c r="R41" s="1">
        <v>1.9160381231375128E-2</v>
      </c>
      <c r="S41" s="1">
        <v>1.9094944689250125E-2</v>
      </c>
      <c r="T41" s="1">
        <v>1.9727494829249077E-2</v>
      </c>
      <c r="U41" s="1">
        <v>2.1773572198642493E-2</v>
      </c>
      <c r="V41" s="1">
        <v>1.8906692992759044E-2</v>
      </c>
      <c r="W41" s="1">
        <v>2.2406122338641449E-2</v>
      </c>
      <c r="X41" s="1">
        <v>1.8208706310635085E-2</v>
      </c>
      <c r="Y41" s="1">
        <v>1.8036415506470161E-2</v>
      </c>
      <c r="Z41" s="1">
        <v>1.8331521465001159E-2</v>
      </c>
      <c r="AA41" s="1">
        <v>1.9539243132758E-2</v>
      </c>
      <c r="AB41" s="1">
        <v>2.1589271983372522E-2</v>
      </c>
      <c r="AC41" s="1">
        <v>1.8551694946144545E-2</v>
      </c>
      <c r="AD41" s="1">
        <v>2.1176895324516956E-2</v>
      </c>
      <c r="AE41" s="1">
        <v>2.1450495936680299E-2</v>
      </c>
      <c r="AF41" s="1">
        <v>1.9608631156104114E-2</v>
      </c>
      <c r="AG41" s="1">
        <v>2.036004496924803E-2</v>
      </c>
      <c r="AH41" s="1">
        <v>2.0462947750066844E-2</v>
      </c>
      <c r="AI41" s="1">
        <v>2.0506878945824192E-2</v>
      </c>
      <c r="AJ41" s="1">
        <v>2.0695130642315269E-2</v>
      </c>
      <c r="AK41" s="1">
        <v>2.0837858170228606E-2</v>
      </c>
      <c r="AL41" s="1">
        <v>2.1042070759045836E-2</v>
      </c>
      <c r="AM41" s="1">
        <v>2.2610334927458675E-2</v>
      </c>
      <c r="AN41" s="1">
        <v>2.0441442403699189E-2</v>
      </c>
      <c r="AO41" s="1">
        <v>1.8722392777489077E-2</v>
      </c>
      <c r="AP41" s="1">
        <v>2.0972682735699723E-2</v>
      </c>
      <c r="AQ41" s="1">
        <v>1.9249681628268504E-2</v>
      </c>
      <c r="AR41" s="1">
        <v>2.0143822969325757E-2</v>
      </c>
      <c r="AS41" s="1">
        <v>1.8175191553162391E-2</v>
      </c>
      <c r="AT41" s="1">
        <v>1.6334919745406597E-2</v>
      </c>
      <c r="AU41" s="1">
        <v>1.7935105698471742E-2</v>
      </c>
      <c r="AV41" s="1">
        <v>1.9662058287124071E-2</v>
      </c>
      <c r="AW41" s="1">
        <v>1.9878280287046347E-2</v>
      </c>
      <c r="AX41" s="1">
        <v>1.9130817955123537E-2</v>
      </c>
      <c r="AY41" s="1">
        <v>2.1107507301170839E-2</v>
      </c>
      <c r="AZ41" s="1">
        <v>2.0768470146882493E-2</v>
      </c>
      <c r="BA41" s="1">
        <v>3.1884752283583943E-3</v>
      </c>
      <c r="BB41" s="1">
        <v>-6.4999127181235294E-4</v>
      </c>
      <c r="BC41" s="1">
        <v>2.0126753452538587E-3</v>
      </c>
      <c r="BD41" s="1">
        <v>-5.4472998259282902E-4</v>
      </c>
      <c r="BE41" s="1">
        <v>9.2222437782159272E-4</v>
      </c>
      <c r="BF41" s="1">
        <v>-9.5710664144839537E-4</v>
      </c>
      <c r="BG41" s="1">
        <v>-2.3729923792435749E-3</v>
      </c>
      <c r="BH41" s="1">
        <v>-7.7044791777771196E-4</v>
      </c>
      <c r="BI41" s="1">
        <v>3.0696115552134289E-3</v>
      </c>
      <c r="BJ41" s="1">
        <v>-4.0441593284752265E-3</v>
      </c>
      <c r="BK41" s="1">
        <v>8.0176773185623718E-4</v>
      </c>
      <c r="BL41" s="1">
        <v>-2.4918560523885386E-3</v>
      </c>
      <c r="BM41" s="1">
        <v>5.0326985173352948E-3</v>
      </c>
      <c r="BN41" s="1">
        <v>-2.9104174397674362E-4</v>
      </c>
      <c r="BO41" s="1">
        <v>-1.7085204545923167E-3</v>
      </c>
      <c r="BP41" s="1">
        <v>2.028636237580015E-3</v>
      </c>
      <c r="BQ41" s="1">
        <v>-3.9252956553302645E-3</v>
      </c>
      <c r="BR41" s="1">
        <v>2.7090690545574225E-3</v>
      </c>
      <c r="BS41" s="1">
        <v>1.1303884478599327E-3</v>
      </c>
      <c r="BT41" s="1">
        <v>1.3290565826356605E-3</v>
      </c>
      <c r="BU41" s="1">
        <v>-5.9538191595771318E-3</v>
      </c>
      <c r="BV41" s="1">
        <v>9.5414616247389665E-4</v>
      </c>
      <c r="BW41" s="1">
        <v>7.8739981235047621E-4</v>
      </c>
      <c r="BX41" s="1">
        <v>1.925733456761199E-3</v>
      </c>
      <c r="BY41" s="1">
        <v>2.1139851532522829E-3</v>
      </c>
      <c r="BZ41" s="1">
        <v>1.8244236487627817E-3</v>
      </c>
      <c r="CA41" s="1">
        <v>3.327251275050614E-3</v>
      </c>
      <c r="CB41" s="1">
        <v>-6.1252503311854181E-4</v>
      </c>
      <c r="CC41" s="1">
        <v>-1.7404422392446189E-3</v>
      </c>
      <c r="CD41" s="1">
        <v>2.5048564657401962E-3</v>
      </c>
      <c r="CE41" s="1">
        <v>1.1248439938184307E-3</v>
      </c>
      <c r="CF41" s="1">
        <v>2.096431288105733E-3</v>
      </c>
      <c r="CG41" s="1">
        <v>7.6589446598281964E-4</v>
      </c>
      <c r="CH41" s="1">
        <v>-2.1648283092052349E-3</v>
      </c>
      <c r="CI41" s="1">
        <v>-4.8809220572914105E-3</v>
      </c>
      <c r="CJ41" s="1">
        <v>-4.0800325943486405E-3</v>
      </c>
      <c r="CK41" s="1">
        <v>1.0570489432927127E-3</v>
      </c>
      <c r="CL41" s="1">
        <v>3.2777756252517689E-3</v>
      </c>
      <c r="CM41" s="1">
        <v>-1.9821210667556616E-3</v>
      </c>
      <c r="CN41" s="1">
        <v>-1.0919312069195154E-3</v>
      </c>
      <c r="CO41" s="1">
        <v>-3.9394452479555621E-4</v>
      </c>
      <c r="CP41" s="1">
        <v>-5.6464235614009026E-4</v>
      </c>
      <c r="CQ41" s="1">
        <v>1.0394950781461663E-3</v>
      </c>
      <c r="CR41" s="1">
        <v>-1.9034104633794055E-5</v>
      </c>
      <c r="CS41" s="1">
        <v>-1.1613192302656287E-3</v>
      </c>
      <c r="CT41" s="1">
        <v>-5.3272057148778286E-4</v>
      </c>
      <c r="CU41" s="1">
        <v>-1.230707253611742E-3</v>
      </c>
      <c r="CV41" s="1">
        <v>1.15835875129113E-3</v>
      </c>
      <c r="CW41" s="1">
        <v>-1.0600094222672114E-3</v>
      </c>
      <c r="CX41" s="1">
        <v>-9.5710664144839537E-4</v>
      </c>
      <c r="CY41" s="1">
        <v>-6.8733637893983318E-3</v>
      </c>
      <c r="CZ41" s="1">
        <v>-1.7913023555973344E-3</v>
      </c>
      <c r="DA41" s="1">
        <v>1.6562928320854979E-3</v>
      </c>
      <c r="DB41" s="1">
        <v>1.0221497192661501E-3</v>
      </c>
      <c r="DC41" s="1">
        <v>-2.1821736680852494E-3</v>
      </c>
      <c r="DD41" s="1">
        <v>4.0453588369883699E-3</v>
      </c>
      <c r="DE41" s="1">
        <v>-3.6012453515212074E-3</v>
      </c>
      <c r="DF41" s="1">
        <v>5.800281729071894E-3</v>
      </c>
      <c r="DG41" s="1">
        <v>4.0278049718418286E-3</v>
      </c>
      <c r="DH41" s="1">
        <v>-3.3938468170631939E-3</v>
      </c>
      <c r="DI41" s="1">
        <v>-7.8620030383733108E-4</v>
      </c>
      <c r="DJ41" s="1">
        <v>1.0755768502861175E-3</v>
      </c>
      <c r="DK41" s="1">
        <v>2.2285322914377195E-4</v>
      </c>
      <c r="DL41" s="1">
        <v>-2.6935016265385199E-3</v>
      </c>
      <c r="DM41" s="1">
        <v>-6.9228394391971822E-3</v>
      </c>
      <c r="DN41" s="1">
        <v>-4.1787753876798076E-3</v>
      </c>
      <c r="DO41" s="1">
        <v>1.7041755090639564E-3</v>
      </c>
      <c r="DP41" s="1">
        <v>1.3627798463748952E-3</v>
      </c>
      <c r="DQ41" s="1">
        <v>3.6743998980477248E-3</v>
      </c>
      <c r="DR41" s="1">
        <v>4.4186762843297436E-3</v>
      </c>
      <c r="DS41" s="1">
        <v>-1.7897093827769356E-3</v>
      </c>
      <c r="DT41" s="1">
        <v>-3.9921166640091276E-3</v>
      </c>
      <c r="DU41" s="1">
        <v>6.0419605565829385E-3</v>
      </c>
      <c r="DV41" s="1">
        <v>1.5693509435928364E-3</v>
      </c>
      <c r="DW41" s="1">
        <v>-1.0757618083268271E-3</v>
      </c>
      <c r="DX41" s="1">
        <v>4.501666691601295E-3</v>
      </c>
      <c r="DY41" s="1">
        <v>8.1793713044892372E-4</v>
      </c>
      <c r="DZ41" s="1">
        <v>-2.0707729485834256E-4</v>
      </c>
      <c r="EA41" s="1">
        <v>-1.1411983504518337E-3</v>
      </c>
      <c r="EB41" s="1">
        <v>6.9920425045025859E-3</v>
      </c>
      <c r="EC41" s="1">
        <v>5.5801082479285148E-3</v>
      </c>
      <c r="ED41" s="1">
        <v>4.2615808369106459E-3</v>
      </c>
      <c r="EE41" s="1">
        <v>-2.112785644739136E-3</v>
      </c>
      <c r="EF41" s="1">
        <v>4.2105122142914037E-3</v>
      </c>
      <c r="EG41" s="1">
        <v>4.7736743309442428E-3</v>
      </c>
      <c r="EH41" s="1">
        <v>2.5799974493943487E-3</v>
      </c>
      <c r="EI41" s="1">
        <v>-6.1753771072743761E-3</v>
      </c>
      <c r="EJ41" s="1">
        <v>9.5276169592003676E-4</v>
      </c>
      <c r="EK41" s="1">
        <v>-6.8489049583891556E-4</v>
      </c>
      <c r="EL41" s="1">
        <v>4.2706581796100526E-4</v>
      </c>
      <c r="EM41" s="1">
        <v>-3.4433224668620442E-3</v>
      </c>
      <c r="EN41" s="1">
        <v>-1.5161087706135959E-3</v>
      </c>
      <c r="EO41" s="1">
        <v>-1.7913023555973344E-3</v>
      </c>
      <c r="EP41" s="1">
        <v>-2.2675225837575155E-3</v>
      </c>
      <c r="EQ41" s="1">
        <v>-4.9621109854760329E-3</v>
      </c>
      <c r="ER41" s="1">
        <v>-2.1981345604113953E-3</v>
      </c>
      <c r="ES41" s="1">
        <v>1.1449648736322274E-3</v>
      </c>
      <c r="ET41" s="1">
        <v>-2.3899907951064475E-4</v>
      </c>
      <c r="EU41" s="1">
        <v>-5.6816030139676468E-3</v>
      </c>
      <c r="EV41" s="10">
        <v>-1.1627036968194886E-3</v>
      </c>
    </row>
    <row r="42" spans="1:152" x14ac:dyDescent="0.25">
      <c r="A42" s="21">
        <f t="shared" ca="1" si="0"/>
        <v>2.0754125373755768E-2</v>
      </c>
      <c r="B42" s="5">
        <v>41</v>
      </c>
      <c r="C42" s="9">
        <v>1.9670459769663286E-2</v>
      </c>
      <c r="D42" s="1">
        <v>1.8124962038767789E-2</v>
      </c>
      <c r="E42" s="1">
        <v>1.952491129763425E-2</v>
      </c>
      <c r="F42" s="1">
        <v>1.9383329644278347E-2</v>
      </c>
      <c r="G42" s="1">
        <v>2.0370434399096513E-2</v>
      </c>
      <c r="H42" s="1">
        <v>2.2124921103233185E-2</v>
      </c>
      <c r="I42" s="1">
        <v>2.1450133184515861E-2</v>
      </c>
      <c r="J42" s="1">
        <v>1.9528878116307383E-2</v>
      </c>
      <c r="K42" s="1">
        <v>1.9100166337566546E-2</v>
      </c>
      <c r="L42" s="1">
        <v>1.7741271064108534E-2</v>
      </c>
      <c r="M42" s="1">
        <v>1.967442658833642E-2</v>
      </c>
      <c r="N42" s="1">
        <v>2.0087271092384711E-2</v>
      </c>
      <c r="O42" s="1">
        <v>1.7599689410752632E-2</v>
      </c>
      <c r="P42" s="1">
        <v>1.8995671850945955E-2</v>
      </c>
      <c r="Q42" s="1">
        <v>1.9819975060365459E-2</v>
      </c>
      <c r="R42" s="1">
        <v>2.3391222346090017E-2</v>
      </c>
      <c r="S42" s="1">
        <v>2.2124921103233185E-2</v>
      </c>
      <c r="T42" s="1">
        <v>2.04749288857171E-2</v>
      </c>
      <c r="U42" s="1">
        <v>2.0062084381668809E-2</v>
      </c>
      <c r="V42" s="1">
        <v>2.1737263309900799E-2</v>
      </c>
      <c r="W42" s="1">
        <v>1.8412092164152724E-2</v>
      </c>
      <c r="X42" s="1">
        <v>2.2120954284560054E-2</v>
      </c>
      <c r="Y42" s="1">
        <v>2.1487220351251172E-2</v>
      </c>
      <c r="Z42" s="1">
        <v>2.124231083503561E-2</v>
      </c>
      <c r="AA42" s="1">
        <v>2.0087271092384711E-2</v>
      </c>
      <c r="AB42" s="1">
        <v>1.7845765550729122E-2</v>
      </c>
      <c r="AC42" s="1">
        <v>2.1137816348415023E-2</v>
      </c>
      <c r="AD42" s="1">
        <v>1.9391263281624618E-2</v>
      </c>
      <c r="AE42" s="1">
        <v>1.8970485140230055E-2</v>
      </c>
      <c r="AF42" s="1">
        <v>1.952491129763425E-2</v>
      </c>
      <c r="AG42" s="1">
        <v>1.8824936668201016E-2</v>
      </c>
      <c r="AH42" s="1">
        <v>2.002103039626036E-2</v>
      </c>
      <c r="AI42" s="1">
        <v>2.1111463013938188E-2</v>
      </c>
      <c r="AJ42" s="1">
        <v>2.149912080727058E-2</v>
      </c>
      <c r="AK42" s="1">
        <v>1.8545740180162352E-2</v>
      </c>
      <c r="AL42" s="1">
        <v>1.8687321833518254E-2</v>
      </c>
      <c r="AM42" s="1">
        <v>1.8553673817508623E-2</v>
      </c>
      <c r="AN42" s="1">
        <v>1.9845161771081359E-2</v>
      </c>
      <c r="AO42" s="1">
        <v>1.9520944478961112E-2</v>
      </c>
      <c r="AP42" s="1">
        <v>1.9249681628268719E-2</v>
      </c>
      <c r="AQ42" s="1">
        <v>2.0754125373755768E-2</v>
      </c>
      <c r="AR42" s="1">
        <v>1.7100770117214309E-2</v>
      </c>
      <c r="AS42" s="1">
        <v>2.0362500761750241E-2</v>
      </c>
      <c r="AT42" s="1">
        <v>2.3167532721917222E-2</v>
      </c>
      <c r="AU42" s="1">
        <v>2.2541732425954617E-2</v>
      </c>
      <c r="AV42" s="1">
        <v>1.9208627642860271E-2</v>
      </c>
      <c r="AW42" s="1">
        <v>2.0932794193846978E-2</v>
      </c>
      <c r="AX42" s="1">
        <v>1.9804107785672913E-2</v>
      </c>
      <c r="AY42" s="1">
        <v>1.9953623076375084E-2</v>
      </c>
      <c r="AZ42" s="1">
        <v>1.9108099974912817E-2</v>
      </c>
      <c r="BA42" s="1">
        <v>-5.6599747885470279E-4</v>
      </c>
      <c r="BB42" s="1">
        <v>1.9136505654311024E-3</v>
      </c>
      <c r="BC42" s="1">
        <v>9.6889983843211069E-5</v>
      </c>
      <c r="BD42" s="1">
        <v>-9.6952254687964097E-4</v>
      </c>
      <c r="BE42" s="1">
        <v>-4.8658488185825133E-5</v>
      </c>
      <c r="BF42" s="1">
        <v>5.7597518401585404E-4</v>
      </c>
      <c r="BG42" s="1">
        <v>3.4180943109181523E-3</v>
      </c>
      <c r="BH42" s="1">
        <v>-1.2869728254145413E-3</v>
      </c>
      <c r="BI42" s="1">
        <v>-1.516015066937557E-3</v>
      </c>
      <c r="BJ42" s="1">
        <v>2.3556485988684359E-3</v>
      </c>
      <c r="BK42" s="1">
        <v>-3.2492818790314654E-3</v>
      </c>
      <c r="BL42" s="1">
        <v>2.4680767228352947E-3</v>
      </c>
      <c r="BM42" s="1">
        <v>-5.1996904766289792E-3</v>
      </c>
      <c r="BN42" s="1">
        <v>6.8443648930958251E-4</v>
      </c>
      <c r="BO42" s="1">
        <v>1.2759498134490878E-3</v>
      </c>
      <c r="BP42" s="1">
        <v>-1.4918615613328072E-4</v>
      </c>
      <c r="BQ42" s="1">
        <v>3.30566618695129E-3</v>
      </c>
      <c r="BR42" s="1">
        <v>-2.5374067935788249E-3</v>
      </c>
      <c r="BS42" s="1">
        <v>-1.7357378724372208E-3</v>
      </c>
      <c r="BT42" s="1">
        <v>-2.0161009842368082E-3</v>
      </c>
      <c r="BU42" s="1">
        <v>5.7230403537858812E-3</v>
      </c>
      <c r="BV42" s="1">
        <v>-5.4081076813880004E-4</v>
      </c>
      <c r="BW42" s="1">
        <v>-7.5259993629218577E-4</v>
      </c>
      <c r="BX42" s="1">
        <v>-1.345279884192618E-3</v>
      </c>
      <c r="BY42" s="1">
        <v>-9.5762209086022905E-4</v>
      </c>
      <c r="BZ42" s="1">
        <v>-2.9076780948917615E-4</v>
      </c>
      <c r="CA42" s="1">
        <v>-1.6907170683556332E-3</v>
      </c>
      <c r="CB42" s="1">
        <v>1.8434430506336138E-3</v>
      </c>
      <c r="CC42" s="1">
        <v>1.7681020934020662E-3</v>
      </c>
      <c r="CD42" s="1">
        <v>-2.6789884469347307E-3</v>
      </c>
      <c r="CE42" s="1">
        <v>-2.1576826375927106E-3</v>
      </c>
      <c r="CF42" s="1">
        <v>-2.9621517536465303E-3</v>
      </c>
      <c r="CG42" s="1">
        <v>-9.2846856147118725E-4</v>
      </c>
      <c r="CH42" s="1">
        <v>1.7310149266667584E-3</v>
      </c>
      <c r="CI42" s="1">
        <v>3.8640591630286179E-3</v>
      </c>
      <c r="CJ42" s="1">
        <v>4.6764619164287105E-3</v>
      </c>
      <c r="CK42" s="1">
        <v>6.5528295992053898E-4</v>
      </c>
      <c r="CL42" s="1">
        <v>-3.2030944511889526E-3</v>
      </c>
      <c r="CM42" s="1">
        <v>1.6967279548436524E-3</v>
      </c>
      <c r="CN42" s="1">
        <v>-1.2796626409050833E-4</v>
      </c>
      <c r="CO42" s="1">
        <v>-5.1165723874976171E-4</v>
      </c>
      <c r="CP42" s="1">
        <v>1.1052146307041471E-3</v>
      </c>
      <c r="CQ42" s="1">
        <v>-1.3492467028657553E-3</v>
      </c>
      <c r="CR42" s="1">
        <v>-1.9869474548477716E-3</v>
      </c>
      <c r="CS42" s="1">
        <v>4.3439353065995862E-4</v>
      </c>
      <c r="CT42" s="1">
        <v>6.1306235075116698E-4</v>
      </c>
      <c r="CU42" s="1">
        <v>9.9675332541042036E-4</v>
      </c>
      <c r="CV42" s="1">
        <v>-3.9922911478290288E-4</v>
      </c>
      <c r="CW42" s="1">
        <v>-6.2011854404348497E-4</v>
      </c>
      <c r="CX42" s="1">
        <v>5.7597518401585404E-4</v>
      </c>
      <c r="CY42" s="1">
        <v>5.9890062365929638E-3</v>
      </c>
      <c r="CZ42" s="1">
        <v>3.3505132095986573E-5</v>
      </c>
      <c r="DA42" s="1">
        <v>-7.2477655611532382E-4</v>
      </c>
      <c r="DB42" s="1">
        <v>-1.3253901413620237E-3</v>
      </c>
      <c r="DC42" s="1">
        <v>1.7548714881704848E-3</v>
      </c>
      <c r="DD42" s="1">
        <v>-2.1207589963086505E-3</v>
      </c>
      <c r="DE42" s="1">
        <v>9.5779009547198798E-5</v>
      </c>
      <c r="DF42" s="1">
        <v>-4.1173550217486702E-3</v>
      </c>
      <c r="DG42" s="1">
        <v>-4.1252886590949483E-3</v>
      </c>
      <c r="DH42" s="1">
        <v>4.7385722684286733E-3</v>
      </c>
      <c r="DI42" s="1">
        <v>9.8748953885197631E-4</v>
      </c>
      <c r="DJ42" s="1">
        <v>-1.6416737961360058E-3</v>
      </c>
      <c r="DK42" s="1">
        <v>1.1281290800067151E-4</v>
      </c>
      <c r="DL42" s="1">
        <v>2.7561445339933585E-4</v>
      </c>
      <c r="DM42" s="1">
        <v>4.4766288537596444E-3</v>
      </c>
      <c r="DN42" s="1">
        <v>3.6800933750520941E-3</v>
      </c>
      <c r="DO42" s="1">
        <v>-1.4630049760447923E-3</v>
      </c>
      <c r="DP42" s="1">
        <v>1.7707387628630306E-3</v>
      </c>
      <c r="DQ42" s="1">
        <v>-2.4741298178179334E-3</v>
      </c>
      <c r="DR42" s="1">
        <v>-5.8466550151694413E-3</v>
      </c>
      <c r="DS42" s="1">
        <v>2.2841109348587692E-3</v>
      </c>
      <c r="DT42" s="1">
        <v>1.817145365621697E-3</v>
      </c>
      <c r="DU42" s="1">
        <v>-4.0459808831902616E-3</v>
      </c>
      <c r="DV42" s="1">
        <v>-2.1669464241511564E-3</v>
      </c>
      <c r="DW42" s="1">
        <v>1.6543438202230257E-3</v>
      </c>
      <c r="DX42" s="1">
        <v>-2.5758241095263177E-3</v>
      </c>
      <c r="DY42" s="1">
        <v>-1.4669717947179296E-3</v>
      </c>
      <c r="DZ42" s="1">
        <v>-3.4621902389013297E-4</v>
      </c>
      <c r="EA42" s="1">
        <v>3.8804257736619815E-4</v>
      </c>
      <c r="EB42" s="1">
        <v>-5.0263186244230828E-3</v>
      </c>
      <c r="EC42" s="1">
        <v>-4.012860535128086E-3</v>
      </c>
      <c r="ED42" s="1">
        <v>-3.9659244532194368E-4</v>
      </c>
      <c r="EE42" s="1">
        <v>1.1925116934200196E-3</v>
      </c>
      <c r="EF42" s="1">
        <v>-4.1595756309180457E-3</v>
      </c>
      <c r="EG42" s="1">
        <v>-5.2472080536836701E-3</v>
      </c>
      <c r="EH42" s="1">
        <v>-7.9101725223967509E-4</v>
      </c>
      <c r="EI42" s="1">
        <v>5.6053152619337122E-3</v>
      </c>
      <c r="EJ42" s="1">
        <v>-7.6303034661156371E-4</v>
      </c>
      <c r="EK42" s="1">
        <v>-6.7022535851469014E-5</v>
      </c>
      <c r="EL42" s="1">
        <v>2.5439456135656693E-4</v>
      </c>
      <c r="EM42" s="1">
        <v>3.2261948855953522E-3</v>
      </c>
      <c r="EN42" s="1">
        <v>1.8633327934642029E-3</v>
      </c>
      <c r="EO42" s="1">
        <v>3.3505132095986573E-5</v>
      </c>
      <c r="EP42" s="1">
        <v>2.5633074228974366E-3</v>
      </c>
      <c r="EQ42" s="1">
        <v>4.8722202844383011E-3</v>
      </c>
      <c r="ER42" s="1">
        <v>2.0009476281469679E-3</v>
      </c>
      <c r="ES42" s="1">
        <v>-2.2040335908864676E-3</v>
      </c>
      <c r="ET42" s="1">
        <v>1.4593325606284541E-4</v>
      </c>
      <c r="EU42" s="1">
        <v>5.0800426339185512E-3</v>
      </c>
      <c r="EV42" s="10">
        <v>2.1217395218719494E-4</v>
      </c>
    </row>
    <row r="43" spans="1:152" x14ac:dyDescent="0.25">
      <c r="A43" s="21">
        <f t="shared" ca="1" si="0"/>
        <v>0.12665927103632429</v>
      </c>
      <c r="B43" s="5">
        <v>42</v>
      </c>
      <c r="C43" s="9">
        <v>1.0615392161107046E-2</v>
      </c>
      <c r="D43" s="1">
        <v>5.6344478690394856E-2</v>
      </c>
      <c r="E43" s="1">
        <v>3.5374549562149971E-2</v>
      </c>
      <c r="F43" s="1">
        <v>4.3946446614465451E-2</v>
      </c>
      <c r="G43" s="1">
        <v>1.3042759698467243E-4</v>
      </c>
      <c r="H43" s="1">
        <v>-9.7449063800366942E-3</v>
      </c>
      <c r="I43" s="1">
        <v>2.2803065901819436E-2</v>
      </c>
      <c r="J43" s="1">
        <v>1.9187289213422554E-2</v>
      </c>
      <c r="K43" s="1">
        <v>6.1090240719096411E-2</v>
      </c>
      <c r="L43" s="1">
        <v>3.9374136170165136E-2</v>
      </c>
      <c r="M43" s="1">
        <v>-5.571868187620399E-3</v>
      </c>
      <c r="N43" s="1">
        <v>1.7274221701615605E-2</v>
      </c>
      <c r="O43" s="1">
        <v>4.7946033222480616E-2</v>
      </c>
      <c r="P43" s="1">
        <v>4.3163364442963259E-2</v>
      </c>
      <c r="Q43" s="1">
        <v>-3.0331025588663296E-2</v>
      </c>
      <c r="R43" s="1">
        <v>-5.4517459153421099E-2</v>
      </c>
      <c r="S43" s="1">
        <v>-9.7449063800366942E-3</v>
      </c>
      <c r="T43" s="1">
        <v>1.8057303873117825E-2</v>
      </c>
      <c r="U43" s="1">
        <v>-4.7887860161181239E-3</v>
      </c>
      <c r="V43" s="1">
        <v>-1.0527988551538969E-2</v>
      </c>
      <c r="W43" s="1">
        <v>2.3013424237036451E-2</v>
      </c>
      <c r="X43" s="1">
        <v>6.442353968690695E-3</v>
      </c>
      <c r="Y43" s="1">
        <v>-3.6957074266292245E-3</v>
      </c>
      <c r="Z43" s="1">
        <v>5.1997988913577264E-2</v>
      </c>
      <c r="AA43" s="1">
        <v>1.7274221701615605E-2</v>
      </c>
      <c r="AB43" s="1">
        <v>5.7301012446298316E-2</v>
      </c>
      <c r="AC43" s="1">
        <v>3.4071112637444084E-2</v>
      </c>
      <c r="AD43" s="1">
        <v>1.1571925917010534E-2</v>
      </c>
      <c r="AE43" s="1">
        <v>2.1100356725229502E-2</v>
      </c>
      <c r="AF43" s="1">
        <v>3.5374549562149971E-2</v>
      </c>
      <c r="AG43" s="1">
        <v>4.5859514126272399E-2</v>
      </c>
      <c r="AH43" s="1">
        <v>3.7897247661057981E-2</v>
      </c>
      <c r="AI43" s="1">
        <v>-5.3040570644313834E-2</v>
      </c>
      <c r="AJ43" s="1">
        <v>-5.2257488472811642E-2</v>
      </c>
      <c r="AK43" s="1">
        <v>4.6816047882175887E-2</v>
      </c>
      <c r="AL43" s="1">
        <v>3.8244150829860379E-2</v>
      </c>
      <c r="AM43" s="1">
        <v>1.4441527184720943E-2</v>
      </c>
      <c r="AN43" s="1">
        <v>-8.2680178709295393E-3</v>
      </c>
      <c r="AO43" s="1">
        <v>5.1561809910877499E-2</v>
      </c>
      <c r="AP43" s="1">
        <v>2.0143822969326014E-2</v>
      </c>
      <c r="AQ43" s="1">
        <v>1.7100770117214364E-2</v>
      </c>
      <c r="AR43" s="1">
        <v>0.12665927103632429</v>
      </c>
      <c r="AS43" s="1">
        <v>3.2504948294439562E-2</v>
      </c>
      <c r="AT43" s="1">
        <v>3.9426505253246619E-2</v>
      </c>
      <c r="AU43" s="1">
        <v>-3.0860768395282179E-3</v>
      </c>
      <c r="AV43" s="1">
        <v>6.2829856646502147E-2</v>
      </c>
      <c r="AW43" s="1">
        <v>-1.7969900263549748E-2</v>
      </c>
      <c r="AX43" s="1">
        <v>3.4418015806246482E-2</v>
      </c>
      <c r="AY43" s="1">
        <v>-6.5284019435238871E-3</v>
      </c>
      <c r="AZ43" s="1">
        <v>2.8715720021641522E-2</v>
      </c>
      <c r="BA43" s="1">
        <v>-2.5287718645640098E-2</v>
      </c>
      <c r="BB43" s="1">
        <v>-2.358500946905015E-2</v>
      </c>
      <c r="BC43" s="1">
        <v>-9.2739098813138521E-3</v>
      </c>
      <c r="BD43" s="1">
        <v>3.86782405777676E-2</v>
      </c>
      <c r="BE43" s="1">
        <v>1.5485247519729128E-2</v>
      </c>
      <c r="BF43" s="1">
        <v>-7.0508459515201544E-3</v>
      </c>
      <c r="BG43" s="1">
        <v>-2.662806232116173E-2</v>
      </c>
      <c r="BH43" s="1">
        <v>1.0848720980955739E-3</v>
      </c>
      <c r="BI43" s="1">
        <v>-7.9704729566078963E-3</v>
      </c>
      <c r="BJ43" s="1">
        <v>5.1368277891921527E-3</v>
      </c>
      <c r="BK43" s="1">
        <v>4.0155129086874769E-2</v>
      </c>
      <c r="BL43" s="1">
        <v>-9.3108166321295704E-3</v>
      </c>
      <c r="BM43" s="1">
        <v>3.0663605029471575E-2</v>
      </c>
      <c r="BN43" s="1">
        <v>-5.3112300241145022E-3</v>
      </c>
      <c r="BO43" s="1">
        <v>-1.7535810515642611E-2</v>
      </c>
      <c r="BP43" s="1">
        <v>-1.8628889105131538E-2</v>
      </c>
      <c r="BQ43" s="1">
        <v>-1.2180417899840007E-2</v>
      </c>
      <c r="BR43" s="1">
        <v>-1.8891616523430049E-2</v>
      </c>
      <c r="BS43" s="1">
        <v>6.9786231101332308E-2</v>
      </c>
      <c r="BT43" s="1">
        <v>5.6940892932116488E-3</v>
      </c>
      <c r="BU43" s="1">
        <v>-6.0419431125352252E-3</v>
      </c>
      <c r="BV43" s="1">
        <v>-3.2247109279062852E-3</v>
      </c>
      <c r="BW43" s="1">
        <v>4.2157472432578974E-2</v>
      </c>
      <c r="BX43" s="1">
        <v>-1.0666622639917037E-2</v>
      </c>
      <c r="BY43" s="1">
        <v>-9.883540468414817E-3</v>
      </c>
      <c r="BZ43" s="1">
        <v>-1.0056992052816058E-2</v>
      </c>
      <c r="CA43" s="1">
        <v>1.0912937075428772E-2</v>
      </c>
      <c r="CB43" s="1">
        <v>1.3225276839119698E-2</v>
      </c>
      <c r="CC43" s="1">
        <v>1.1741479319928028E-3</v>
      </c>
      <c r="CD43" s="1">
        <v>-1.0319719471114569E-2</v>
      </c>
      <c r="CE43" s="1">
        <v>1.4265986345527157E-2</v>
      </c>
      <c r="CF43" s="1">
        <v>6.8240746335163915E-3</v>
      </c>
      <c r="CG43" s="1">
        <v>-4.0077930994085326E-3</v>
      </c>
      <c r="CH43" s="1">
        <v>2.7672921260441449E-2</v>
      </c>
      <c r="CI43" s="1">
        <v>-1.4093485411646928E-2</v>
      </c>
      <c r="CJ43" s="1">
        <v>-3.9026094397091107E-2</v>
      </c>
      <c r="CK43" s="1">
        <v>-1.1186977393120773E-2</v>
      </c>
      <c r="CL43" s="1">
        <v>4.6330510624995366E-2</v>
      </c>
      <c r="CM43" s="1">
        <v>-2.7064241323861524E-2</v>
      </c>
      <c r="CN43" s="1">
        <v>1.9621378961329691E-2</v>
      </c>
      <c r="CO43" s="1">
        <v>2.6510364410999993E-3</v>
      </c>
      <c r="CP43" s="1">
        <v>-1.4839660832333415E-2</v>
      </c>
      <c r="CQ43" s="1">
        <v>5.5206377088104081E-3</v>
      </c>
      <c r="CR43" s="1">
        <v>1.1569836662217975E-2</v>
      </c>
      <c r="CS43" s="1">
        <v>1.5210511007952704E-3</v>
      </c>
      <c r="CT43" s="1">
        <v>-3.3549619279968787E-2</v>
      </c>
      <c r="CU43" s="1">
        <v>-1.6579276759739123E-2</v>
      </c>
      <c r="CV43" s="1">
        <v>-1.1796607980221765E-2</v>
      </c>
      <c r="CW43" s="1">
        <v>9.1142051369429156E-4</v>
      </c>
      <c r="CX43" s="1">
        <v>-7.0508459515201544E-3</v>
      </c>
      <c r="CY43" s="1">
        <v>1.4571598631354099E-3</v>
      </c>
      <c r="CZ43" s="1">
        <v>9.1936056608671046E-3</v>
      </c>
      <c r="DA43" s="1">
        <v>7.9270754869769644E-3</v>
      </c>
      <c r="DB43" s="1">
        <v>-1.2522498888064171E-2</v>
      </c>
      <c r="DC43" s="1">
        <v>9.6297846635668982E-3</v>
      </c>
      <c r="DD43" s="1">
        <v>1.2709744266494294E-2</v>
      </c>
      <c r="DE43" s="1">
        <v>4.7578400501522289E-3</v>
      </c>
      <c r="DF43" s="1">
        <v>-2.9571613290294563E-3</v>
      </c>
      <c r="DG43" s="1">
        <v>2.9417359368425489E-2</v>
      </c>
      <c r="DH43" s="1">
        <v>-1.8519328758390186E-2</v>
      </c>
      <c r="DI43" s="1">
        <v>-2.4310900376892569E-2</v>
      </c>
      <c r="DJ43" s="1">
        <v>1.493280819628795E-2</v>
      </c>
      <c r="DK43" s="1">
        <v>5.0574742192665278E-3</v>
      </c>
      <c r="DL43" s="1">
        <v>3.4735845233412277E-2</v>
      </c>
      <c r="DM43" s="1">
        <v>3.6874733412701977E-2</v>
      </c>
      <c r="DN43" s="1">
        <v>-2.9416989967637752E-3</v>
      </c>
      <c r="DO43" s="1">
        <v>-2.0137862184476135E-2</v>
      </c>
      <c r="DP43" s="1">
        <v>-5.5119256731342964E-2</v>
      </c>
      <c r="DQ43" s="1">
        <v>6.666382467929502E-2</v>
      </c>
      <c r="DR43" s="1">
        <v>2.8981180365725695E-2</v>
      </c>
      <c r="DS43" s="1">
        <v>1.8409697827535543E-3</v>
      </c>
      <c r="DT43" s="1">
        <v>5.1940190528519947E-3</v>
      </c>
      <c r="DU43" s="1">
        <v>2.5281227926824912E-2</v>
      </c>
      <c r="DV43" s="1">
        <v>6.5343627283737105E-3</v>
      </c>
      <c r="DW43" s="1">
        <v>-2.4484351961293727E-2</v>
      </c>
      <c r="DX43" s="1">
        <v>-3.2498987509589766E-2</v>
      </c>
      <c r="DY43" s="1">
        <v>-3.9506018357486627E-3</v>
      </c>
      <c r="DZ43" s="1">
        <v>-2.3963997208090032E-2</v>
      </c>
      <c r="EA43" s="1">
        <v>2.028820081209054E-2</v>
      </c>
      <c r="EB43" s="1">
        <v>-2.8325949317173346E-2</v>
      </c>
      <c r="EC43" s="1">
        <v>1.4969714947103752E-2</v>
      </c>
      <c r="ED43" s="1">
        <v>-6.8090012643557574E-2</v>
      </c>
      <c r="EE43" s="1">
        <v>2.7730112524101319E-2</v>
      </c>
      <c r="EF43" s="1">
        <v>-2.5319803215877484E-2</v>
      </c>
      <c r="EG43" s="1">
        <v>-1.5617920823257345E-2</v>
      </c>
      <c r="EH43" s="1">
        <v>2.8550101446419285E-2</v>
      </c>
      <c r="EI43" s="1">
        <v>-1.551318265709431E-2</v>
      </c>
      <c r="EJ43" s="1">
        <v>-3.0622826748598564E-2</v>
      </c>
      <c r="EK43" s="1">
        <v>-2.4920530963993492E-2</v>
      </c>
      <c r="EL43" s="1">
        <v>-3.5144228330489802E-3</v>
      </c>
      <c r="EM43" s="1">
        <v>1.6898244791176381E-2</v>
      </c>
      <c r="EN43" s="1">
        <v>1.1369400590972523E-2</v>
      </c>
      <c r="EO43" s="1">
        <v>9.1936056608671046E-3</v>
      </c>
      <c r="EP43" s="1">
        <v>8.8443602685009393E-4</v>
      </c>
      <c r="EQ43" s="1">
        <v>5.2832948867493068E-3</v>
      </c>
      <c r="ER43" s="1">
        <v>1.898476388738457E-2</v>
      </c>
      <c r="ES43" s="1">
        <v>3.3033136056822343E-2</v>
      </c>
      <c r="ET43" s="1">
        <v>-5.2540387604546324E-3</v>
      </c>
      <c r="EU43" s="1">
        <v>-2.3911628125008549E-2</v>
      </c>
      <c r="EV43" s="10">
        <v>-2.5877064719896953E-2</v>
      </c>
    </row>
    <row r="44" spans="1:152" x14ac:dyDescent="0.25">
      <c r="A44" s="21">
        <f t="shared" ca="1" si="0"/>
        <v>2.9890641212804291E-2</v>
      </c>
      <c r="B44" s="5">
        <v>43</v>
      </c>
      <c r="C44" s="9">
        <v>1.781816608788396E-2</v>
      </c>
      <c r="D44" s="1">
        <v>2.2746550194015461E-2</v>
      </c>
      <c r="E44" s="1">
        <v>2.5175756043196655E-2</v>
      </c>
      <c r="F44" s="1">
        <v>2.7104409898344492E-2</v>
      </c>
      <c r="G44" s="1">
        <v>1.9032769012474554E-2</v>
      </c>
      <c r="H44" s="1">
        <v>1.3620591625155927E-2</v>
      </c>
      <c r="I44" s="1">
        <v>2.7006039786505689E-2</v>
      </c>
      <c r="J44" s="1">
        <v>1.974681994303179E-2</v>
      </c>
      <c r="K44" s="1">
        <v>3.0961717608640138E-2</v>
      </c>
      <c r="L44" s="1">
        <v>2.1416818444739805E-2</v>
      </c>
      <c r="M44" s="1">
        <v>1.238922998771908E-2</v>
      </c>
      <c r="N44" s="1">
        <v>2.2890076722770214E-2</v>
      </c>
      <c r="O44" s="1">
        <v>2.3345472299887635E-2</v>
      </c>
      <c r="P44" s="1">
        <v>3.1203614249233708E-2</v>
      </c>
      <c r="Q44" s="1">
        <v>5.031640032406387E-3</v>
      </c>
      <c r="R44" s="1">
        <v>7.1205791291552127E-3</v>
      </c>
      <c r="S44" s="1">
        <v>1.3620591625155927E-2</v>
      </c>
      <c r="T44" s="1">
        <v>1.8790872371880998E-2</v>
      </c>
      <c r="U44" s="1">
        <v>8.2900256368298678E-3</v>
      </c>
      <c r="V44" s="1">
        <v>1.7719795976045151E-2</v>
      </c>
      <c r="W44" s="1">
        <v>1.3460306383554927E-2</v>
      </c>
      <c r="X44" s="1">
        <v>1.9049527725320807E-2</v>
      </c>
      <c r="Y44" s="1">
        <v>2.5319282571951415E-2</v>
      </c>
      <c r="Z44" s="1">
        <v>2.1450335870432304E-2</v>
      </c>
      <c r="AA44" s="1">
        <v>2.2890076722770214E-2</v>
      </c>
      <c r="AB44" s="1">
        <v>2.1174921804146249E-2</v>
      </c>
      <c r="AC44" s="1">
        <v>2.1692232511025866E-2</v>
      </c>
      <c r="AD44" s="1">
        <v>1.6246537698014749E-2</v>
      </c>
      <c r="AE44" s="1">
        <v>1.6603563163293367E-2</v>
      </c>
      <c r="AF44" s="1">
        <v>2.5175756043196655E-2</v>
      </c>
      <c r="AG44" s="1">
        <v>2.3961153118606054E-2</v>
      </c>
      <c r="AH44" s="1">
        <v>1.5405718951549003E-2</v>
      </c>
      <c r="AI44" s="1">
        <v>1.3131678622346019E-2</v>
      </c>
      <c r="AJ44" s="1">
        <v>9.0324742714567915E-3</v>
      </c>
      <c r="AK44" s="1">
        <v>2.2389524728736843E-2</v>
      </c>
      <c r="AL44" s="1">
        <v>2.046087087358902E-2</v>
      </c>
      <c r="AM44" s="1">
        <v>1.1531652528407099E-2</v>
      </c>
      <c r="AN44" s="1">
        <v>1.9631691118346728E-2</v>
      </c>
      <c r="AO44" s="1">
        <v>3.060469214336152E-2</v>
      </c>
      <c r="AP44" s="1">
        <v>1.8175191553162579E-2</v>
      </c>
      <c r="AQ44" s="1">
        <v>2.036250076175021E-2</v>
      </c>
      <c r="AR44" s="1">
        <v>3.2504948294439666E-2</v>
      </c>
      <c r="AS44" s="1">
        <v>2.9890641212804291E-2</v>
      </c>
      <c r="AT44" s="1">
        <v>2.3280619613741324E-2</v>
      </c>
      <c r="AU44" s="1">
        <v>1.8692502260042189E-2</v>
      </c>
      <c r="AV44" s="1">
        <v>2.5290884867881711E-2</v>
      </c>
      <c r="AW44" s="1">
        <v>1.6747089692048113E-2</v>
      </c>
      <c r="AX44" s="1">
        <v>2.6747384433065881E-2</v>
      </c>
      <c r="AY44" s="1">
        <v>1.3960858377588306E-2</v>
      </c>
      <c r="AZ44" s="1">
        <v>2.0103845408310402E-2</v>
      </c>
      <c r="BA44" s="1">
        <v>-1.7537532918748329E-2</v>
      </c>
      <c r="BB44" s="1">
        <v>-7.13505629553602E-3</v>
      </c>
      <c r="BC44" s="1">
        <v>-1.4636172779603468E-2</v>
      </c>
      <c r="BD44" s="1">
        <v>8.2774158328003614E-3</v>
      </c>
      <c r="BE44" s="1">
        <v>-7.2785828242907594E-3</v>
      </c>
      <c r="BF44" s="1">
        <v>3.3490317266688611E-3</v>
      </c>
      <c r="BG44" s="1">
        <v>-4.9477470869483745E-3</v>
      </c>
      <c r="BH44" s="1">
        <v>1.4432041854745919E-2</v>
      </c>
      <c r="BI44" s="1">
        <v>-1.1152649247432658E-2</v>
      </c>
      <c r="BJ44" s="1">
        <v>1.2536905425290588E-2</v>
      </c>
      <c r="BK44" s="1">
        <v>1.4288515325991166E-2</v>
      </c>
      <c r="BL44" s="1">
        <v>1.4371365843672823E-3</v>
      </c>
      <c r="BM44" s="1">
        <v>-2.1418195032581969E-3</v>
      </c>
      <c r="BN44" s="1">
        <v>-2.3218010140895629E-3</v>
      </c>
      <c r="BO44" s="1">
        <v>4.5636346512594721E-3</v>
      </c>
      <c r="BP44" s="1">
        <v>-1.2465622283862082E-2</v>
      </c>
      <c r="BQ44" s="1">
        <v>6.1520217539749317E-3</v>
      </c>
      <c r="BR44" s="1">
        <v>-7.8369004991284998E-4</v>
      </c>
      <c r="BS44" s="1">
        <v>-4.2154486301143081E-4</v>
      </c>
      <c r="BT44" s="1">
        <v>4.0463239443798565E-3</v>
      </c>
      <c r="BU44" s="1">
        <v>3.6412045058011652E-3</v>
      </c>
      <c r="BV44" s="1">
        <v>-2.9374818328079862E-3</v>
      </c>
      <c r="BW44" s="1">
        <v>-3.0642496487164883E-3</v>
      </c>
      <c r="BX44" s="1">
        <v>-3.9101881168050242E-3</v>
      </c>
      <c r="BY44" s="1">
        <v>-8.0093924676942485E-3</v>
      </c>
      <c r="BZ44" s="1">
        <v>-1.0536968428714238E-2</v>
      </c>
      <c r="CA44" s="1">
        <v>-1.2966174277895447E-2</v>
      </c>
      <c r="CB44" s="1">
        <v>-9.1904779665923503E-3</v>
      </c>
      <c r="CC44" s="1">
        <v>2.2253365977668686E-4</v>
      </c>
      <c r="CD44" s="1">
        <v>1.1449638052349765E-3</v>
      </c>
      <c r="CE44" s="1">
        <v>5.9749777995276709E-3</v>
      </c>
      <c r="CF44" s="1">
        <v>5.0022715155306329E-3</v>
      </c>
      <c r="CG44" s="1">
        <v>1.1617225180812259E-3</v>
      </c>
      <c r="CH44" s="1">
        <v>1.9092908743309541E-3</v>
      </c>
      <c r="CI44" s="1">
        <v>9.2952785337133415E-3</v>
      </c>
      <c r="CJ44" s="1">
        <v>-5.8988738261935188E-4</v>
      </c>
      <c r="CK44" s="1">
        <v>-1.1492915999865044E-2</v>
      </c>
      <c r="CL44" s="1">
        <v>-4.2956112861533332E-3</v>
      </c>
      <c r="CM44" s="1">
        <v>4.2066091859808558E-3</v>
      </c>
      <c r="CN44" s="1">
        <v>7.5633649022431304E-3</v>
      </c>
      <c r="CO44" s="1">
        <v>6.2336331529674761E-3</v>
      </c>
      <c r="CP44" s="1">
        <v>-2.6788264793681793E-3</v>
      </c>
      <c r="CQ44" s="1">
        <v>1.5187479833598406E-3</v>
      </c>
      <c r="CR44" s="1">
        <v>1.3217438930155319E-2</v>
      </c>
      <c r="CS44" s="1">
        <v>5.2776855818167014E-3</v>
      </c>
      <c r="CT44" s="1">
        <v>1.6622745121145921E-3</v>
      </c>
      <c r="CU44" s="1">
        <v>2.9920062613902464E-3</v>
      </c>
      <c r="CV44" s="1">
        <v>-4.8661356879558127E-3</v>
      </c>
      <c r="CW44" s="1">
        <v>1.1904465893725916E-2</v>
      </c>
      <c r="CX44" s="1">
        <v>3.3490317266688611E-3</v>
      </c>
      <c r="CY44" s="1">
        <v>7.9730145321613363E-3</v>
      </c>
      <c r="CZ44" s="1">
        <v>1.2137071569196861E-2</v>
      </c>
      <c r="DA44" s="1">
        <v>-7.4197613269446766E-3</v>
      </c>
      <c r="DB44" s="1">
        <v>2.5921724052965344E-3</v>
      </c>
      <c r="DC44" s="1">
        <v>2.9827152962676462E-3</v>
      </c>
      <c r="DD44" s="1">
        <v>-1.5277903276290736E-2</v>
      </c>
      <c r="DE44" s="1">
        <v>2.5050365440582936E-2</v>
      </c>
      <c r="DF44" s="1">
        <v>-1.3124111493395596E-2</v>
      </c>
      <c r="DG44" s="1">
        <v>-2.2662392930658665E-3</v>
      </c>
      <c r="DH44" s="1">
        <v>-7.2427173724974314E-3</v>
      </c>
      <c r="DI44" s="1">
        <v>3.2325179771634099E-4</v>
      </c>
      <c r="DJ44" s="1">
        <v>2.7073012299815777E-3</v>
      </c>
      <c r="DK44" s="1">
        <v>-2.7048761573370411E-3</v>
      </c>
      <c r="DL44" s="1">
        <v>1.5395457173620342E-2</v>
      </c>
      <c r="DM44" s="1">
        <v>1.6643577523903434E-2</v>
      </c>
      <c r="DN44" s="1">
        <v>4.8129990395766528E-3</v>
      </c>
      <c r="DO44" s="1">
        <v>-9.0810983972050563E-4</v>
      </c>
      <c r="DP44" s="1">
        <v>-1.8733029104391848E-2</v>
      </c>
      <c r="DQ44" s="1">
        <v>-1.3476017237051427E-2</v>
      </c>
      <c r="DR44" s="1">
        <v>6.888116979863362E-3</v>
      </c>
      <c r="DS44" s="1">
        <v>-3.0451429097694063E-3</v>
      </c>
      <c r="DT44" s="1">
        <v>1.589600916765372E-2</v>
      </c>
      <c r="DU44" s="1">
        <v>-1.710818701959977E-2</v>
      </c>
      <c r="DV44" s="1">
        <v>3.3062233358537637E-3</v>
      </c>
      <c r="DW44" s="1">
        <v>-2.2043241633036767E-3</v>
      </c>
      <c r="DX44" s="1">
        <v>-1.2623559499362232E-2</v>
      </c>
      <c r="DY44" s="1">
        <v>4.5208262604443609E-3</v>
      </c>
      <c r="DZ44" s="1">
        <v>5.3784037197563417E-3</v>
      </c>
      <c r="EA44" s="1">
        <v>4.2956883326970355E-3</v>
      </c>
      <c r="EB44" s="1">
        <v>-1.3854921136799078E-2</v>
      </c>
      <c r="EC44" s="1">
        <v>-1.3366008133989173E-2</v>
      </c>
      <c r="ED44" s="1">
        <v>-2.3821698452124347E-2</v>
      </c>
      <c r="EE44" s="1">
        <v>5.2683946166940734E-3</v>
      </c>
      <c r="EF44" s="1">
        <v>3.1079018584035181E-5</v>
      </c>
      <c r="EG44" s="1">
        <v>2.9156804448826502E-3</v>
      </c>
      <c r="EH44" s="1">
        <v>-1.4904119098165886E-2</v>
      </c>
      <c r="EI44" s="1">
        <v>6.6432827828856872E-3</v>
      </c>
      <c r="EJ44" s="1">
        <v>3.0649308487007421E-4</v>
      </c>
      <c r="EK44" s="1">
        <v>6.9500321096255535E-3</v>
      </c>
      <c r="EL44" s="1">
        <v>-4.6335300124848711E-3</v>
      </c>
      <c r="EM44" s="1">
        <v>1.4278456192446665E-3</v>
      </c>
      <c r="EN44" s="1">
        <v>-2.6881174444907951E-3</v>
      </c>
      <c r="EO44" s="1">
        <v>1.2137071569196861E-2</v>
      </c>
      <c r="EP44" s="1">
        <v>-1.4735145199001945E-3</v>
      </c>
      <c r="EQ44" s="1">
        <v>1.6865009726844751E-3</v>
      </c>
      <c r="ER44" s="1">
        <v>8.1216480052624662E-4</v>
      </c>
      <c r="ES44" s="1">
        <v>4.9929805504080327E-3</v>
      </c>
      <c r="ET44" s="1">
        <v>1.0373027282735703E-3</v>
      </c>
      <c r="EU44" s="1">
        <v>7.2422048887578593E-3</v>
      </c>
      <c r="EV44" s="10">
        <v>8.5216604994947653E-3</v>
      </c>
    </row>
    <row r="45" spans="1:152" x14ac:dyDescent="0.25">
      <c r="A45" s="21">
        <f t="shared" ca="1" si="0"/>
        <v>4.4810798206324498E-2</v>
      </c>
      <c r="B45" s="5">
        <v>44</v>
      </c>
      <c r="C45" s="9">
        <v>1.5266212875438806E-2</v>
      </c>
      <c r="D45" s="1">
        <v>2.1983543261964167E-2</v>
      </c>
      <c r="E45" s="1">
        <v>2.1219925558713409E-2</v>
      </c>
      <c r="F45" s="1">
        <v>2.2975530447024078E-2</v>
      </c>
      <c r="G45" s="1">
        <v>1.4884404023813441E-2</v>
      </c>
      <c r="H45" s="1">
        <v>2.3359534996810358E-2</v>
      </c>
      <c r="I45" s="1">
        <v>2.6983831665255781E-2</v>
      </c>
      <c r="J45" s="1">
        <v>1.7021817763749475E-2</v>
      </c>
      <c r="K45" s="1">
        <v>2.6486740223645389E-2</v>
      </c>
      <c r="L45" s="1">
        <v>1.3700414563860369E-2</v>
      </c>
      <c r="M45" s="1">
        <v>1.1068105080474844E-2</v>
      </c>
      <c r="N45" s="1">
        <v>1.8395613800434779E-2</v>
      </c>
      <c r="O45" s="1">
        <v>1.5456019452171038E-2</v>
      </c>
      <c r="P45" s="1">
        <v>1.8890509543884257E-2</v>
      </c>
      <c r="Q45" s="1">
        <v>5.1143923972002403E-3</v>
      </c>
      <c r="R45" s="1">
        <v>1.5955306591942359E-2</v>
      </c>
      <c r="S45" s="1">
        <v>2.3359534996810358E-2</v>
      </c>
      <c r="T45" s="1">
        <v>2.2480634703574559E-2</v>
      </c>
      <c r="U45" s="1">
        <v>1.5153125983614651E-2</v>
      </c>
      <c r="V45" s="1">
        <v>1.9274514093670536E-2</v>
      </c>
      <c r="W45" s="1">
        <v>1.4274225690378894E-2</v>
      </c>
      <c r="X45" s="1">
        <v>2.755764279177432E-2</v>
      </c>
      <c r="Y45" s="1">
        <v>1.7631996097183994E-2</v>
      </c>
      <c r="Z45" s="1">
        <v>3.9046892099782127E-2</v>
      </c>
      <c r="AA45" s="1">
        <v>1.8395613800434779E-2</v>
      </c>
      <c r="AB45" s="1">
        <v>2.1296645243621515E-2</v>
      </c>
      <c r="AC45" s="1">
        <v>3.1450661420020995E-2</v>
      </c>
      <c r="AD45" s="1">
        <v>1.4579314857096154E-2</v>
      </c>
      <c r="AE45" s="1">
        <v>1.5648021727064171E-2</v>
      </c>
      <c r="AF45" s="1">
        <v>2.1219925558713409E-2</v>
      </c>
      <c r="AG45" s="1">
        <v>2.1601734410338802E-2</v>
      </c>
      <c r="AH45" s="1">
        <v>2.8703069346650414E-2</v>
      </c>
      <c r="AI45" s="1">
        <v>9.5265180915229952E-4</v>
      </c>
      <c r="AJ45" s="1">
        <v>5.037672712292135E-3</v>
      </c>
      <c r="AK45" s="1">
        <v>2.091483639199615E-2</v>
      </c>
      <c r="AL45" s="1">
        <v>1.9159231503685481E-2</v>
      </c>
      <c r="AM45" s="1">
        <v>1.2518620802068253E-2</v>
      </c>
      <c r="AN45" s="1">
        <v>8.3568802140203124E-3</v>
      </c>
      <c r="AO45" s="1">
        <v>2.5418033353677372E-2</v>
      </c>
      <c r="AP45" s="1">
        <v>1.6334919745406823E-2</v>
      </c>
      <c r="AQ45" s="1">
        <v>2.3167532721917211E-2</v>
      </c>
      <c r="AR45" s="1">
        <v>3.9426505253246591E-2</v>
      </c>
      <c r="AS45" s="1">
        <v>2.3280619613741338E-2</v>
      </c>
      <c r="AT45" s="1">
        <v>4.4810798206324498E-2</v>
      </c>
      <c r="AU45" s="1">
        <v>2.6488935921806303E-2</v>
      </c>
      <c r="AV45" s="1">
        <v>2.9884863108442572E-2</v>
      </c>
      <c r="AW45" s="1">
        <v>1.2060092265534783E-2</v>
      </c>
      <c r="AX45" s="1">
        <v>2.1906823577056062E-2</v>
      </c>
      <c r="AY45" s="1">
        <v>1.1755003098817496E-2</v>
      </c>
      <c r="AZ45" s="1">
        <v>1.8090524633717464E-2</v>
      </c>
      <c r="BA45" s="1">
        <v>-6.5653623032074643E-3</v>
      </c>
      <c r="BB45" s="1">
        <v>4.7704476349841596E-3</v>
      </c>
      <c r="BC45" s="1">
        <v>2.4046644132389439E-3</v>
      </c>
      <c r="BD45" s="1">
        <v>6.1420479735085493E-3</v>
      </c>
      <c r="BE45" s="1">
        <v>8.3583770965135751E-3</v>
      </c>
      <c r="BF45" s="1">
        <v>-5.752824130168116E-4</v>
      </c>
      <c r="BG45" s="1">
        <v>1.1603060611494562E-2</v>
      </c>
      <c r="BH45" s="1">
        <v>-1.2448536270810912E-2</v>
      </c>
      <c r="BI45" s="1">
        <v>-7.8260714480686139E-3</v>
      </c>
      <c r="BJ45" s="1">
        <v>1.1142336376800191E-2</v>
      </c>
      <c r="BK45" s="1">
        <v>-8.860606809281496E-3</v>
      </c>
      <c r="BL45" s="1">
        <v>1.0342351466633398E-2</v>
      </c>
      <c r="BM45" s="1">
        <v>-1.786700073264394E-2</v>
      </c>
      <c r="BN45" s="1">
        <v>2.8228404717803718E-3</v>
      </c>
      <c r="BO45" s="1">
        <v>-9.5709126464217642E-4</v>
      </c>
      <c r="BP45" s="1">
        <v>-3.4359613782115189E-3</v>
      </c>
      <c r="BQ45" s="1">
        <v>1.2403045521661327E-2</v>
      </c>
      <c r="BR45" s="1">
        <v>-2.183673904579872E-2</v>
      </c>
      <c r="BS45" s="1">
        <v>1.6831312371349577E-2</v>
      </c>
      <c r="BT45" s="1">
        <v>-1.111110744104167E-2</v>
      </c>
      <c r="BU45" s="1">
        <v>2.9848203211104651E-2</v>
      </c>
      <c r="BV45" s="1">
        <v>-3.3228744863873644E-3</v>
      </c>
      <c r="BW45" s="1">
        <v>1.2938293743102902E-2</v>
      </c>
      <c r="BX45" s="1">
        <v>-1.0537296314523145E-2</v>
      </c>
      <c r="BY45" s="1">
        <v>-6.4522754113833097E-3</v>
      </c>
      <c r="BZ45" s="1">
        <v>-1.6803564899008777E-3</v>
      </c>
      <c r="CA45" s="1">
        <v>-9.1673878665012032E-4</v>
      </c>
      <c r="CB45" s="1">
        <v>1.9276010976163785E-2</v>
      </c>
      <c r="CC45" s="1">
        <v>1.0724160318258763E-2</v>
      </c>
      <c r="CD45" s="1">
        <v>-2.0081134157488079E-2</v>
      </c>
      <c r="CE45" s="1">
        <v>-9.3555025527310015E-3</v>
      </c>
      <c r="CF45" s="1">
        <v>-1.6569924380866768E-2</v>
      </c>
      <c r="CG45" s="1">
        <v>-7.4078953895271998E-3</v>
      </c>
      <c r="CH45" s="1">
        <v>2.0075995886330564E-2</v>
      </c>
      <c r="CI45" s="1">
        <v>1.3776841558346603E-2</v>
      </c>
      <c r="CJ45" s="1">
        <v>1.2595047796554473E-2</v>
      </c>
      <c r="CK45" s="1">
        <v>3.778460449924248E-3</v>
      </c>
      <c r="CL45" s="1">
        <v>6.4686382676741594E-4</v>
      </c>
      <c r="CM45" s="1">
        <v>-2.0257981346101933E-3</v>
      </c>
      <c r="CN45" s="1">
        <v>4.0046342335725155E-3</v>
      </c>
      <c r="CO45" s="1">
        <v>-4.2784944645312545E-3</v>
      </c>
      <c r="CP45" s="1">
        <v>1.7541336018123549E-3</v>
      </c>
      <c r="CQ45" s="1">
        <v>-6.3391885195591829E-3</v>
      </c>
      <c r="CR45" s="1">
        <v>-1.2066727419185547E-2</v>
      </c>
      <c r="CS45" s="1">
        <v>1.1803224752938574E-3</v>
      </c>
      <c r="CT45" s="1">
        <v>-9.9271179810885984E-3</v>
      </c>
      <c r="CU45" s="1">
        <v>-1.6439892829848285E-3</v>
      </c>
      <c r="CV45" s="1">
        <v>-5.0784793746980333E-3</v>
      </c>
      <c r="CW45" s="1">
        <v>-7.6766173493284101E-3</v>
      </c>
      <c r="CX45" s="1">
        <v>-5.752824130168116E-4</v>
      </c>
      <c r="CY45" s="1">
        <v>3.2690641362094708E-2</v>
      </c>
      <c r="CZ45" s="1">
        <v>-7.4915829519858756E-4</v>
      </c>
      <c r="DA45" s="1">
        <v>1.5438905127145575E-3</v>
      </c>
      <c r="DB45" s="1">
        <v>-1.3535483954983607E-2</v>
      </c>
      <c r="DC45" s="1">
        <v>1.2879700450906167E-2</v>
      </c>
      <c r="DD45" s="1">
        <v>-1.8905995789986474E-3</v>
      </c>
      <c r="DE45" s="1">
        <v>-6.8585060464503161E-3</v>
      </c>
      <c r="DF45" s="1">
        <v>-2.0404464138410017E-2</v>
      </c>
      <c r="DG45" s="1">
        <v>-1.200824854848212E-2</v>
      </c>
      <c r="DH45" s="1">
        <v>2.3302438587106844E-2</v>
      </c>
      <c r="DI45" s="1">
        <v>-3.6865569453014002E-3</v>
      </c>
      <c r="DJ45" s="1">
        <v>-4.8705464052544445E-3</v>
      </c>
      <c r="DK45" s="1">
        <v>3.6045845677424859E-3</v>
      </c>
      <c r="DL45" s="1">
        <v>9.2895752912158513E-3</v>
      </c>
      <c r="DM45" s="1">
        <v>3.4254243975512216E-2</v>
      </c>
      <c r="DN45" s="1">
        <v>1.8643606557448539E-2</v>
      </c>
      <c r="DO45" s="1">
        <v>-1.59779868616369E-2</v>
      </c>
      <c r="DP45" s="1">
        <v>-3.9127307289496538E-3</v>
      </c>
      <c r="DQ45" s="1">
        <v>1.6126173538802274E-2</v>
      </c>
      <c r="DR45" s="1">
        <v>-2.5637107294586847E-2</v>
      </c>
      <c r="DS45" s="1">
        <v>1.5209116465735306E-2</v>
      </c>
      <c r="DT45" s="1">
        <v>6.7703526996544527E-3</v>
      </c>
      <c r="DU45" s="1">
        <v>-7.6545056855410465E-3</v>
      </c>
      <c r="DV45" s="1">
        <v>-1.1398070215047573E-2</v>
      </c>
      <c r="DW45" s="1">
        <v>1.0853619761810873E-3</v>
      </c>
      <c r="DX45" s="1">
        <v>-2.2923686729971443E-2</v>
      </c>
      <c r="DY45" s="1">
        <v>-1.1779879066672938E-2</v>
      </c>
      <c r="DZ45" s="1">
        <v>-1.323039478826632E-2</v>
      </c>
      <c r="EA45" s="1">
        <v>8.4895903810491002E-3</v>
      </c>
      <c r="EB45" s="1">
        <v>-3.5215116646306929E-2</v>
      </c>
      <c r="EC45" s="1">
        <v>-1.2808233458648899E-2</v>
      </c>
      <c r="ED45" s="1">
        <v>-1.9715370421906492E-2</v>
      </c>
      <c r="EE45" s="1">
        <v>1.5704012209184853E-2</v>
      </c>
      <c r="EF45" s="1">
        <v>-3.4110042569422877E-2</v>
      </c>
      <c r="EG45" s="1">
        <v>-3.7813254620937306E-2</v>
      </c>
      <c r="EH45" s="1">
        <v>1.1851346058930207E-2</v>
      </c>
      <c r="EI45" s="1">
        <v>2.440751266399091E-2</v>
      </c>
      <c r="EJ45" s="1">
        <v>-1.6359795713262265E-2</v>
      </c>
      <c r="EK45" s="1">
        <v>-1.2543496769923695E-2</v>
      </c>
      <c r="EL45" s="1">
        <v>1.848979679431817E-3</v>
      </c>
      <c r="EM45" s="1">
        <v>2.486604120052438E-2</v>
      </c>
      <c r="EN45" s="1">
        <v>1.6277823335703323E-2</v>
      </c>
      <c r="EO45" s="1">
        <v>-7.4915829519858756E-4</v>
      </c>
      <c r="EP45" s="1">
        <v>1.5896014484077958E-2</v>
      </c>
      <c r="EQ45" s="1">
        <v>2.9943049288724127E-2</v>
      </c>
      <c r="ER45" s="1">
        <v>1.8720326242356644E-2</v>
      </c>
      <c r="ES45" s="1">
        <v>-2.0462346469757864E-3</v>
      </c>
      <c r="ET45" s="1">
        <v>-1.5491432053653664E-3</v>
      </c>
      <c r="EU45" s="1">
        <v>1.7879988854197809E-2</v>
      </c>
      <c r="EV45" s="10">
        <v>-1.1856598751581043E-2</v>
      </c>
    </row>
    <row r="46" spans="1:152" x14ac:dyDescent="0.25">
      <c r="A46" s="21">
        <f t="shared" ca="1" si="0"/>
        <v>3.04682853803676E-2</v>
      </c>
      <c r="B46" s="5">
        <v>45</v>
      </c>
      <c r="C46" s="9">
        <v>2.0410533369637281E-2</v>
      </c>
      <c r="D46" s="1">
        <v>9.664324129211083E-3</v>
      </c>
      <c r="E46" s="1">
        <v>1.6246108586941914E-2</v>
      </c>
      <c r="F46" s="1">
        <v>1.4586145473476761E-2</v>
      </c>
      <c r="G46" s="1">
        <v>2.3701425598502697E-2</v>
      </c>
      <c r="H46" s="1">
        <v>3.0497319378432506E-2</v>
      </c>
      <c r="I46" s="1">
        <v>2.3328162985589852E-2</v>
      </c>
      <c r="J46" s="1">
        <v>1.8750570256172112E-2</v>
      </c>
      <c r="K46" s="1">
        <v>1.1266219246546425E-2</v>
      </c>
      <c r="L46" s="1">
        <v>1.0824017301759147E-2</v>
      </c>
      <c r="M46" s="1">
        <v>2.2914995038867479E-2</v>
      </c>
      <c r="N46" s="1">
        <v>2.0381499371572361E-2</v>
      </c>
      <c r="O46" s="1">
        <v>9.164054188293979E-3</v>
      </c>
      <c r="P46" s="1">
        <v>1.3241376976794627E-2</v>
      </c>
      <c r="Q46" s="1">
        <v>2.7079419821562832E-2</v>
      </c>
      <c r="R46" s="1">
        <v>4.0428064061158578E-2</v>
      </c>
      <c r="S46" s="1">
        <v>3.0497319378432506E-2</v>
      </c>
      <c r="T46" s="1">
        <v>2.172626786825451E-2</v>
      </c>
      <c r="U46" s="1">
        <v>2.4259763535549601E-2</v>
      </c>
      <c r="V46" s="1">
        <v>2.9152550881750373E-2</v>
      </c>
      <c r="W46" s="1">
        <v>1.5488712025371604E-2</v>
      </c>
      <c r="X46" s="1">
        <v>2.7992857709202321E-2</v>
      </c>
      <c r="Y46" s="1">
        <v>2.6963283829303207E-2</v>
      </c>
      <c r="Z46" s="1">
        <v>1.9406881523158379E-2</v>
      </c>
      <c r="AA46" s="1">
        <v>2.0381499371572361E-2</v>
      </c>
      <c r="AB46" s="1">
        <v>8.8488595715109589E-3</v>
      </c>
      <c r="AC46" s="1">
        <v>2.1382039253406569E-2</v>
      </c>
      <c r="AD46" s="1">
        <v>1.9595068811937157E-2</v>
      </c>
      <c r="AE46" s="1">
        <v>1.7119641140771864E-2</v>
      </c>
      <c r="AF46" s="1">
        <v>1.6246108586941914E-2</v>
      </c>
      <c r="AG46" s="1">
        <v>1.2955216358076499E-2</v>
      </c>
      <c r="AH46" s="1">
        <v>1.8120181022606058E-2</v>
      </c>
      <c r="AI46" s="1">
        <v>3.313190034031166E-2</v>
      </c>
      <c r="AJ46" s="1">
        <v>3.4476668836993803E-2</v>
      </c>
      <c r="AK46" s="1">
        <v>1.2139751800376375E-2</v>
      </c>
      <c r="AL46" s="1">
        <v>1.3799714913841543E-2</v>
      </c>
      <c r="AM46" s="1">
        <v>1.7148675138836771E-2</v>
      </c>
      <c r="AN46" s="1">
        <v>2.3201155657585595E-2</v>
      </c>
      <c r="AO46" s="1">
        <v>1.3741646917711717E-2</v>
      </c>
      <c r="AP46" s="1">
        <v>1.7935105698471988E-2</v>
      </c>
      <c r="AQ46" s="1">
        <v>2.2541732425954634E-2</v>
      </c>
      <c r="AR46" s="1">
        <v>-3.0860768395282109E-3</v>
      </c>
      <c r="AS46" s="1">
        <v>1.86925022600423E-2</v>
      </c>
      <c r="AT46" s="1">
        <v>2.6488935921806313E-2</v>
      </c>
      <c r="AU46" s="1">
        <v>3.04682853803676E-2</v>
      </c>
      <c r="AV46" s="1">
        <v>1.1795523185528433E-2</v>
      </c>
      <c r="AW46" s="1">
        <v>2.7836816383133144E-2</v>
      </c>
      <c r="AX46" s="1">
        <v>1.7061573144642052E-2</v>
      </c>
      <c r="AY46" s="1">
        <v>2.3730459596567617E-2</v>
      </c>
      <c r="AZ46" s="1">
        <v>1.627514258500682E-2</v>
      </c>
      <c r="BA46" s="1">
        <v>2.9414396210581811E-3</v>
      </c>
      <c r="BB46" s="1">
        <v>9.1499614658761691E-3</v>
      </c>
      <c r="BC46" s="1">
        <v>2.5972110062102427E-3</v>
      </c>
      <c r="BD46" s="1">
        <v>-8.421175552544756E-3</v>
      </c>
      <c r="BE46" s="1">
        <v>-1.5672137764851241E-3</v>
      </c>
      <c r="BF46" s="1">
        <v>2.3250336878814296E-3</v>
      </c>
      <c r="BG46" s="1">
        <v>1.3756588193358815E-2</v>
      </c>
      <c r="BH46" s="1">
        <v>-5.000164031030388E-3</v>
      </c>
      <c r="BI46" s="1">
        <v>-2.5387196602544085E-3</v>
      </c>
      <c r="BJ46" s="1">
        <v>5.242663303834022E-3</v>
      </c>
      <c r="BK46" s="1">
        <v>-1.5717339273391667E-2</v>
      </c>
      <c r="BL46" s="1">
        <v>8.2764289120462187E-3</v>
      </c>
      <c r="BM46" s="1">
        <v>-1.8921129508062351E-2</v>
      </c>
      <c r="BN46" s="1">
        <v>2.8543376268634485E-3</v>
      </c>
      <c r="BO46" s="1">
        <v>5.6159259167468598E-3</v>
      </c>
      <c r="BP46" s="1">
        <v>2.912405622993261E-3</v>
      </c>
      <c r="BQ46" s="1">
        <v>1.0722822585146605E-2</v>
      </c>
      <c r="BR46" s="1">
        <v>-4.9130620368356553E-3</v>
      </c>
      <c r="BS46" s="1">
        <v>-1.3973386130376464E-2</v>
      </c>
      <c r="BT46" s="1">
        <v>-6.9172537651487481E-3</v>
      </c>
      <c r="BU46" s="1">
        <v>1.7174487750228486E-2</v>
      </c>
      <c r="BV46" s="1">
        <v>-9.3682454291906664E-4</v>
      </c>
      <c r="BW46" s="1">
        <v>-7.362567674580725E-3</v>
      </c>
      <c r="BX46" s="1">
        <v>-2.2525590415362964E-3</v>
      </c>
      <c r="BY46" s="1">
        <v>-9.0779054485416039E-4</v>
      </c>
      <c r="BZ46" s="1">
        <v>1.2524425095281067E-3</v>
      </c>
      <c r="CA46" s="1">
        <v>-5.3293419482027399E-3</v>
      </c>
      <c r="CB46" s="1">
        <v>4.3841814476796512E-3</v>
      </c>
      <c r="CC46" s="1">
        <v>4.9855366831808023E-3</v>
      </c>
      <c r="CD46" s="1">
        <v>-6.5730251503008236E-3</v>
      </c>
      <c r="CE46" s="1">
        <v>-8.5772168786139164E-3</v>
      </c>
      <c r="CF46" s="1">
        <v>-9.8929513772311461E-3</v>
      </c>
      <c r="CG46" s="1">
        <v>-2.2815930396012027E-3</v>
      </c>
      <c r="CH46" s="1">
        <v>1.3504158394674615E-3</v>
      </c>
      <c r="CI46" s="1">
        <v>1.2353751700546853E-2</v>
      </c>
      <c r="CJ46" s="1">
        <v>1.867840953762448E-2</v>
      </c>
      <c r="CK46" s="1">
        <v>4.2281401216104908E-3</v>
      </c>
      <c r="CL46" s="1">
        <v>-1.4944892014145762E-2</v>
      </c>
      <c r="CM46" s="1">
        <v>8.091353587912152E-3</v>
      </c>
      <c r="CN46" s="1">
        <v>-3.4703202102141714E-3</v>
      </c>
      <c r="CO46" s="1">
        <v>-2.3106270376661089E-3</v>
      </c>
      <c r="CP46" s="1">
        <v>5.3297652980287408E-3</v>
      </c>
      <c r="CQ46" s="1">
        <v>-4.757020710766495E-3</v>
      </c>
      <c r="CR46" s="1">
        <v>-8.2910562598958043E-3</v>
      </c>
      <c r="CS46" s="1">
        <v>6.6507057441628908E-4</v>
      </c>
      <c r="CT46" s="1">
        <v>5.9601545315947843E-3</v>
      </c>
      <c r="CU46" s="1">
        <v>4.8004613590467218E-3</v>
      </c>
      <c r="CV46" s="1">
        <v>7.2313857054610159E-4</v>
      </c>
      <c r="CW46" s="1">
        <v>-2.8399309766481157E-3</v>
      </c>
      <c r="CX46" s="1">
        <v>2.3250336878814296E-3</v>
      </c>
      <c r="CY46" s="1">
        <v>1.6655013657620857E-2</v>
      </c>
      <c r="CZ46" s="1">
        <v>-2.0146365725736137E-3</v>
      </c>
      <c r="DA46" s="1">
        <v>-2.5579238119449316E-3</v>
      </c>
      <c r="DB46" s="1">
        <v>-2.4568385173608862E-3</v>
      </c>
      <c r="DC46" s="1">
        <v>3.6505980328730529E-3</v>
      </c>
      <c r="DD46" s="1">
        <v>-6.6352466004455657E-3</v>
      </c>
      <c r="DE46" s="1">
        <v>-2.2577798928375067E-3</v>
      </c>
      <c r="DF46" s="1">
        <v>-1.0611484094362154E-2</v>
      </c>
      <c r="DG46" s="1">
        <v>-1.5620407432822565E-2</v>
      </c>
      <c r="DH46" s="1">
        <v>1.6742115651815589E-2</v>
      </c>
      <c r="DI46" s="1">
        <v>5.9699843779691814E-3</v>
      </c>
      <c r="DJ46" s="1">
        <v>-6.9074239187743719E-3</v>
      </c>
      <c r="DK46" s="1">
        <v>-1.1153013884455942E-4</v>
      </c>
      <c r="DL46" s="1">
        <v>-4.8342928585868444E-3</v>
      </c>
      <c r="DM46" s="1">
        <v>7.0394635916777998E-3</v>
      </c>
      <c r="DN46" s="1">
        <v>1.0732652431520984E-2</v>
      </c>
      <c r="DO46" s="1">
        <v>-1.6123399615958559E-3</v>
      </c>
      <c r="DP46" s="1">
        <v>1.3668444709793833E-2</v>
      </c>
      <c r="DQ46" s="1">
        <v>-1.472095284557241E-2</v>
      </c>
      <c r="DR46" s="1">
        <v>-2.1285642038269215E-2</v>
      </c>
      <c r="DS46" s="1">
        <v>6.6553296430203503E-3</v>
      </c>
      <c r="DT46" s="1">
        <v>3.4074547126091564E-3</v>
      </c>
      <c r="DU46" s="1">
        <v>-1.3717300999093518E-2</v>
      </c>
      <c r="DV46" s="1">
        <v>-7.4076938596914568E-3</v>
      </c>
      <c r="DW46" s="1">
        <v>8.1302174323514276E-3</v>
      </c>
      <c r="DX46" s="1">
        <v>-2.3697365231661535E-3</v>
      </c>
      <c r="DY46" s="1">
        <v>-4.1168016308260544E-3</v>
      </c>
      <c r="DZ46" s="1">
        <v>1.6495182692046542E-3</v>
      </c>
      <c r="EA46" s="1">
        <v>-1.8005272503746339E-3</v>
      </c>
      <c r="EB46" s="1">
        <v>-9.9520608627311907E-3</v>
      </c>
      <c r="EC46" s="1">
        <v>-1.2586641824610362E-2</v>
      </c>
      <c r="ED46" s="1">
        <v>9.4060465971591289E-3</v>
      </c>
      <c r="EE46" s="1">
        <v>-4.8479275175740758E-4</v>
      </c>
      <c r="EF46" s="1">
        <v>-8.8794696843778609E-3</v>
      </c>
      <c r="EG46" s="1">
        <v>-1.3515130409925413E-2</v>
      </c>
      <c r="EH46" s="1">
        <v>-4.8192421609112544E-3</v>
      </c>
      <c r="EI46" s="1">
        <v>1.7814706830168919E-2</v>
      </c>
      <c r="EJ46" s="1">
        <v>1.6785522672695605E-3</v>
      </c>
      <c r="EK46" s="1">
        <v>2.4649828269047783E-3</v>
      </c>
      <c r="EL46" s="1">
        <v>1.5484329746206088E-3</v>
      </c>
      <c r="EM46" s="1">
        <v>7.1265655858725324E-3</v>
      </c>
      <c r="EN46" s="1">
        <v>4.179901971855058E-3</v>
      </c>
      <c r="EO46" s="1">
        <v>-2.0146365725736137E-3</v>
      </c>
      <c r="EP46" s="1">
        <v>7.4707942007204743E-3</v>
      </c>
      <c r="EQ46" s="1">
        <v>1.3393155426820333E-2</v>
      </c>
      <c r="ER46" s="1">
        <v>3.3354034160900138E-3</v>
      </c>
      <c r="ES46" s="1">
        <v>-1.1042814703404819E-2</v>
      </c>
      <c r="ET46" s="1">
        <v>1.0191290356385968E-3</v>
      </c>
      <c r="EU46" s="1">
        <v>1.7314436889251817E-2</v>
      </c>
      <c r="EV46" s="10">
        <v>3.2804473846049023E-3</v>
      </c>
    </row>
    <row r="47" spans="1:152" x14ac:dyDescent="0.25">
      <c r="A47" s="21">
        <f t="shared" ca="1" si="0"/>
        <v>3.7406320514916172E-2</v>
      </c>
      <c r="B47" s="5">
        <v>46</v>
      </c>
      <c r="C47" s="9">
        <v>1.5916051934128234E-2</v>
      </c>
      <c r="D47" s="1">
        <v>3.4113744806184149E-2</v>
      </c>
      <c r="E47" s="1">
        <v>2.6089393207267927E-2</v>
      </c>
      <c r="F47" s="1">
        <v>2.9569230113801859E-2</v>
      </c>
      <c r="G47" s="1">
        <v>1.1903876134670116E-2</v>
      </c>
      <c r="H47" s="1">
        <v>8.8480251719186137E-3</v>
      </c>
      <c r="I47" s="1">
        <v>2.1889956210007888E-2</v>
      </c>
      <c r="J47" s="1">
        <v>1.9395888840662151E-2</v>
      </c>
      <c r="K47" s="1">
        <v>3.6528903926869721E-2</v>
      </c>
      <c r="L47" s="1">
        <v>2.6808993297994035E-2</v>
      </c>
      <c r="M47" s="1">
        <v>9.2225475675224433E-3</v>
      </c>
      <c r="N47" s="1">
        <v>1.8863549947737965E-2</v>
      </c>
      <c r="O47" s="1">
        <v>3.0288830204527967E-2</v>
      </c>
      <c r="P47" s="1">
        <v>2.8957982972217508E-2</v>
      </c>
      <c r="Q47" s="1">
        <v>-9.5079370561725052E-4</v>
      </c>
      <c r="R47" s="1">
        <v>-9.083498253675229E-3</v>
      </c>
      <c r="S47" s="1">
        <v>8.8480251719186137E-3</v>
      </c>
      <c r="T47" s="1">
        <v>1.9474797089322343E-2</v>
      </c>
      <c r="U47" s="1">
        <v>9.8337947091068356E-3</v>
      </c>
      <c r="V47" s="1">
        <v>8.2367780303342908E-3</v>
      </c>
      <c r="W47" s="1">
        <v>2.0460566626510523E-2</v>
      </c>
      <c r="X47" s="1">
        <v>1.5541529538524376E-2</v>
      </c>
      <c r="Y47" s="1">
        <v>1.0839198348821744E-2</v>
      </c>
      <c r="Z47" s="1">
        <v>3.408430010570257E-2</v>
      </c>
      <c r="AA47" s="1">
        <v>1.8863549947737965E-2</v>
      </c>
      <c r="AB47" s="1">
        <v>3.4379914252646249E-2</v>
      </c>
      <c r="AC47" s="1">
        <v>2.6513379151050356E-2</v>
      </c>
      <c r="AD47" s="1">
        <v>1.618222138059032E-2</v>
      </c>
      <c r="AE47" s="1">
        <v>1.9928227733586337E-2</v>
      </c>
      <c r="AF47" s="1">
        <v>2.6089393207267927E-2</v>
      </c>
      <c r="AG47" s="1">
        <v>3.0101569006726031E-2</v>
      </c>
      <c r="AH47" s="1">
        <v>2.7578056936898729E-2</v>
      </c>
      <c r="AI47" s="1">
        <v>-9.8525618925799086E-3</v>
      </c>
      <c r="AJ47" s="1">
        <v>-9.2413147509955856E-3</v>
      </c>
      <c r="AK47" s="1">
        <v>3.0367738453188131E-2</v>
      </c>
      <c r="AL47" s="1">
        <v>2.68879015466542E-2</v>
      </c>
      <c r="AM47" s="1">
        <v>1.6980729719976592E-2</v>
      </c>
      <c r="AN47" s="1">
        <v>8.0789615330139203E-3</v>
      </c>
      <c r="AO47" s="1">
        <v>3.2782897573873704E-2</v>
      </c>
      <c r="AP47" s="1">
        <v>1.9662058287124251E-2</v>
      </c>
      <c r="AQ47" s="1">
        <v>1.9208627642860243E-2</v>
      </c>
      <c r="AR47" s="1">
        <v>6.2829856646502064E-2</v>
      </c>
      <c r="AS47" s="1">
        <v>2.5290884867881641E-2</v>
      </c>
      <c r="AT47" s="1">
        <v>2.988486310844253E-2</v>
      </c>
      <c r="AU47" s="1">
        <v>1.1795523185528387E-2</v>
      </c>
      <c r="AV47" s="1">
        <v>3.7406320514916172E-2</v>
      </c>
      <c r="AW47" s="1">
        <v>4.6780328751401812E-3</v>
      </c>
      <c r="AX47" s="1">
        <v>2.5823223760805841E-2</v>
      </c>
      <c r="AY47" s="1">
        <v>8.9563781210603433E-3</v>
      </c>
      <c r="AZ47" s="1">
        <v>2.3141895193658182E-2</v>
      </c>
      <c r="BA47" s="1">
        <v>-1.0642312992682403E-2</v>
      </c>
      <c r="BB47" s="1">
        <v>-8.6805845162608447E-3</v>
      </c>
      <c r="BC47" s="1">
        <v>-3.6037309309543686E-3</v>
      </c>
      <c r="BD47" s="1">
        <v>1.5520457332156339E-2</v>
      </c>
      <c r="BE47" s="1">
        <v>6.5696103421853391E-3</v>
      </c>
      <c r="BF47" s="1">
        <v>-2.6772355398995903E-3</v>
      </c>
      <c r="BG47" s="1">
        <v>-9.1340151605248596E-3</v>
      </c>
      <c r="BH47" s="1">
        <v>-4.9880116519452483E-4</v>
      </c>
      <c r="BI47" s="1">
        <v>-4.0277168747367906E-3</v>
      </c>
      <c r="BJ47" s="1">
        <v>3.2966687359800642E-3</v>
      </c>
      <c r="BK47" s="1">
        <v>1.4751393693251652E-2</v>
      </c>
      <c r="BL47" s="1">
        <v>-2.5194190425792545E-3</v>
      </c>
      <c r="BM47" s="1">
        <v>9.9210754518805205E-3</v>
      </c>
      <c r="BN47" s="1">
        <v>-1.7998189518531535E-3</v>
      </c>
      <c r="BO47" s="1">
        <v>-6.689411339357694E-3</v>
      </c>
      <c r="BP47" s="1">
        <v>-7.6948149790726575E-3</v>
      </c>
      <c r="BQ47" s="1">
        <v>-3.3179273819655408E-3</v>
      </c>
      <c r="BR47" s="1">
        <v>-9.3412952060237808E-3</v>
      </c>
      <c r="BS47" s="1">
        <v>2.8247140120775199E-2</v>
      </c>
      <c r="BT47" s="1">
        <v>1.1771237622381914E-3</v>
      </c>
      <c r="BU47" s="1">
        <v>6.6480371701099772E-4</v>
      </c>
      <c r="BV47" s="1">
        <v>-1.6125577540512318E-3</v>
      </c>
      <c r="BW47" s="1">
        <v>1.7275290508249219E-2</v>
      </c>
      <c r="BX47" s="1">
        <v>-5.1713029092453275E-3</v>
      </c>
      <c r="BY47" s="1">
        <v>-4.5600557676609629E-3</v>
      </c>
      <c r="BZ47" s="1">
        <v>-4.2149780725387262E-3</v>
      </c>
      <c r="CA47" s="1">
        <v>3.8093735263775089E-3</v>
      </c>
      <c r="CB47" s="1">
        <v>6.7274268395056749E-3</v>
      </c>
      <c r="CC47" s="1">
        <v>1.492756756878863E-3</v>
      </c>
      <c r="CD47" s="1">
        <v>-5.8614582994898495E-3</v>
      </c>
      <c r="CE47" s="1">
        <v>4.6569606687721296E-3</v>
      </c>
      <c r="CF47" s="1">
        <v>1.0982155135780269E-3</v>
      </c>
      <c r="CG47" s="1">
        <v>-2.2238048956355824E-3</v>
      </c>
      <c r="CH47" s="1">
        <v>1.2543514618065001E-2</v>
      </c>
      <c r="CI47" s="1">
        <v>-3.8502662748897132E-3</v>
      </c>
      <c r="CJ47" s="1">
        <v>-1.3678529852907163E-2</v>
      </c>
      <c r="CK47" s="1">
        <v>-4.1360698238785548E-3</v>
      </c>
      <c r="CL47" s="1">
        <v>1.764981290385307E-2</v>
      </c>
      <c r="CM47" s="1">
        <v>-1.0435417692353739E-2</v>
      </c>
      <c r="CN47" s="1">
        <v>8.0284446261642897E-3</v>
      </c>
      <c r="CO47" s="1">
        <v>7.2369311797416264E-4</v>
      </c>
      <c r="CP47" s="1">
        <v>-5.5458253048491848E-3</v>
      </c>
      <c r="CQ47" s="1">
        <v>1.5222014573604351E-3</v>
      </c>
      <c r="CR47" s="1">
        <v>3.5133746342635858E-3</v>
      </c>
      <c r="CS47" s="1">
        <v>8.0260136663434095E-4</v>
      </c>
      <c r="CT47" s="1">
        <v>-1.3727993401085735E-2</v>
      </c>
      <c r="CU47" s="1">
        <v>-6.4232418928956078E-3</v>
      </c>
      <c r="CV47" s="1">
        <v>-5.0923946605851492E-3</v>
      </c>
      <c r="CW47" s="1">
        <v>-1.5372347007226728E-4</v>
      </c>
      <c r="CX47" s="1">
        <v>-2.6772355398995903E-3</v>
      </c>
      <c r="CY47" s="1">
        <v>3.8899033190422233E-3</v>
      </c>
      <c r="CZ47" s="1">
        <v>3.682623273543309E-3</v>
      </c>
      <c r="DA47" s="1">
        <v>3.0222973289506239E-3</v>
      </c>
      <c r="DB47" s="1">
        <v>-6.037287355332363E-3</v>
      </c>
      <c r="DC47" s="1">
        <v>4.9840258053721886E-3</v>
      </c>
      <c r="DD47" s="1">
        <v>4.3531445612610825E-3</v>
      </c>
      <c r="DE47" s="1">
        <v>1.6616206509883352E-3</v>
      </c>
      <c r="DF47" s="1">
        <v>-3.3755928907114457E-3</v>
      </c>
      <c r="DG47" s="1">
        <v>1.0011415842500093E-2</v>
      </c>
      <c r="DH47" s="1">
        <v>-4.9525907217870119E-3</v>
      </c>
      <c r="DI47" s="1">
        <v>-9.6254772110080655E-3</v>
      </c>
      <c r="DJ47" s="1">
        <v>5.2796399523158677E-3</v>
      </c>
      <c r="DK47" s="1">
        <v>2.2237889895643514E-3</v>
      </c>
      <c r="DL47" s="1">
        <v>1.4467211688267367E-2</v>
      </c>
      <c r="DM47" s="1">
        <v>1.7730342696517784E-2</v>
      </c>
      <c r="DN47" s="1">
        <v>7.8458880811213549E-4</v>
      </c>
      <c r="DO47" s="1">
        <v>-9.2509548154042082E-3</v>
      </c>
      <c r="DP47" s="1">
        <v>-2.1789991661050875E-2</v>
      </c>
      <c r="DQ47" s="1">
        <v>2.6720829730095458E-2</v>
      </c>
      <c r="DR47" s="1">
        <v>8.7100133106712135E-3</v>
      </c>
      <c r="DS47" s="1">
        <v>2.1154360404225941E-3</v>
      </c>
      <c r="DT47" s="1">
        <v>2.9630231828172149E-3</v>
      </c>
      <c r="DU47" s="1">
        <v>8.5525815585211357E-3</v>
      </c>
      <c r="DV47" s="1">
        <v>1.4547253506596719E-3</v>
      </c>
      <c r="DW47" s="1">
        <v>-9.280399515885801E-3</v>
      </c>
      <c r="DX47" s="1">
        <v>-1.4879781396161612E-2</v>
      </c>
      <c r="DY47" s="1">
        <v>-2.5574504487984318E-3</v>
      </c>
      <c r="DZ47" s="1">
        <v>-1.0315632601252581E-2</v>
      </c>
      <c r="EA47" s="1">
        <v>8.6511239097080417E-3</v>
      </c>
      <c r="EB47" s="1">
        <v>-1.4505259000557762E-2</v>
      </c>
      <c r="EC47" s="1">
        <v>4.1953280639407675E-3</v>
      </c>
      <c r="ED47" s="1">
        <v>-2.8375143078514894E-2</v>
      </c>
      <c r="EE47" s="1">
        <v>1.2209869064902151E-2</v>
      </c>
      <c r="EF47" s="1">
        <v>-1.2967516467918647E-2</v>
      </c>
      <c r="EG47" s="1">
        <v>-9.5665878100449006E-3</v>
      </c>
      <c r="EH47" s="1">
        <v>1.1736804318111374E-2</v>
      </c>
      <c r="EI47" s="1">
        <v>-3.4148481891479038E-3</v>
      </c>
      <c r="EJ47" s="1">
        <v>-1.3263130614862326E-2</v>
      </c>
      <c r="EK47" s="1">
        <v>-1.0581802047714667E-2</v>
      </c>
      <c r="EL47" s="1">
        <v>-1.2560479169695798E-3</v>
      </c>
      <c r="EM47" s="1">
        <v>8.887848655688535E-3</v>
      </c>
      <c r="EN47" s="1">
        <v>5.8614423934186116E-3</v>
      </c>
      <c r="EO47" s="1">
        <v>3.682623273543309E-3</v>
      </c>
      <c r="EP47" s="1">
        <v>1.8492665939604941E-3</v>
      </c>
      <c r="EQ47" s="1">
        <v>4.9545811048905958E-3</v>
      </c>
      <c r="ER47" s="1">
        <v>9.0751098534904567E-3</v>
      </c>
      <c r="ES47" s="1">
        <v>1.2505483211845816E-2</v>
      </c>
      <c r="ET47" s="1">
        <v>-2.1334645050160167E-3</v>
      </c>
      <c r="EU47" s="1">
        <v>-7.2397627908040996E-3</v>
      </c>
      <c r="EV47" s="10">
        <v>-1.0847971494176753E-2</v>
      </c>
    </row>
    <row r="48" spans="1:152" x14ac:dyDescent="0.25">
      <c r="A48" s="21">
        <f t="shared" ca="1" si="0"/>
        <v>3.3751951002008021E-2</v>
      </c>
      <c r="B48" s="5">
        <v>47</v>
      </c>
      <c r="C48" s="9">
        <v>2.3346697965786992E-2</v>
      </c>
      <c r="D48" s="1">
        <v>7.0919366470802297E-3</v>
      </c>
      <c r="E48" s="1">
        <v>1.5116099079555856E-2</v>
      </c>
      <c r="F48" s="1">
        <v>1.219134493831299E-2</v>
      </c>
      <c r="G48" s="1">
        <v>2.7358779182024812E-2</v>
      </c>
      <c r="H48" s="1">
        <v>2.9674243449381132E-2</v>
      </c>
      <c r="I48" s="1">
        <v>1.9639030665096605E-2</v>
      </c>
      <c r="J48" s="1">
        <v>2.0421943824544125E-2</v>
      </c>
      <c r="K48" s="1">
        <v>6.3418366558272571E-3</v>
      </c>
      <c r="L48" s="1">
        <v>1.3517921635257973E-2</v>
      </c>
      <c r="M48" s="1">
        <v>2.8652542710775261E-2</v>
      </c>
      <c r="N48" s="1">
        <v>2.1509270899539079E-2</v>
      </c>
      <c r="O48" s="1">
        <v>1.0593167494015107E-2</v>
      </c>
      <c r="P48" s="1">
        <v>1.3311485181502478E-2</v>
      </c>
      <c r="Q48" s="1">
        <v>3.6883141597006397E-2</v>
      </c>
      <c r="R48" s="1">
        <v>4.5385341230590417E-2</v>
      </c>
      <c r="S48" s="1">
        <v>2.9674243449381132E-2</v>
      </c>
      <c r="T48" s="1">
        <v>2.0389130656349577E-2</v>
      </c>
      <c r="U48" s="1">
        <v>2.7532402467585759E-2</v>
      </c>
      <c r="V48" s="1">
        <v>3.0794383692570607E-2</v>
      </c>
      <c r="W48" s="1">
        <v>1.8247289674554232E-2</v>
      </c>
      <c r="X48" s="1">
        <v>2.4368398704392863E-2</v>
      </c>
      <c r="Y48" s="1">
        <v>2.9533433332014705E-2</v>
      </c>
      <c r="Z48" s="1">
        <v>7.5371606799940899E-3</v>
      </c>
      <c r="AA48" s="1">
        <v>2.1509270899539079E-2</v>
      </c>
      <c r="AB48" s="1">
        <v>6.5482731095827529E-3</v>
      </c>
      <c r="AC48" s="1">
        <v>1.450680920566931E-2</v>
      </c>
      <c r="AD48" s="1">
        <v>2.2803034428289515E-2</v>
      </c>
      <c r="AE48" s="1">
        <v>1.9334616749549172E-2</v>
      </c>
      <c r="AF48" s="1">
        <v>1.5116099079555856E-2</v>
      </c>
      <c r="AG48" s="1">
        <v>1.110401786331805E-2</v>
      </c>
      <c r="AH48" s="1">
        <v>1.2332155055679417E-2</v>
      </c>
      <c r="AI48" s="1">
        <v>4.6571107810168974E-2</v>
      </c>
      <c r="AJ48" s="1">
        <v>4.54509675669795E-2</v>
      </c>
      <c r="AK48" s="1">
        <v>1.0560354325820573E-2</v>
      </c>
      <c r="AL48" s="1">
        <v>1.3485108467063439E-2</v>
      </c>
      <c r="AM48" s="1">
        <v>2.1172043815797098E-2</v>
      </c>
      <c r="AN48" s="1">
        <v>3.0860010028959689E-2</v>
      </c>
      <c r="AO48" s="1">
        <v>9.8102543345676002E-3</v>
      </c>
      <c r="AP48" s="1">
        <v>1.9878280287046649E-2</v>
      </c>
      <c r="AQ48" s="1">
        <v>2.0932794193847054E-2</v>
      </c>
      <c r="AR48" s="1">
        <v>-1.7969900263549686E-2</v>
      </c>
      <c r="AS48" s="1">
        <v>1.6747089692048286E-2</v>
      </c>
      <c r="AT48" s="1">
        <v>1.2060092265534852E-2</v>
      </c>
      <c r="AU48" s="1">
        <v>2.7836816383133206E-2</v>
      </c>
      <c r="AV48" s="1">
        <v>4.6780328751402991E-3</v>
      </c>
      <c r="AW48" s="1">
        <v>3.3751951002008021E-2</v>
      </c>
      <c r="AX48" s="1">
        <v>1.5659762617053333E-2</v>
      </c>
      <c r="AY48" s="1">
        <v>2.9196206248272738E-2</v>
      </c>
      <c r="AZ48" s="1">
        <v>1.6953526145803782E-2</v>
      </c>
      <c r="BA48" s="1">
        <v>6.9410161706268611E-3</v>
      </c>
      <c r="BB48" s="1">
        <v>7.2454300861742871E-3</v>
      </c>
      <c r="BC48" s="1">
        <v>1.0586947199465735E-3</v>
      </c>
      <c r="BD48" s="1">
        <v>-1.3162222566136715E-2</v>
      </c>
      <c r="BE48" s="1">
        <v>-7.1719041662845484E-3</v>
      </c>
      <c r="BF48" s="1">
        <v>3.0925387525700468E-3</v>
      </c>
      <c r="BG48" s="1">
        <v>8.2999439929747135E-3</v>
      </c>
      <c r="BH48" s="1">
        <v>2.4408782659006839E-3</v>
      </c>
      <c r="BI48" s="1">
        <v>1.6679845938331328E-3</v>
      </c>
      <c r="BJ48" s="1">
        <v>-6.1512854812032641E-4</v>
      </c>
      <c r="BK48" s="1">
        <v>-1.1976455986558165E-2</v>
      </c>
      <c r="BL48" s="1">
        <v>3.0269124161809713E-3</v>
      </c>
      <c r="BM48" s="1">
        <v>-1.047625600405222E-2</v>
      </c>
      <c r="BN48" s="1">
        <v>1.4287349718831027E-3</v>
      </c>
      <c r="BO48" s="1">
        <v>7.1046199688078668E-3</v>
      </c>
      <c r="BP48" s="1">
        <v>5.1035891043789347E-3</v>
      </c>
      <c r="BQ48" s="1">
        <v>4.6579030286734019E-3</v>
      </c>
      <c r="BR48" s="1">
        <v>7.9531594646444423E-3</v>
      </c>
      <c r="BS48" s="1">
        <v>-2.6351419626234183E-2</v>
      </c>
      <c r="BT48" s="1">
        <v>-8.5391612727870464E-4</v>
      </c>
      <c r="BU48" s="1">
        <v>1.091045845349449E-3</v>
      </c>
      <c r="BV48" s="1">
        <v>9.1788460258016014E-4</v>
      </c>
      <c r="BW48" s="1">
        <v>-1.6489830127510631E-2</v>
      </c>
      <c r="BX48" s="1">
        <v>3.8754519120175607E-3</v>
      </c>
      <c r="BY48" s="1">
        <v>2.7553116688280727E-3</v>
      </c>
      <c r="BZ48" s="1">
        <v>2.1788349631360754E-3</v>
      </c>
      <c r="CA48" s="1">
        <v>-5.8453274693395646E-3</v>
      </c>
      <c r="CB48" s="1">
        <v>-7.237530502673617E-3</v>
      </c>
      <c r="CC48" s="1">
        <v>-9.8516880005683483E-4</v>
      </c>
      <c r="CD48" s="1">
        <v>5.0284053234015691E-3</v>
      </c>
      <c r="CE48" s="1">
        <v>-3.7786702685215709E-3</v>
      </c>
      <c r="CF48" s="1">
        <v>-8.2110295908416342E-4</v>
      </c>
      <c r="CG48" s="1">
        <v>2.0380248457696343E-3</v>
      </c>
      <c r="CH48" s="1">
        <v>-1.0879571466974929E-2</v>
      </c>
      <c r="CI48" s="1">
        <v>5.7452301036683556E-3</v>
      </c>
      <c r="CJ48" s="1">
        <v>1.3399352284207473E-2</v>
      </c>
      <c r="CK48" s="1">
        <v>2.1460217949415272E-3</v>
      </c>
      <c r="CL48" s="1">
        <v>-1.7511530866116509E-2</v>
      </c>
      <c r="CM48" s="1">
        <v>1.057303764754821E-2</v>
      </c>
      <c r="CN48" s="1">
        <v>-6.2253872086560288E-3</v>
      </c>
      <c r="CO48" s="1">
        <v>2.0059777952171481E-4</v>
      </c>
      <c r="CP48" s="1">
        <v>4.8971526506234528E-3</v>
      </c>
      <c r="CQ48" s="1">
        <v>-1.4303928329707088E-3</v>
      </c>
      <c r="CR48" s="1">
        <v>-1.5712029503371361E-3</v>
      </c>
      <c r="CS48" s="1">
        <v>1.6778461132718053E-4</v>
      </c>
      <c r="CT48" s="1">
        <v>1.2986941419488134E-2</v>
      </c>
      <c r="CU48" s="1">
        <v>6.5609564313103899E-3</v>
      </c>
      <c r="CV48" s="1">
        <v>3.8426387438230264E-3</v>
      </c>
      <c r="CW48" s="1">
        <v>1.8644015602086658E-3</v>
      </c>
      <c r="CX48" s="1">
        <v>3.0925387525700468E-3</v>
      </c>
      <c r="CY48" s="1">
        <v>-1.1460764260468326E-3</v>
      </c>
      <c r="CZ48" s="1">
        <v>-1.4928609543771038E-3</v>
      </c>
      <c r="DA48" s="1">
        <v>-4.070368524498047E-3</v>
      </c>
      <c r="DB48" s="1">
        <v>5.6832240250536126E-3</v>
      </c>
      <c r="DC48" s="1">
        <v>-3.7659546089506141E-3</v>
      </c>
      <c r="DD48" s="1">
        <v>-6.7886862119854174E-3</v>
      </c>
      <c r="DE48" s="1">
        <v>2.3784101444942821E-3</v>
      </c>
      <c r="DF48" s="1">
        <v>2.4658865007887165E-4</v>
      </c>
      <c r="DG48" s="1">
        <v>-1.0365100839897654E-2</v>
      </c>
      <c r="DH48" s="1">
        <v>4.3662047726969189E-3</v>
      </c>
      <c r="DI48" s="1">
        <v>9.0860153674048871E-3</v>
      </c>
      <c r="DJ48" s="1">
        <v>-4.7548421793619511E-3</v>
      </c>
      <c r="DK48" s="1">
        <v>-2.4393779120056303E-3</v>
      </c>
      <c r="DL48" s="1">
        <v>-1.0843600083797728E-2</v>
      </c>
      <c r="DM48" s="1">
        <v>-1.2812279822823784E-2</v>
      </c>
      <c r="DN48" s="1">
        <v>7.5697697659014851E-4</v>
      </c>
      <c r="DO48" s="1">
        <v>8.0643146287990089E-3</v>
      </c>
      <c r="DP48" s="1">
        <v>1.7457424371002436E-2</v>
      </c>
      <c r="DQ48" s="1">
        <v>-2.7121155083319061E-2</v>
      </c>
      <c r="DR48" s="1">
        <v>-8.0920071853241571E-3</v>
      </c>
      <c r="DS48" s="1">
        <v>-1.961340710897222E-3</v>
      </c>
      <c r="DT48" s="1">
        <v>1.0531648992077869E-4</v>
      </c>
      <c r="DU48" s="1">
        <v>-1.1311617797526173E-2</v>
      </c>
      <c r="DV48" s="1">
        <v>-1.2536113324270737E-3</v>
      </c>
      <c r="DW48" s="1">
        <v>8.509538661712869E-3</v>
      </c>
      <c r="DX48" s="1">
        <v>1.1195505223797371E-2</v>
      </c>
      <c r="DY48" s="1">
        <v>2.7584698838107463E-3</v>
      </c>
      <c r="DZ48" s="1">
        <v>1.0238968778788916E-2</v>
      </c>
      <c r="EA48" s="1">
        <v>-7.2015591194964229E-3</v>
      </c>
      <c r="EB48" s="1">
        <v>1.0173804485191493E-2</v>
      </c>
      <c r="EC48" s="1">
        <v>-6.7230598755963489E-3</v>
      </c>
      <c r="ED48" s="1">
        <v>2.2285231914882297E-2</v>
      </c>
      <c r="EE48" s="1">
        <v>-1.015912642893383E-2</v>
      </c>
      <c r="EF48" s="1">
        <v>1.1087508274625478E-2</v>
      </c>
      <c r="EG48" s="1">
        <v>8.195567301577153E-3</v>
      </c>
      <c r="EH48" s="1">
        <v>-1.3247484368357688E-2</v>
      </c>
      <c r="EI48" s="1">
        <v>5.2799085621309111E-3</v>
      </c>
      <c r="EJ48" s="1">
        <v>1.2076395845036815E-2</v>
      </c>
      <c r="EK48" s="1">
        <v>1.0782632316286379E-2</v>
      </c>
      <c r="EL48" s="1">
        <v>4.8537622923722906E-4</v>
      </c>
      <c r="EM48" s="1">
        <v>-7.2999986240800258E-3</v>
      </c>
      <c r="EN48" s="1">
        <v>-5.4297583896375651E-3</v>
      </c>
      <c r="EO48" s="1">
        <v>-1.4928609543771038E-3</v>
      </c>
      <c r="EP48" s="1">
        <v>-1.4176771733997312E-3</v>
      </c>
      <c r="EQ48" s="1">
        <v>-3.32073057603674E-3</v>
      </c>
      <c r="ER48" s="1">
        <v>-7.8108489933829475E-3</v>
      </c>
      <c r="ES48" s="1">
        <v>-1.114801399934516E-2</v>
      </c>
      <c r="ET48" s="1">
        <v>2.1491800099242009E-3</v>
      </c>
      <c r="EU48" s="1">
        <v>8.7811394090657885E-3</v>
      </c>
      <c r="EV48" s="10">
        <v>1.1326295853783842E-2</v>
      </c>
    </row>
    <row r="49" spans="1:152" x14ac:dyDescent="0.25">
      <c r="A49" s="21">
        <f t="shared" ca="1" si="0"/>
        <v>2.5067087630521016E-2</v>
      </c>
      <c r="B49" s="5">
        <v>48</v>
      </c>
      <c r="C49" s="9">
        <v>1.8263054120606057E-2</v>
      </c>
      <c r="D49" s="1">
        <v>2.4282170095739037E-2</v>
      </c>
      <c r="E49" s="1">
        <v>2.4226939229248599E-2</v>
      </c>
      <c r="F49" s="1">
        <v>2.5934851465038648E-2</v>
      </c>
      <c r="G49" s="1">
        <v>1.8235438687360835E-2</v>
      </c>
      <c r="H49" s="1">
        <v>1.3673364106307056E-2</v>
      </c>
      <c r="I49" s="1">
        <v>2.4032465225280138E-2</v>
      </c>
      <c r="J49" s="1">
        <v>1.99709663563961E-2</v>
      </c>
      <c r="K49" s="1">
        <v>2.9350675936618734E-2</v>
      </c>
      <c r="L49" s="1">
        <v>2.2713500997427024E-2</v>
      </c>
      <c r="M49" s="1">
        <v>1.4007081247753548E-2</v>
      </c>
      <c r="N49" s="1">
        <v>2.1651263158940927E-2</v>
      </c>
      <c r="O49" s="1">
        <v>2.4421413233217074E-2</v>
      </c>
      <c r="P49" s="1">
        <v>2.8622155239579138E-2</v>
      </c>
      <c r="Q49" s="1">
        <v>8.0431961391110064E-3</v>
      </c>
      <c r="R49" s="1">
        <v>6.8140997299016501E-3</v>
      </c>
      <c r="S49" s="1">
        <v>1.3673364106307056E-2</v>
      </c>
      <c r="T49" s="1">
        <v>1.8963959384400441E-2</v>
      </c>
      <c r="U49" s="1">
        <v>1.1319777473213066E-2</v>
      </c>
      <c r="V49" s="1">
        <v>1.6360667880847547E-2</v>
      </c>
      <c r="W49" s="1">
        <v>1.6610372751306446E-2</v>
      </c>
      <c r="X49" s="1">
        <v>1.7929336979159556E-2</v>
      </c>
      <c r="Y49" s="1">
        <v>2.1596032292450489E-2</v>
      </c>
      <c r="Z49" s="1">
        <v>2.2101297581024471E-2</v>
      </c>
      <c r="AA49" s="1">
        <v>2.1651263158940927E-2</v>
      </c>
      <c r="AB49" s="1">
        <v>2.3442021694466627E-2</v>
      </c>
      <c r="AC49" s="1">
        <v>2.1372776883984868E-2</v>
      </c>
      <c r="AD49" s="1">
        <v>1.742290571933364E-2</v>
      </c>
      <c r="AE49" s="1">
        <v>1.8290669553851273E-2</v>
      </c>
      <c r="AF49" s="1">
        <v>2.4226939229248599E-2</v>
      </c>
      <c r="AG49" s="1">
        <v>2.4254554662493821E-2</v>
      </c>
      <c r="AH49" s="1">
        <v>1.8012183278895214E-2</v>
      </c>
      <c r="AI49" s="1">
        <v>1.1515417448433469E-2</v>
      </c>
      <c r="AJ49" s="1">
        <v>8.8281136738929782E-3</v>
      </c>
      <c r="AK49" s="1">
        <v>2.3414406261221404E-2</v>
      </c>
      <c r="AL49" s="1">
        <v>2.1706494025431362E-2</v>
      </c>
      <c r="AM49" s="1">
        <v>1.4902460515516403E-2</v>
      </c>
      <c r="AN49" s="1">
        <v>1.8374681824838861E-2</v>
      </c>
      <c r="AO49" s="1">
        <v>2.8482912102101101E-2</v>
      </c>
      <c r="AP49" s="1">
        <v>1.913081795512369E-2</v>
      </c>
      <c r="AQ49" s="1">
        <v>1.9804107785672851E-2</v>
      </c>
      <c r="AR49" s="1">
        <v>3.4418015806246496E-2</v>
      </c>
      <c r="AS49" s="1">
        <v>2.6747384433065836E-2</v>
      </c>
      <c r="AT49" s="1">
        <v>2.1906823577055999E-2</v>
      </c>
      <c r="AU49" s="1">
        <v>1.7061573144641927E-2</v>
      </c>
      <c r="AV49" s="1">
        <v>2.5823223760805838E-2</v>
      </c>
      <c r="AW49" s="1">
        <v>1.5659762617053163E-2</v>
      </c>
      <c r="AX49" s="1">
        <v>2.5067087630521016E-2</v>
      </c>
      <c r="AY49" s="1">
        <v>1.4847229649025965E-2</v>
      </c>
      <c r="AZ49" s="1">
        <v>2.0838730190913732E-2</v>
      </c>
      <c r="BA49" s="1">
        <v>-1.2151893582756201E-2</v>
      </c>
      <c r="BB49" s="1">
        <v>-6.4100979113273435E-3</v>
      </c>
      <c r="BC49" s="1">
        <v>-9.7430760831717748E-3</v>
      </c>
      <c r="BD49" s="1">
        <v>7.5593016831943007E-3</v>
      </c>
      <c r="BE49" s="1">
        <v>-3.7791909745292229E-3</v>
      </c>
      <c r="BF49" s="1">
        <v>1.5401857080613139E-3</v>
      </c>
      <c r="BG49" s="1">
        <v>-5.7368080807781718E-3</v>
      </c>
      <c r="BH49" s="1">
        <v>9.629712464927994E-3</v>
      </c>
      <c r="BI49" s="1">
        <v>-6.8889137379080298E-3</v>
      </c>
      <c r="BJ49" s="1">
        <v>7.3095968127353875E-3</v>
      </c>
      <c r="BK49" s="1">
        <v>1.2260619401726111E-2</v>
      </c>
      <c r="BL49" s="1">
        <v>-4.7382823593001416E-4</v>
      </c>
      <c r="BM49" s="1">
        <v>2.1236077199667178E-3</v>
      </c>
      <c r="BN49" s="1">
        <v>-1.9872664677515854E-3</v>
      </c>
      <c r="BO49" s="1">
        <v>1.5125702748160982E-3</v>
      </c>
      <c r="BP49" s="1">
        <v>-8.7636845444213317E-3</v>
      </c>
      <c r="BQ49" s="1">
        <v>2.0466169678872298E-3</v>
      </c>
      <c r="BR49" s="1">
        <v>-5.3491465007661498E-4</v>
      </c>
      <c r="BS49" s="1">
        <v>3.947837236393803E-3</v>
      </c>
      <c r="BT49" s="1">
        <v>3.5818150852978603E-3</v>
      </c>
      <c r="BU49" s="1">
        <v>-1.0664011358213141E-4</v>
      </c>
      <c r="BV49" s="1">
        <v>-1.8204078970283331E-3</v>
      </c>
      <c r="BW49" s="1">
        <v>5.0439733156849853E-4</v>
      </c>
      <c r="BX49" s="1">
        <v>-2.521313160822717E-3</v>
      </c>
      <c r="BY49" s="1">
        <v>-5.2086169353632097E-3</v>
      </c>
      <c r="BZ49" s="1">
        <v>-7.0557723086312821E-3</v>
      </c>
      <c r="CA49" s="1">
        <v>-7.0005414421408438E-3</v>
      </c>
      <c r="CB49" s="1">
        <v>-5.793204918520551E-3</v>
      </c>
      <c r="CC49" s="1">
        <v>-4.4621280268479155E-4</v>
      </c>
      <c r="CD49" s="1">
        <v>1.1729975857134277E-3</v>
      </c>
      <c r="CE49" s="1">
        <v>5.2897273210879029E-3</v>
      </c>
      <c r="CF49" s="1">
        <v>4.58882205729352E-3</v>
      </c>
      <c r="CG49" s="1">
        <v>8.6689587751214922E-4</v>
      </c>
      <c r="CH49" s="1">
        <v>1.9902201301448541E-3</v>
      </c>
      <c r="CI49" s="1">
        <v>3.7269137704320499E-3</v>
      </c>
      <c r="CJ49" s="1">
        <v>-4.0841267114785675E-3</v>
      </c>
      <c r="CK49" s="1">
        <v>-8.0627792806269478E-3</v>
      </c>
      <c r="CL49" s="1">
        <v>8.3811447301499961E-4</v>
      </c>
      <c r="CM49" s="1">
        <v>6.4480644029846559E-4</v>
      </c>
      <c r="CN49" s="1">
        <v>5.8237740141590354E-3</v>
      </c>
      <c r="CO49" s="1">
        <v>4.2551049158470189E-3</v>
      </c>
      <c r="CP49" s="1">
        <v>-2.8550303022692181E-3</v>
      </c>
      <c r="CQ49" s="1">
        <v>1.7346597120297819E-3</v>
      </c>
      <c r="CR49" s="1">
        <v>9.6573278981732166E-3</v>
      </c>
      <c r="CS49" s="1">
        <v>3.2480979438513601E-3</v>
      </c>
      <c r="CT49" s="1">
        <v>-8.9624722476833521E-4</v>
      </c>
      <c r="CU49" s="1">
        <v>6.7242187354368127E-4</v>
      </c>
      <c r="CV49" s="1">
        <v>-3.5283201328183827E-3</v>
      </c>
      <c r="CW49" s="1">
        <v>7.7825570916599252E-3</v>
      </c>
      <c r="CX49" s="1">
        <v>1.5401857080613139E-3</v>
      </c>
      <c r="CY49" s="1">
        <v>2.9130082455226455E-3</v>
      </c>
      <c r="CZ49" s="1">
        <v>8.1149016762242024E-3</v>
      </c>
      <c r="DA49" s="1">
        <v>-4.0085085162812895E-3</v>
      </c>
      <c r="DB49" s="1">
        <v>1.4777267370324962E-3</v>
      </c>
      <c r="DC49" s="1">
        <v>1.7332871551475667E-3</v>
      </c>
      <c r="DD49" s="1">
        <v>-8.2092505226433535E-3</v>
      </c>
      <c r="DE49" s="1">
        <v>1.6009954429122415E-2</v>
      </c>
      <c r="DF49" s="1">
        <v>-6.9237572756916319E-3</v>
      </c>
      <c r="DG49" s="1">
        <v>1.5881884700133693E-3</v>
      </c>
      <c r="DH49" s="1">
        <v>-7.2516188694819704E-3</v>
      </c>
      <c r="DI49" s="1">
        <v>-1.4040510414764645E-3</v>
      </c>
      <c r="DJ49" s="1">
        <v>3.0740112685897214E-3</v>
      </c>
      <c r="DK49" s="1">
        <v>-1.4880633124640524E-3</v>
      </c>
      <c r="DL49" s="1">
        <v>1.1391483010326262E-2</v>
      </c>
      <c r="DM49" s="1">
        <v>1.0751664160678485E-2</v>
      </c>
      <c r="DN49" s="1">
        <v>1.5388131511790901E-3</v>
      </c>
      <c r="DO49" s="1">
        <v>-1.0703339000299635E-3</v>
      </c>
      <c r="DP49" s="1">
        <v>-1.5290604336262443E-2</v>
      </c>
      <c r="DQ49" s="1">
        <v>-4.1765330582564826E-3</v>
      </c>
      <c r="DR49" s="1">
        <v>7.9698029910900067E-3</v>
      </c>
      <c r="DS49" s="1">
        <v>-2.661928855182974E-3</v>
      </c>
      <c r="DT49" s="1">
        <v>9.628339908045784E-3</v>
      </c>
      <c r="DU49" s="1">
        <v>-8.014776518674889E-3</v>
      </c>
      <c r="DV49" s="1">
        <v>3.213254406067758E-3</v>
      </c>
      <c r="DW49" s="1">
        <v>-3.2512064147445369E-3</v>
      </c>
      <c r="DX49" s="1">
        <v>-8.6869003779721198E-3</v>
      </c>
      <c r="DY49" s="1">
        <v>3.1856389728225389E-3</v>
      </c>
      <c r="DZ49" s="1">
        <v>2.2902597050596905E-3</v>
      </c>
      <c r="EA49" s="1">
        <v>3.6080579616608599E-3</v>
      </c>
      <c r="EB49" s="1">
        <v>-8.3531832365256187E-3</v>
      </c>
      <c r="EC49" s="1">
        <v>-6.1952365786520358E-3</v>
      </c>
      <c r="ED49" s="1">
        <v>-1.8372711666396042E-2</v>
      </c>
      <c r="EE49" s="1">
        <v>4.308963225455242E-3</v>
      </c>
      <c r="EF49" s="1">
        <v>2.4277478016698079E-4</v>
      </c>
      <c r="EG49" s="1">
        <v>2.9576939879526858E-3</v>
      </c>
      <c r="EH49" s="1">
        <v>-7.6475883963270097E-3</v>
      </c>
      <c r="EI49" s="1">
        <v>1.3443391472106291E-3</v>
      </c>
      <c r="EJ49" s="1">
        <v>-1.0979493332751861E-3</v>
      </c>
      <c r="EK49" s="1">
        <v>3.1304081063321006E-3</v>
      </c>
      <c r="EL49" s="1">
        <v>-3.195975548254102E-3</v>
      </c>
      <c r="EM49" s="1">
        <v>5.8703704567386952E-4</v>
      </c>
      <c r="EN49" s="1">
        <v>-1.7941650206653413E-3</v>
      </c>
      <c r="EO49" s="1">
        <v>8.1149016762242024E-3</v>
      </c>
      <c r="EP49" s="1">
        <v>-1.821780453910557E-3</v>
      </c>
      <c r="EQ49" s="1">
        <v>-4.4758535956700846E-4</v>
      </c>
      <c r="ER49" s="1">
        <v>7.5389561639711833E-4</v>
      </c>
      <c r="ES49" s="1">
        <v>5.6496873388974037E-3</v>
      </c>
      <c r="ET49" s="1">
        <v>3.3147662755880075E-4</v>
      </c>
      <c r="EU49" s="1">
        <v>1.4835822846886552E-3</v>
      </c>
      <c r="EV49" s="10">
        <v>3.9705565076045106E-3</v>
      </c>
    </row>
    <row r="50" spans="1:152" x14ac:dyDescent="0.25">
      <c r="A50" s="21">
        <f t="shared" ca="1" si="0"/>
        <v>2.8060402782934819E-2</v>
      </c>
      <c r="B50" s="5">
        <v>49</v>
      </c>
      <c r="C50" s="9">
        <v>2.3129682037946318E-2</v>
      </c>
      <c r="D50" s="1">
        <v>1.2132437082631627E-2</v>
      </c>
      <c r="E50" s="1">
        <v>1.529041528474475E-2</v>
      </c>
      <c r="F50" s="1">
        <v>1.2825054912250493E-2</v>
      </c>
      <c r="G50" s="1">
        <v>2.4708671139002887E-2</v>
      </c>
      <c r="H50" s="1">
        <v>2.7082191240499418E-2</v>
      </c>
      <c r="I50" s="1">
        <v>1.6158705796724175E-2</v>
      </c>
      <c r="J50" s="1">
        <v>2.0664321665452075E-2</v>
      </c>
      <c r="K50" s="1">
        <v>7.8943341672620057E-3</v>
      </c>
      <c r="L50" s="1">
        <v>1.6887485145259562E-2</v>
      </c>
      <c r="M50" s="1">
        <v>2.8503588418653671E-2</v>
      </c>
      <c r="N50" s="1">
        <v>1.9777950394014386E-2</v>
      </c>
      <c r="O50" s="1">
        <v>1.4422124772765305E-2</v>
      </c>
      <c r="P50" s="1">
        <v>1.220619659417109E-2</v>
      </c>
      <c r="Q50" s="1">
        <v>3.6342855171855246E-2</v>
      </c>
      <c r="R50" s="1">
        <v>3.8522621831532974E-2</v>
      </c>
      <c r="S50" s="1">
        <v>2.7082191240499418E-2</v>
      </c>
      <c r="T50" s="1">
        <v>2.0396808712093796E-2</v>
      </c>
      <c r="U50" s="1">
        <v>2.9122446736733067E-2</v>
      </c>
      <c r="V50" s="1">
        <v>2.6463332922420001E-2</v>
      </c>
      <c r="W50" s="1">
        <v>2.2437064208327452E-2</v>
      </c>
      <c r="X50" s="1">
        <v>2.1708284859792079E-2</v>
      </c>
      <c r="Y50" s="1">
        <v>2.293592859612751E-2</v>
      </c>
      <c r="Z50" s="1">
        <v>1.0886712586837932E-2</v>
      </c>
      <c r="AA50" s="1">
        <v>1.9777950394014386E-2</v>
      </c>
      <c r="AB50" s="1">
        <v>1.2575622718350464E-2</v>
      </c>
      <c r="AC50" s="1">
        <v>1.5198575013747023E-2</v>
      </c>
      <c r="AD50" s="1">
        <v>2.357286767366517E-2</v>
      </c>
      <c r="AE50" s="1">
        <v>2.1550692936889763E-2</v>
      </c>
      <c r="AF50" s="1">
        <v>1.529041528474475E-2</v>
      </c>
      <c r="AG50" s="1">
        <v>1.3711426183688182E-2</v>
      </c>
      <c r="AH50" s="1">
        <v>1.6971317556622401E-2</v>
      </c>
      <c r="AI50" s="1">
        <v>3.8438789420170108E-2</v>
      </c>
      <c r="AJ50" s="1">
        <v>3.9057647738249532E-2</v>
      </c>
      <c r="AK50" s="1">
        <v>1.4154611819407033E-2</v>
      </c>
      <c r="AL50" s="1">
        <v>1.6619972191901276E-2</v>
      </c>
      <c r="AM50" s="1">
        <v>2.4902424580821696E-2</v>
      </c>
      <c r="AN50" s="1">
        <v>2.6998358829136579E-2</v>
      </c>
      <c r="AO50" s="1">
        <v>9.9165089040374119E-3</v>
      </c>
      <c r="AP50" s="1">
        <v>2.1107507301170912E-2</v>
      </c>
      <c r="AQ50" s="1">
        <v>1.9953623076374959E-2</v>
      </c>
      <c r="AR50" s="1">
        <v>-6.5284019435241022E-3</v>
      </c>
      <c r="AS50" s="1">
        <v>1.3960858377588224E-2</v>
      </c>
      <c r="AT50" s="1">
        <v>1.1755003098817385E-2</v>
      </c>
      <c r="AU50" s="1">
        <v>2.3730459596567471E-2</v>
      </c>
      <c r="AV50" s="1">
        <v>8.9563781210602531E-3</v>
      </c>
      <c r="AW50" s="1">
        <v>2.9196206248272523E-2</v>
      </c>
      <c r="AX50" s="1">
        <v>1.4847229649025899E-2</v>
      </c>
      <c r="AY50" s="1">
        <v>2.8060402782934819E-2</v>
      </c>
      <c r="AZ50" s="1">
        <v>1.8642146928676669E-2</v>
      </c>
      <c r="BA50" s="1">
        <v>1.1388520271052076E-2</v>
      </c>
      <c r="BB50" s="1">
        <v>5.9965331308864944E-3</v>
      </c>
      <c r="BC50" s="1">
        <v>6.190286572705303E-3</v>
      </c>
      <c r="BD50" s="1">
        <v>-1.0725963569856688E-2</v>
      </c>
      <c r="BE50" s="1">
        <v>-1.6489801804962928E-3</v>
      </c>
      <c r="BF50" s="1">
        <v>2.7128138545801789E-4</v>
      </c>
      <c r="BG50" s="1">
        <v>4.8426489060905062E-3</v>
      </c>
      <c r="BH50" s="1">
        <v>-3.1642826698367599E-3</v>
      </c>
      <c r="BI50" s="1">
        <v>6.2821268437030023E-3</v>
      </c>
      <c r="BJ50" s="1">
        <v>-6.6996948557641114E-3</v>
      </c>
      <c r="BK50" s="1">
        <v>-1.0809795981219533E-2</v>
      </c>
      <c r="BL50" s="1">
        <v>-2.6374452125853265E-4</v>
      </c>
      <c r="BM50" s="1">
        <v>-2.3335901504802914E-3</v>
      </c>
      <c r="BN50" s="1">
        <v>1.3333253392562652E-3</v>
      </c>
      <c r="BO50" s="1">
        <v>1.8502704865145728E-3</v>
      </c>
      <c r="BP50" s="1">
        <v>8.0367886271201436E-3</v>
      </c>
      <c r="BQ50" s="1">
        <v>-1.5933014284150726E-3</v>
      </c>
      <c r="BR50" s="1">
        <v>6.8909122619590368E-3</v>
      </c>
      <c r="BS50" s="1">
        <v>-1.5111585508305228E-2</v>
      </c>
      <c r="BT50" s="1">
        <v>-7.7268180888198992E-4</v>
      </c>
      <c r="BU50" s="1">
        <v>-4.4180150252652942E-3</v>
      </c>
      <c r="BV50" s="1">
        <v>2.0440239283333814E-3</v>
      </c>
      <c r="BW50" s="1">
        <v>-8.6018756622601861E-3</v>
      </c>
      <c r="BX50" s="1">
        <v>4.7768972541859037E-3</v>
      </c>
      <c r="BY50" s="1">
        <v>5.3957555722653275E-3</v>
      </c>
      <c r="BZ50" s="1">
        <v>5.5714282546258861E-3</v>
      </c>
      <c r="CA50" s="1">
        <v>2.4134500525127625E-3</v>
      </c>
      <c r="CB50" s="1">
        <v>-2.1840060872128433E-3</v>
      </c>
      <c r="CC50" s="1">
        <v>-1.8427336223151014E-3</v>
      </c>
      <c r="CD50" s="1">
        <v>4.4255518894647933E-3</v>
      </c>
      <c r="CE50" s="1">
        <v>-3.2380421813762335E-3</v>
      </c>
      <c r="CF50" s="1">
        <v>-5.0516885552370772E-4</v>
      </c>
      <c r="CG50" s="1">
        <v>1.4251656102539853E-3</v>
      </c>
      <c r="CH50" s="1">
        <v>-8.6199564217184291E-3</v>
      </c>
      <c r="CI50" s="1">
        <v>-2.4796726998527474E-3</v>
      </c>
      <c r="CJ50" s="1">
        <v>5.5352667357093863E-3</v>
      </c>
      <c r="CK50" s="1">
        <v>5.3039153012676143E-3</v>
      </c>
      <c r="CL50" s="1">
        <v>-7.1804784841059469E-3</v>
      </c>
      <c r="CM50" s="1">
        <v>3.8724452232899789E-3</v>
      </c>
      <c r="CN50" s="1">
        <v>-6.6816140963058754E-3</v>
      </c>
      <c r="CO50" s="1">
        <v>-1.9265660336779469E-3</v>
      </c>
      <c r="CP50" s="1">
        <v>3.3555000760316714E-3</v>
      </c>
      <c r="CQ50" s="1">
        <v>-5.9700912652142085E-4</v>
      </c>
      <c r="CR50" s="1">
        <v>-4.7432717708933286E-3</v>
      </c>
      <c r="CS50" s="1">
        <v>-2.1940789870362257E-3</v>
      </c>
      <c r="CT50" s="1">
        <v>7.0485041848613525E-3</v>
      </c>
      <c r="CU50" s="1">
        <v>2.293456122233424E-3</v>
      </c>
      <c r="CV50" s="1">
        <v>4.5093843008276388E-3</v>
      </c>
      <c r="CW50" s="1">
        <v>-2.9886099874762047E-3</v>
      </c>
      <c r="CX50" s="1">
        <v>2.7128138545801789E-4</v>
      </c>
      <c r="CY50" s="1">
        <v>-7.6379045535231865E-3</v>
      </c>
      <c r="CZ50" s="1">
        <v>-5.5896411976546559E-3</v>
      </c>
      <c r="DA50" s="1">
        <v>7.7254962531145277E-4</v>
      </c>
      <c r="DB50" s="1">
        <v>3.4035097803428796E-3</v>
      </c>
      <c r="DC50" s="1">
        <v>-4.6194375148541286E-3</v>
      </c>
      <c r="DD50" s="1">
        <v>2.9884778039056675E-3</v>
      </c>
      <c r="DE50" s="1">
        <v>-8.1569147409700019E-3</v>
      </c>
      <c r="DF50" s="1">
        <v>7.8353661375313091E-3</v>
      </c>
      <c r="DG50" s="1">
        <v>-2.9124466238833538E-3</v>
      </c>
      <c r="DH50" s="1">
        <v>2.4172903782726241E-3</v>
      </c>
      <c r="DI50" s="1">
        <v>4.8906586104017352E-3</v>
      </c>
      <c r="DJ50" s="1">
        <v>-2.9305273833415899E-3</v>
      </c>
      <c r="DK50" s="1">
        <v>-5.5700728184508025E-4</v>
      </c>
      <c r="DL50" s="1">
        <v>-1.2810049632776835E-2</v>
      </c>
      <c r="DM50" s="1">
        <v>-1.7231833090141896E-2</v>
      </c>
      <c r="DN50" s="1">
        <v>-3.7511470028746691E-3</v>
      </c>
      <c r="DO50" s="1">
        <v>6.3120557885559744E-3</v>
      </c>
      <c r="DP50" s="1">
        <v>1.6876188007975211E-2</v>
      </c>
      <c r="DQ50" s="1">
        <v>-1.0122782159182137E-2</v>
      </c>
      <c r="DR50" s="1">
        <v>-3.882650306683888E-3</v>
      </c>
      <c r="DS50" s="1">
        <v>-1.5352188242804543E-3</v>
      </c>
      <c r="DT50" s="1">
        <v>-7.1867110581694815E-3</v>
      </c>
      <c r="DU50" s="1">
        <v>2.1201872919262288E-3</v>
      </c>
      <c r="DV50" s="1">
        <v>-6.4083969320791884E-4</v>
      </c>
      <c r="DW50" s="1">
        <v>5.0663312927622869E-3</v>
      </c>
      <c r="DX50" s="1">
        <v>1.345870471213869E-2</v>
      </c>
      <c r="DY50" s="1">
        <v>9.3814940784863604E-4</v>
      </c>
      <c r="DZ50" s="1">
        <v>4.5393132456805971E-3</v>
      </c>
      <c r="EA50" s="1">
        <v>-6.374099298271256E-3</v>
      </c>
      <c r="EB50" s="1">
        <v>1.4880101890292922E-2</v>
      </c>
      <c r="EC50" s="1">
        <v>3.523503710622225E-3</v>
      </c>
      <c r="ED50" s="1">
        <v>2.3228305931117937E-2</v>
      </c>
      <c r="EE50" s="1">
        <v>-9.1069726241237783E-3</v>
      </c>
      <c r="EF50" s="1">
        <v>9.5799550211250473E-3</v>
      </c>
      <c r="EG50" s="1">
        <v>7.3821076019890894E-3</v>
      </c>
      <c r="EH50" s="1">
        <v>-2.0340832120805258E-3</v>
      </c>
      <c r="EI50" s="1">
        <v>-2.8828564908952581E-3</v>
      </c>
      <c r="EJ50" s="1">
        <v>7.8910448896125432E-3</v>
      </c>
      <c r="EK50" s="1">
        <v>4.0961276099617597E-3</v>
      </c>
      <c r="EL50" s="1">
        <v>1.9083530906491772E-3</v>
      </c>
      <c r="EM50" s="1">
        <v>-7.1766381583460853E-3</v>
      </c>
      <c r="EN50" s="1">
        <v>-3.5573935610558605E-3</v>
      </c>
      <c r="EO50" s="1">
        <v>-5.5896411976546559E-3</v>
      </c>
      <c r="EP50" s="1">
        <v>-1.9784044599993056E-3</v>
      </c>
      <c r="EQ50" s="1">
        <v>-5.8651620106478092E-3</v>
      </c>
      <c r="ER50" s="1">
        <v>-6.4659395692689553E-3</v>
      </c>
      <c r="ES50" s="1">
        <v>-7.4180624926112534E-3</v>
      </c>
      <c r="ET50" s="1">
        <v>8.4630913685092291E-4</v>
      </c>
      <c r="EU50" s="1">
        <v>-5.9316880076155931E-4</v>
      </c>
      <c r="EV50" s="10">
        <v>3.6529419742429223E-3</v>
      </c>
    </row>
    <row r="51" spans="1:152" x14ac:dyDescent="0.25">
      <c r="A51" s="21">
        <f t="shared" ca="1" si="0"/>
        <v>2.1354763755850693E-2</v>
      </c>
      <c r="B51" s="5">
        <v>50</v>
      </c>
      <c r="C51" s="9">
        <v>1.9814734146612875E-2</v>
      </c>
      <c r="D51" s="1">
        <v>2.3848529365358268E-2</v>
      </c>
      <c r="E51" s="1">
        <v>2.1206172582215386E-2</v>
      </c>
      <c r="F51" s="1">
        <v>2.1792466191183451E-2</v>
      </c>
      <c r="G51" s="1">
        <v>1.8493555755041434E-2</v>
      </c>
      <c r="H51" s="1">
        <v>1.6423733758642034E-2</v>
      </c>
      <c r="I51" s="1">
        <v>1.8592066409975745E-2</v>
      </c>
      <c r="J51" s="1">
        <v>2.040102775558094E-2</v>
      </c>
      <c r="K51" s="1">
        <v>2.2965053409119588E-2</v>
      </c>
      <c r="L51" s="1">
        <v>2.3233985145486961E-2</v>
      </c>
      <c r="M51" s="1">
        <v>1.9009589319978433E-2</v>
      </c>
      <c r="N51" s="1">
        <v>1.9666142972977571E-2</v>
      </c>
      <c r="O51" s="1">
        <v>2.3820278754455027E-2</v>
      </c>
      <c r="P51" s="1">
        <v>2.1983066797946593E-2</v>
      </c>
      <c r="Q51" s="1">
        <v>1.7618150884375912E-2</v>
      </c>
      <c r="R51" s="1">
        <v>1.2757380931198329E-2</v>
      </c>
      <c r="S51" s="1">
        <v>1.6423733758642034E-2</v>
      </c>
      <c r="T51" s="1">
        <v>1.9475542366214425E-2</v>
      </c>
      <c r="U51" s="1">
        <v>1.8818988713215294E-2</v>
      </c>
      <c r="V51" s="1">
        <v>1.6614334365405166E-2</v>
      </c>
      <c r="W51" s="1">
        <v>2.1870797320787689E-2</v>
      </c>
      <c r="X51" s="1">
        <v>1.7228878585276476E-2</v>
      </c>
      <c r="Y51" s="1">
        <v>1.7023786189834689E-2</v>
      </c>
      <c r="Z51" s="1">
        <v>2.0704630805957042E-2</v>
      </c>
      <c r="AA51" s="1">
        <v>1.9666142972977571E-2</v>
      </c>
      <c r="AB51" s="1">
        <v>2.4215971756659953E-2</v>
      </c>
      <c r="AC51" s="1">
        <v>1.9722644194784051E-2</v>
      </c>
      <c r="AD51" s="1">
        <v>2.0182176537914563E-2</v>
      </c>
      <c r="AE51" s="1">
        <v>2.1135912538184313E-2</v>
      </c>
      <c r="AF51" s="1">
        <v>2.1206172582215386E-2</v>
      </c>
      <c r="AG51" s="1">
        <v>2.2527350973786827E-2</v>
      </c>
      <c r="AH51" s="1">
        <v>2.11924137599908E-2</v>
      </c>
      <c r="AI51" s="1">
        <v>1.4798952316694487E-2</v>
      </c>
      <c r="AJ51" s="1">
        <v>1.460835170993135E-2</v>
      </c>
      <c r="AK51" s="1">
        <v>2.2894793365088515E-2</v>
      </c>
      <c r="AL51" s="1">
        <v>2.2308499756120446E-2</v>
      </c>
      <c r="AM51" s="1">
        <v>2.128450371181962E-2</v>
      </c>
      <c r="AN51" s="1">
        <v>1.8465305144138196E-2</v>
      </c>
      <c r="AO51" s="1">
        <v>2.2011317408849835E-2</v>
      </c>
      <c r="AP51" s="1">
        <v>2.0768470146882625E-2</v>
      </c>
      <c r="AQ51" s="1">
        <v>1.9108099974912744E-2</v>
      </c>
      <c r="AR51" s="1">
        <v>2.8715720021641349E-2</v>
      </c>
      <c r="AS51" s="1">
        <v>2.0103845408310332E-2</v>
      </c>
      <c r="AT51" s="1">
        <v>1.8090524633717405E-2</v>
      </c>
      <c r="AU51" s="1">
        <v>1.6275142585006723E-2</v>
      </c>
      <c r="AV51" s="1">
        <v>2.3141895193658137E-2</v>
      </c>
      <c r="AW51" s="1">
        <v>1.6953526145803616E-2</v>
      </c>
      <c r="AX51" s="1">
        <v>2.0838730190913698E-2</v>
      </c>
      <c r="AY51" s="1">
        <v>1.8642146928676745E-2</v>
      </c>
      <c r="AZ51" s="1">
        <v>2.1354763755850693E-2</v>
      </c>
      <c r="BA51" s="1">
        <v>-4.4247967520450945E-4</v>
      </c>
      <c r="BB51" s="1">
        <v>-2.9863258034130702E-3</v>
      </c>
      <c r="BC51" s="1">
        <v>-1.9537784663488378E-4</v>
      </c>
      <c r="BD51" s="1">
        <v>2.9687002380964136E-3</v>
      </c>
      <c r="BE51" s="1">
        <v>1.1960605889676235E-3</v>
      </c>
      <c r="BF51" s="1">
        <v>-1.065094980648976E-3</v>
      </c>
      <c r="BG51" s="1">
        <v>-4.6466959753829647E-3</v>
      </c>
      <c r="BH51" s="1">
        <v>8.2788523121187993E-4</v>
      </c>
      <c r="BI51" s="1">
        <v>1.2881505407964424E-3</v>
      </c>
      <c r="BJ51" s="1">
        <v>-2.2877627172861043E-3</v>
      </c>
      <c r="BK51" s="1">
        <v>5.0102716235925771E-3</v>
      </c>
      <c r="BL51" s="1">
        <v>-2.9160657593819972E-3</v>
      </c>
      <c r="BM51" s="1">
        <v>6.7772235360699373E-3</v>
      </c>
      <c r="BN51" s="1">
        <v>-8.8825319611043549E-4</v>
      </c>
      <c r="BO51" s="1">
        <v>-2.3862733722204241E-3</v>
      </c>
      <c r="BP51" s="1">
        <v>-5.9107084883981351E-4</v>
      </c>
      <c r="BQ51" s="1">
        <v>-4.0183929332870683E-3</v>
      </c>
      <c r="BR51" s="1">
        <v>1.2736587521177956E-3</v>
      </c>
      <c r="BS51" s="1">
        <v>5.8161494166810851E-3</v>
      </c>
      <c r="BT51" s="1">
        <v>2.1070541896554794E-3</v>
      </c>
      <c r="BU51" s="1">
        <v>-5.8411131011168408E-3</v>
      </c>
      <c r="BV51" s="1">
        <v>4.0467458455776227E-4</v>
      </c>
      <c r="BW51" s="1">
        <v>3.3223838071735068E-3</v>
      </c>
      <c r="BX51" s="1">
        <v>7.4386636495620863E-4</v>
      </c>
      <c r="BY51" s="1">
        <v>5.532657581930802E-4</v>
      </c>
      <c r="BZ51" s="1">
        <v>-4.777239871755351E-6</v>
      </c>
      <c r="CA51" s="1">
        <v>2.637579543271127E-3</v>
      </c>
      <c r="CB51" s="1">
        <v>-6.5491018976539771E-4</v>
      </c>
      <c r="CC51" s="1">
        <v>-1.594887367810563E-3</v>
      </c>
      <c r="CD51" s="1">
        <v>1.8599523610858676E-3</v>
      </c>
      <c r="CE51" s="1">
        <v>2.6933477986235514E-3</v>
      </c>
      <c r="CF51" s="1">
        <v>3.0325395790219978E-3</v>
      </c>
      <c r="CG51" s="1">
        <v>5.9527519132090458E-4</v>
      </c>
      <c r="CH51" s="1">
        <v>-2.6607147669503034E-5</v>
      </c>
      <c r="CI51" s="1">
        <v>-4.7532777158904339E-3</v>
      </c>
      <c r="CJ51" s="1">
        <v>-6.702759149557775E-3</v>
      </c>
      <c r="CK51" s="1">
        <v>-9.3026262923825986E-4</v>
      </c>
      <c r="CL51" s="1">
        <v>5.908239368509904E-3</v>
      </c>
      <c r="CM51" s="1">
        <v>-3.3400093724901773E-3</v>
      </c>
      <c r="CN51" s="1">
        <v>1.0612282375569073E-3</v>
      </c>
      <c r="CO51" s="1">
        <v>4.4668401768560052E-4</v>
      </c>
      <c r="CP51" s="1">
        <v>-1.8419891963801886E-3</v>
      </c>
      <c r="CQ51" s="1">
        <v>1.5490111915906577E-3</v>
      </c>
      <c r="CR51" s="1">
        <v>2.1490636227833176E-3</v>
      </c>
      <c r="CS51" s="1">
        <v>-4.7880137168091787E-4</v>
      </c>
      <c r="CT51" s="1">
        <v>-2.6333752007900359E-3</v>
      </c>
      <c r="CU51" s="1">
        <v>-2.0188309809187292E-3</v>
      </c>
      <c r="CV51" s="1">
        <v>-1.8161902441029588E-4</v>
      </c>
      <c r="CW51" s="1">
        <v>2.6984223314705002E-4</v>
      </c>
      <c r="CX51" s="1">
        <v>-1.065094980648976E-3</v>
      </c>
      <c r="CY51" s="1">
        <v>-5.7751824869166357E-3</v>
      </c>
      <c r="CZ51" s="1">
        <v>1.4517224058412451E-4</v>
      </c>
      <c r="DA51" s="1">
        <v>1.3823317658998961E-3</v>
      </c>
      <c r="DB51" s="1">
        <v>4.1410397695149613E-4</v>
      </c>
      <c r="DC51" s="1">
        <v>-1.1615143623086637E-3</v>
      </c>
      <c r="DD51" s="1">
        <v>3.2195437224083294E-3</v>
      </c>
      <c r="DE51" s="1">
        <v>-5.7595371979465328E-4</v>
      </c>
      <c r="DF51" s="1">
        <v>4.0885278899683627E-3</v>
      </c>
      <c r="DG51" s="1">
        <v>5.6988175432372608E-3</v>
      </c>
      <c r="DH51" s="1">
        <v>-5.3294089660107097E-3</v>
      </c>
      <c r="DI51" s="1">
        <v>-2.3906028020512782E-3</v>
      </c>
      <c r="DJ51" s="1">
        <v>2.3498265883942528E-3</v>
      </c>
      <c r="DK51" s="1">
        <v>2.8000459199483893E-4</v>
      </c>
      <c r="DL51" s="1">
        <v>1.3460100694235033E-3</v>
      </c>
      <c r="DM51" s="1">
        <v>-2.5045226616778569E-3</v>
      </c>
      <c r="DN51" s="1">
        <v>-3.7756205345482957E-3</v>
      </c>
      <c r="DO51" s="1">
        <v>1.9525275928511908E-4</v>
      </c>
      <c r="DP51" s="1">
        <v>-4.3820936688464462E-3</v>
      </c>
      <c r="DQ51" s="1">
        <v>6.7235465539921468E-3</v>
      </c>
      <c r="DR51" s="1">
        <v>7.0055041461300482E-3</v>
      </c>
      <c r="DS51" s="1">
        <v>-1.9384085780398625E-3</v>
      </c>
      <c r="DT51" s="1">
        <v>-1.8826403226874511E-3</v>
      </c>
      <c r="DU51" s="1">
        <v>5.833649894647977E-3</v>
      </c>
      <c r="DV51" s="1">
        <v>2.3215759774910024E-3</v>
      </c>
      <c r="DW51" s="1">
        <v>-2.9486458001161016E-3</v>
      </c>
      <c r="DX51" s="1">
        <v>8.5987749785742217E-4</v>
      </c>
      <c r="DY51" s="1">
        <v>1.0003975859195682E-3</v>
      </c>
      <c r="DZ51" s="1">
        <v>-1.2745168059216331E-3</v>
      </c>
      <c r="EA51" s="1">
        <v>7.1770702732760691E-4</v>
      </c>
      <c r="EB51" s="1">
        <v>3.4457330591938194E-3</v>
      </c>
      <c r="EC51" s="1">
        <v>5.0705145011413662E-3</v>
      </c>
      <c r="ED51" s="1">
        <v>-2.9688253254461783E-3</v>
      </c>
      <c r="EE51" s="1">
        <v>3.7851524692916142E-4</v>
      </c>
      <c r="EF51" s="1">
        <v>2.3854153184165866E-3</v>
      </c>
      <c r="EG51" s="1">
        <v>3.8971943167511632E-3</v>
      </c>
      <c r="EH51" s="1">
        <v>2.9086025529131343E-3</v>
      </c>
      <c r="EI51" s="1">
        <v>-6.3897267067879425E-3</v>
      </c>
      <c r="EJ51" s="1">
        <v>-1.1259256322863152E-3</v>
      </c>
      <c r="EK51" s="1">
        <v>-1.6419591972233142E-3</v>
      </c>
      <c r="EL51" s="1">
        <v>-3.0628901697321922E-4</v>
      </c>
      <c r="EM51" s="1">
        <v>-2.0587491407719309E-3</v>
      </c>
      <c r="EN51" s="1">
        <v>-9.8467257777010934E-4</v>
      </c>
      <c r="EO51" s="1">
        <v>1.4517224058412451E-4</v>
      </c>
      <c r="EP51" s="1">
        <v>-2.3058509693415575E-3</v>
      </c>
      <c r="EQ51" s="1">
        <v>-4.3054129217098835E-3</v>
      </c>
      <c r="ER51" s="1">
        <v>-7.6582136010373229E-4</v>
      </c>
      <c r="ES51" s="1">
        <v>3.8898561976320641E-3</v>
      </c>
      <c r="ET51" s="1">
        <v>-4.831308015117719E-4</v>
      </c>
      <c r="EU51" s="1">
        <v>-6.4179773176911781E-3</v>
      </c>
      <c r="EV51" s="10">
        <v>-2.0094015885249953E-3</v>
      </c>
    </row>
    <row r="52" spans="1:152" x14ac:dyDescent="0.25">
      <c r="A52" s="21">
        <f t="shared" ca="1" si="0"/>
        <v>5.1205739457076668E-2</v>
      </c>
      <c r="B52" s="5">
        <v>51</v>
      </c>
      <c r="C52" s="9">
        <v>4.1266104639253428E-3</v>
      </c>
      <c r="D52" s="1">
        <v>-5.9497050499023561E-3</v>
      </c>
      <c r="E52" s="1">
        <v>-9.4590739147603908E-3</v>
      </c>
      <c r="F52" s="1">
        <v>-1.3090028818323631E-2</v>
      </c>
      <c r="G52" s="1">
        <v>2.371926031496348E-3</v>
      </c>
      <c r="H52" s="1">
        <v>1.1958033860613582E-2</v>
      </c>
      <c r="I52" s="1">
        <v>-1.2275411386406598E-2</v>
      </c>
      <c r="J52" s="1">
        <v>4.9565556036215448E-4</v>
      </c>
      <c r="K52" s="1">
        <v>-2.0351938625450049E-2</v>
      </c>
      <c r="L52" s="1">
        <v>-3.011781539550994E-3</v>
      </c>
      <c r="M52" s="1">
        <v>1.4081339939047911E-2</v>
      </c>
      <c r="N52" s="1">
        <v>-4.8899837756301049E-3</v>
      </c>
      <c r="O52" s="1">
        <v>-6.6427364431142378E-3</v>
      </c>
      <c r="P52" s="1">
        <v>-2.0106834783094815E-2</v>
      </c>
      <c r="Q52" s="1">
        <v>2.7667024317733668E-2</v>
      </c>
      <c r="R52" s="1">
        <v>2.4727169042437422E-2</v>
      </c>
      <c r="S52" s="1">
        <v>1.1958033860613582E-2</v>
      </c>
      <c r="T52" s="1">
        <v>2.1268221891410808E-3</v>
      </c>
      <c r="U52" s="1">
        <v>2.1098145903819091E-2</v>
      </c>
      <c r="V52" s="1">
        <v>4.9412278958423676E-3</v>
      </c>
      <c r="W52" s="1">
        <v>1.1266934232346617E-2</v>
      </c>
      <c r="X52" s="1">
        <v>2.0033043854910133E-3</v>
      </c>
      <c r="Y52" s="1">
        <v>-8.399352640488144E-3</v>
      </c>
      <c r="Z52" s="1">
        <v>-3.7490248315616426E-3</v>
      </c>
      <c r="AA52" s="1">
        <v>-4.8899837756301049E-3</v>
      </c>
      <c r="AB52" s="1">
        <v>-3.2568853819062394E-3</v>
      </c>
      <c r="AC52" s="1">
        <v>-3.5039209892063685E-3</v>
      </c>
      <c r="AD52" s="1">
        <v>6.8194301319214863E-3</v>
      </c>
      <c r="AE52" s="1">
        <v>5.8812948963543861E-3</v>
      </c>
      <c r="AF52" s="1">
        <v>-9.4590739147603908E-3</v>
      </c>
      <c r="AG52" s="1">
        <v>-7.7043894823313995E-3</v>
      </c>
      <c r="AH52" s="1">
        <v>7.2673576827780948E-3</v>
      </c>
      <c r="AI52" s="1">
        <v>1.4448029820108328E-2</v>
      </c>
      <c r="AJ52" s="1">
        <v>2.1464835784879521E-2</v>
      </c>
      <c r="AK52" s="1">
        <v>-5.0115698143352551E-3</v>
      </c>
      <c r="AL52" s="1">
        <v>-1.3806149107720425E-3</v>
      </c>
      <c r="AM52" s="1">
        <v>1.4897889135909833E-2</v>
      </c>
      <c r="AN52" s="1">
        <v>1.6788946382844936E-3</v>
      </c>
      <c r="AO52" s="1">
        <v>-1.9413803389882949E-2</v>
      </c>
      <c r="AP52" s="1">
        <v>3.1884752283582425E-3</v>
      </c>
      <c r="AQ52" s="1">
        <v>-5.6599747885500724E-4</v>
      </c>
      <c r="AR52" s="1">
        <v>-2.5287718645640781E-2</v>
      </c>
      <c r="AS52" s="1">
        <v>-1.7537532918748752E-2</v>
      </c>
      <c r="AT52" s="1">
        <v>-6.5653623032077921E-3</v>
      </c>
      <c r="AU52" s="1">
        <v>2.9414396210581065E-3</v>
      </c>
      <c r="AV52" s="1">
        <v>-1.064231299268276E-2</v>
      </c>
      <c r="AW52" s="1">
        <v>6.9410161706266295E-3</v>
      </c>
      <c r="AX52" s="1">
        <v>-1.2151893582756534E-2</v>
      </c>
      <c r="AY52" s="1">
        <v>1.1388520271051795E-2</v>
      </c>
      <c r="AZ52" s="1">
        <v>-4.4247967520494574E-4</v>
      </c>
      <c r="BA52" s="1">
        <v>5.1205739457076668E-2</v>
      </c>
      <c r="BB52" s="1">
        <v>3.3049033174315706E-2</v>
      </c>
      <c r="BC52" s="1">
        <v>4.557499627872922E-2</v>
      </c>
      <c r="BD52" s="1">
        <v>4.3700155918152787E-3</v>
      </c>
      <c r="BE52" s="1">
        <v>3.1989311900043435E-2</v>
      </c>
      <c r="BF52" s="1">
        <v>1.4446331105643001E-2</v>
      </c>
      <c r="BG52" s="1">
        <v>2.929456046710243E-2</v>
      </c>
      <c r="BH52" s="1">
        <v>-4.8494023562415355E-3</v>
      </c>
      <c r="BI52" s="1">
        <v>3.9619843353175171E-2</v>
      </c>
      <c r="BJ52" s="1">
        <v>-1.955690744688935E-3</v>
      </c>
      <c r="BK52" s="1">
        <v>-5.9091236305138101E-3</v>
      </c>
      <c r="BL52" s="1">
        <v>1.7708664363200934E-2</v>
      </c>
      <c r="BM52" s="1">
        <v>2.2895343520581545E-2</v>
      </c>
      <c r="BN52" s="1">
        <v>2.4155956738410301E-2</v>
      </c>
      <c r="BO52" s="1">
        <v>1.2691646673213982E-2</v>
      </c>
      <c r="BP52" s="1">
        <v>4.2189145217521221E-2</v>
      </c>
      <c r="BQ52" s="1">
        <v>9.6302053592125583E-3</v>
      </c>
      <c r="BR52" s="1">
        <v>2.2200380362424804E-2</v>
      </c>
      <c r="BS52" s="1">
        <v>1.8282041482652497E-2</v>
      </c>
      <c r="BT52" s="1">
        <v>1.2938682280514112E-2</v>
      </c>
      <c r="BU52" s="1">
        <v>1.3585570009982343E-2</v>
      </c>
      <c r="BV52" s="1">
        <v>2.5217609777627464E-2</v>
      </c>
      <c r="BW52" s="1">
        <v>2.3789266857349906E-2</v>
      </c>
      <c r="BX52" s="1">
        <v>2.7217398052411725E-2</v>
      </c>
      <c r="BY52" s="1">
        <v>3.423420401718294E-2</v>
      </c>
      <c r="BZ52" s="1">
        <v>3.8558190313958005E-2</v>
      </c>
      <c r="CA52" s="1">
        <v>4.206755917881605E-2</v>
      </c>
      <c r="CB52" s="1">
        <v>3.525164515760134E-2</v>
      </c>
      <c r="CC52" s="1">
        <v>1.9463348795629921E-2</v>
      </c>
      <c r="CD52" s="1">
        <v>1.8569425458861592E-2</v>
      </c>
      <c r="CE52" s="1">
        <v>9.3077273769508959E-3</v>
      </c>
      <c r="CF52" s="1">
        <v>1.130751565173516E-2</v>
      </c>
      <c r="CG52" s="1">
        <v>1.820080381285628E-2</v>
      </c>
      <c r="CH52" s="1">
        <v>1.5587290049711468E-2</v>
      </c>
      <c r="CI52" s="1">
        <v>4.2445660232203267E-3</v>
      </c>
      <c r="CJ52" s="1">
        <v>2.2154236698681155E-2</v>
      </c>
      <c r="CK52" s="1">
        <v>4.018935694273696E-2</v>
      </c>
      <c r="CL52" s="1">
        <v>2.5912572935784233E-2</v>
      </c>
      <c r="CM52" s="1">
        <v>1.3629781908781082E-2</v>
      </c>
      <c r="CN52" s="1">
        <v>6.2462860629494757E-3</v>
      </c>
      <c r="CO52" s="1">
        <v>9.1842095733008361E-3</v>
      </c>
      <c r="CP52" s="1">
        <v>2.5094091973977401E-2</v>
      </c>
      <c r="CQ52" s="1">
        <v>1.7262668577289184E-2</v>
      </c>
      <c r="CR52" s="1">
        <v>-3.0947179238125164E-3</v>
      </c>
      <c r="CS52" s="1">
        <v>1.0815376202079788E-2</v>
      </c>
      <c r="CT52" s="1">
        <v>1.8322389851561458E-2</v>
      </c>
      <c r="CU52" s="1">
        <v>1.5384466341210098E-2</v>
      </c>
      <c r="CV52" s="1">
        <v>2.8848564681190705E-2</v>
      </c>
      <c r="CW52" s="1">
        <v>-5.25416059466495E-4</v>
      </c>
      <c r="CX52" s="1">
        <v>1.4446331105643001E-2</v>
      </c>
      <c r="CY52" s="1">
        <v>-1.4175996198357743E-2</v>
      </c>
      <c r="CZ52" s="1">
        <v>-2.1270176303035369E-2</v>
      </c>
      <c r="DA52" s="1">
        <v>1.2551308538046937E-2</v>
      </c>
      <c r="DB52" s="1">
        <v>-3.9300192171363088E-3</v>
      </c>
      <c r="DC52" s="1">
        <v>-5.6053977447140246E-3</v>
      </c>
      <c r="DD52" s="1">
        <v>2.6015406878027524E-2</v>
      </c>
      <c r="DE52" s="1">
        <v>-4.3382247236566085E-2</v>
      </c>
      <c r="DF52" s="1">
        <v>2.2998177462824849E-2</v>
      </c>
      <c r="DG52" s="1">
        <v>3.0887185125797606E-3</v>
      </c>
      <c r="DH52" s="1">
        <v>1.2873786520308614E-2</v>
      </c>
      <c r="DI52" s="1">
        <v>2.7044927598869617E-4</v>
      </c>
      <c r="DJ52" s="1">
        <v>-5.1132582950586467E-3</v>
      </c>
      <c r="DK52" s="1">
        <v>4.47284953405859E-3</v>
      </c>
      <c r="DL52" s="1">
        <v>-2.7839054716949942E-2</v>
      </c>
      <c r="DM52" s="1">
        <v>-3.0330982441389581E-2</v>
      </c>
      <c r="DN52" s="1">
        <v>-8.4217352163602002E-3</v>
      </c>
      <c r="DO52" s="1">
        <v>2.3937553544230231E-3</v>
      </c>
      <c r="DP52" s="1">
        <v>3.4213520155776174E-2</v>
      </c>
      <c r="DQ52" s="1">
        <v>2.0956109054186746E-2</v>
      </c>
      <c r="DR52" s="1">
        <v>-1.2576060045741581E-2</v>
      </c>
      <c r="DS52" s="1">
        <v>5.0423631236204067E-3</v>
      </c>
      <c r="DT52" s="1">
        <v>-2.7717468678244764E-2</v>
      </c>
      <c r="DU52" s="1">
        <v>2.8831744349673727E-2</v>
      </c>
      <c r="DV52" s="1">
        <v>-5.8062896882705023E-3</v>
      </c>
      <c r="DW52" s="1">
        <v>4.5944355727637678E-3</v>
      </c>
      <c r="DX52" s="1">
        <v>2.3119763501530055E-2</v>
      </c>
      <c r="DY52" s="1">
        <v>-7.5609741206995214E-3</v>
      </c>
      <c r="DZ52" s="1">
        <v>-8.377523317561468E-3</v>
      </c>
      <c r="EA52" s="1">
        <v>-8.1746996090600668E-3</v>
      </c>
      <c r="EB52" s="1">
        <v>2.5243069579964389E-2</v>
      </c>
      <c r="EC52" s="1">
        <v>2.275307362046964E-2</v>
      </c>
      <c r="ED52" s="1">
        <v>4.3598736041336933E-2</v>
      </c>
      <c r="EE52" s="1">
        <v>-1.0174487883844334E-2</v>
      </c>
      <c r="EF52" s="1">
        <v>1.131210371649382E-3</v>
      </c>
      <c r="EG52" s="1">
        <v>-4.1309111606928073E-3</v>
      </c>
      <c r="EH52" s="1">
        <v>2.4708649996455147E-2</v>
      </c>
      <c r="EI52" s="1">
        <v>-1.1238072688006383E-2</v>
      </c>
      <c r="EJ52" s="1">
        <v>6.3907092199400745E-4</v>
      </c>
      <c r="EK52" s="1">
        <v>-1.1070342985557584E-2</v>
      </c>
      <c r="EL52" s="1">
        <v>8.1038044376218338E-3</v>
      </c>
      <c r="EM52" s="1">
        <v>-3.2811997227232131E-3</v>
      </c>
      <c r="EN52" s="1">
        <v>4.1042278880533134E-3</v>
      </c>
      <c r="EO52" s="1">
        <v>-2.1270176303035369E-2</v>
      </c>
      <c r="EP52" s="1">
        <v>2.3495434556242631E-3</v>
      </c>
      <c r="EQ52" s="1">
        <v>-3.4047175263732798E-3</v>
      </c>
      <c r="ER52" s="1">
        <v>-2.2195466835060462E-3</v>
      </c>
      <c r="ES52" s="1">
        <v>-9.6823484341889594E-3</v>
      </c>
      <c r="ET52" s="1">
        <v>-1.6058211951454973E-3</v>
      </c>
      <c r="EU52" s="1">
        <v>-1.1931104081218231E-2</v>
      </c>
      <c r="EV52" s="10">
        <v>-1.3763162653553672E-2</v>
      </c>
    </row>
    <row r="53" spans="1:152" x14ac:dyDescent="0.25">
      <c r="A53" s="21">
        <f t="shared" ca="1" si="0"/>
        <v>3.1826423711540583E-2</v>
      </c>
      <c r="B53" s="5">
        <v>52</v>
      </c>
      <c r="C53" s="9">
        <v>1.3238640676842498E-3</v>
      </c>
      <c r="D53" s="1">
        <v>-9.2703710140076556E-3</v>
      </c>
      <c r="E53" s="1">
        <v>-6.0476187192231509E-3</v>
      </c>
      <c r="F53" s="1">
        <v>-8.3839532508241665E-3</v>
      </c>
      <c r="G53" s="1">
        <v>2.9352402150765126E-3</v>
      </c>
      <c r="H53" s="1">
        <v>1.2211254381685955E-2</v>
      </c>
      <c r="I53" s="1">
        <v>-1.5101215424832646E-3</v>
      </c>
      <c r="J53" s="1">
        <v>-1.0124704639167589E-3</v>
      </c>
      <c r="K53" s="1">
        <v>-1.3056622314026198E-2</v>
      </c>
      <c r="L53" s="1">
        <v>-8.2487813643620338E-3</v>
      </c>
      <c r="M53" s="1">
        <v>6.3590123229906679E-3</v>
      </c>
      <c r="N53" s="1">
        <v>-1.7374288481255187E-3</v>
      </c>
      <c r="O53" s="1">
        <v>-1.0585115895963056E-2</v>
      </c>
      <c r="P53" s="1">
        <v>-1.2397511856484949E-2</v>
      </c>
      <c r="Q53" s="1">
        <v>1.3730495109898081E-2</v>
      </c>
      <c r="R53" s="1">
        <v>2.316796865548228E-2</v>
      </c>
      <c r="S53" s="1">
        <v>1.2211254381685955E-2</v>
      </c>
      <c r="T53" s="1">
        <v>2.2761297575352637E-3</v>
      </c>
      <c r="U53" s="1">
        <v>1.037257092865145E-2</v>
      </c>
      <c r="V53" s="1">
        <v>8.197695776025157E-3</v>
      </c>
      <c r="W53" s="1">
        <v>4.3744630450076073E-4</v>
      </c>
      <c r="X53" s="1">
        <v>7.1761061263795507E-3</v>
      </c>
      <c r="Y53" s="1">
        <v>1.485323446658993E-3</v>
      </c>
      <c r="Z53" s="1">
        <v>2.3295045824402172E-4</v>
      </c>
      <c r="AA53" s="1">
        <v>-1.7374288481255187E-3</v>
      </c>
      <c r="AB53" s="1">
        <v>-8.9078918219032827E-3</v>
      </c>
      <c r="AC53" s="1">
        <v>8.9206091578527061E-4</v>
      </c>
      <c r="AD53" s="1">
        <v>1.6863432597886367E-3</v>
      </c>
      <c r="AE53" s="1">
        <v>-2.8751207970799907E-4</v>
      </c>
      <c r="AF53" s="1">
        <v>-6.0476187192231509E-3</v>
      </c>
      <c r="AG53" s="1">
        <v>-7.6589948666154067E-3</v>
      </c>
      <c r="AH53" s="1">
        <v>2.3419776842027902E-3</v>
      </c>
      <c r="AI53" s="1">
        <v>1.2577209606917408E-2</v>
      </c>
      <c r="AJ53" s="1">
        <v>1.6590768212578204E-2</v>
      </c>
      <c r="AK53" s="1">
        <v>-7.2965156745110199E-3</v>
      </c>
      <c r="AL53" s="1">
        <v>-4.9601811429100182E-3</v>
      </c>
      <c r="AM53" s="1">
        <v>2.7737808361017694E-3</v>
      </c>
      <c r="AN53" s="1">
        <v>1.620495333121124E-3</v>
      </c>
      <c r="AO53" s="1">
        <v>-1.1082766974529562E-2</v>
      </c>
      <c r="AP53" s="1">
        <v>-6.499912718123859E-4</v>
      </c>
      <c r="AQ53" s="1">
        <v>1.9136505654308907E-3</v>
      </c>
      <c r="AR53" s="1">
        <v>-2.3585009469050587E-2</v>
      </c>
      <c r="AS53" s="1">
        <v>-7.1350562955362976E-3</v>
      </c>
      <c r="AT53" s="1">
        <v>4.7704476349839341E-3</v>
      </c>
      <c r="AU53" s="1">
        <v>9.1499614658761726E-3</v>
      </c>
      <c r="AV53" s="1">
        <v>-8.6805845162610251E-3</v>
      </c>
      <c r="AW53" s="1">
        <v>7.2454300861741431E-3</v>
      </c>
      <c r="AX53" s="1">
        <v>-6.4100979113275378E-3</v>
      </c>
      <c r="AY53" s="1">
        <v>5.9965331308862949E-3</v>
      </c>
      <c r="AZ53" s="1">
        <v>-2.9863258034133963E-3</v>
      </c>
      <c r="BA53" s="1">
        <v>3.3049033174315831E-2</v>
      </c>
      <c r="BB53" s="1">
        <v>3.1826423711540583E-2</v>
      </c>
      <c r="BC53" s="1">
        <v>3.1664964332565847E-2</v>
      </c>
      <c r="BD53" s="1">
        <v>8.8948815474294354E-3</v>
      </c>
      <c r="BE53" s="1">
        <v>2.429348154565842E-2</v>
      </c>
      <c r="BF53" s="1">
        <v>1.9489116629121367E-2</v>
      </c>
      <c r="BG53" s="1">
        <v>3.4390065548783835E-2</v>
      </c>
      <c r="BH53" s="1">
        <v>5.8370646647467606E-3</v>
      </c>
      <c r="BI53" s="1">
        <v>2.4725284697557401E-2</v>
      </c>
      <c r="BJ53" s="1">
        <v>1.6655131018953849E-2</v>
      </c>
      <c r="BK53" s="1">
        <v>-1.6958775011353955E-3</v>
      </c>
      <c r="BL53" s="1">
        <v>2.6066317072025412E-2</v>
      </c>
      <c r="BM53" s="1">
        <v>5.8766250989016749E-3</v>
      </c>
      <c r="BN53" s="1">
        <v>2.3865154426886519E-2</v>
      </c>
      <c r="BO53" s="1">
        <v>2.1100492776513616E-2</v>
      </c>
      <c r="BP53" s="1">
        <v>2.998774025850607E-2</v>
      </c>
      <c r="BQ53" s="1">
        <v>2.4978879495712279E-2</v>
      </c>
      <c r="BR53" s="1">
        <v>1.5020943412176073E-2</v>
      </c>
      <c r="BS53" s="1">
        <v>1.1362911932365508E-2</v>
      </c>
      <c r="BT53" s="1">
        <v>1.1300540038825066E-2</v>
      </c>
      <c r="BU53" s="1">
        <v>3.2870824820571722E-2</v>
      </c>
      <c r="BV53" s="1">
        <v>2.0939033397538873E-2</v>
      </c>
      <c r="BW53" s="1">
        <v>1.7646957142959774E-2</v>
      </c>
      <c r="BX53" s="1">
        <v>1.9986767707687855E-2</v>
      </c>
      <c r="BY53" s="1">
        <v>2.4000326313348655E-2</v>
      </c>
      <c r="BZ53" s="1">
        <v>2.7651405726905047E-2</v>
      </c>
      <c r="CA53" s="1">
        <v>2.4428653432120549E-2</v>
      </c>
      <c r="CB53" s="1">
        <v>3.0870681988562479E-2</v>
      </c>
      <c r="CC53" s="1">
        <v>2.4454940924633163E-2</v>
      </c>
      <c r="CD53" s="1">
        <v>1.2684608880575064E-2</v>
      </c>
      <c r="CE53" s="1">
        <v>8.9642055072240434E-3</v>
      </c>
      <c r="CF53" s="1">
        <v>8.0119398173730261E-3</v>
      </c>
      <c r="CG53" s="1">
        <v>1.6925474791878101E-2</v>
      </c>
      <c r="CH53" s="1">
        <v>2.1459495935490923E-2</v>
      </c>
      <c r="CI53" s="1">
        <v>2.4253921111503519E-2</v>
      </c>
      <c r="CJ53" s="1">
        <v>3.5276483311967338E-2</v>
      </c>
      <c r="CK53" s="1">
        <v>3.0940005948357087E-2</v>
      </c>
      <c r="CL53" s="1">
        <v>1.1794715084264475E-2</v>
      </c>
      <c r="CM53" s="1">
        <v>2.3074348116010251E-2</v>
      </c>
      <c r="CN53" s="1">
        <v>1.2842592226422707E-2</v>
      </c>
      <c r="CO53" s="1">
        <v>1.3864181876068318E-2</v>
      </c>
      <c r="CP53" s="1">
        <v>2.5839009766383154E-2</v>
      </c>
      <c r="CQ53" s="1">
        <v>1.4951619452381465E-2</v>
      </c>
      <c r="CR53" s="1">
        <v>4.2256885173544978E-3</v>
      </c>
      <c r="CS53" s="1">
        <v>1.7152782097520358E-2</v>
      </c>
      <c r="CT53" s="1">
        <v>2.2484561618263621E-2</v>
      </c>
      <c r="CU53" s="1">
        <v>2.1462971968618003E-2</v>
      </c>
      <c r="CV53" s="1">
        <v>2.3275367929139895E-2</v>
      </c>
      <c r="CW53" s="1">
        <v>9.4881440783031595E-3</v>
      </c>
      <c r="CX53" s="1">
        <v>1.9489116629121367E-2</v>
      </c>
      <c r="CY53" s="1">
        <v>9.9045677033921392E-3</v>
      </c>
      <c r="CZ53" s="1">
        <v>-9.4645544332156196E-3</v>
      </c>
      <c r="DA53" s="1">
        <v>3.0737724623332331E-3</v>
      </c>
      <c r="DB53" s="1">
        <v>-4.6567134835514834E-3</v>
      </c>
      <c r="DC53" s="1">
        <v>1.8511629995579711E-3</v>
      </c>
      <c r="DD53" s="1">
        <v>4.8861684228551257E-3</v>
      </c>
      <c r="DE53" s="1">
        <v>-1.8579109220850328E-2</v>
      </c>
      <c r="DF53" s="1">
        <v>-1.0319215625076844E-3</v>
      </c>
      <c r="DG53" s="1">
        <v>-1.1102218073120486E-2</v>
      </c>
      <c r="DH53" s="1">
        <v>1.9088446450821459E-2</v>
      </c>
      <c r="DI53" s="1">
        <v>3.8943422988492044E-3</v>
      </c>
      <c r="DJ53" s="1">
        <v>-7.2896792805893403E-3</v>
      </c>
      <c r="DK53" s="1">
        <v>1.9863348860201004E-3</v>
      </c>
      <c r="DL53" s="1">
        <v>-1.2822478614462243E-2</v>
      </c>
      <c r="DM53" s="1">
        <v>-2.729370644463925E-3</v>
      </c>
      <c r="DN53" s="1">
        <v>6.388660176297873E-3</v>
      </c>
      <c r="DO53" s="1">
        <v>-1.9578997598460879E-3</v>
      </c>
      <c r="DP53" s="1">
        <v>2.1991756020783581E-2</v>
      </c>
      <c r="DQ53" s="1">
        <v>-7.4224236332498875E-4</v>
      </c>
      <c r="DR53" s="1">
        <v>-2.2417935505894077E-2</v>
      </c>
      <c r="DS53" s="1">
        <v>8.2010561368197656E-3</v>
      </c>
      <c r="DT53" s="1">
        <v>-7.2633917880767437E-3</v>
      </c>
      <c r="DU53" s="1">
        <v>3.4867124611522721E-4</v>
      </c>
      <c r="DV53" s="1">
        <v>-8.604424162544741E-3</v>
      </c>
      <c r="DW53" s="1">
        <v>7.5454217124055999E-3</v>
      </c>
      <c r="DX53" s="1">
        <v>4.527165263877829E-3</v>
      </c>
      <c r="DY53" s="1">
        <v>-6.9930480151524921E-3</v>
      </c>
      <c r="DZ53" s="1">
        <v>-3.4078165282636075E-3</v>
      </c>
      <c r="EA53" s="1">
        <v>-3.4112925613906907E-3</v>
      </c>
      <c r="EB53" s="1">
        <v>-1.325076794817465E-3</v>
      </c>
      <c r="EC53" s="1">
        <v>-1.6910320200489333E-3</v>
      </c>
      <c r="ED53" s="1">
        <v>2.081218302529031E-2</v>
      </c>
      <c r="EE53" s="1">
        <v>-2.4590268715396733E-3</v>
      </c>
      <c r="EF53" s="1">
        <v>-9.4873658926011642E-3</v>
      </c>
      <c r="EG53" s="1">
        <v>-1.5112300645654197E-2</v>
      </c>
      <c r="EH53" s="1">
        <v>7.1531789946615403E-3</v>
      </c>
      <c r="EI53" s="1">
        <v>1.0926157353037761E-2</v>
      </c>
      <c r="EJ53" s="1">
        <v>-3.4652361245382513E-4</v>
      </c>
      <c r="EK53" s="1">
        <v>-3.7702957203679804E-3</v>
      </c>
      <c r="EL53" s="1">
        <v>4.322669417621109E-3</v>
      </c>
      <c r="EM53" s="1">
        <v>6.4545081029653943E-3</v>
      </c>
      <c r="EN53" s="1">
        <v>6.2272007973231368E-3</v>
      </c>
      <c r="EO53" s="1">
        <v>-9.4645544332156196E-3</v>
      </c>
      <c r="EP53" s="1">
        <v>7.8385769447153926E-3</v>
      </c>
      <c r="EQ53" s="1">
        <v>1.1354484471809659E-2</v>
      </c>
      <c r="ER53" s="1">
        <v>3.5283870736177413E-3</v>
      </c>
      <c r="ES53" s="1">
        <v>-1.1599869151686992E-2</v>
      </c>
      <c r="ET53" s="1">
        <v>-5.3368380144060146E-5</v>
      </c>
      <c r="EU53" s="1">
        <v>9.6114124710823708E-3</v>
      </c>
      <c r="EV53" s="10">
        <v>-4.1327749124723673E-3</v>
      </c>
    </row>
    <row r="54" spans="1:152" x14ac:dyDescent="0.25">
      <c r="A54" s="21">
        <f t="shared" ca="1" si="0"/>
        <v>4.4136201229972027E-2</v>
      </c>
      <c r="B54" s="5">
        <v>53</v>
      </c>
      <c r="C54" s="9">
        <v>1.7741801889268466E-3</v>
      </c>
      <c r="D54" s="1">
        <v>-1.9264407258707331E-3</v>
      </c>
      <c r="E54" s="1">
        <v>-7.2965277349562249E-3</v>
      </c>
      <c r="F54" s="1">
        <v>-9.5045809268452935E-3</v>
      </c>
      <c r="G54" s="1">
        <v>-9.1086331561586464E-4</v>
      </c>
      <c r="H54" s="1">
        <v>9.6983608945310357E-3</v>
      </c>
      <c r="I54" s="1">
        <v>-9.4508082526938986E-3</v>
      </c>
      <c r="J54" s="1">
        <v>-4.3387300296218734E-4</v>
      </c>
      <c r="K54" s="1">
        <v>-1.3920687310623403E-2</v>
      </c>
      <c r="L54" s="1">
        <v>-2.9341940253294826E-3</v>
      </c>
      <c r="M54" s="1">
        <v>8.6368349209208981E-3</v>
      </c>
      <c r="N54" s="1">
        <v>-5.3269696993940019E-3</v>
      </c>
      <c r="O54" s="1">
        <v>-5.1422472172185651E-3</v>
      </c>
      <c r="P54" s="1">
        <v>-1.7374988958298074E-2</v>
      </c>
      <c r="Q54" s="1">
        <v>1.7707542844803983E-2</v>
      </c>
      <c r="R54" s="1">
        <v>1.584553015754455E-2</v>
      </c>
      <c r="S54" s="1">
        <v>9.6983608945310357E-3</v>
      </c>
      <c r="T54" s="1">
        <v>2.5434383320587506E-3</v>
      </c>
      <c r="U54" s="1">
        <v>1.6507242952373671E-2</v>
      </c>
      <c r="V54" s="1">
        <v>1.8279528630782416E-3</v>
      </c>
      <c r="W54" s="1">
        <v>9.352320389901414E-3</v>
      </c>
      <c r="X54" s="1">
        <v>2.8357061625369911E-3</v>
      </c>
      <c r="Y54" s="1">
        <v>-1.069705670847948E-2</v>
      </c>
      <c r="Z54" s="1">
        <v>4.5589449309762498E-3</v>
      </c>
      <c r="AA54" s="1">
        <v>-5.3269696993940019E-3</v>
      </c>
      <c r="AB54" s="1">
        <v>5.2010762234516034E-4</v>
      </c>
      <c r="AC54" s="1">
        <v>1.1046432833016276E-3</v>
      </c>
      <c r="AD54" s="1">
        <v>4.2207285371427539E-3</v>
      </c>
      <c r="AE54" s="1">
        <v>4.4592236934695995E-3</v>
      </c>
      <c r="AF54" s="1">
        <v>-7.2965277349562249E-3</v>
      </c>
      <c r="AG54" s="1">
        <v>-4.6114842304134929E-3</v>
      </c>
      <c r="AH54" s="1">
        <v>1.0890836676165229E-2</v>
      </c>
      <c r="AI54" s="1">
        <v>2.020499456049818E-3</v>
      </c>
      <c r="AJ54" s="1">
        <v>9.8909074875025982E-3</v>
      </c>
      <c r="AK54" s="1">
        <v>-2.1649358821975717E-3</v>
      </c>
      <c r="AL54" s="1">
        <v>4.311730969148303E-5</v>
      </c>
      <c r="AM54" s="1">
        <v>1.1560373581790462E-2</v>
      </c>
      <c r="AN54" s="1">
        <v>-4.126669806963669E-3</v>
      </c>
      <c r="AO54" s="1">
        <v>-1.4159182466950235E-2</v>
      </c>
      <c r="AP54" s="1">
        <v>2.0126753452536922E-3</v>
      </c>
      <c r="AQ54" s="1">
        <v>9.6889983842871064E-5</v>
      </c>
      <c r="AR54" s="1">
        <v>-9.2739098813145737E-3</v>
      </c>
      <c r="AS54" s="1">
        <v>-1.4636172779603912E-2</v>
      </c>
      <c r="AT54" s="1">
        <v>2.4046644132386039E-3</v>
      </c>
      <c r="AU54" s="1">
        <v>2.5972110062101525E-3</v>
      </c>
      <c r="AV54" s="1">
        <v>-3.6037309309547502E-3</v>
      </c>
      <c r="AW54" s="1">
        <v>1.0586947199463376E-3</v>
      </c>
      <c r="AX54" s="1">
        <v>-9.7430760831721253E-3</v>
      </c>
      <c r="AY54" s="1">
        <v>6.1902865727049769E-3</v>
      </c>
      <c r="AZ54" s="1">
        <v>-1.9537784663535562E-4</v>
      </c>
      <c r="BA54" s="1">
        <v>4.5574996278729171E-2</v>
      </c>
      <c r="BB54" s="1">
        <v>3.1664964332565694E-2</v>
      </c>
      <c r="BC54" s="1">
        <v>4.4136201229972027E-2</v>
      </c>
      <c r="BD54" s="1">
        <v>1.0253969319300293E-2</v>
      </c>
      <c r="BE54" s="1">
        <v>3.5065493306088942E-2</v>
      </c>
      <c r="BF54" s="1">
        <v>1.3954590234097921E-2</v>
      </c>
      <c r="BG54" s="1">
        <v>2.9749178971154845E-2</v>
      </c>
      <c r="BH54" s="1">
        <v>-6.9715903557176634E-3</v>
      </c>
      <c r="BI54" s="1">
        <v>3.5735030211714175E-2</v>
      </c>
      <c r="BJ54" s="1">
        <v>2.7296017924771446E-3</v>
      </c>
      <c r="BK54" s="1">
        <v>-3.5710613821944154E-3</v>
      </c>
      <c r="BL54" s="1">
        <v>1.9909212904139877E-2</v>
      </c>
      <c r="BM54" s="1">
        <v>2.0417431787310897E-2</v>
      </c>
      <c r="BN54" s="1">
        <v>2.4271546613766563E-2</v>
      </c>
      <c r="BO54" s="1">
        <v>1.1269546729555161E-2</v>
      </c>
      <c r="BP54" s="1">
        <v>3.847384639040833E-2</v>
      </c>
      <c r="BQ54" s="1">
        <v>1.2569567859492141E-2</v>
      </c>
      <c r="BR54" s="1">
        <v>1.4331859309244924E-2</v>
      </c>
      <c r="BS54" s="1">
        <v>2.9156819199402259E-2</v>
      </c>
      <c r="BT54" s="1">
        <v>1.0685011068598697E-2</v>
      </c>
      <c r="BU54" s="1">
        <v>2.1739997020881929E-2</v>
      </c>
      <c r="BV54" s="1">
        <v>2.3740783626961495E-2</v>
      </c>
      <c r="BW54" s="1">
        <v>3.088788207863764E-2</v>
      </c>
      <c r="BX54" s="1">
        <v>2.2971525483829584E-2</v>
      </c>
      <c r="BY54" s="1">
        <v>3.0841933515282392E-2</v>
      </c>
      <c r="BZ54" s="1">
        <v>3.6265793198519247E-2</v>
      </c>
      <c r="CA54" s="1">
        <v>4.1635880207604739E-2</v>
      </c>
      <c r="CB54" s="1">
        <v>4.1020115976130894E-2</v>
      </c>
      <c r="CC54" s="1">
        <v>2.2594256408682581E-2</v>
      </c>
      <c r="CD54" s="1">
        <v>1.2123806117355869E-2</v>
      </c>
      <c r="CE54" s="1">
        <v>8.4769578767096357E-3</v>
      </c>
      <c r="CF54" s="1">
        <v>7.7076997335777248E-3</v>
      </c>
      <c r="CG54" s="1">
        <v>1.5870375595508742E-2</v>
      </c>
      <c r="CH54" s="1">
        <v>2.3840504864468166E-2</v>
      </c>
      <c r="CI54" s="1">
        <v>7.6764711630603541E-3</v>
      </c>
      <c r="CJ54" s="1">
        <v>2.2171038770180302E-2</v>
      </c>
      <c r="CK54" s="1">
        <v>3.9243104533540241E-2</v>
      </c>
      <c r="CL54" s="1">
        <v>2.9826356105027499E-2</v>
      </c>
      <c r="CM54" s="1">
        <v>1.1031051573228322E-2</v>
      </c>
      <c r="CN54" s="1">
        <v>9.7769790066466224E-3</v>
      </c>
      <c r="CO54" s="1">
        <v>8.7692257071878693E-3</v>
      </c>
      <c r="CP54" s="1">
        <v>2.4033051457439725E-2</v>
      </c>
      <c r="CQ54" s="1">
        <v>1.6108870751835581E-2</v>
      </c>
      <c r="CR54" s="1">
        <v>-4.2865468511749313E-3</v>
      </c>
      <c r="CS54" s="1">
        <v>1.1746537042208838E-2</v>
      </c>
      <c r="CT54" s="1">
        <v>1.2708341778312333E-2</v>
      </c>
      <c r="CU54" s="1">
        <v>1.3716095077771082E-2</v>
      </c>
      <c r="CV54" s="1">
        <v>2.5948836818850577E-2</v>
      </c>
      <c r="CW54" s="1">
        <v>-1.5477306724808113E-3</v>
      </c>
      <c r="CX54" s="1">
        <v>1.3954590234097921E-2</v>
      </c>
      <c r="CY54" s="1">
        <v>-4.1772698540423897E-3</v>
      </c>
      <c r="CZ54" s="1">
        <v>-1.9594589515952311E-2</v>
      </c>
      <c r="DA54" s="1">
        <v>1.3033569828137692E-2</v>
      </c>
      <c r="DB54" s="1">
        <v>-8.6080962306584012E-3</v>
      </c>
      <c r="DC54" s="1">
        <v>-8.7646211802578505E-4</v>
      </c>
      <c r="DD54" s="1">
        <v>2.5266311569217215E-2</v>
      </c>
      <c r="DE54" s="1">
        <v>-4.2675050623505545E-2</v>
      </c>
      <c r="DF54" s="1">
        <v>1.5857387251500616E-2</v>
      </c>
      <c r="DG54" s="1">
        <v>2.132077787512579E-3</v>
      </c>
      <c r="DH54" s="1">
        <v>1.7126179810920222E-2</v>
      </c>
      <c r="DI54" s="1">
        <v>-2.8919687169432842E-3</v>
      </c>
      <c r="DJ54" s="1">
        <v>-4.9152994266568988E-3</v>
      </c>
      <c r="DK54" s="1">
        <v>5.693924783490012E-3</v>
      </c>
      <c r="DL54" s="1">
        <v>-2.0794889408382616E-2</v>
      </c>
      <c r="DM54" s="1">
        <v>-1.5986793956619602E-2</v>
      </c>
      <c r="DN54" s="1">
        <v>-3.0307426357634518E-3</v>
      </c>
      <c r="DO54" s="1">
        <v>-3.9534946905534253E-3</v>
      </c>
      <c r="DP54" s="1">
        <v>2.6574156809950317E-2</v>
      </c>
      <c r="DQ54" s="1">
        <v>3.0205356829004274E-2</v>
      </c>
      <c r="DR54" s="1">
        <v>-1.6586049610413975E-2</v>
      </c>
      <c r="DS54" s="1">
        <v>9.201999105316043E-3</v>
      </c>
      <c r="DT54" s="1">
        <v>-2.3956923225579053E-2</v>
      </c>
      <c r="DU54" s="1">
        <v>2.7420592086954874E-2</v>
      </c>
      <c r="DV54" s="1">
        <v>-8.1311059180047274E-3</v>
      </c>
      <c r="DW54" s="1">
        <v>2.5318909662936043E-3</v>
      </c>
      <c r="DX54" s="1">
        <v>1.2695353434304207E-2</v>
      </c>
      <c r="DY54" s="1">
        <v>-1.0816149422547456E-2</v>
      </c>
      <c r="DZ54" s="1">
        <v>-1.3739688083417054E-2</v>
      </c>
      <c r="EA54" s="1">
        <v>-3.6152782967199121E-3</v>
      </c>
      <c r="EB54" s="1">
        <v>1.1633827460694066E-2</v>
      </c>
      <c r="EC54" s="1">
        <v>1.9311688899175283E-2</v>
      </c>
      <c r="ED54" s="1">
        <v>2.9928737220118309E-2</v>
      </c>
      <c r="EE54" s="1">
        <v>-2.8460201535880011E-3</v>
      </c>
      <c r="EF54" s="1">
        <v>-1.0677375503727292E-2</v>
      </c>
      <c r="EG54" s="1">
        <v>-1.5862740030637344E-2</v>
      </c>
      <c r="EH54" s="1">
        <v>2.9251376203696923E-2</v>
      </c>
      <c r="EI54" s="1">
        <v>-5.1850231535011358E-3</v>
      </c>
      <c r="EJ54" s="1">
        <v>-6.6385381950961574E-3</v>
      </c>
      <c r="EK54" s="1">
        <v>-1.6186236431632948E-2</v>
      </c>
      <c r="EL54" s="1">
        <v>7.9019779753790667E-3</v>
      </c>
      <c r="EM54" s="1">
        <v>5.3166557083430058E-3</v>
      </c>
      <c r="EN54" s="1">
        <v>9.4404942616428816E-3</v>
      </c>
      <c r="EO54" s="1">
        <v>-1.9594589515952311E-2</v>
      </c>
      <c r="EP54" s="1">
        <v>6.7554507571001496E-3</v>
      </c>
      <c r="EQ54" s="1">
        <v>5.6089235388212411E-3</v>
      </c>
      <c r="ER54" s="1">
        <v>4.7858927215379335E-3</v>
      </c>
      <c r="ES54" s="1">
        <v>-6.8848574622191426E-3</v>
      </c>
      <c r="ET54" s="1">
        <v>-2.4149784042896069E-3</v>
      </c>
      <c r="EU54" s="1">
        <v>-8.4008296448489402E-3</v>
      </c>
      <c r="EV54" s="10">
        <v>-1.8632784779848813E-2</v>
      </c>
    </row>
    <row r="55" spans="1:152" x14ac:dyDescent="0.25">
      <c r="A55" s="21">
        <f t="shared" ca="1" si="0"/>
        <v>3.5774706520038703E-2</v>
      </c>
      <c r="B55" s="5">
        <v>54</v>
      </c>
      <c r="C55" s="9">
        <v>-3.6991031284785772E-3</v>
      </c>
      <c r="D55" s="1">
        <v>1.2790876750557435E-2</v>
      </c>
      <c r="E55" s="1">
        <v>7.2002446083913665E-3</v>
      </c>
      <c r="F55" s="1">
        <v>1.0713674829080359E-2</v>
      </c>
      <c r="G55" s="1">
        <v>-6.4944191995616116E-3</v>
      </c>
      <c r="H55" s="1">
        <v>-1.2652719922839437E-2</v>
      </c>
      <c r="I55" s="1">
        <v>3.6210788982183953E-3</v>
      </c>
      <c r="J55" s="1">
        <v>-1.856729077895844E-4</v>
      </c>
      <c r="K55" s="1">
        <v>1.7740535270458352E-2</v>
      </c>
      <c r="L55" s="1">
        <v>7.2659800978753658E-3</v>
      </c>
      <c r="M55" s="1">
        <v>-1.1085020644659542E-2</v>
      </c>
      <c r="N55" s="1">
        <v>5.3244124181637403E-4</v>
      </c>
      <c r="O55" s="1">
        <v>1.0779410318564359E-2</v>
      </c>
      <c r="P55" s="1">
        <v>1.2574695692579248E-2</v>
      </c>
      <c r="Q55" s="1">
        <v>-2.1984368381529479E-2</v>
      </c>
      <c r="R55" s="1">
        <v>-2.9501756876678442E-2</v>
      </c>
      <c r="S55" s="1">
        <v>-1.2652719922839437E-2</v>
      </c>
      <c r="T55" s="1">
        <v>-1.3285796216825144E-3</v>
      </c>
      <c r="U55" s="1">
        <v>-1.2946041508158423E-2</v>
      </c>
      <c r="V55" s="1">
        <v>-1.0791699059340541E-2</v>
      </c>
      <c r="W55" s="1">
        <v>-1.6219012070015013E-3</v>
      </c>
      <c r="X55" s="1">
        <v>-5.2668024066584856E-3</v>
      </c>
      <c r="Y55" s="1">
        <v>-5.0581909003496947E-3</v>
      </c>
      <c r="Z55" s="1">
        <v>9.7212136836816315E-3</v>
      </c>
      <c r="AA55" s="1">
        <v>5.3244124181637403E-4</v>
      </c>
      <c r="AB55" s="1">
        <v>1.2431819675754456E-2</v>
      </c>
      <c r="AC55" s="1">
        <v>4.5553741058025343E-3</v>
      </c>
      <c r="AD55" s="1">
        <v>-4.0581602032815564E-3</v>
      </c>
      <c r="AE55" s="1">
        <v>-9.0378705739554283E-4</v>
      </c>
      <c r="AF55" s="1">
        <v>7.2002446083913665E-3</v>
      </c>
      <c r="AG55" s="1">
        <v>9.9955606794744009E-3</v>
      </c>
      <c r="AH55" s="1">
        <v>3.1191458065906175E-3</v>
      </c>
      <c r="AI55" s="1">
        <v>-2.535492258539368E-2</v>
      </c>
      <c r="AJ55" s="1">
        <v>-2.7215943448892568E-2</v>
      </c>
      <c r="AK55" s="1">
        <v>9.6365036046714217E-3</v>
      </c>
      <c r="AL55" s="1">
        <v>6.1230733839824289E-3</v>
      </c>
      <c r="AM55" s="1">
        <v>-5.1353314276904941E-3</v>
      </c>
      <c r="AN55" s="1">
        <v>-8.5058856315546882E-3</v>
      </c>
      <c r="AO55" s="1">
        <v>1.4586162124572324E-2</v>
      </c>
      <c r="AP55" s="1">
        <v>-5.4472998259256361E-4</v>
      </c>
      <c r="AQ55" s="1">
        <v>-9.6952254687953515E-4</v>
      </c>
      <c r="AR55" s="1">
        <v>3.867824057776751E-2</v>
      </c>
      <c r="AS55" s="1">
        <v>8.2774158328002972E-3</v>
      </c>
      <c r="AT55" s="1">
        <v>6.1420479735086464E-3</v>
      </c>
      <c r="AU55" s="1">
        <v>-8.4211755525444854E-3</v>
      </c>
      <c r="AV55" s="1">
        <v>1.5520457332156477E-2</v>
      </c>
      <c r="AW55" s="1">
        <v>-1.3162222566136597E-2</v>
      </c>
      <c r="AX55" s="1">
        <v>7.5593016831943458E-3</v>
      </c>
      <c r="AY55" s="1">
        <v>-1.0725963569856563E-2</v>
      </c>
      <c r="AZ55" s="1">
        <v>2.9687002380964292E-3</v>
      </c>
      <c r="BA55" s="1">
        <v>4.3700155918159553E-3</v>
      </c>
      <c r="BB55" s="1">
        <v>8.8948815474298865E-3</v>
      </c>
      <c r="BC55" s="1">
        <v>1.0253969319301011E-2</v>
      </c>
      <c r="BD55" s="1">
        <v>3.5774706520038703E-2</v>
      </c>
      <c r="BE55" s="1">
        <v>2.1153317056170982E-2</v>
      </c>
      <c r="BF55" s="1">
        <v>1.928472664100269E-2</v>
      </c>
      <c r="BG55" s="1">
        <v>8.4700889831429357E-3</v>
      </c>
      <c r="BH55" s="1">
        <v>2.7663105302582383E-2</v>
      </c>
      <c r="BI55" s="1">
        <v>1.2898839821889871E-2</v>
      </c>
      <c r="BJ55" s="1">
        <v>2.6604908667699642E-2</v>
      </c>
      <c r="BK55" s="1">
        <v>3.9921540811323444E-2</v>
      </c>
      <c r="BL55" s="1">
        <v>1.699891321321681E-2</v>
      </c>
      <c r="BM55" s="1">
        <v>3.0022223771521625E-2</v>
      </c>
      <c r="BN55" s="1">
        <v>1.7064648702700823E-2</v>
      </c>
      <c r="BO55" s="1">
        <v>1.6489410569919656E-2</v>
      </c>
      <c r="BP55" s="1">
        <v>8.6015599621109065E-3</v>
      </c>
      <c r="BQ55" s="1">
        <v>1.8076084437625747E-2</v>
      </c>
      <c r="BR55" s="1">
        <v>1.4968472191697529E-2</v>
      </c>
      <c r="BS55" s="1">
        <v>4.1156727155895967E-2</v>
      </c>
      <c r="BT55" s="1">
        <v>2.4365856139871578E-2</v>
      </c>
      <c r="BU55" s="1">
        <v>1.7801737441832964E-2</v>
      </c>
      <c r="BV55" s="1">
        <v>1.7848498341790781E-2</v>
      </c>
      <c r="BW55" s="1">
        <v>3.1334550643434968E-2</v>
      </c>
      <c r="BX55" s="1">
        <v>1.5477974834994718E-2</v>
      </c>
      <c r="BY55" s="1">
        <v>1.3616953971495822E-2</v>
      </c>
      <c r="BZ55" s="1">
        <v>1.2114990182799899E-2</v>
      </c>
      <c r="CA55" s="1">
        <v>1.7705622324965982E-2</v>
      </c>
      <c r="CB55" s="1">
        <v>1.8867503628385102E-2</v>
      </c>
      <c r="CC55" s="1">
        <v>1.9794229284299858E-2</v>
      </c>
      <c r="CD55" s="1">
        <v>1.8481902412386522E-2</v>
      </c>
      <c r="CE55" s="1">
        <v>2.7879286360560571E-2</v>
      </c>
      <c r="CF55" s="1">
        <v>2.5508762853764508E-2</v>
      </c>
      <c r="CG55" s="1">
        <v>1.9709519205289648E-2</v>
      </c>
      <c r="CH55" s="1">
        <v>2.8473499082867934E-2</v>
      </c>
      <c r="CI55" s="1">
        <v>1.8794198587231706E-2</v>
      </c>
      <c r="CJ55" s="1">
        <v>6.3928870616658529E-3</v>
      </c>
      <c r="CK55" s="1">
        <v>1.0972083468906969E-2</v>
      </c>
      <c r="CL55" s="1">
        <v>3.2902249921614876E-2</v>
      </c>
      <c r="CM55" s="1">
        <v>1.3335037424033629E-2</v>
      </c>
      <c r="CN55" s="1">
        <v>2.9465960228266676E-2</v>
      </c>
      <c r="CO55" s="1">
        <v>2.3941063575584599E-2</v>
      </c>
      <c r="CP55" s="1">
        <v>1.3910275556814795E-2</v>
      </c>
      <c r="CQ55" s="1">
        <v>2.2863892351175662E-2</v>
      </c>
      <c r="CR55" s="1">
        <v>3.0458421373665417E-2</v>
      </c>
      <c r="CS55" s="1">
        <v>2.2798156861691669E-2</v>
      </c>
      <c r="CT55" s="1">
        <v>1.0605456842434587E-2</v>
      </c>
      <c r="CU55" s="1">
        <v>1.6130353495116677E-2</v>
      </c>
      <c r="CV55" s="1">
        <v>1.4335068121101781E-2</v>
      </c>
      <c r="CW55" s="1">
        <v>2.6161141513886474E-2</v>
      </c>
      <c r="CX55" s="1">
        <v>1.928472664100269E-2</v>
      </c>
      <c r="CY55" s="1">
        <v>1.9871093420578342E-3</v>
      </c>
      <c r="CZ55" s="1">
        <v>8.4854925506124279E-3</v>
      </c>
      <c r="DA55" s="1">
        <v>-9.043218458922031E-4</v>
      </c>
      <c r="DB55" s="1">
        <v>-1.9890626219705304E-3</v>
      </c>
      <c r="DC55" s="1">
        <v>3.6205441097217281E-3</v>
      </c>
      <c r="DD55" s="1">
        <v>-2.6996072199070992E-3</v>
      </c>
      <c r="DE55" s="1">
        <v>1.3284705502019149E-2</v>
      </c>
      <c r="DF55" s="1">
        <v>-5.5796333700003156E-3</v>
      </c>
      <c r="DG55" s="1">
        <v>9.1922016623615932E-3</v>
      </c>
      <c r="DH55" s="1">
        <v>-1.0707523768827013E-2</v>
      </c>
      <c r="DI55" s="1">
        <v>-7.4292491956424248E-3</v>
      </c>
      <c r="DJ55" s="1">
        <v>6.3311501017945526E-3</v>
      </c>
      <c r="DK55" s="1">
        <v>1.728493785167276E-4</v>
      </c>
      <c r="DL55" s="1">
        <v>1.7523819423983497E-2</v>
      </c>
      <c r="DM55" s="1">
        <v>1.7183736938706728E-2</v>
      </c>
      <c r="DN55" s="1">
        <v>4.1378399548722133E-5</v>
      </c>
      <c r="DO55" s="1">
        <v>-5.8615499174625163E-3</v>
      </c>
      <c r="DP55" s="1">
        <v>-2.5923125955002096E-2</v>
      </c>
      <c r="DQ55" s="1">
        <v>1.4299875302426088E-2</v>
      </c>
      <c r="DR55" s="1">
        <v>1.4057150103252286E-2</v>
      </c>
      <c r="DS55" s="1">
        <v>-1.753906974466167E-3</v>
      </c>
      <c r="DT55" s="1">
        <v>8.4197570611284495E-3</v>
      </c>
      <c r="DU55" s="1">
        <v>8.7955849026589983E-4</v>
      </c>
      <c r="DV55" s="1">
        <v>4.3196836698014829E-3</v>
      </c>
      <c r="DW55" s="1">
        <v>-8.9312129843383201E-3</v>
      </c>
      <c r="DX55" s="1">
        <v>-1.4683695732855391E-2</v>
      </c>
      <c r="DY55" s="1">
        <v>1.5243675987184555E-3</v>
      </c>
      <c r="DZ55" s="1">
        <v>-4.4253216182505994E-3</v>
      </c>
      <c r="EA55" s="1">
        <v>7.9178239695006786E-3</v>
      </c>
      <c r="EB55" s="1">
        <v>-1.3115996454675483E-2</v>
      </c>
      <c r="EC55" s="1">
        <v>-4.1379379212122536E-4</v>
      </c>
      <c r="ED55" s="1">
        <v>-3.1382287118200181E-2</v>
      </c>
      <c r="EE55" s="1">
        <v>1.0288347476296741E-2</v>
      </c>
      <c r="EF55" s="1">
        <v>-5.9462599964726984E-3</v>
      </c>
      <c r="EG55" s="1">
        <v>-1.2899230618907895E-3</v>
      </c>
      <c r="EH55" s="1">
        <v>1.6823827188820334E-3</v>
      </c>
      <c r="EI55" s="1">
        <v>-3.5377873106242422E-3</v>
      </c>
      <c r="EJ55" s="1">
        <v>-8.6568659885455576E-3</v>
      </c>
      <c r="EK55" s="1">
        <v>-4.0662645434476272E-3</v>
      </c>
      <c r="EL55" s="1">
        <v>-3.3405808421722652E-3</v>
      </c>
      <c r="EM55" s="1">
        <v>4.4891038278218678E-3</v>
      </c>
      <c r="EN55" s="1">
        <v>1.4004661714198466E-3</v>
      </c>
      <c r="EO55" s="1">
        <v>8.4854925506124279E-3</v>
      </c>
      <c r="EP55" s="1">
        <v>-1.3948498996631878E-3</v>
      </c>
      <c r="EQ55" s="1">
        <v>5.5088104284591738E-4</v>
      </c>
      <c r="ER55" s="1">
        <v>5.2729534669118186E-3</v>
      </c>
      <c r="ES55" s="1">
        <v>1.2998953468369566E-2</v>
      </c>
      <c r="ET55" s="1">
        <v>-1.1205029038703976E-3</v>
      </c>
      <c r="EU55" s="1">
        <v>-5.5492537426173327E-3</v>
      </c>
      <c r="EV55" s="10">
        <v>-3.707207468644648E-3</v>
      </c>
    </row>
    <row r="56" spans="1:152" x14ac:dyDescent="0.25">
      <c r="A56" s="21">
        <f t="shared" ca="1" si="0"/>
        <v>3.4137306014645444E-2</v>
      </c>
      <c r="B56" s="5">
        <v>55</v>
      </c>
      <c r="C56" s="9">
        <v>-1.1013077582049252E-3</v>
      </c>
      <c r="D56" s="1">
        <v>5.5169610721662321E-3</v>
      </c>
      <c r="E56" s="1">
        <v>-2.0294950496485553E-3</v>
      </c>
      <c r="F56" s="1">
        <v>-1.7556588385028438E-3</v>
      </c>
      <c r="G56" s="1">
        <v>-4.8745358191123189E-3</v>
      </c>
      <c r="H56" s="1">
        <v>1.6583418621309159E-3</v>
      </c>
      <c r="I56" s="1">
        <v>-5.023910051682734E-3</v>
      </c>
      <c r="J56" s="1">
        <v>-8.2747154705919979E-4</v>
      </c>
      <c r="K56" s="1">
        <v>-1.2079864162113652E-3</v>
      </c>
      <c r="L56" s="1">
        <v>6.9108374123987015E-4</v>
      </c>
      <c r="M56" s="1">
        <v>1.0071574438445807E-4</v>
      </c>
      <c r="N56" s="1">
        <v>-4.3268633968208542E-3</v>
      </c>
      <c r="O56" s="1">
        <v>9.6491995238560946E-4</v>
      </c>
      <c r="P56" s="1">
        <v>-7.7835596720185335E-3</v>
      </c>
      <c r="Q56" s="1">
        <v>1.0289030358280743E-3</v>
      </c>
      <c r="R56" s="1">
        <v>-3.2102310433594211E-3</v>
      </c>
      <c r="S56" s="1">
        <v>1.6583418621309159E-3</v>
      </c>
      <c r="T56" s="1">
        <v>1.7010374366948633E-3</v>
      </c>
      <c r="U56" s="1">
        <v>6.1286165779001617E-3</v>
      </c>
      <c r="V56" s="1">
        <v>-4.3695589713848154E-3</v>
      </c>
      <c r="W56" s="1">
        <v>6.1713121524641368E-3</v>
      </c>
      <c r="X56" s="1">
        <v>4.5631835954153266E-4</v>
      </c>
      <c r="Y56" s="1">
        <v>-1.1873319518635642E-2</v>
      </c>
      <c r="Z56" s="1">
        <v>1.1352792098547573E-2</v>
      </c>
      <c r="AA56" s="1">
        <v>-4.3268633968208542E-3</v>
      </c>
      <c r="AB56" s="1">
        <v>7.2666569970470385E-3</v>
      </c>
      <c r="AC56" s="1">
        <v>4.7772188427403772E-3</v>
      </c>
      <c r="AD56" s="1">
        <v>6.4838816667590893E-4</v>
      </c>
      <c r="AE56" s="1">
        <v>2.6719203027024685E-3</v>
      </c>
      <c r="AF56" s="1">
        <v>-2.0294950496485553E-3</v>
      </c>
      <c r="AG56" s="1">
        <v>1.7437330112588245E-3</v>
      </c>
      <c r="AH56" s="1">
        <v>1.1776002542263714E-2</v>
      </c>
      <c r="AI56" s="1">
        <v>-1.4295149844383237E-2</v>
      </c>
      <c r="AJ56" s="1">
        <v>-8.2672490108675195E-3</v>
      </c>
      <c r="AK56" s="1">
        <v>3.4934289361396587E-3</v>
      </c>
      <c r="AL56" s="1">
        <v>3.2195927249939194E-3</v>
      </c>
      <c r="AM56" s="1">
        <v>5.8974759413183975E-3</v>
      </c>
      <c r="AN56" s="1">
        <v>-9.4265769388929277E-3</v>
      </c>
      <c r="AO56" s="1">
        <v>-3.2315185522379108E-3</v>
      </c>
      <c r="AP56" s="1">
        <v>9.2222437782163436E-4</v>
      </c>
      <c r="AQ56" s="1">
        <v>-4.865848818597085E-5</v>
      </c>
      <c r="AR56" s="1">
        <v>1.5485247519728615E-2</v>
      </c>
      <c r="AS56" s="1">
        <v>-7.2785828242910439E-3</v>
      </c>
      <c r="AT56" s="1">
        <v>8.3583770965133947E-3</v>
      </c>
      <c r="AU56" s="1">
        <v>-1.5672137764850269E-3</v>
      </c>
      <c r="AV56" s="1">
        <v>6.5696103421851865E-3</v>
      </c>
      <c r="AW56" s="1">
        <v>-7.1719041662846039E-3</v>
      </c>
      <c r="AX56" s="1">
        <v>-3.7791909745294033E-3</v>
      </c>
      <c r="AY56" s="1">
        <v>-1.6489801804963899E-3</v>
      </c>
      <c r="AZ56" s="1">
        <v>1.1960605889673737E-3</v>
      </c>
      <c r="BA56" s="1">
        <v>3.198931190004356E-2</v>
      </c>
      <c r="BB56" s="1">
        <v>2.4293481545658371E-2</v>
      </c>
      <c r="BC56" s="1">
        <v>3.5065493306089074E-2</v>
      </c>
      <c r="BD56" s="1">
        <v>2.1153317056170379E-2</v>
      </c>
      <c r="BE56" s="1">
        <v>3.4137306014645444E-2</v>
      </c>
      <c r="BF56" s="1">
        <v>1.4535048225799235E-2</v>
      </c>
      <c r="BG56" s="1">
        <v>2.332259867965078E-2</v>
      </c>
      <c r="BH56" s="1">
        <v>2.2457378615947654E-4</v>
      </c>
      <c r="BI56" s="1">
        <v>2.8258779413700121E-2</v>
      </c>
      <c r="BJ56" s="1">
        <v>1.061244593232144E-2</v>
      </c>
      <c r="BK56" s="1">
        <v>1.0068398255146535E-2</v>
      </c>
      <c r="BL56" s="1">
        <v>1.9592066193307348E-2</v>
      </c>
      <c r="BM56" s="1">
        <v>2.3518293231901709E-2</v>
      </c>
      <c r="BN56" s="1">
        <v>2.2312644984195773E-2</v>
      </c>
      <c r="BO56" s="1">
        <v>1.0761820164891842E-2</v>
      </c>
      <c r="BP56" s="1">
        <v>2.8763756261427631E-2</v>
      </c>
      <c r="BQ56" s="1">
        <v>1.4342978418664845E-2</v>
      </c>
      <c r="BR56" s="1">
        <v>9.9012407020072357E-3</v>
      </c>
      <c r="BS56" s="1">
        <v>4.102941105616232E-2</v>
      </c>
      <c r="BT56" s="1">
        <v>1.3251258319198503E-2</v>
      </c>
      <c r="BU56" s="1">
        <v>2.3952037505953594E-2</v>
      </c>
      <c r="BV56" s="1">
        <v>2.1533831925322544E-2</v>
      </c>
      <c r="BW56" s="1">
        <v>3.6708510572963468E-2</v>
      </c>
      <c r="BX56" s="1">
        <v>1.8731486730422756E-2</v>
      </c>
      <c r="BY56" s="1">
        <v>2.475938756393848E-2</v>
      </c>
      <c r="BZ56" s="1">
        <v>2.9037592472573349E-2</v>
      </c>
      <c r="CA56" s="1">
        <v>3.6584048594388144E-2</v>
      </c>
      <c r="CB56" s="1">
        <v>3.9194323982153563E-2</v>
      </c>
      <c r="CC56" s="1">
        <v>2.3365294254214727E-2</v>
      </c>
      <c r="CD56" s="1">
        <v>1.0175076913152975E-2</v>
      </c>
      <c r="CE56" s="1">
        <v>1.3525094530344242E-2</v>
      </c>
      <c r="CF56" s="1">
        <v>1.0722749335444454E-2</v>
      </c>
      <c r="CG56" s="1">
        <v>1.5505931091806813E-2</v>
      </c>
      <c r="CH56" s="1">
        <v>3.0214703721167642E-2</v>
      </c>
      <c r="CI56" s="1">
        <v>1.0843586568903205E-2</v>
      </c>
      <c r="CJ56" s="1">
        <v>1.6049978768981718E-2</v>
      </c>
      <c r="CK56" s="1">
        <v>3.1566101456327419E-2</v>
      </c>
      <c r="CL56" s="1">
        <v>3.515088445521701E-2</v>
      </c>
      <c r="CM56" s="1">
        <v>8.7382880288652681E-3</v>
      </c>
      <c r="CN56" s="1">
        <v>1.710625278411726E-2</v>
      </c>
      <c r="CO56" s="1">
        <v>1.2280375453190912E-2</v>
      </c>
      <c r="CP56" s="1">
        <v>2.02891128481692E-2</v>
      </c>
      <c r="CQ56" s="1">
        <v>1.7529463227833386E-2</v>
      </c>
      <c r="CR56" s="1">
        <v>3.9978018470668564E-3</v>
      </c>
      <c r="CS56" s="1">
        <v>1.4808884436944961E-2</v>
      </c>
      <c r="CT56" s="1">
        <v>7.6856387588463138E-3</v>
      </c>
      <c r="CU56" s="1">
        <v>1.2511516089772676E-2</v>
      </c>
      <c r="CV56" s="1">
        <v>2.1259995714176826E-2</v>
      </c>
      <c r="CW56" s="1">
        <v>4.5027786947943599E-3</v>
      </c>
      <c r="CX56" s="1">
        <v>1.4535048225799235E-2</v>
      </c>
      <c r="CY56" s="1">
        <v>1.6472771967213778E-3</v>
      </c>
      <c r="CZ56" s="1">
        <v>-1.1774080780922166E-2</v>
      </c>
      <c r="DA56" s="1">
        <v>1.0506060224248527E-2</v>
      </c>
      <c r="DB56" s="1">
        <v>-9.8750106234709104E-3</v>
      </c>
      <c r="DC56" s="1">
        <v>2.8102298698633454E-3</v>
      </c>
      <c r="DD56" s="1">
        <v>1.9254539848652656E-2</v>
      </c>
      <c r="DE56" s="1">
        <v>-2.9078970222596062E-2</v>
      </c>
      <c r="DF56" s="1">
        <v>7.6219486253373755E-3</v>
      </c>
      <c r="DG56" s="1">
        <v>5.2179016201586575E-3</v>
      </c>
      <c r="DH56" s="1">
        <v>1.1323944112569165E-2</v>
      </c>
      <c r="DI56" s="1">
        <v>-6.8415247919893646E-3</v>
      </c>
      <c r="DJ56" s="1">
        <v>-1.2759052316371686E-3</v>
      </c>
      <c r="DK56" s="1">
        <v>5.2569724496060385E-3</v>
      </c>
      <c r="DL56" s="1">
        <v>-6.6743672388500652E-3</v>
      </c>
      <c r="DM56" s="1">
        <v>2.1411305755023036E-4</v>
      </c>
      <c r="DN56" s="1">
        <v>-1.8418513217081933E-4</v>
      </c>
      <c r="DO56" s="1">
        <v>-8.3991509097358155E-3</v>
      </c>
      <c r="DP56" s="1">
        <v>7.61832388022083E-3</v>
      </c>
      <c r="DQ56" s="1">
        <v>3.4703054707439333E-2</v>
      </c>
      <c r="DR56" s="1">
        <v>-9.3664090306268474E-3</v>
      </c>
      <c r="DS56" s="1">
        <v>8.5642944922333236E-3</v>
      </c>
      <c r="DT56" s="1">
        <v>-1.4494659571810578E-2</v>
      </c>
      <c r="DU56" s="1">
        <v>2.2248954850686856E-2</v>
      </c>
      <c r="DV56" s="1">
        <v>-5.8279463514177912E-3</v>
      </c>
      <c r="DW56" s="1">
        <v>-2.5633198833544535E-3</v>
      </c>
      <c r="DX56" s="1">
        <v>-1.9834370762311648E-4</v>
      </c>
      <c r="DY56" s="1">
        <v>-9.6011744123251641E-3</v>
      </c>
      <c r="DZ56" s="1">
        <v>-1.5397934609259145E-2</v>
      </c>
      <c r="EA56" s="1">
        <v>2.3052530221358558E-3</v>
      </c>
      <c r="EB56" s="1">
        <v>-1.7559698253695674E-3</v>
      </c>
      <c r="EC56" s="1">
        <v>1.4197521881144565E-2</v>
      </c>
      <c r="ED56" s="1">
        <v>5.5130253401828866E-3</v>
      </c>
      <c r="EE56" s="1">
        <v>5.1075982170356513E-3</v>
      </c>
      <c r="EF56" s="1">
        <v>-1.6258514072143709E-2</v>
      </c>
      <c r="EG56" s="1">
        <v>-1.8513186844752054E-2</v>
      </c>
      <c r="EH56" s="1">
        <v>2.6608926163333095E-2</v>
      </c>
      <c r="EI56" s="1">
        <v>-3.1786001342049841E-3</v>
      </c>
      <c r="EJ56" s="1">
        <v>-1.2172378970643202E-2</v>
      </c>
      <c r="EK56" s="1">
        <v>-1.7147630534139952E-2</v>
      </c>
      <c r="EL56" s="1">
        <v>4.9831362384603062E-3</v>
      </c>
      <c r="EM56" s="1">
        <v>9.8907799733980173E-3</v>
      </c>
      <c r="EN56" s="1">
        <v>1.0587826628259883E-2</v>
      </c>
      <c r="EO56" s="1">
        <v>-1.1774080780922166E-2</v>
      </c>
      <c r="EP56" s="1">
        <v>6.8145985673524895E-3</v>
      </c>
      <c r="EQ56" s="1">
        <v>8.6460608962447005E-3</v>
      </c>
      <c r="ER56" s="1">
        <v>9.1119669145247953E-3</v>
      </c>
      <c r="ES56" s="1">
        <v>1.0214631155351234E-3</v>
      </c>
      <c r="ET56" s="1">
        <v>-2.7944605199362385E-3</v>
      </c>
      <c r="EU56" s="1">
        <v>-7.7306412539855929E-3</v>
      </c>
      <c r="EV56" s="10">
        <v>-1.8897326459020786E-2</v>
      </c>
    </row>
    <row r="57" spans="1:152" x14ac:dyDescent="0.25">
      <c r="A57" s="21">
        <f t="shared" ca="1" si="0"/>
        <v>2.2537937364917843E-2</v>
      </c>
      <c r="B57" s="5">
        <v>56</v>
      </c>
      <c r="C57" s="9">
        <v>5.5304707056301472E-5</v>
      </c>
      <c r="D57" s="1">
        <v>-3.1979060168590978E-3</v>
      </c>
      <c r="E57" s="1">
        <v>6.3576269875752212E-4</v>
      </c>
      <c r="F57" s="1">
        <v>5.2777435955669166E-4</v>
      </c>
      <c r="G57" s="1">
        <v>1.9721390648646114E-3</v>
      </c>
      <c r="H57" s="1">
        <v>6.2417600847492621E-4</v>
      </c>
      <c r="I57" s="1">
        <v>3.1812558727261839E-3</v>
      </c>
      <c r="J57" s="1">
        <v>-5.2683632144535919E-5</v>
      </c>
      <c r="K57" s="1">
        <v>3.1179768115500647E-4</v>
      </c>
      <c r="L57" s="1">
        <v>-1.8017421360102953E-3</v>
      </c>
      <c r="M57" s="1">
        <v>-6.331416238457635E-4</v>
      </c>
      <c r="N57" s="1">
        <v>1.7561623864629367E-3</v>
      </c>
      <c r="O57" s="1">
        <v>-1.9097304752111327E-3</v>
      </c>
      <c r="P57" s="1">
        <v>2.6123845713075522E-3</v>
      </c>
      <c r="Q57" s="1">
        <v>-1.2135996155469841E-3</v>
      </c>
      <c r="R57" s="1">
        <v>2.9729637230865996E-3</v>
      </c>
      <c r="S57" s="1">
        <v>6.2417600847492621E-4</v>
      </c>
      <c r="T57" s="1">
        <v>-3.2844782528792388E-4</v>
      </c>
      <c r="U57" s="1">
        <v>-2.717751835596624E-3</v>
      </c>
      <c r="V57" s="1">
        <v>2.7087862202258006E-3</v>
      </c>
      <c r="W57" s="1">
        <v>-3.670375669359488E-3</v>
      </c>
      <c r="X57" s="1">
        <v>1.3126223393770051E-3</v>
      </c>
      <c r="Y57" s="1">
        <v>5.5898311020795566E-3</v>
      </c>
      <c r="Z57" s="1">
        <v>-3.1207755869855219E-3</v>
      </c>
      <c r="AA57" s="1">
        <v>1.7561623864629367E-3</v>
      </c>
      <c r="AB57" s="1">
        <v>-4.1023290261628306E-3</v>
      </c>
      <c r="AC57" s="1">
        <v>-8.2018869683298662E-4</v>
      </c>
      <c r="AD57" s="1">
        <v>-8.4911830224744522E-4</v>
      </c>
      <c r="AE57" s="1">
        <v>-1.8615296507520154E-3</v>
      </c>
      <c r="AF57" s="1">
        <v>6.3576269875752212E-4</v>
      </c>
      <c r="AG57" s="1">
        <v>-1.2810716590507809E-3</v>
      </c>
      <c r="AH57" s="1">
        <v>-4.4378807340479387E-3</v>
      </c>
      <c r="AI57" s="1">
        <v>5.6091023211242222E-3</v>
      </c>
      <c r="AJ57" s="1">
        <v>3.5244921093733686E-3</v>
      </c>
      <c r="AK57" s="1">
        <v>-2.1854946683545207E-3</v>
      </c>
      <c r="AL57" s="1">
        <v>-2.0775063291536833E-3</v>
      </c>
      <c r="AM57" s="1">
        <v>-3.5623873301586506E-3</v>
      </c>
      <c r="AN57" s="1">
        <v>3.2603146065125696E-3</v>
      </c>
      <c r="AO57" s="1">
        <v>1.3242090296595802E-3</v>
      </c>
      <c r="AP57" s="1">
        <v>-9.5710664144826874E-4</v>
      </c>
      <c r="AQ57" s="1">
        <v>5.7597518401580894E-4</v>
      </c>
      <c r="AR57" s="1">
        <v>-7.0508459515203972E-3</v>
      </c>
      <c r="AS57" s="1">
        <v>3.3490317266687275E-3</v>
      </c>
      <c r="AT57" s="1">
        <v>-5.7528241301686711E-4</v>
      </c>
      <c r="AU57" s="1">
        <v>2.3250336878815753E-3</v>
      </c>
      <c r="AV57" s="1">
        <v>-2.6772355398995834E-3</v>
      </c>
      <c r="AW57" s="1">
        <v>3.092538752570026E-3</v>
      </c>
      <c r="AX57" s="1">
        <v>1.5401857080612619E-3</v>
      </c>
      <c r="AY57" s="1">
        <v>2.7128138545797625E-4</v>
      </c>
      <c r="AZ57" s="1">
        <v>-1.0650949806491131E-3</v>
      </c>
      <c r="BA57" s="1">
        <v>1.4446331105643348E-2</v>
      </c>
      <c r="BB57" s="1">
        <v>1.9489116629121533E-2</v>
      </c>
      <c r="BC57" s="1">
        <v>1.3954590234098278E-2</v>
      </c>
      <c r="BD57" s="1">
        <v>1.9284726641002448E-2</v>
      </c>
      <c r="BE57" s="1">
        <v>1.4535048225799502E-2</v>
      </c>
      <c r="BF57" s="1">
        <v>2.2537937364917843E-2</v>
      </c>
      <c r="BG57" s="1">
        <v>2.1022198454585618E-2</v>
      </c>
      <c r="BH57" s="1">
        <v>2.6874933642362119E-2</v>
      </c>
      <c r="BI57" s="1">
        <v>1.5410541629688797E-2</v>
      </c>
      <c r="BJ57" s="1">
        <v>2.5663888530587729E-2</v>
      </c>
      <c r="BK57" s="1">
        <v>2.1920865239040091E-2</v>
      </c>
      <c r="BL57" s="1">
        <v>2.1986408978631071E-2</v>
      </c>
      <c r="BM57" s="1">
        <v>1.4901457843011872E-2</v>
      </c>
      <c r="BN57" s="1">
        <v>1.954890414386325E-2</v>
      </c>
      <c r="BO57" s="1">
        <v>2.445477172272616E-2</v>
      </c>
      <c r="BP57" s="1">
        <v>1.6147188785049983E-2</v>
      </c>
      <c r="BQ57" s="1">
        <v>2.4699678006542283E-2</v>
      </c>
      <c r="BR57" s="1">
        <v>2.177236060414222E-2</v>
      </c>
      <c r="BS57" s="1">
        <v>1.1173849162683273E-2</v>
      </c>
      <c r="BT57" s="1">
        <v>2.1172631393396316E-2</v>
      </c>
      <c r="BU57" s="1">
        <v>2.2859974078607542E-2</v>
      </c>
      <c r="BV57" s="1">
        <v>1.8920245327702898E-2</v>
      </c>
      <c r="BW57" s="1">
        <v>1.3306660198893257E-2</v>
      </c>
      <c r="BX57" s="1">
        <v>1.9303997860047124E-2</v>
      </c>
      <c r="BY57" s="1">
        <v>1.7219387648296263E-2</v>
      </c>
      <c r="BZ57" s="1">
        <v>1.6039200445849146E-2</v>
      </c>
      <c r="CA57" s="1">
        <v>1.2205531730232522E-2</v>
      </c>
      <c r="CB57" s="1">
        <v>1.398351983951273E-2</v>
      </c>
      <c r="CC57" s="1">
        <v>2.0069574620822758E-2</v>
      </c>
      <c r="CD57" s="1">
        <v>2.1664372264941376E-2</v>
      </c>
      <c r="CE57" s="1">
        <v>2.1064643054195475E-2</v>
      </c>
      <c r="CF57" s="1">
        <v>2.1448395586539701E-2</v>
      </c>
      <c r="CG57" s="1">
        <v>2.1004855539453769E-2</v>
      </c>
      <c r="CH57" s="1">
        <v>1.7660999391469388E-2</v>
      </c>
      <c r="CI57" s="1">
        <v>2.6508524025149749E-2</v>
      </c>
      <c r="CJ57" s="1">
        <v>2.4747878831001401E-2</v>
      </c>
      <c r="CK57" s="1">
        <v>1.5763436252705758E-2</v>
      </c>
      <c r="CL57" s="1">
        <v>1.2049342566572557E-2</v>
      </c>
      <c r="CM57" s="1">
        <v>2.5467183071230734E-2</v>
      </c>
      <c r="CN57" s="1">
        <v>2.1309549338011598E-2</v>
      </c>
      <c r="CO57" s="1">
        <v>2.2705713218860397E-2</v>
      </c>
      <c r="CP57" s="1">
        <v>2.0561315492367824E-2</v>
      </c>
      <c r="CQ57" s="1">
        <v>1.9992444190949192E-2</v>
      </c>
      <c r="CR57" s="1">
        <v>2.4958099284553809E-2</v>
      </c>
      <c r="CS57" s="1">
        <v>2.2429949025717016E-2</v>
      </c>
      <c r="CT57" s="1">
        <v>2.494651259427122E-2</v>
      </c>
      <c r="CU57" s="1">
        <v>2.3550348713422421E-2</v>
      </c>
      <c r="CV57" s="1">
        <v>1.9028233666903736E-2</v>
      </c>
      <c r="CW57" s="1">
        <v>2.5694746439915001E-2</v>
      </c>
      <c r="CX57" s="1">
        <v>2.2537937364917843E-2</v>
      </c>
      <c r="CY57" s="1">
        <v>4.0862122596081393E-3</v>
      </c>
      <c r="CZ57" s="1">
        <v>4.8363744091647412E-3</v>
      </c>
      <c r="DA57" s="1">
        <v>-4.6513957309585671E-3</v>
      </c>
      <c r="DB57" s="1">
        <v>2.7228345919994255E-3</v>
      </c>
      <c r="DC57" s="1">
        <v>3.9138979251962525E-4</v>
      </c>
      <c r="DD57" s="1">
        <v>-9.173510777477252E-3</v>
      </c>
      <c r="DE57" s="1">
        <v>1.1718863860577664E-2</v>
      </c>
      <c r="DF57" s="1">
        <v>-6.3213955010379443E-3</v>
      </c>
      <c r="DG57" s="1">
        <v>-4.9445028392338143E-3</v>
      </c>
      <c r="DH57" s="1">
        <v>-1.0163607786117662E-3</v>
      </c>
      <c r="DI57" s="1">
        <v>3.1837175542172233E-3</v>
      </c>
      <c r="DJ57" s="1">
        <v>-5.9016364665768345E-4</v>
      </c>
      <c r="DK57" s="1">
        <v>-1.9381267030473548E-3</v>
      </c>
      <c r="DL57" s="1">
        <v>3.3322221891150978E-3</v>
      </c>
      <c r="DM57" s="1">
        <v>3.9300230959481812E-3</v>
      </c>
      <c r="DN57" s="1">
        <v>2.9368829664882801E-3</v>
      </c>
      <c r="DO57" s="1">
        <v>1.9263999218965266E-3</v>
      </c>
      <c r="DP57" s="1">
        <v>-2.3623955310886277E-3</v>
      </c>
      <c r="DQ57" s="1">
        <v>-1.4895084245487737E-2</v>
      </c>
      <c r="DR57" s="1">
        <v>-4.9951822258870529E-4</v>
      </c>
      <c r="DS57" s="1">
        <v>-1.5852320800304048E-3</v>
      </c>
      <c r="DT57" s="1">
        <v>7.2738792439325552E-3</v>
      </c>
      <c r="DU57" s="1">
        <v>-1.1719003951445917E-2</v>
      </c>
      <c r="DV57" s="1">
        <v>6.9801189499028166E-4</v>
      </c>
      <c r="DW57" s="1">
        <v>2.0035303517700956E-3</v>
      </c>
      <c r="DX57" s="1">
        <v>-2.3797384462204835E-3</v>
      </c>
      <c r="DY57" s="1">
        <v>2.6148462527985812E-3</v>
      </c>
      <c r="DZ57" s="1">
        <v>5.5440919591114718E-3</v>
      </c>
      <c r="EA57" s="1">
        <v>-3.4525736284156741E-4</v>
      </c>
      <c r="EB57" s="1">
        <v>-3.6370560785411801E-3</v>
      </c>
      <c r="EC57" s="1">
        <v>-8.6219823911904865E-3</v>
      </c>
      <c r="ED57" s="1">
        <v>-3.4037364850076426E-3</v>
      </c>
      <c r="EE57" s="1">
        <v>-7.2900989518579276E-4</v>
      </c>
      <c r="EF57" s="1">
        <v>2.8616808405275244E-3</v>
      </c>
      <c r="EG57" s="1">
        <v>3.0294566944700785E-3</v>
      </c>
      <c r="EH57" s="1">
        <v>-1.0845438851469442E-2</v>
      </c>
      <c r="EI57" s="1">
        <v>5.4823761404569418E-3</v>
      </c>
      <c r="EJ57" s="1">
        <v>3.8432342797048366E-3</v>
      </c>
      <c r="EK57" s="1">
        <v>6.4485149684152046E-3</v>
      </c>
      <c r="EL57" s="1">
        <v>-1.8301383638465243E-3</v>
      </c>
      <c r="EM57" s="1">
        <v>-1.1725499422717209E-3</v>
      </c>
      <c r="EN57" s="1">
        <v>-2.597643428534975E-3</v>
      </c>
      <c r="EO57" s="1">
        <v>4.8363744091647412E-3</v>
      </c>
      <c r="EP57" s="1">
        <v>-6.8080907072665814E-4</v>
      </c>
      <c r="EQ57" s="1">
        <v>4.6852022239319419E-4</v>
      </c>
      <c r="ER57" s="1">
        <v>-1.8012087584320727E-3</v>
      </c>
      <c r="ES57" s="1">
        <v>-1.7105633343630945E-3</v>
      </c>
      <c r="ET57" s="1">
        <v>1.1588948572080759E-3</v>
      </c>
      <c r="EU57" s="1">
        <v>6.7705516821049E-3</v>
      </c>
      <c r="EV57" s="10">
        <v>7.3529379777189444E-3</v>
      </c>
    </row>
    <row r="58" spans="1:152" x14ac:dyDescent="0.25">
      <c r="A58" s="21">
        <f t="shared" ca="1" si="0"/>
        <v>4.0181152238945438E-2</v>
      </c>
      <c r="B58" s="5">
        <v>57</v>
      </c>
      <c r="C58" s="9">
        <v>2.9524171381097725E-4</v>
      </c>
      <c r="D58" s="1">
        <v>-1.2256867757631983E-2</v>
      </c>
      <c r="E58" s="1">
        <v>-6.1313385776931781E-3</v>
      </c>
      <c r="F58" s="1">
        <v>-8.4050421738328732E-3</v>
      </c>
      <c r="G58" s="1">
        <v>3.3580063037803656E-3</v>
      </c>
      <c r="H58" s="1">
        <v>1.5241230795668801E-2</v>
      </c>
      <c r="I58" s="1">
        <v>2.3279822055228758E-3</v>
      </c>
      <c r="J58" s="1">
        <v>-1.978461882328704E-3</v>
      </c>
      <c r="K58" s="1">
        <v>-1.2952449366112194E-2</v>
      </c>
      <c r="L58" s="1">
        <v>-1.2316955764769585E-2</v>
      </c>
      <c r="M58" s="1">
        <v>4.4481184091754652E-3</v>
      </c>
      <c r="N58" s="1">
        <v>-1.1894008884989829E-3</v>
      </c>
      <c r="O58" s="1">
        <v>-1.4590659360909281E-2</v>
      </c>
      <c r="P58" s="1">
        <v>-1.2618006876334964E-2</v>
      </c>
      <c r="Q58" s="1">
        <v>1.0874698700679621E-2</v>
      </c>
      <c r="R58" s="1">
        <v>2.7398809770196902E-2</v>
      </c>
      <c r="S58" s="1">
        <v>1.5241230795668801E-2</v>
      </c>
      <c r="T58" s="1">
        <v>3.0235638140031149E-3</v>
      </c>
      <c r="U58" s="1">
        <v>8.6610831116775353E-3</v>
      </c>
      <c r="V58" s="1">
        <v>1.1028266093166726E-2</v>
      </c>
      <c r="W58" s="1">
        <v>-3.5565838699881461E-3</v>
      </c>
      <c r="X58" s="1">
        <v>1.1088354100304343E-2</v>
      </c>
      <c r="Y58" s="1">
        <v>4.9361282914398077E-3</v>
      </c>
      <c r="Z58" s="1">
        <v>3.1437398282783274E-3</v>
      </c>
      <c r="AA58" s="1">
        <v>-1.1894008884989829E-3</v>
      </c>
      <c r="AB58" s="1">
        <v>-1.2651398254546857E-2</v>
      </c>
      <c r="AC58" s="1">
        <v>3.4781823180555782E-3</v>
      </c>
      <c r="AD58" s="1">
        <v>-9.928878310389716E-5</v>
      </c>
      <c r="AE58" s="1">
        <v>-2.767522876158425E-3</v>
      </c>
      <c r="AF58" s="1">
        <v>-6.1313385776931781E-3</v>
      </c>
      <c r="AG58" s="1">
        <v>-9.1941031676625942E-3</v>
      </c>
      <c r="AH58" s="1">
        <v>1.9000603303961361E-3</v>
      </c>
      <c r="AI58" s="1">
        <v>1.3181793675031171E-2</v>
      </c>
      <c r="AJ58" s="1">
        <v>1.7394758377533258E-2</v>
      </c>
      <c r="AK58" s="1">
        <v>-9.5886336645774409E-3</v>
      </c>
      <c r="AL58" s="1">
        <v>-7.3149300684377735E-3</v>
      </c>
      <c r="AM58" s="1">
        <v>-1.2828802738484926E-3</v>
      </c>
      <c r="AN58" s="1">
        <v>1.024214700503099E-3</v>
      </c>
      <c r="AO58" s="1">
        <v>-1.0284215273057666E-2</v>
      </c>
      <c r="AP58" s="1">
        <v>-2.3729923792435506E-3</v>
      </c>
      <c r="AQ58" s="1">
        <v>3.4180943109179615E-3</v>
      </c>
      <c r="AR58" s="1">
        <v>-2.6628062321162153E-2</v>
      </c>
      <c r="AS58" s="1">
        <v>-4.9477470869485826E-3</v>
      </c>
      <c r="AT58" s="1">
        <v>1.1603060611494385E-2</v>
      </c>
      <c r="AU58" s="1">
        <v>1.3756588193358871E-2</v>
      </c>
      <c r="AV58" s="1">
        <v>-9.1340151605249983E-3</v>
      </c>
      <c r="AW58" s="1">
        <v>8.2999439929745886E-3</v>
      </c>
      <c r="AX58" s="1">
        <v>-5.7368080807783314E-3</v>
      </c>
      <c r="AY58" s="1">
        <v>4.8426489060903119E-3</v>
      </c>
      <c r="AZ58" s="1">
        <v>-4.6466959753832457E-3</v>
      </c>
      <c r="BA58" s="1">
        <v>2.9294560467102583E-2</v>
      </c>
      <c r="BB58" s="1">
        <v>3.4390065548783891E-2</v>
      </c>
      <c r="BC58" s="1">
        <v>2.974917897115506E-2</v>
      </c>
      <c r="BD58" s="1">
        <v>8.4700889831425333E-3</v>
      </c>
      <c r="BE58" s="1">
        <v>2.3322598679650891E-2</v>
      </c>
      <c r="BF58" s="1">
        <v>2.1022198454585493E-2</v>
      </c>
      <c r="BG58" s="1">
        <v>4.0181152238945438E-2</v>
      </c>
      <c r="BH58" s="1">
        <v>5.3205397571098462E-3</v>
      </c>
      <c r="BI58" s="1">
        <v>2.0139658075406276E-2</v>
      </c>
      <c r="BJ58" s="1">
        <v>2.3054938946297419E-2</v>
      </c>
      <c r="BK58" s="1">
        <v>-5.7469271120231674E-3</v>
      </c>
      <c r="BL58" s="1">
        <v>3.1026249847249124E-2</v>
      </c>
      <c r="BM58" s="1">
        <v>-4.3557638950627031E-3</v>
      </c>
      <c r="BN58" s="1">
        <v>2.484063266017273E-2</v>
      </c>
      <c r="BO58" s="1">
        <v>2.4084963044554909E-2</v>
      </c>
      <c r="BP58" s="1">
        <v>2.7809917864792637E-2</v>
      </c>
      <c r="BQ58" s="1">
        <v>3.2209841337993719E-2</v>
      </c>
      <c r="BR58" s="1">
        <v>9.7744675640396989E-3</v>
      </c>
      <c r="BS58" s="1">
        <v>8.4967856120682778E-3</v>
      </c>
      <c r="BT58" s="1">
        <v>7.9553824719524879E-3</v>
      </c>
      <c r="BU58" s="1">
        <v>4.4547684333934627E-2</v>
      </c>
      <c r="BV58" s="1">
        <v>1.9444076466926051E-2</v>
      </c>
      <c r="BW58" s="1">
        <v>1.6106957394317015E-2</v>
      </c>
      <c r="BX58" s="1">
        <v>1.6715754366733913E-2</v>
      </c>
      <c r="BY58" s="1">
        <v>2.0928719069235997E-2</v>
      </c>
      <c r="BZ58" s="1">
        <v>2.5536214268652942E-2</v>
      </c>
      <c r="CA58" s="1">
        <v>1.9410685088714151E-2</v>
      </c>
      <c r="CB58" s="1">
        <v>3.3326650072314522E-2</v>
      </c>
      <c r="CC58" s="1">
        <v>2.7963485257279749E-2</v>
      </c>
      <c r="CD58" s="1">
        <v>7.5007639679000038E-3</v>
      </c>
      <c r="CE58" s="1">
        <v>5.6816788758127929E-3</v>
      </c>
      <c r="CF58" s="1">
        <v>2.9533567756206552E-3</v>
      </c>
      <c r="CG58" s="1">
        <v>1.5231111764423981E-2</v>
      </c>
      <c r="CH58" s="1">
        <v>2.5355339171362824E-2</v>
      </c>
      <c r="CI58" s="1">
        <v>3.299890233182344E-2</v>
      </c>
      <c r="CJ58" s="1">
        <v>4.4032977822744575E-2</v>
      </c>
      <c r="CK58" s="1">
        <v>3.0538239964984781E-2</v>
      </c>
      <c r="CL58" s="1">
        <v>5.313845007823649E-3</v>
      </c>
      <c r="CM58" s="1">
        <v>2.6753197137609437E-2</v>
      </c>
      <c r="CN58" s="1">
        <v>1.3806557169251617E-2</v>
      </c>
      <c r="CO58" s="1">
        <v>1.3746469162114007E-2</v>
      </c>
      <c r="CP58" s="1">
        <v>2.7508866753227258E-2</v>
      </c>
      <c r="CQ58" s="1">
        <v>1.2562877671369439E-2</v>
      </c>
      <c r="CR58" s="1">
        <v>2.25777516714043E-3</v>
      </c>
      <c r="CS58" s="1">
        <v>1.874849485844584E-2</v>
      </c>
      <c r="CT58" s="1">
        <v>2.3630344540502425E-2</v>
      </c>
      <c r="CU58" s="1">
        <v>2.3690432547640035E-2</v>
      </c>
      <c r="CV58" s="1">
        <v>2.1717780063065746E-2</v>
      </c>
      <c r="CW58" s="1">
        <v>9.9280349565268045E-3</v>
      </c>
      <c r="CX58" s="1">
        <v>2.1022198454585493E-2</v>
      </c>
      <c r="CY58" s="1">
        <v>2.276693772938336E-2</v>
      </c>
      <c r="CZ58" s="1">
        <v>-7.6397469455223785E-3</v>
      </c>
      <c r="DA58" s="1">
        <v>6.9270307413227955E-4</v>
      </c>
      <c r="DB58" s="1">
        <v>-7.004253344179763E-3</v>
      </c>
      <c r="DC58" s="1">
        <v>5.7882081558136081E-3</v>
      </c>
      <c r="DD58" s="1">
        <v>-1.2799494104420092E-3</v>
      </c>
      <c r="DE58" s="1">
        <v>-1.4882084859781965E-2</v>
      </c>
      <c r="DF58" s="1">
        <v>-1.0949558313328396E-2</v>
      </c>
      <c r="DG58" s="1">
        <v>-1.9255311704057344E-2</v>
      </c>
      <c r="DH58" s="1">
        <v>2.7220865536313213E-2</v>
      </c>
      <c r="DI58" s="1">
        <v>5.6680321415384094E-3</v>
      </c>
      <c r="DJ58" s="1">
        <v>-1.0006929927011569E-2</v>
      </c>
      <c r="DK58" s="1">
        <v>1.876294564876875E-3</v>
      </c>
      <c r="DL58" s="1">
        <v>-9.8533625345244569E-3</v>
      </c>
      <c r="DM58" s="1">
        <v>8.6700976484928582E-3</v>
      </c>
      <c r="DN58" s="1">
        <v>1.4247528939029669E-2</v>
      </c>
      <c r="DO58" s="1">
        <v>-5.1250802449549562E-3</v>
      </c>
      <c r="DP58" s="1">
        <v>2.2399714937271546E-2</v>
      </c>
      <c r="DQ58" s="1">
        <v>-6.8907720791907545E-3</v>
      </c>
      <c r="DR58" s="1">
        <v>-3.2683266805393338E-2</v>
      </c>
      <c r="DS58" s="1">
        <v>1.227487645445538E-2</v>
      </c>
      <c r="DT58" s="1">
        <v>-1.454129758445985E-3</v>
      </c>
      <c r="DU58" s="1">
        <v>-9.7392701936580978E-3</v>
      </c>
      <c r="DV58" s="1">
        <v>-1.2340721530288833E-2</v>
      </c>
      <c r="DW58" s="1">
        <v>1.0275527340955361E-2</v>
      </c>
      <c r="DX58" s="1">
        <v>-2.5503255372499103E-3</v>
      </c>
      <c r="DY58" s="1">
        <v>-9.2779569403194304E-3</v>
      </c>
      <c r="DZ58" s="1">
        <v>-3.5469582572955141E-3</v>
      </c>
      <c r="EA58" s="1">
        <v>-1.8820516335727525E-3</v>
      </c>
      <c r="EB58" s="1">
        <v>-1.3343437923743269E-2</v>
      </c>
      <c r="EC58" s="1">
        <v>-1.1284000803105647E-2</v>
      </c>
      <c r="ED58" s="1">
        <v>1.6154009743057543E-2</v>
      </c>
      <c r="EE58" s="1">
        <v>8.4627046661938515E-4</v>
      </c>
      <c r="EF58" s="1">
        <v>-1.7857453737810725E-2</v>
      </c>
      <c r="EG58" s="1">
        <v>-2.5133183030282218E-2</v>
      </c>
      <c r="EH58" s="1">
        <v>3.7821642930273847E-3</v>
      </c>
      <c r="EI58" s="1">
        <v>2.2706849722245764E-2</v>
      </c>
      <c r="EJ58" s="1">
        <v>-2.0623156549855678E-3</v>
      </c>
      <c r="EK58" s="1">
        <v>-3.1524277603806397E-3</v>
      </c>
      <c r="EL58" s="1">
        <v>4.1499981610165701E-3</v>
      </c>
      <c r="EM58" s="1">
        <v>1.3124025455422711E-2</v>
      </c>
      <c r="EN58" s="1">
        <v>9.6066423614008384E-3</v>
      </c>
      <c r="EO58" s="1">
        <v>-7.6397469455223785E-3</v>
      </c>
      <c r="EP58" s="1">
        <v>1.2669406951370227E-2</v>
      </c>
      <c r="EQ58" s="1">
        <v>2.1188815741723918E-2</v>
      </c>
      <c r="ER58" s="1">
        <v>7.7274692621760177E-3</v>
      </c>
      <c r="ES58" s="1">
        <v>-1.4948867616205765E-2</v>
      </c>
      <c r="ET58" s="1">
        <v>3.3156395542932593E-4</v>
      </c>
      <c r="EU58" s="1">
        <v>2.0373058118968487E-2</v>
      </c>
      <c r="EV58" s="10">
        <v>-2.7578972634657931E-3</v>
      </c>
    </row>
    <row r="59" spans="1:152" x14ac:dyDescent="0.25">
      <c r="A59" s="21">
        <f t="shared" ca="1" si="0"/>
        <v>5.4034488463351932E-2</v>
      </c>
      <c r="B59" s="5">
        <v>58</v>
      </c>
      <c r="C59" s="9">
        <v>3.2383628142035326E-5</v>
      </c>
      <c r="D59" s="1">
        <v>8.2055528836212643E-4</v>
      </c>
      <c r="E59" s="1">
        <v>7.2285477700190781E-3</v>
      </c>
      <c r="F59" s="1">
        <v>8.8268809190084757E-3</v>
      </c>
      <c r="G59" s="1">
        <v>3.2363798689705181E-3</v>
      </c>
      <c r="H59" s="1">
        <v>-1.1400826569837458E-2</v>
      </c>
      <c r="I59" s="1">
        <v>7.5148544083016855E-3</v>
      </c>
      <c r="J59" s="1">
        <v>1.6307167771314052E-3</v>
      </c>
      <c r="K59" s="1">
        <v>1.2023547216987202E-2</v>
      </c>
      <c r="L59" s="1">
        <v>5.3439079827471286E-3</v>
      </c>
      <c r="M59" s="1">
        <v>-5.5654473647456654E-3</v>
      </c>
      <c r="N59" s="1">
        <v>6.4330461669492717E-3</v>
      </c>
      <c r="O59" s="1">
        <v>6.9422411317365262E-3</v>
      </c>
      <c r="P59" s="1">
        <v>1.8948064606281179E-2</v>
      </c>
      <c r="Q59" s="1">
        <v>-1.2761611506622694E-2</v>
      </c>
      <c r="R59" s="1">
        <v>-1.4590162924966468E-2</v>
      </c>
      <c r="S59" s="1">
        <v>-1.1400826569837458E-2</v>
      </c>
      <c r="T59" s="1">
        <v>-3.6881375203234035E-3</v>
      </c>
      <c r="U59" s="1">
        <v>-1.5686631052018313E-2</v>
      </c>
      <c r="V59" s="1">
        <v>-1.279642882564741E-3</v>
      </c>
      <c r="W59" s="1">
        <v>-7.9739420025043278E-3</v>
      </c>
      <c r="X59" s="1">
        <v>-5.8029955769497432E-3</v>
      </c>
      <c r="Y59" s="1">
        <v>1.2841038648606223E-2</v>
      </c>
      <c r="Z59" s="1">
        <v>-1.2734842909093408E-2</v>
      </c>
      <c r="AA59" s="1">
        <v>6.4330461669492717E-3</v>
      </c>
      <c r="AB59" s="1">
        <v>-1.5806094065467929E-3</v>
      </c>
      <c r="AC59" s="1">
        <v>-5.8103255197994863E-3</v>
      </c>
      <c r="AD59" s="1">
        <v>-2.3687810667669118E-3</v>
      </c>
      <c r="AE59" s="1">
        <v>-3.1716126126864613E-3</v>
      </c>
      <c r="AF59" s="1">
        <v>7.2285477700190781E-3</v>
      </c>
      <c r="AG59" s="1">
        <v>4.0245515291906231E-3</v>
      </c>
      <c r="AH59" s="1">
        <v>-1.5414984299435219E-2</v>
      </c>
      <c r="AI59" s="1">
        <v>6.1687293572158519E-3</v>
      </c>
      <c r="AJ59" s="1">
        <v>-3.9524543300568094E-3</v>
      </c>
      <c r="AK59" s="1">
        <v>1.623386834281676E-3</v>
      </c>
      <c r="AL59" s="1">
        <v>2.5053685292306116E-5</v>
      </c>
      <c r="AM59" s="1">
        <v>-9.5722751514936699E-3</v>
      </c>
      <c r="AN59" s="1">
        <v>9.3580657123448902E-3</v>
      </c>
      <c r="AO59" s="1">
        <v>1.2826378762906765E-2</v>
      </c>
      <c r="AP59" s="1">
        <v>-7.704479177775142E-4</v>
      </c>
      <c r="AQ59" s="1">
        <v>-1.2869728254144841E-3</v>
      </c>
      <c r="AR59" s="1">
        <v>1.0848720980955462E-3</v>
      </c>
      <c r="AS59" s="1">
        <v>1.4432041854745864E-2</v>
      </c>
      <c r="AT59" s="1">
        <v>-1.2448536270810842E-2</v>
      </c>
      <c r="AU59" s="1">
        <v>-5.0001640310301937E-3</v>
      </c>
      <c r="AV59" s="1">
        <v>-4.9880116519436524E-4</v>
      </c>
      <c r="AW59" s="1">
        <v>2.4408782659006978E-3</v>
      </c>
      <c r="AX59" s="1">
        <v>9.6297124649280252E-3</v>
      </c>
      <c r="AY59" s="1">
        <v>-3.1642826698367182E-3</v>
      </c>
      <c r="AZ59" s="1">
        <v>8.2788523121185564E-4</v>
      </c>
      <c r="BA59" s="1">
        <v>-4.8494023562409283E-3</v>
      </c>
      <c r="BB59" s="1">
        <v>5.837064664747163E-3</v>
      </c>
      <c r="BC59" s="1">
        <v>-6.9715903557170111E-3</v>
      </c>
      <c r="BD59" s="1">
        <v>2.7663105302582487E-2</v>
      </c>
      <c r="BE59" s="1">
        <v>2.2457378616004553E-4</v>
      </c>
      <c r="BF59" s="1">
        <v>2.6874933642362382E-2</v>
      </c>
      <c r="BG59" s="1">
        <v>5.320539757110207E-3</v>
      </c>
      <c r="BH59" s="1">
        <v>5.4034488463351932E-2</v>
      </c>
      <c r="BI59" s="1">
        <v>6.0672829341016019E-3</v>
      </c>
      <c r="BJ59" s="1">
        <v>3.4357404422522012E-2</v>
      </c>
      <c r="BK59" s="1">
        <v>4.8421997584764814E-2</v>
      </c>
      <c r="BL59" s="1">
        <v>1.6237225047452716E-2</v>
      </c>
      <c r="BM59" s="1">
        <v>2.6016013727514636E-2</v>
      </c>
      <c r="BN59" s="1">
        <v>1.4352585260180781E-2</v>
      </c>
      <c r="BO59" s="1">
        <v>3.0078929883190879E-2</v>
      </c>
      <c r="BP59" s="1">
        <v>1.551260182566308E-3</v>
      </c>
      <c r="BQ59" s="1">
        <v>2.344071913217953E-2</v>
      </c>
      <c r="BR59" s="1">
        <v>3.4832500846930264E-2</v>
      </c>
      <c r="BS59" s="1">
        <v>2.6110785953695204E-3</v>
      </c>
      <c r="BT59" s="1">
        <v>3.4308645996443579E-2</v>
      </c>
      <c r="BU59" s="1">
        <v>6.6813246938954574E-3</v>
      </c>
      <c r="BV59" s="1">
        <v>1.7270274862726677E-2</v>
      </c>
      <c r="BW59" s="1">
        <v>2.6184085382192634E-3</v>
      </c>
      <c r="BX59" s="1">
        <v>2.099079601119213E-2</v>
      </c>
      <c r="BY59" s="1">
        <v>1.0869612323919413E-2</v>
      </c>
      <c r="BZ59" s="1">
        <v>3.1495933315557056E-3</v>
      </c>
      <c r="CA59" s="1">
        <v>-3.2583991501012599E-3</v>
      </c>
      <c r="CB59" s="1">
        <v>-1.0413134808749586E-2</v>
      </c>
      <c r="CC59" s="1">
        <v>1.3033228806624247E-2</v>
      </c>
      <c r="CD59" s="1">
        <v>3.6430833995919634E-2</v>
      </c>
      <c r="CE59" s="1">
        <v>3.5906979145432935E-2</v>
      </c>
      <c r="CF59" s="1">
        <v>3.9627500293898388E-2</v>
      </c>
      <c r="CG59" s="1">
        <v>2.7391458549999366E-2</v>
      </c>
      <c r="CH59" s="1">
        <v>7.7070445663196957E-3</v>
      </c>
      <c r="CI59" s="1">
        <v>2.8243048521997341E-2</v>
      </c>
      <c r="CJ59" s="1">
        <v>1.3326865387756542E-2</v>
      </c>
      <c r="CK59" s="1">
        <v>-2.1692609658991446E-3</v>
      </c>
      <c r="CL59" s="1">
        <v>8.4537877433110489E-3</v>
      </c>
      <c r="CM59" s="1">
        <v>3.0881761429110428E-2</v>
      </c>
      <c r="CN59" s="1">
        <v>2.92687683944216E-2</v>
      </c>
      <c r="CO59" s="1">
        <v>3.3792121088806602E-2</v>
      </c>
      <c r="CP59" s="1">
        <v>1.515541680610033E-2</v>
      </c>
      <c r="CQ59" s="1">
        <v>2.6588627004079816E-2</v>
      </c>
      <c r="CR59" s="1">
        <v>5.0830492222523463E-2</v>
      </c>
      <c r="CS59" s="1">
        <v>2.847326679135178E-2</v>
      </c>
      <c r="CT59" s="1">
        <v>3.2201117882666934E-2</v>
      </c>
      <c r="CU59" s="1">
        <v>2.7677765188281932E-2</v>
      </c>
      <c r="CV59" s="1">
        <v>1.5671941713737279E-2</v>
      </c>
      <c r="CW59" s="1">
        <v>4.6314469470988204E-2</v>
      </c>
      <c r="CX59" s="1">
        <v>2.6874933642362382E-2</v>
      </c>
      <c r="CY59" s="1">
        <v>-8.1026850826902697E-3</v>
      </c>
      <c r="CZ59" s="1">
        <v>2.1409276007129788E-2</v>
      </c>
      <c r="DA59" s="1">
        <v>-1.4838412685858532E-2</v>
      </c>
      <c r="DB59" s="1">
        <v>1.4729636772889673E-2</v>
      </c>
      <c r="DC59" s="1">
        <v>-4.1519456648704406E-3</v>
      </c>
      <c r="DD59" s="1">
        <v>-2.6844236160403157E-2</v>
      </c>
      <c r="DE59" s="1">
        <v>4.8855137466401924E-2</v>
      </c>
      <c r="DF59" s="1">
        <v>-9.2820101761996038E-3</v>
      </c>
      <c r="DG59" s="1">
        <v>1.9136518095757699E-3</v>
      </c>
      <c r="DH59" s="1">
        <v>-2.7304672699111965E-2</v>
      </c>
      <c r="DI59" s="1">
        <v>4.8947597238995638E-3</v>
      </c>
      <c r="DJ59" s="1">
        <v>7.0022878376761882E-3</v>
      </c>
      <c r="DK59" s="1">
        <v>-7.634918601131746E-3</v>
      </c>
      <c r="DL59" s="1">
        <v>1.8484256461734155E-2</v>
      </c>
      <c r="DM59" s="1">
        <v>3.6095018107220878E-3</v>
      </c>
      <c r="DN59" s="1">
        <v>-3.865639026587861E-3</v>
      </c>
      <c r="DO59" s="1">
        <v>1.0730138928991356E-2</v>
      </c>
      <c r="DP59" s="1">
        <v>-2.6543269636421146E-2</v>
      </c>
      <c r="DQ59" s="1">
        <v>-3.9897769335921193E-2</v>
      </c>
      <c r="DR59" s="1">
        <v>2.7474873481575957E-2</v>
      </c>
      <c r="DS59" s="1">
        <v>-1.5871462501132486E-2</v>
      </c>
      <c r="DT59" s="1">
        <v>2.3293915794401751E-2</v>
      </c>
      <c r="DU59" s="1">
        <v>-2.713054279868575E-2</v>
      </c>
      <c r="DV59" s="1">
        <v>1.3123973681050574E-2</v>
      </c>
      <c r="DW59" s="1">
        <v>-2.8252592684641781E-3</v>
      </c>
      <c r="DX59" s="1">
        <v>-4.4723508435320358E-3</v>
      </c>
      <c r="DY59" s="1">
        <v>1.6327969921879043E-2</v>
      </c>
      <c r="DZ59" s="1">
        <v>2.0334797708627089E-2</v>
      </c>
      <c r="EA59" s="1">
        <v>3.6407708666483241E-4</v>
      </c>
      <c r="EB59" s="1">
        <v>1.3630283615597705E-3</v>
      </c>
      <c r="EC59" s="1">
        <v>-1.6206527565493539E-2</v>
      </c>
      <c r="ED59" s="1">
        <v>-2.3904556729308107E-2</v>
      </c>
      <c r="EE59" s="1">
        <v>-3.3564440618006203E-3</v>
      </c>
      <c r="EF59" s="1">
        <v>2.5088368672366482E-2</v>
      </c>
      <c r="EG59" s="1">
        <v>3.2005556118810702E-2</v>
      </c>
      <c r="EH59" s="1">
        <v>-3.6686443152242995E-2</v>
      </c>
      <c r="EI59" s="1">
        <v>-3.5793323883052675E-3</v>
      </c>
      <c r="EJ59" s="1">
        <v>1.3934135169819825E-2</v>
      </c>
      <c r="EK59" s="1">
        <v>2.2735962403536009E-2</v>
      </c>
      <c r="EL59" s="1">
        <v>-9.2332517501211436E-3</v>
      </c>
      <c r="EM59" s="1">
        <v>-1.5592485805699621E-2</v>
      </c>
      <c r="EN59" s="1">
        <v>-1.6674294047052035E-2</v>
      </c>
      <c r="EO59" s="1">
        <v>2.1409276007129788E-2</v>
      </c>
      <c r="EP59" s="1">
        <v>-1.3470297806223538E-2</v>
      </c>
      <c r="EQ59" s="1">
        <v>-1.7707343862325975E-2</v>
      </c>
      <c r="ER59" s="1">
        <v>-1.2674796203153718E-2</v>
      </c>
      <c r="ES59" s="1">
        <v>7.7977894407460363E-3</v>
      </c>
      <c r="ET59" s="1">
        <v>3.2890966320604648E-3</v>
      </c>
      <c r="EU59" s="1">
        <v>2.5423534550691046E-3</v>
      </c>
      <c r="EV59" s="10">
        <v>2.5137127098444928E-2</v>
      </c>
    </row>
    <row r="60" spans="1:152" x14ac:dyDescent="0.25">
      <c r="A60" s="21">
        <f t="shared" ca="1" si="0"/>
        <v>3.4246944682205044E-2</v>
      </c>
      <c r="B60" s="5">
        <v>59</v>
      </c>
      <c r="C60" s="9">
        <v>2.7192048148684924E-3</v>
      </c>
      <c r="D60" s="1">
        <v>2.0750300706923273E-4</v>
      </c>
      <c r="E60" s="1">
        <v>-4.7570459831457043E-3</v>
      </c>
      <c r="F60" s="1">
        <v>-6.5385069975629961E-3</v>
      </c>
      <c r="G60" s="1">
        <v>2.3693031976103774E-4</v>
      </c>
      <c r="H60" s="1">
        <v>3.5064768636878744E-3</v>
      </c>
      <c r="I60" s="1">
        <v>-9.6930793456419632E-3</v>
      </c>
      <c r="J60" s="1">
        <v>9.377438004512283E-4</v>
      </c>
      <c r="K60" s="1">
        <v>-1.0101429026397539E-2</v>
      </c>
      <c r="L60" s="1">
        <v>1.960448393767824E-3</v>
      </c>
      <c r="M60" s="1">
        <v>8.4139945984654345E-3</v>
      </c>
      <c r="N60" s="1">
        <v>-3.325991709073532E-3</v>
      </c>
      <c r="O60" s="1">
        <v>1.7898737935053257E-4</v>
      </c>
      <c r="P60" s="1">
        <v>-1.048035139446132E-2</v>
      </c>
      <c r="Q60" s="1">
        <v>1.5890245396479631E-2</v>
      </c>
      <c r="R60" s="1">
        <v>8.1500464262495038E-3</v>
      </c>
      <c r="S60" s="1">
        <v>3.5064768636878744E-3</v>
      </c>
      <c r="T60" s="1">
        <v>6.1585268782480673E-4</v>
      </c>
      <c r="U60" s="1">
        <v>1.2355838995363765E-2</v>
      </c>
      <c r="V60" s="1">
        <v>-4.3536753321047564E-4</v>
      </c>
      <c r="W60" s="1">
        <v>9.4652148195007203E-3</v>
      </c>
      <c r="X60" s="1">
        <v>-2.1883129199090721E-3</v>
      </c>
      <c r="Y60" s="1">
        <v>-8.2905406992884699E-3</v>
      </c>
      <c r="Z60" s="1">
        <v>-2.8900380855723766E-3</v>
      </c>
      <c r="AA60" s="1">
        <v>-3.325991709073532E-3</v>
      </c>
      <c r="AB60" s="1">
        <v>2.339370761831606E-3</v>
      </c>
      <c r="AC60" s="1">
        <v>-3.2689604536361456E-3</v>
      </c>
      <c r="AD60" s="1">
        <v>4.8510725696308795E-3</v>
      </c>
      <c r="AE60" s="1">
        <v>5.2014793099759747E-3</v>
      </c>
      <c r="AF60" s="1">
        <v>-4.7570459831457043E-3</v>
      </c>
      <c r="AG60" s="1">
        <v>-2.2747714880382497E-3</v>
      </c>
      <c r="AH60" s="1">
        <v>5.2585105654133473E-3</v>
      </c>
      <c r="AI60" s="1">
        <v>4.8519842546039995E-3</v>
      </c>
      <c r="AJ60" s="1">
        <v>8.7938286515023209E-3</v>
      </c>
      <c r="AK60" s="1">
        <v>-1.4290373327586255E-4</v>
      </c>
      <c r="AL60" s="1">
        <v>1.6385572811414154E-3</v>
      </c>
      <c r="AM60" s="1">
        <v>1.1246675833917984E-2</v>
      </c>
      <c r="AN60" s="1">
        <v>2.0841469204235146E-4</v>
      </c>
      <c r="AO60" s="1">
        <v>-1.0451835766742634E-2</v>
      </c>
      <c r="AP60" s="1">
        <v>3.0696115552135876E-3</v>
      </c>
      <c r="AQ60" s="1">
        <v>-1.5160150669375526E-3</v>
      </c>
      <c r="AR60" s="1">
        <v>-7.9704729566082815E-3</v>
      </c>
      <c r="AS60" s="1">
        <v>-1.1152649247432825E-2</v>
      </c>
      <c r="AT60" s="1">
        <v>-7.8260714480686121E-3</v>
      </c>
      <c r="AU60" s="1">
        <v>-2.5387196602541639E-3</v>
      </c>
      <c r="AV60" s="1">
        <v>-4.02771687473684E-3</v>
      </c>
      <c r="AW60" s="1">
        <v>1.66798459383321E-3</v>
      </c>
      <c r="AX60" s="1">
        <v>-6.8889137379080914E-3</v>
      </c>
      <c r="AY60" s="1">
        <v>6.2821268437030474E-3</v>
      </c>
      <c r="AZ60" s="1">
        <v>1.2881505407963236E-3</v>
      </c>
      <c r="BA60" s="1">
        <v>3.9619843353175574E-2</v>
      </c>
      <c r="BB60" s="1">
        <v>2.4725284697557671E-2</v>
      </c>
      <c r="BC60" s="1">
        <v>3.5735030211714633E-2</v>
      </c>
      <c r="BD60" s="1">
        <v>1.2898839821889524E-2</v>
      </c>
      <c r="BE60" s="1">
        <v>2.8258779413700398E-2</v>
      </c>
      <c r="BF60" s="1">
        <v>1.5410541629688797E-2</v>
      </c>
      <c r="BG60" s="1">
        <v>2.0139658075406484E-2</v>
      </c>
      <c r="BH60" s="1">
        <v>6.0672829341012653E-3</v>
      </c>
      <c r="BI60" s="1">
        <v>3.4246944682205044E-2</v>
      </c>
      <c r="BJ60" s="1">
        <v>2.9982574691783531E-3</v>
      </c>
      <c r="BK60" s="1">
        <v>9.6007776502440162E-3</v>
      </c>
      <c r="BL60" s="1">
        <v>1.4766759404435996E-2</v>
      </c>
      <c r="BM60" s="1">
        <v>3.021864171717753E-2</v>
      </c>
      <c r="BN60" s="1">
        <v>2.1484253781349497E-2</v>
      </c>
      <c r="BO60" s="1">
        <v>1.2928267134581329E-2</v>
      </c>
      <c r="BP60" s="1">
        <v>3.3574646829233543E-2</v>
      </c>
      <c r="BQ60" s="1">
        <v>8.3711561401488624E-3</v>
      </c>
      <c r="BR60" s="1">
        <v>2.4202872505927325E-2</v>
      </c>
      <c r="BS60" s="1">
        <v>2.3965616591483871E-2</v>
      </c>
      <c r="BT60" s="1">
        <v>1.8536598350049081E-2</v>
      </c>
      <c r="BU60" s="1">
        <v>7.7558895426147467E-3</v>
      </c>
      <c r="BV60" s="1">
        <v>2.3938012648738276E-2</v>
      </c>
      <c r="BW60" s="1">
        <v>2.5046264125210937E-2</v>
      </c>
      <c r="BX60" s="1">
        <v>2.6041364775781967E-2</v>
      </c>
      <c r="BY60" s="1">
        <v>2.9983209172680329E-2</v>
      </c>
      <c r="BZ60" s="1">
        <v>3.1793185814816272E-2</v>
      </c>
      <c r="CA60" s="1">
        <v>3.6757734805031209E-2</v>
      </c>
      <c r="CB60" s="1">
        <v>2.7614997188447579E-2</v>
      </c>
      <c r="CC60" s="1">
        <v>1.7249033899543437E-2</v>
      </c>
      <c r="CD60" s="1">
        <v>2.2421411491510047E-2</v>
      </c>
      <c r="CE60" s="1">
        <v>1.6755137335631803E-2</v>
      </c>
      <c r="CF60" s="1">
        <v>1.8858489462675491E-2</v>
      </c>
      <c r="CG60" s="1">
        <v>1.9996168251839953E-2</v>
      </c>
      <c r="CH60" s="1">
        <v>1.5846495253189933E-2</v>
      </c>
      <c r="CI60" s="1">
        <v>4.1074206306241298E-3</v>
      </c>
      <c r="CJ60" s="1">
        <v>1.3393648070774273E-2</v>
      </c>
      <c r="CK60" s="1">
        <v>3.1471294702189859E-2</v>
      </c>
      <c r="CL60" s="1">
        <v>2.9953781859988499E-2</v>
      </c>
      <c r="CM60" s="1">
        <v>1.2577860394236234E-2</v>
      </c>
      <c r="CN60" s="1">
        <v>1.2198026341199333E-2</v>
      </c>
      <c r="CO60" s="1">
        <v>1.3950971727897929E-2</v>
      </c>
      <c r="CP60" s="1">
        <v>2.1133847041004402E-2</v>
      </c>
      <c r="CQ60" s="1">
        <v>2.0346574992185049E-2</v>
      </c>
      <c r="CR60" s="1">
        <v>8.5495574292087338E-3</v>
      </c>
      <c r="CS60" s="1">
        <v>1.3629080615271516E-2</v>
      </c>
      <c r="CT60" s="1">
        <v>1.6813080276042298E-2</v>
      </c>
      <c r="CU60" s="1">
        <v>1.5060134889343702E-2</v>
      </c>
      <c r="CV60" s="1">
        <v>2.5719473663155582E-2</v>
      </c>
      <c r="CW60" s="1">
        <v>7.8772595762372152E-3</v>
      </c>
      <c r="CX60" s="1">
        <v>1.5410541629688797E-2</v>
      </c>
      <c r="CY60" s="1">
        <v>-1.7251994189427605E-2</v>
      </c>
      <c r="CZ60" s="1">
        <v>-1.3188779758906765E-2</v>
      </c>
      <c r="DA60" s="1">
        <v>9.267576577881409E-3</v>
      </c>
      <c r="DB60" s="1">
        <v>-1.1269023387414159E-3</v>
      </c>
      <c r="DC60" s="1">
        <v>-5.6269820777365143E-3</v>
      </c>
      <c r="DD60" s="1">
        <v>1.9926915351693268E-2</v>
      </c>
      <c r="DE60" s="1">
        <v>-2.7468071816990552E-2</v>
      </c>
      <c r="DF60" s="1">
        <v>2.0191775208882316E-2</v>
      </c>
      <c r="DG60" s="1">
        <v>8.8021956416884581E-3</v>
      </c>
      <c r="DH60" s="1">
        <v>8.835953823984749E-4</v>
      </c>
      <c r="DI60" s="1">
        <v>-2.1210913043393301E-3</v>
      </c>
      <c r="DJ60" s="1">
        <v>-3.975732303325083E-4</v>
      </c>
      <c r="DK60" s="1">
        <v>2.8719733135942893E-3</v>
      </c>
      <c r="DL60" s="1">
        <v>-1.6723186160022638E-2</v>
      </c>
      <c r="DM60" s="1">
        <v>-2.405594713447029E-2</v>
      </c>
      <c r="DN60" s="1">
        <v>-1.0563015440232734E-2</v>
      </c>
      <c r="DO60" s="1">
        <v>2.7864264304382352E-3</v>
      </c>
      <c r="DP60" s="1">
        <v>1.7152177056651209E-2</v>
      </c>
      <c r="DQ60" s="1">
        <v>1.9253705813748655E-2</v>
      </c>
      <c r="DR60" s="1">
        <v>1.2403979605181831E-3</v>
      </c>
      <c r="DS60" s="1">
        <v>9.632333357913192E-5</v>
      </c>
      <c r="DT60" s="1">
        <v>-1.9906274135820294E-2</v>
      </c>
      <c r="DU60" s="1">
        <v>2.4862948714189537E-2</v>
      </c>
      <c r="DV60" s="1">
        <v>-4.2608885805122537E-4</v>
      </c>
      <c r="DW60" s="1">
        <v>-3.1111466220336975E-4</v>
      </c>
      <c r="DX60" s="1">
        <v>1.7008687233084657E-2</v>
      </c>
      <c r="DY60" s="1">
        <v>-2.9083633531586661E-3</v>
      </c>
      <c r="DZ60" s="1">
        <v>-5.7410445886112577E-3</v>
      </c>
      <c r="EA60" s="1">
        <v>-4.9546842247649853E-3</v>
      </c>
      <c r="EB60" s="1">
        <v>2.1916204967862216E-2</v>
      </c>
      <c r="EC60" s="1">
        <v>2.0570697576946101E-2</v>
      </c>
      <c r="ED60" s="1">
        <v>2.562261682026333E-2</v>
      </c>
      <c r="EE60" s="1">
        <v>-7.0580363518086692E-3</v>
      </c>
      <c r="EF60" s="1">
        <v>5.533560782734738E-3</v>
      </c>
      <c r="EG60" s="1">
        <v>4.0739908809438626E-3</v>
      </c>
      <c r="EH60" s="1">
        <v>1.7852078852368274E-2</v>
      </c>
      <c r="EI60" s="1">
        <v>-1.5499048802729003E-2</v>
      </c>
      <c r="EJ60" s="1">
        <v>3.0415193533079449E-4</v>
      </c>
      <c r="EK60" s="1">
        <v>-7.8729123433736309E-3</v>
      </c>
      <c r="EL60" s="1">
        <v>4.653434328011595E-3</v>
      </c>
      <c r="EM60" s="1">
        <v>-5.9203575626442309E-3</v>
      </c>
      <c r="EN60" s="1">
        <v>4.467300739242272E-4</v>
      </c>
      <c r="EO60" s="1">
        <v>-1.3188779758906765E-2</v>
      </c>
      <c r="EP60" s="1">
        <v>-2.0355444211832691E-3</v>
      </c>
      <c r="EQ60" s="1">
        <v>-8.7245231703781123E-3</v>
      </c>
      <c r="ER60" s="1">
        <v>-3.4665986952554517E-3</v>
      </c>
      <c r="ES60" s="1">
        <v>-1.8286275044047187E-3</v>
      </c>
      <c r="ET60" s="1">
        <v>-1.4202778236491395E-3</v>
      </c>
      <c r="EU60" s="1">
        <v>-1.5527564430447664E-2</v>
      </c>
      <c r="EV60" s="10">
        <v>-1.0004780098135976E-2</v>
      </c>
    </row>
    <row r="61" spans="1:152" x14ac:dyDescent="0.25">
      <c r="A61" s="21">
        <f t="shared" ca="1" si="0"/>
        <v>4.080379829286418E-2</v>
      </c>
      <c r="B61" s="5">
        <v>60</v>
      </c>
      <c r="C61" s="9">
        <v>-3.1869016333863839E-3</v>
      </c>
      <c r="D61" s="1">
        <v>-2.2458814962746619E-3</v>
      </c>
      <c r="E61" s="1">
        <v>4.6959425064578121E-3</v>
      </c>
      <c r="F61" s="1">
        <v>6.4523391176467141E-3</v>
      </c>
      <c r="G61" s="1">
        <v>2.8401036797984659E-4</v>
      </c>
      <c r="H61" s="1">
        <v>-1.7410419199098952E-3</v>
      </c>
      <c r="I61" s="1">
        <v>1.1953008128889985E-2</v>
      </c>
      <c r="J61" s="1">
        <v>-1.4305050221975098E-3</v>
      </c>
      <c r="K61" s="1">
        <v>9.9651323400244615E-3</v>
      </c>
      <c r="L61" s="1">
        <v>-4.3175197271632295E-3</v>
      </c>
      <c r="M61" s="1">
        <v>-9.3133491620417432E-3</v>
      </c>
      <c r="N61" s="1">
        <v>3.7968035903576227E-3</v>
      </c>
      <c r="O61" s="1">
        <v>-2.5611231159743276E-3</v>
      </c>
      <c r="P61" s="1">
        <v>1.050714841541346E-2</v>
      </c>
      <c r="Q61" s="1">
        <v>-1.7196193301885949E-2</v>
      </c>
      <c r="R61" s="1">
        <v>-5.2957163632991935E-3</v>
      </c>
      <c r="S61" s="1">
        <v>-1.7410419199098952E-3</v>
      </c>
      <c r="T61" s="1">
        <v>-2.580057074091386E-4</v>
      </c>
      <c r="U61" s="1">
        <v>-1.3368158459808509E-2</v>
      </c>
      <c r="V61" s="1">
        <v>2.3137673778568877E-3</v>
      </c>
      <c r="W61" s="1">
        <v>-1.1885122247307773E-2</v>
      </c>
      <c r="X61" s="1">
        <v>4.3854056087454605E-3</v>
      </c>
      <c r="Y61" s="1">
        <v>1.0738627593090095E-2</v>
      </c>
      <c r="Z61" s="1">
        <v>3.8852707543679983E-3</v>
      </c>
      <c r="AA61" s="1">
        <v>3.7968035903576227E-3</v>
      </c>
      <c r="AB61" s="1">
        <v>-4.8595358025522138E-3</v>
      </c>
      <c r="AC61" s="1">
        <v>4.4272868297569826E-3</v>
      </c>
      <c r="AD61" s="1">
        <v>-5.8005559396639636E-3</v>
      </c>
      <c r="AE61" s="1">
        <v>-6.6578136347526413E-3</v>
      </c>
      <c r="AF61" s="1">
        <v>4.6959425064578121E-3</v>
      </c>
      <c r="AG61" s="1">
        <v>1.2250305050915964E-3</v>
      </c>
      <c r="AH61" s="1">
        <v>-6.0273303953532805E-3</v>
      </c>
      <c r="AI61" s="1">
        <v>-3.5859056951091529E-3</v>
      </c>
      <c r="AJ61" s="1">
        <v>-7.6407149928759098E-3</v>
      </c>
      <c r="AK61" s="1">
        <v>-1.3886238011859842E-3</v>
      </c>
      <c r="AL61" s="1">
        <v>-3.1450204123748583E-3</v>
      </c>
      <c r="AM61" s="1">
        <v>-1.3641518858496647E-2</v>
      </c>
      <c r="AN61" s="1">
        <v>-3.1231251719847711E-5</v>
      </c>
      <c r="AO61" s="1">
        <v>1.0822390035113139E-2</v>
      </c>
      <c r="AP61" s="1">
        <v>-4.0441593284750617E-3</v>
      </c>
      <c r="AQ61" s="1">
        <v>2.3556485988684133E-3</v>
      </c>
      <c r="AR61" s="1">
        <v>5.1368277891920954E-3</v>
      </c>
      <c r="AS61" s="1">
        <v>1.2536905425290495E-2</v>
      </c>
      <c r="AT61" s="1">
        <v>1.1142336376800149E-2</v>
      </c>
      <c r="AU61" s="1">
        <v>5.2426633038341348E-3</v>
      </c>
      <c r="AV61" s="1">
        <v>3.2966687359801631E-3</v>
      </c>
      <c r="AW61" s="1">
        <v>-6.1512854812035677E-4</v>
      </c>
      <c r="AX61" s="1">
        <v>7.3095968127353918E-3</v>
      </c>
      <c r="AY61" s="1">
        <v>-6.6996948557641635E-3</v>
      </c>
      <c r="AZ61" s="1">
        <v>-2.2877627172861875E-3</v>
      </c>
      <c r="BA61" s="1">
        <v>-1.955690744688536E-3</v>
      </c>
      <c r="BB61" s="1">
        <v>1.6655131018954078E-2</v>
      </c>
      <c r="BC61" s="1">
        <v>2.7296017924775817E-3</v>
      </c>
      <c r="BD61" s="1">
        <v>2.6604908667699552E-2</v>
      </c>
      <c r="BE61" s="1">
        <v>1.0612445932321815E-2</v>
      </c>
      <c r="BF61" s="1">
        <v>2.5663888530587799E-2</v>
      </c>
      <c r="BG61" s="1">
        <v>2.3054938946297572E-2</v>
      </c>
      <c r="BH61" s="1">
        <v>3.4357404422521852E-2</v>
      </c>
      <c r="BI61" s="1">
        <v>2.9982574691784572E-3</v>
      </c>
      <c r="BJ61" s="1">
        <v>4.080379829286418E-2</v>
      </c>
      <c r="BK61" s="1">
        <v>2.8314719335889596E-2</v>
      </c>
      <c r="BL61" s="1">
        <v>2.800888716016451E-2</v>
      </c>
      <c r="BM61" s="1">
        <v>3.8926916632913214E-3</v>
      </c>
      <c r="BN61" s="1">
        <v>1.8995424926543512E-2</v>
      </c>
      <c r="BO61" s="1">
        <v>2.913480053195406E-2</v>
      </c>
      <c r="BP61" s="1">
        <v>5.0280144790554662E-3</v>
      </c>
      <c r="BQ61" s="1">
        <v>3.5849850078997221E-2</v>
      </c>
      <c r="BR61" s="1">
        <v>1.3406288751289838E-2</v>
      </c>
      <c r="BS61" s="1">
        <v>1.3309862680622446E-2</v>
      </c>
      <c r="BT61" s="1">
        <v>1.9847977899644854E-2</v>
      </c>
      <c r="BU61" s="1">
        <v>3.8510090328273607E-2</v>
      </c>
      <c r="BV61" s="1">
        <v>1.5209271305477591E-2</v>
      </c>
      <c r="BW61" s="1">
        <v>1.3267981459610917E-2</v>
      </c>
      <c r="BX61" s="1">
        <v>1.2280375379500337E-2</v>
      </c>
      <c r="BY61" s="1">
        <v>8.225566081733561E-3</v>
      </c>
      <c r="BZ61" s="1">
        <v>6.7844110902443716E-3</v>
      </c>
      <c r="CA61" s="1">
        <v>-1.5741291248811545E-4</v>
      </c>
      <c r="CB61" s="1">
        <v>1.2957444561898526E-2</v>
      </c>
      <c r="CC61" s="1">
        <v>2.4537975158798284E-2</v>
      </c>
      <c r="CD61" s="1">
        <v>1.5162685362478709E-2</v>
      </c>
      <c r="CE61" s="1">
        <v>2.1604374510833732E-2</v>
      </c>
      <c r="CF61" s="1">
        <v>1.8675478584856485E-2</v>
      </c>
      <c r="CG61" s="1">
        <v>1.9264080603244325E-2</v>
      </c>
      <c r="CH61" s="1">
        <v>2.5752355694598182E-2</v>
      </c>
      <c r="CI61" s="1">
        <v>4.1077158691552325E-2</v>
      </c>
      <c r="CJ61" s="1">
        <v>3.1753159560218909E-2</v>
      </c>
      <c r="CK61" s="1">
        <v>7.9569104050327133E-3</v>
      </c>
      <c r="CL61" s="1">
        <v>5.6956742174790811E-3</v>
      </c>
      <c r="CM61" s="1">
        <v>2.9992058227042734E-2</v>
      </c>
      <c r="CN61" s="1">
        <v>2.83194240578769E-2</v>
      </c>
      <c r="CO61" s="1">
        <v>2.6247785826988328E-2</v>
      </c>
      <c r="CP61" s="1">
        <v>1.9852682621632187E-2</v>
      </c>
      <c r="CQ61" s="1">
        <v>1.8406822908155644E-2</v>
      </c>
      <c r="CR61" s="1">
        <v>3.0886492421155622E-2</v>
      </c>
      <c r="CS61" s="1">
        <v>2.7420285141776711E-2</v>
      </c>
      <c r="CT61" s="1">
        <v>2.44495079947879E-2</v>
      </c>
      <c r="CU61" s="1">
        <v>2.652114622567648E-2</v>
      </c>
      <c r="CV61" s="1">
        <v>1.3452874694288693E-2</v>
      </c>
      <c r="CW61" s="1">
        <v>3.2916249431032676E-2</v>
      </c>
      <c r="CX61" s="1">
        <v>2.5663888530587799E-2</v>
      </c>
      <c r="CY61" s="1">
        <v>2.4204951177200826E-2</v>
      </c>
      <c r="CZ61" s="1">
        <v>1.4556300982193092E-2</v>
      </c>
      <c r="DA61" s="1">
        <v>-1.099164006219467E-2</v>
      </c>
      <c r="DB61" s="1">
        <v>2.7364891500541305E-4</v>
      </c>
      <c r="DC61" s="1">
        <v>7.6191817014479371E-3</v>
      </c>
      <c r="DD61" s="1">
        <v>-2.4059911593582457E-2</v>
      </c>
      <c r="DE61" s="1">
        <v>3.0506882496559289E-2</v>
      </c>
      <c r="DF61" s="1">
        <v>-2.5862894147770217E-2</v>
      </c>
      <c r="DG61" s="1">
        <v>-1.3609999090459561E-2</v>
      </c>
      <c r="DH61" s="1">
        <v>3.2538355059687912E-3</v>
      </c>
      <c r="DI61" s="1">
        <v>3.4759052396707985E-3</v>
      </c>
      <c r="DJ61" s="1">
        <v>-1.125624855472275E-3</v>
      </c>
      <c r="DK61" s="1">
        <v>-3.1506771433619865E-3</v>
      </c>
      <c r="DL61" s="1">
        <v>1.8384335824270528E-2</v>
      </c>
      <c r="DM61" s="1">
        <v>3.0058038307167981E-2</v>
      </c>
      <c r="DN61" s="1">
        <v>1.4876247323880085E-2</v>
      </c>
      <c r="DO61" s="1">
        <v>-4.0964020024610442E-3</v>
      </c>
      <c r="DP61" s="1">
        <v>-1.6886608413173396E-2</v>
      </c>
      <c r="DQ61" s="1">
        <v>-2.4244804828260261E-2</v>
      </c>
      <c r="DR61" s="1">
        <v>-6.6728798097144063E-3</v>
      </c>
      <c r="DS61" s="1">
        <v>1.8079757924922696E-3</v>
      </c>
      <c r="DT61" s="1">
        <v>2.3569763215814138E-2</v>
      </c>
      <c r="DU61" s="1">
        <v>-3.1316977216014646E-2</v>
      </c>
      <c r="DV61" s="1">
        <v>-1.4408664751719355E-3</v>
      </c>
      <c r="DW61" s="1">
        <v>2.0347502481815813E-3</v>
      </c>
      <c r="DX61" s="1">
        <v>-2.0677466756226635E-2</v>
      </c>
      <c r="DY61" s="1">
        <v>2.0300455261942837E-3</v>
      </c>
      <c r="DZ61" s="1">
        <v>6.3582152226492189E-3</v>
      </c>
      <c r="EA61" s="1">
        <v>5.5894246915708864E-3</v>
      </c>
      <c r="EB61" s="1">
        <v>-2.8249773998358478E-2</v>
      </c>
      <c r="EC61" s="1">
        <v>-2.640491022315921E-2</v>
      </c>
      <c r="ED61" s="1">
        <v>-2.7971708877683021E-2</v>
      </c>
      <c r="EE61" s="1">
        <v>8.5183206175481335E-3</v>
      </c>
      <c r="EF61" s="1">
        <v>-9.3702965580150094E-3</v>
      </c>
      <c r="EG61" s="1">
        <v>-8.7863992616144734E-3</v>
      </c>
      <c r="EH61" s="1">
        <v>-2.081577404790555E-2</v>
      </c>
      <c r="EI61" s="1">
        <v>2.2133312946312253E-2</v>
      </c>
      <c r="EJ61" s="1">
        <v>-6.2549000109481806E-4</v>
      </c>
      <c r="EK61" s="1">
        <v>8.9718695289267431E-3</v>
      </c>
      <c r="EL61" s="1">
        <v>-4.9070737545508988E-3</v>
      </c>
      <c r="EM61" s="1">
        <v>9.1069226359359601E-3</v>
      </c>
      <c r="EN61" s="1">
        <v>9.5071809740358837E-4</v>
      </c>
      <c r="EO61" s="1">
        <v>1.4556300982193092E-2</v>
      </c>
      <c r="EP61" s="1">
        <v>4.4216300987698492E-3</v>
      </c>
      <c r="EQ61" s="1">
        <v>1.3750333952090563E-2</v>
      </c>
      <c r="ER61" s="1">
        <v>5.3207690148700457E-3</v>
      </c>
      <c r="ES61" s="1">
        <v>-2.264859393720578E-4</v>
      </c>
      <c r="ET61" s="1">
        <v>1.761389849493443E-3</v>
      </c>
      <c r="EU61" s="1">
        <v>2.1818071326612565E-2</v>
      </c>
      <c r="EV61" s="10">
        <v>1.1585523835204295E-2</v>
      </c>
    </row>
    <row r="62" spans="1:152" x14ac:dyDescent="0.25">
      <c r="A62" s="21">
        <f t="shared" ca="1" si="0"/>
        <v>6.0186273341046925E-2</v>
      </c>
      <c r="B62" s="5">
        <v>61</v>
      </c>
      <c r="C62" s="9">
        <v>-2.3927881977470478E-3</v>
      </c>
      <c r="D62" s="1">
        <v>1.5607887374536097E-2</v>
      </c>
      <c r="E62" s="1">
        <v>1.1246671439593778E-2</v>
      </c>
      <c r="F62" s="1">
        <v>1.5455175331329896E-2</v>
      </c>
      <c r="G62" s="1">
        <v>-4.5733961652181937E-3</v>
      </c>
      <c r="H62" s="1">
        <v>-2.1953739089392396E-2</v>
      </c>
      <c r="I62" s="1">
        <v>4.0010658991022907E-3</v>
      </c>
      <c r="J62" s="1">
        <v>1.8157156939890839E-3</v>
      </c>
      <c r="K62" s="1">
        <v>2.3872183114802131E-2</v>
      </c>
      <c r="L62" s="1">
        <v>1.4283773088349133E-2</v>
      </c>
      <c r="M62" s="1">
        <v>-1.1823743943351755E-2</v>
      </c>
      <c r="N62" s="1">
        <v>3.8436116182540281E-3</v>
      </c>
      <c r="O62" s="1">
        <v>1.8492276980085279E-2</v>
      </c>
      <c r="P62" s="1">
        <v>2.3562016790747667E-2</v>
      </c>
      <c r="Q62" s="1">
        <v>-2.5463203580692595E-2</v>
      </c>
      <c r="R62" s="1">
        <v>-4.0968362623808041E-2</v>
      </c>
      <c r="S62" s="1">
        <v>-2.1953739089392396E-2</v>
      </c>
      <c r="T62" s="1">
        <v>-4.2632298411637293E-3</v>
      </c>
      <c r="U62" s="1">
        <v>-1.9930585402769485E-2</v>
      </c>
      <c r="V62" s="1">
        <v>-1.3846897629974653E-2</v>
      </c>
      <c r="W62" s="1">
        <v>-2.2400761545408321E-3</v>
      </c>
      <c r="X62" s="1">
        <v>-1.2522783343787702E-2</v>
      </c>
      <c r="Y62" s="1">
        <v>-5.1760431668830542E-4</v>
      </c>
      <c r="Z62" s="1">
        <v>-1.6150012687898146E-3</v>
      </c>
      <c r="AA62" s="1">
        <v>3.8436116182540281E-3</v>
      </c>
      <c r="AB62" s="1">
        <v>1.4593939412403653E-2</v>
      </c>
      <c r="AC62" s="1">
        <v>-1.9251675928442791E-3</v>
      </c>
      <c r="AD62" s="1">
        <v>-3.4067361598795198E-3</v>
      </c>
      <c r="AE62" s="1">
        <v>-2.1218023027588795E-4</v>
      </c>
      <c r="AF62" s="1">
        <v>1.1246671439593778E-2</v>
      </c>
      <c r="AG62" s="1">
        <v>1.3427279407064951E-2</v>
      </c>
      <c r="AH62" s="1">
        <v>-5.9809594413741951E-3</v>
      </c>
      <c r="AI62" s="1">
        <v>-2.0703630094084685E-2</v>
      </c>
      <c r="AJ62" s="1">
        <v>-2.8810471553502442E-2</v>
      </c>
      <c r="AK62" s="1">
        <v>1.2413331444932452E-2</v>
      </c>
      <c r="AL62" s="1">
        <v>8.2048275531963616E-3</v>
      </c>
      <c r="AM62" s="1">
        <v>-6.448580046276936E-3</v>
      </c>
      <c r="AN62" s="1">
        <v>-1.6890065596690679E-3</v>
      </c>
      <c r="AO62" s="1">
        <v>2.0677627185198486E-2</v>
      </c>
      <c r="AP62" s="1">
        <v>8.0176773185658412E-4</v>
      </c>
      <c r="AQ62" s="1">
        <v>-3.2492818790312294E-3</v>
      </c>
      <c r="AR62" s="1">
        <v>4.0155129086874825E-2</v>
      </c>
      <c r="AS62" s="1">
        <v>1.4288515325991194E-2</v>
      </c>
      <c r="AT62" s="1">
        <v>-8.860606809281274E-3</v>
      </c>
      <c r="AU62" s="1">
        <v>-1.5717339273391334E-2</v>
      </c>
      <c r="AV62" s="1">
        <v>1.4751393693251916E-2</v>
      </c>
      <c r="AW62" s="1">
        <v>-1.1976455986557971E-2</v>
      </c>
      <c r="AX62" s="1">
        <v>1.226061940172625E-2</v>
      </c>
      <c r="AY62" s="1">
        <v>-1.0809795981219283E-2</v>
      </c>
      <c r="AZ62" s="1">
        <v>5.0102716235927297E-3</v>
      </c>
      <c r="BA62" s="1">
        <v>-5.9091236305130329E-3</v>
      </c>
      <c r="BB62" s="1">
        <v>-1.6958775011348542E-3</v>
      </c>
      <c r="BC62" s="1">
        <v>-3.5710613821935966E-3</v>
      </c>
      <c r="BD62" s="1">
        <v>3.9921540811323569E-2</v>
      </c>
      <c r="BE62" s="1">
        <v>1.0068398255147229E-2</v>
      </c>
      <c r="BF62" s="1">
        <v>2.1920865239040424E-2</v>
      </c>
      <c r="BG62" s="1">
        <v>-5.7469271120226956E-3</v>
      </c>
      <c r="BH62" s="1">
        <v>4.84219975847648E-2</v>
      </c>
      <c r="BI62" s="1">
        <v>9.6007776502445019E-3</v>
      </c>
      <c r="BJ62" s="1">
        <v>2.8314719335889735E-2</v>
      </c>
      <c r="BK62" s="1">
        <v>6.0186273341046925E-2</v>
      </c>
      <c r="BL62" s="1">
        <v>9.7629741687347976E-3</v>
      </c>
      <c r="BM62" s="1">
        <v>4.3657681860514858E-2</v>
      </c>
      <c r="BN62" s="1">
        <v>1.2800075817490181E-2</v>
      </c>
      <c r="BO62" s="1">
        <v>1.974025727156925E-2</v>
      </c>
      <c r="BP62" s="1">
        <v>3.2727618548802906E-4</v>
      </c>
      <c r="BQ62" s="1">
        <v>1.2804818055132242E-2</v>
      </c>
      <c r="BR62" s="1">
        <v>2.9712798136761601E-2</v>
      </c>
      <c r="BS62" s="1">
        <v>3.2277577719166506E-2</v>
      </c>
      <c r="BT62" s="1">
        <v>3.6259364276817169E-2</v>
      </c>
      <c r="BU62" s="1">
        <v>-2.2374626207225384E-3</v>
      </c>
      <c r="BV62" s="1">
        <v>1.7865073390510508E-2</v>
      </c>
      <c r="BW62" s="1">
        <v>2.167996196822311E-2</v>
      </c>
      <c r="BX62" s="1">
        <v>1.973551503392719E-2</v>
      </c>
      <c r="BY62" s="1">
        <v>1.1628673574509446E-2</v>
      </c>
      <c r="BZ62" s="1">
        <v>4.5357800772241746E-3</v>
      </c>
      <c r="CA62" s="1">
        <v>8.8969960121664943E-3</v>
      </c>
      <c r="CB62" s="1">
        <v>-2.0894928151583697E-3</v>
      </c>
      <c r="CC62" s="1">
        <v>1.1943582136205971E-2</v>
      </c>
      <c r="CD62" s="1">
        <v>3.3921302028497746E-2</v>
      </c>
      <c r="CE62" s="1">
        <v>4.0467868168553287E-2</v>
      </c>
      <c r="CF62" s="1">
        <v>4.2338309811969968E-2</v>
      </c>
      <c r="CG62" s="1">
        <v>2.5971914849928238E-2</v>
      </c>
      <c r="CH62" s="1">
        <v>1.6462252351996567E-2</v>
      </c>
      <c r="CI62" s="1">
        <v>1.4832713979397186E-2</v>
      </c>
      <c r="CJ62" s="1">
        <v>-5.8996391552289251E-3</v>
      </c>
      <c r="CK62" s="1">
        <v>-1.5431654579286525E-3</v>
      </c>
      <c r="CL62" s="1">
        <v>3.1809957114263765E-2</v>
      </c>
      <c r="CM62" s="1">
        <v>1.6545701341965605E-2</v>
      </c>
      <c r="CN62" s="1">
        <v>3.3532428952116278E-2</v>
      </c>
      <c r="CO62" s="1">
        <v>3.2208314665929327E-2</v>
      </c>
      <c r="CP62" s="1">
        <v>9.605519887886535E-3</v>
      </c>
      <c r="CQ62" s="1">
        <v>2.9166470779531883E-2</v>
      </c>
      <c r="CR62" s="1">
        <v>5.0602605552236002E-2</v>
      </c>
      <c r="CS62" s="1">
        <v>2.6129369130776528E-2</v>
      </c>
      <c r="CT62" s="1">
        <v>1.7402195023249814E-2</v>
      </c>
      <c r="CU62" s="1">
        <v>1.8726309309436778E-2</v>
      </c>
      <c r="CV62" s="1">
        <v>1.365656949877439E-2</v>
      </c>
      <c r="CW62" s="1">
        <v>4.1329104087479529E-2</v>
      </c>
      <c r="CX62" s="1">
        <v>2.1920865239040424E-2</v>
      </c>
      <c r="CY62" s="1">
        <v>-1.6359975589360934E-2</v>
      </c>
      <c r="CZ62" s="1">
        <v>1.9099749659423362E-2</v>
      </c>
      <c r="DA62" s="1">
        <v>-7.4061249239430887E-3</v>
      </c>
      <c r="DB62" s="1">
        <v>9.5113396329704059E-3</v>
      </c>
      <c r="DC62" s="1">
        <v>-3.1928787945649378E-3</v>
      </c>
      <c r="DD62" s="1">
        <v>-1.2475864734605477E-2</v>
      </c>
      <c r="DE62" s="1">
        <v>3.8355276464656279E-2</v>
      </c>
      <c r="DF62" s="1">
        <v>-6.2813998835434259E-4</v>
      </c>
      <c r="DG62" s="1">
        <v>1.8233771502855045E-2</v>
      </c>
      <c r="DH62" s="1">
        <v>-3.5069175037364161E-2</v>
      </c>
      <c r="DI62" s="1">
        <v>-5.8411073669388663E-3</v>
      </c>
      <c r="DJ62" s="1">
        <v>1.301606188662853E-2</v>
      </c>
      <c r="DK62" s="1">
        <v>-4.3642810375456725E-3</v>
      </c>
      <c r="DL62" s="1">
        <v>2.4632367837346458E-2</v>
      </c>
      <c r="DM62" s="1">
        <v>6.5529855127363229E-3</v>
      </c>
      <c r="DN62" s="1">
        <v>-1.0438484335056411E-2</v>
      </c>
      <c r="DO62" s="1">
        <v>4.2888877791017882E-3</v>
      </c>
      <c r="DP62" s="1">
        <v>-4.0916701776983755E-2</v>
      </c>
      <c r="DQ62" s="1">
        <v>-4.4524722651567428E-3</v>
      </c>
      <c r="DR62" s="1">
        <v>4.0526399956843345E-2</v>
      </c>
      <c r="DS62" s="1">
        <v>-1.5508224145718799E-2</v>
      </c>
      <c r="DT62" s="1">
        <v>1.6062648010668021E-2</v>
      </c>
      <c r="DU62" s="1">
        <v>-5.2302591941139759E-3</v>
      </c>
      <c r="DV62" s="1">
        <v>1.5900451492177683E-2</v>
      </c>
      <c r="DW62" s="1">
        <v>-1.2934000864224124E-2</v>
      </c>
      <c r="DX62" s="1">
        <v>-9.1978598150328356E-3</v>
      </c>
      <c r="DY62" s="1">
        <v>1.3719843524706524E-2</v>
      </c>
      <c r="DZ62" s="1">
        <v>8.3446796276317042E-3</v>
      </c>
      <c r="EA62" s="1">
        <v>6.080622670191535E-3</v>
      </c>
      <c r="EB62" s="1">
        <v>9.3213533100781898E-4</v>
      </c>
      <c r="EC62" s="1">
        <v>-3.1797366429987817E-4</v>
      </c>
      <c r="ED62" s="1">
        <v>-3.920371441441535E-2</v>
      </c>
      <c r="EE62" s="1">
        <v>4.2101810267748535E-3</v>
      </c>
      <c r="EF62" s="1">
        <v>1.8317220492824096E-2</v>
      </c>
      <c r="EG62" s="1">
        <v>2.8604669919712999E-2</v>
      </c>
      <c r="EH62" s="1">
        <v>-1.7230695983571312E-2</v>
      </c>
      <c r="EI62" s="1">
        <v>-1.7684089875547898E-2</v>
      </c>
      <c r="EJ62" s="1">
        <v>2.1082798116306423E-3</v>
      </c>
      <c r="EK62" s="1">
        <v>9.3586275897641763E-3</v>
      </c>
      <c r="EL62" s="1">
        <v>-8.5727849292817904E-3</v>
      </c>
      <c r="EM62" s="1">
        <v>-1.2156213935266891E-2</v>
      </c>
      <c r="EN62" s="1">
        <v>-1.2313668216115153E-2</v>
      </c>
      <c r="EO62" s="1">
        <v>1.9099749659423362E-2</v>
      </c>
      <c r="EP62" s="1">
        <v>-1.4494276183586327E-2</v>
      </c>
      <c r="EQ62" s="1">
        <v>-2.041576743789085E-2</v>
      </c>
      <c r="ER62" s="1">
        <v>-7.0912163622465635E-3</v>
      </c>
      <c r="ES62" s="1">
        <v>2.041912170796828E-2</v>
      </c>
      <c r="ET62" s="1">
        <v>5.4800449226842518E-4</v>
      </c>
      <c r="EU62" s="1">
        <v>-1.4799700269998745E-2</v>
      </c>
      <c r="EV62" s="10">
        <v>1.0372575551896648E-2</v>
      </c>
    </row>
    <row r="63" spans="1:152" x14ac:dyDescent="0.25">
      <c r="A63" s="21">
        <f t="shared" ca="1" si="0"/>
        <v>2.808434488848386E-2</v>
      </c>
      <c r="B63" s="5">
        <v>62</v>
      </c>
      <c r="C63" s="9">
        <v>-1.1121639352460501E-3</v>
      </c>
      <c r="D63" s="1">
        <v>-6.0996597006605438E-3</v>
      </c>
      <c r="E63" s="1">
        <v>-1.4293106460786416E-3</v>
      </c>
      <c r="F63" s="1">
        <v>-1.8535203530723847E-3</v>
      </c>
      <c r="G63" s="1">
        <v>1.2230105920448993E-3</v>
      </c>
      <c r="H63" s="1">
        <v>6.7896737987428943E-3</v>
      </c>
      <c r="I63" s="1">
        <v>4.9103142462873367E-3</v>
      </c>
      <c r="J63" s="1">
        <v>-1.5363736422397863E-3</v>
      </c>
      <c r="K63" s="1">
        <v>-2.7019397670598432E-3</v>
      </c>
      <c r="L63" s="1">
        <v>-7.3447258314509045E-3</v>
      </c>
      <c r="M63" s="1">
        <v>-1.2192269314071878E-3</v>
      </c>
      <c r="N63" s="1">
        <v>3.7459117805743389E-4</v>
      </c>
      <c r="O63" s="1">
        <v>-7.7689355384446268E-3</v>
      </c>
      <c r="P63" s="1">
        <v>-2.9915234877015973E-3</v>
      </c>
      <c r="Q63" s="1">
        <v>-9.0208022057460327E-4</v>
      </c>
      <c r="R63" s="1">
        <v>1.0821687154008783E-2</v>
      </c>
      <c r="S63" s="1">
        <v>6.7896737987428943E-3</v>
      </c>
      <c r="T63" s="1">
        <v>1.5125943126866465E-3</v>
      </c>
      <c r="U63" s="1">
        <v>-8.1223796777975255E-5</v>
      </c>
      <c r="V63" s="1">
        <v>5.6516706641136713E-3</v>
      </c>
      <c r="W63" s="1">
        <v>-5.3583032828342127E-3</v>
      </c>
      <c r="X63" s="1">
        <v>6.896736794904032E-3</v>
      </c>
      <c r="Y63" s="1">
        <v>5.0449402326393257E-3</v>
      </c>
      <c r="Z63" s="1">
        <v>4.0027265742673679E-3</v>
      </c>
      <c r="AA63" s="1">
        <v>3.7459117805743389E-4</v>
      </c>
      <c r="AB63" s="1">
        <v>-7.0551421108091469E-3</v>
      </c>
      <c r="AC63" s="1">
        <v>3.7131428536256103E-3</v>
      </c>
      <c r="AD63" s="1">
        <v>-2.0676463453946671E-3</v>
      </c>
      <c r="AE63" s="1">
        <v>-3.4473384625370064E-3</v>
      </c>
      <c r="AF63" s="1">
        <v>-1.4293106460786416E-3</v>
      </c>
      <c r="AG63" s="1">
        <v>-3.764485173369591E-3</v>
      </c>
      <c r="AH63" s="1">
        <v>-1.0878678696881611E-4</v>
      </c>
      <c r="AI63" s="1">
        <v>3.585748109526686E-3</v>
      </c>
      <c r="AJ63" s="1">
        <v>4.7237512441559056E-3</v>
      </c>
      <c r="AK63" s="1">
        <v>-4.719967583518208E-3</v>
      </c>
      <c r="AL63" s="1">
        <v>-4.2957578765244649E-3</v>
      </c>
      <c r="AM63" s="1">
        <v>-4.9340935758404904E-3</v>
      </c>
      <c r="AN63" s="1">
        <v>-4.4626524573919413E-4</v>
      </c>
      <c r="AO63" s="1">
        <v>-1.3222476499175038E-3</v>
      </c>
      <c r="AP63" s="1">
        <v>-2.4918560523883894E-3</v>
      </c>
      <c r="AQ63" s="1">
        <v>2.4680767228352496E-3</v>
      </c>
      <c r="AR63" s="1">
        <v>-9.3108166321297994E-3</v>
      </c>
      <c r="AS63" s="1">
        <v>1.4371365843671817E-3</v>
      </c>
      <c r="AT63" s="1">
        <v>1.0342351466633346E-2</v>
      </c>
      <c r="AU63" s="1">
        <v>8.2764289120463713E-3</v>
      </c>
      <c r="AV63" s="1">
        <v>-2.5194190425792337E-3</v>
      </c>
      <c r="AW63" s="1">
        <v>3.0269124161809748E-3</v>
      </c>
      <c r="AX63" s="1">
        <v>-4.7382823593003845E-4</v>
      </c>
      <c r="AY63" s="1">
        <v>-2.6374452125858469E-4</v>
      </c>
      <c r="AZ63" s="1">
        <v>-2.9160657593821256E-3</v>
      </c>
      <c r="BA63" s="1">
        <v>1.7708664363201156E-2</v>
      </c>
      <c r="BB63" s="1">
        <v>2.6066317072025502E-2</v>
      </c>
      <c r="BC63" s="1">
        <v>1.9909212904140113E-2</v>
      </c>
      <c r="BD63" s="1">
        <v>1.6998913213216504E-2</v>
      </c>
      <c r="BE63" s="1">
        <v>1.9592066193307528E-2</v>
      </c>
      <c r="BF63" s="1">
        <v>2.1986408978631002E-2</v>
      </c>
      <c r="BG63" s="1">
        <v>3.1026249847249159E-2</v>
      </c>
      <c r="BH63" s="1">
        <v>1.623722504745239E-2</v>
      </c>
      <c r="BI63" s="1">
        <v>1.4766759404435878E-2</v>
      </c>
      <c r="BJ63" s="1">
        <v>2.8008887160164385E-2</v>
      </c>
      <c r="BK63" s="1">
        <v>9.7629741687344229E-3</v>
      </c>
      <c r="BL63" s="1">
        <v>2.808434488848386E-2</v>
      </c>
      <c r="BM63" s="1">
        <v>2.9675343015330355E-3</v>
      </c>
      <c r="BN63" s="1">
        <v>2.2168929703111601E-2</v>
      </c>
      <c r="BO63" s="1">
        <v>2.4321583505921965E-2</v>
      </c>
      <c r="BP63" s="1">
        <v>1.9195419476504633E-2</v>
      </c>
      <c r="BQ63" s="1">
        <v>3.0950792118929697E-2</v>
      </c>
      <c r="BR63" s="1">
        <v>1.1776959707541945E-2</v>
      </c>
      <c r="BS63" s="1">
        <v>1.4180360720899308E-2</v>
      </c>
      <c r="BT63" s="1">
        <v>1.3553298541487201E-2</v>
      </c>
      <c r="BU63" s="1">
        <v>3.8718003866566646E-2</v>
      </c>
      <c r="BV63" s="1">
        <v>1.8164479338036561E-2</v>
      </c>
      <c r="BW63" s="1">
        <v>1.736395466217773E-2</v>
      </c>
      <c r="BX63" s="1">
        <v>1.5539721090103854E-2</v>
      </c>
      <c r="BY63" s="1">
        <v>1.6677724224733084E-2</v>
      </c>
      <c r="BZ63" s="1">
        <v>1.877120976951091E-2</v>
      </c>
      <c r="CA63" s="1">
        <v>1.4100860714929005E-2</v>
      </c>
      <c r="CB63" s="1">
        <v>2.5690002103160386E-2</v>
      </c>
      <c r="CC63" s="1">
        <v>2.5749170361192918E-2</v>
      </c>
      <c r="CD63" s="1">
        <v>1.1352750000548223E-2</v>
      </c>
      <c r="CE63" s="1">
        <v>1.3129088834493444E-2</v>
      </c>
      <c r="CF63" s="1">
        <v>1.0504330586560744E-2</v>
      </c>
      <c r="CG63" s="1">
        <v>1.7026476203407338E-2</v>
      </c>
      <c r="CH63" s="1">
        <v>2.5614544374840932E-2</v>
      </c>
      <c r="CI63" s="1">
        <v>3.2861756939226903E-2</v>
      </c>
      <c r="CJ63" s="1">
        <v>3.5272389194837321E-2</v>
      </c>
      <c r="CK63" s="1">
        <v>2.1820177724437333E-2</v>
      </c>
      <c r="CL63" s="1">
        <v>9.3550539320276516E-3</v>
      </c>
      <c r="CM63" s="1">
        <v>2.5701275623064304E-2</v>
      </c>
      <c r="CN63" s="1">
        <v>1.975829744750119E-2</v>
      </c>
      <c r="CO63" s="1">
        <v>1.8513231316710822E-2</v>
      </c>
      <c r="CP63" s="1">
        <v>2.354862182025394E-2</v>
      </c>
      <c r="CQ63" s="1">
        <v>1.5646784086264999E-2</v>
      </c>
      <c r="CR63" s="1">
        <v>1.3902050520161448E-2</v>
      </c>
      <c r="CS63" s="1">
        <v>2.1562199271637279E-2</v>
      </c>
      <c r="CT63" s="1">
        <v>2.212103496498298E-2</v>
      </c>
      <c r="CU63" s="1">
        <v>2.3366101095773348E-2</v>
      </c>
      <c r="CV63" s="1">
        <v>1.8588689045030304E-2</v>
      </c>
      <c r="CW63" s="1">
        <v>1.833071059223023E-2</v>
      </c>
      <c r="CX63" s="1">
        <v>2.1986408978631002E-2</v>
      </c>
      <c r="CY63" s="1">
        <v>1.969093973831304E-2</v>
      </c>
      <c r="CZ63" s="1">
        <v>4.4164959860582692E-4</v>
      </c>
      <c r="DA63" s="1">
        <v>-2.5910288860336445E-3</v>
      </c>
      <c r="DB63" s="1">
        <v>-4.2011364657852102E-3</v>
      </c>
      <c r="DC63" s="1">
        <v>5.7666238227907021E-3</v>
      </c>
      <c r="DD63" s="1">
        <v>-7.368440936776674E-3</v>
      </c>
      <c r="DE63" s="1">
        <v>1.0320905597932181E-3</v>
      </c>
      <c r="DF63" s="1">
        <v>-1.3755960567271297E-2</v>
      </c>
      <c r="DG63" s="1">
        <v>-1.3541834574949015E-2</v>
      </c>
      <c r="DH63" s="1">
        <v>1.5230674398402595E-2</v>
      </c>
      <c r="DI63" s="1">
        <v>3.2764915612099876E-3</v>
      </c>
      <c r="DJ63" s="1">
        <v>-5.2912448622858196E-3</v>
      </c>
      <c r="DK63" s="1">
        <v>2.7541834441217883E-4</v>
      </c>
      <c r="DL63" s="1">
        <v>1.2625060224024653E-3</v>
      </c>
      <c r="DM63" s="1">
        <v>1.4945132955411652E-2</v>
      </c>
      <c r="DN63" s="1">
        <v>1.2106248715156684E-2</v>
      </c>
      <c r="DO63" s="1">
        <v>-4.732409168940091E-3</v>
      </c>
      <c r="DP63" s="1">
        <v>5.3383718381461373E-3</v>
      </c>
      <c r="DQ63" s="1">
        <v>-8.5931753196292621E-3</v>
      </c>
      <c r="DR63" s="1">
        <v>-1.8866808799133876E-2</v>
      </c>
      <c r="DS63" s="1">
        <v>7.3288366644136405E-3</v>
      </c>
      <c r="DT63" s="1">
        <v>6.3570647839781003E-3</v>
      </c>
      <c r="DU63" s="1">
        <v>-1.3708065829142677E-2</v>
      </c>
      <c r="DV63" s="1">
        <v>-6.9605207000698957E-3</v>
      </c>
      <c r="DW63" s="1">
        <v>5.3699771059878068E-3</v>
      </c>
      <c r="DX63" s="1">
        <v>-8.6614018056956552E-3</v>
      </c>
      <c r="DY63" s="1">
        <v>-4.6253461727789533E-3</v>
      </c>
      <c r="DZ63" s="1">
        <v>-9.1047952834566459E-4</v>
      </c>
      <c r="EA63" s="1">
        <v>1.3379637507219197E-3</v>
      </c>
      <c r="EB63" s="1">
        <v>-1.6670302535845741E-2</v>
      </c>
      <c r="EC63" s="1">
        <v>-1.3466376846629553E-2</v>
      </c>
      <c r="ED63" s="1">
        <v>-1.8221094780164829E-3</v>
      </c>
      <c r="EE63" s="1">
        <v>3.9627219986546197E-3</v>
      </c>
      <c r="EF63" s="1">
        <v>-1.3455103326725656E-2</v>
      </c>
      <c r="EG63" s="1">
        <v>-1.6928280988645829E-2</v>
      </c>
      <c r="EH63" s="1">
        <v>-3.074406851059891E-3</v>
      </c>
      <c r="EI63" s="1">
        <v>1.8445873607522673E-2</v>
      </c>
      <c r="EJ63" s="1">
        <v>-2.3972346416491486E-3</v>
      </c>
      <c r="EK63" s="1">
        <v>4.5002881802952421E-5</v>
      </c>
      <c r="EL63" s="1">
        <v>6.9962805140590112E-4</v>
      </c>
      <c r="EM63" s="1">
        <v>1.0484867615501207E-2</v>
      </c>
      <c r="EN63" s="1">
        <v>5.9491445472712942E-3</v>
      </c>
      <c r="EO63" s="1">
        <v>4.4164959860582692E-4</v>
      </c>
      <c r="EP63" s="1">
        <v>8.2843190745622575E-3</v>
      </c>
      <c r="EQ63" s="1">
        <v>1.58690100977186E-2</v>
      </c>
      <c r="ER63" s="1">
        <v>6.4804172504261751E-3</v>
      </c>
      <c r="ES63" s="1">
        <v>-7.0951466864218812E-3</v>
      </c>
      <c r="ET63" s="1">
        <v>5.1710732692530209E-4</v>
      </c>
      <c r="EU63" s="1">
        <v>1.6776597769738583E-2</v>
      </c>
      <c r="EV63" s="10">
        <v>1.0004852919515556E-3</v>
      </c>
    </row>
    <row r="64" spans="1:152" x14ac:dyDescent="0.25">
      <c r="A64" s="21">
        <f t="shared" ca="1" si="0"/>
        <v>5.7230340715945766E-2</v>
      </c>
      <c r="B64" s="5">
        <v>63</v>
      </c>
      <c r="C64" s="9">
        <v>1.1554598869884178E-3</v>
      </c>
      <c r="D64" s="1">
        <v>1.6276225815497904E-2</v>
      </c>
      <c r="E64" s="1">
        <v>4.2563213315790285E-3</v>
      </c>
      <c r="F64" s="1">
        <v>6.0008463503134143E-3</v>
      </c>
      <c r="G64" s="1">
        <v>-4.854492354970992E-3</v>
      </c>
      <c r="H64" s="1">
        <v>-1.6400227303571612E-2</v>
      </c>
      <c r="I64" s="1">
        <v>-9.8533062927322838E-3</v>
      </c>
      <c r="J64" s="1">
        <v>2.8999849057228175E-3</v>
      </c>
      <c r="K64" s="1">
        <v>9.4898963877822137E-3</v>
      </c>
      <c r="L64" s="1">
        <v>1.6621423937156002E-2</v>
      </c>
      <c r="M64" s="1">
        <v>-2.0087653886780715E-4</v>
      </c>
      <c r="N64" s="1">
        <v>-1.3654423175022204E-3</v>
      </c>
      <c r="O64" s="1">
        <v>1.8365948955890388E-2</v>
      </c>
      <c r="P64" s="1">
        <v>7.7023808978277652E-3</v>
      </c>
      <c r="Q64" s="1">
        <v>-3.3017379834584318E-3</v>
      </c>
      <c r="R64" s="1">
        <v>-2.9388279620468537E-2</v>
      </c>
      <c r="S64" s="1">
        <v>-1.6400227303571612E-2</v>
      </c>
      <c r="T64" s="1">
        <v>-3.0669768650165782E-3</v>
      </c>
      <c r="U64" s="1">
        <v>-1.9024110863821095E-3</v>
      </c>
      <c r="V64" s="1">
        <v>-1.469869275605728E-2</v>
      </c>
      <c r="W64" s="1">
        <v>1.1430839352172893E-2</v>
      </c>
      <c r="X64" s="1">
        <v>-1.5043890877715387E-2</v>
      </c>
      <c r="Y64" s="1">
        <v>-1.3385346801421094E-2</v>
      </c>
      <c r="Z64" s="1">
        <v>-3.7573731083327677E-3</v>
      </c>
      <c r="AA64" s="1">
        <v>-1.3654423175022204E-3</v>
      </c>
      <c r="AB64" s="1">
        <v>1.8408939427110423E-2</v>
      </c>
      <c r="AC64" s="1">
        <v>-5.544888598287178E-3</v>
      </c>
      <c r="AD64" s="1">
        <v>3.2881734986009645E-3</v>
      </c>
      <c r="AE64" s="1">
        <v>7.1654121289478553E-3</v>
      </c>
      <c r="AF64" s="1">
        <v>4.2563213315790285E-3</v>
      </c>
      <c r="AG64" s="1">
        <v>1.026627357353848E-2</v>
      </c>
      <c r="AH64" s="1">
        <v>2.9859658481628977E-3</v>
      </c>
      <c r="AI64" s="1">
        <v>-1.5752821531475437E-2</v>
      </c>
      <c r="AJ64" s="1">
        <v>-1.7454356078989798E-2</v>
      </c>
      <c r="AK64" s="1">
        <v>1.2398987185150999E-2</v>
      </c>
      <c r="AL64" s="1">
        <v>1.0654462166416613E-2</v>
      </c>
      <c r="AM64" s="1">
        <v>9.6863143334385213E-3</v>
      </c>
      <c r="AN64" s="1">
        <v>-2.7647692145785115E-3</v>
      </c>
      <c r="AO64" s="1">
        <v>5.612657757435309E-3</v>
      </c>
      <c r="AP64" s="1">
        <v>5.0326985173353087E-3</v>
      </c>
      <c r="AQ64" s="1">
        <v>-5.1996904766290694E-3</v>
      </c>
      <c r="AR64" s="1">
        <v>3.066360502947111E-2</v>
      </c>
      <c r="AS64" s="1">
        <v>-2.1418195032585005E-3</v>
      </c>
      <c r="AT64" s="1">
        <v>-1.7867000732644068E-2</v>
      </c>
      <c r="AU64" s="1">
        <v>-1.8921129508062278E-2</v>
      </c>
      <c r="AV64" s="1">
        <v>9.9210754518803887E-3</v>
      </c>
      <c r="AW64" s="1">
        <v>-1.0476256004052281E-2</v>
      </c>
      <c r="AX64" s="1">
        <v>2.1236077199665096E-3</v>
      </c>
      <c r="AY64" s="1">
        <v>-2.3335901504803261E-3</v>
      </c>
      <c r="AZ64" s="1">
        <v>6.7772235360697361E-3</v>
      </c>
      <c r="BA64" s="1">
        <v>2.2895343520581986E-2</v>
      </c>
      <c r="BB64" s="1">
        <v>5.8766250989018692E-3</v>
      </c>
      <c r="BC64" s="1">
        <v>2.0417431787311369E-2</v>
      </c>
      <c r="BD64" s="1">
        <v>3.0022223771521285E-2</v>
      </c>
      <c r="BE64" s="1">
        <v>2.3518293231902007E-2</v>
      </c>
      <c r="BF64" s="1">
        <v>1.4901457843011855E-2</v>
      </c>
      <c r="BG64" s="1">
        <v>-4.3557638950625227E-3</v>
      </c>
      <c r="BH64" s="1">
        <v>2.6016013727514262E-2</v>
      </c>
      <c r="BI64" s="1">
        <v>3.021864171717762E-2</v>
      </c>
      <c r="BJ64" s="1">
        <v>3.8926916632911271E-3</v>
      </c>
      <c r="BK64" s="1">
        <v>4.3657681860514386E-2</v>
      </c>
      <c r="BL64" s="1">
        <v>2.9675343015330841E-3</v>
      </c>
      <c r="BM64" s="1">
        <v>5.7230340715945766E-2</v>
      </c>
      <c r="BN64" s="1">
        <v>1.5332636907110002E-2</v>
      </c>
      <c r="BO64" s="1">
        <v>8.8915056010524032E-3</v>
      </c>
      <c r="BP64" s="1">
        <v>2.0374441316091334E-2</v>
      </c>
      <c r="BQ64" s="1">
        <v>-3.4306065333045005E-3</v>
      </c>
      <c r="BR64" s="1">
        <v>3.3578720340986232E-2</v>
      </c>
      <c r="BS64" s="1">
        <v>4.0383584179145837E-2</v>
      </c>
      <c r="BT64" s="1">
        <v>3.2845333626449986E-2</v>
      </c>
      <c r="BU64" s="1">
        <v>-1.7454253215175727E-2</v>
      </c>
      <c r="BV64" s="1">
        <v>2.3432312289461903E-2</v>
      </c>
      <c r="BW64" s="1">
        <v>3.0884581899717656E-2</v>
      </c>
      <c r="BX64" s="1">
        <v>2.7654749041466899E-2</v>
      </c>
      <c r="BY64" s="1">
        <v>2.5953214493952582E-2</v>
      </c>
      <c r="BZ64" s="1">
        <v>2.211896633482572E-2</v>
      </c>
      <c r="CA64" s="1">
        <v>3.4138870818744567E-2</v>
      </c>
      <c r="CB64" s="1">
        <v>1.1584369690423243E-2</v>
      </c>
      <c r="CC64" s="1">
        <v>8.97748654349248E-3</v>
      </c>
      <c r="CD64" s="1">
        <v>3.5323245359720645E-2</v>
      </c>
      <c r="CE64" s="1">
        <v>3.4589858645184372E-2</v>
      </c>
      <c r="CF64" s="1">
        <v>3.8812295397189375E-2</v>
      </c>
      <c r="CG64" s="1">
        <v>2.5133846836976233E-2</v>
      </c>
      <c r="CH64" s="1">
        <v>1.250952705218128E-2</v>
      </c>
      <c r="CI64" s="1">
        <v>-7.6960337565295384E-3</v>
      </c>
      <c r="CJ64" s="1">
        <v>-1.4631143360247026E-2</v>
      </c>
      <c r="CK64" s="1">
        <v>1.6152004564086331E-2</v>
      </c>
      <c r="CL64" s="1">
        <v>4.7083932664421464E-2</v>
      </c>
      <c r="CM64" s="1">
        <v>5.0142669707054985E-3</v>
      </c>
      <c r="CN64" s="1">
        <v>2.2267746510827476E-2</v>
      </c>
      <c r="CO64" s="1">
        <v>2.2612944632485581E-2</v>
      </c>
      <c r="CP64" s="1">
        <v>1.1455398276763097E-2</v>
      </c>
      <c r="CQ64" s="1">
        <v>2.9011085467323137E-2</v>
      </c>
      <c r="CR64" s="1">
        <v>3.2025965969473685E-2</v>
      </c>
      <c r="CS64" s="1">
        <v>1.6645982861746199E-2</v>
      </c>
      <c r="CT64" s="1">
        <v>1.1369417334323041E-2</v>
      </c>
      <c r="CU64" s="1">
        <v>1.102421921266495E-2</v>
      </c>
      <c r="CV64" s="1">
        <v>2.1687787270727545E-2</v>
      </c>
      <c r="CW64" s="1">
        <v>2.2181765568387364E-2</v>
      </c>
      <c r="CX64" s="1">
        <v>1.4901457843011855E-2</v>
      </c>
      <c r="CY64" s="1">
        <v>-3.8796363340878576E-2</v>
      </c>
      <c r="CZ64" s="1">
        <v>-8.6187910482982133E-4</v>
      </c>
      <c r="DA64" s="1">
        <v>6.7868084510822602E-3</v>
      </c>
      <c r="DB64" s="1">
        <v>6.2696484445440015E-3</v>
      </c>
      <c r="DC64" s="1">
        <v>-1.0231909970597863E-2</v>
      </c>
      <c r="DD64" s="1">
        <v>1.7450376509144855E-2</v>
      </c>
      <c r="DE64" s="1">
        <v>-3.8569508446386902E-3</v>
      </c>
      <c r="DF64" s="1">
        <v>2.7596784560669191E-2</v>
      </c>
      <c r="DG64" s="1">
        <v>3.0309457412381668E-2</v>
      </c>
      <c r="DH64" s="1">
        <v>-3.1233656727406606E-2</v>
      </c>
      <c r="DI64" s="1">
        <v>-9.5415137272816669E-3</v>
      </c>
      <c r="DJ64" s="1">
        <v>1.193440256484532E-2</v>
      </c>
      <c r="DK64" s="1">
        <v>3.8866761624470336E-4</v>
      </c>
      <c r="DL64" s="1">
        <v>5.3744779224648709E-4</v>
      </c>
      <c r="DM64" s="1">
        <v>-2.5851301495201706E-2</v>
      </c>
      <c r="DN64" s="1">
        <v>-2.4341537594909174E-2</v>
      </c>
      <c r="DO64" s="1">
        <v>6.6578370374221346E-3</v>
      </c>
      <c r="DP64" s="1">
        <v>-1.5657255674022805E-2</v>
      </c>
      <c r="DQ64" s="1">
        <v>2.6647171138135015E-2</v>
      </c>
      <c r="DR64" s="1">
        <v>3.967948827814971E-2</v>
      </c>
      <c r="DS64" s="1">
        <v>-1.3677969536846579E-2</v>
      </c>
      <c r="DT64" s="1">
        <v>-1.3226981710406746E-2</v>
      </c>
      <c r="DU64" s="1">
        <v>3.1560004133456207E-2</v>
      </c>
      <c r="DV64" s="1">
        <v>1.4024125705237797E-2</v>
      </c>
      <c r="DW64" s="1">
        <v>-1.3375761886408502E-2</v>
      </c>
      <c r="DX64" s="1">
        <v>1.3832355058015985E-2</v>
      </c>
      <c r="DY64" s="1">
        <v>8.0141734632783873E-3</v>
      </c>
      <c r="DZ64" s="1">
        <v>-1.8730174090279689E-3</v>
      </c>
      <c r="EA64" s="1">
        <v>-3.8770956951156288E-4</v>
      </c>
      <c r="EB64" s="1">
        <v>3.0031705822719801E-2</v>
      </c>
      <c r="EC64" s="1">
        <v>2.9384300050623646E-2</v>
      </c>
      <c r="ED64" s="1">
        <v>-2.9469549467877609E-3</v>
      </c>
      <c r="EE64" s="1">
        <v>-4.6101463215165728E-3</v>
      </c>
      <c r="EF64" s="1">
        <v>2.2814197330905908E-2</v>
      </c>
      <c r="EG64" s="1">
        <v>3.0525684120379641E-2</v>
      </c>
      <c r="EH64" s="1">
        <v>1.1138216616747409E-2</v>
      </c>
      <c r="EI64" s="1">
        <v>-3.8451165219220498E-2</v>
      </c>
      <c r="EJ64" s="1">
        <v>6.4788479546271094E-4</v>
      </c>
      <c r="EK64" s="1">
        <v>-4.0057310206404878E-3</v>
      </c>
      <c r="EL64" s="1">
        <v>-1.3558574024896825E-3</v>
      </c>
      <c r="EM64" s="1">
        <v>-1.8288594881729722E-2</v>
      </c>
      <c r="EN64" s="1">
        <v>-9.8007309064996745E-3</v>
      </c>
      <c r="EO64" s="1">
        <v>-8.6187910482982133E-4</v>
      </c>
      <c r="EP64" s="1">
        <v>-1.5810683148459098E-2</v>
      </c>
      <c r="EQ64" s="1">
        <v>-3.02655088944285E-2</v>
      </c>
      <c r="ER64" s="1">
        <v>-1.0188919499377808E-2</v>
      </c>
      <c r="ES64" s="1">
        <v>1.7556166213926597E-2</v>
      </c>
      <c r="ET64" s="1">
        <v>-1.7870364665878574E-3</v>
      </c>
      <c r="EU64" s="1">
        <v>-3.6361442078828007E-2</v>
      </c>
      <c r="EV64" s="10">
        <v>-6.138444632252979E-3</v>
      </c>
    </row>
    <row r="65" spans="1:152" x14ac:dyDescent="0.25">
      <c r="A65" s="21">
        <f t="shared" ca="1" si="0"/>
        <v>2.1360718742994549E-2</v>
      </c>
      <c r="B65" s="5">
        <v>64</v>
      </c>
      <c r="C65" s="9">
        <v>1.3890243498828128E-4</v>
      </c>
      <c r="D65" s="1">
        <v>-2.345353006174427E-3</v>
      </c>
      <c r="E65" s="1">
        <v>-1.8199991945826374E-3</v>
      </c>
      <c r="F65" s="1">
        <v>-2.4172106467165999E-3</v>
      </c>
      <c r="G65" s="1">
        <v>4.0157934078417605E-4</v>
      </c>
      <c r="H65" s="1">
        <v>3.7860836253356123E-3</v>
      </c>
      <c r="I65" s="1">
        <v>-4.1457678233156048E-4</v>
      </c>
      <c r="J65" s="1">
        <v>-4.5830901714568294E-4</v>
      </c>
      <c r="K65" s="1">
        <v>-3.6116335509845249E-3</v>
      </c>
      <c r="L65" s="1">
        <v>-2.6282101546997519E-3</v>
      </c>
      <c r="M65" s="1">
        <v>1.5005926124252444E-3</v>
      </c>
      <c r="N65" s="1">
        <v>-7.9284356348375239E-4</v>
      </c>
      <c r="O65" s="1">
        <v>-3.2254216068337213E-3</v>
      </c>
      <c r="P65" s="1">
        <v>-4.061757972678888E-3</v>
      </c>
      <c r="Q65" s="1">
        <v>3.4594942419961631E-3</v>
      </c>
      <c r="R65" s="1">
        <v>6.4376063396673587E-3</v>
      </c>
      <c r="S65" s="1">
        <v>3.7860836253356123E-3</v>
      </c>
      <c r="T65" s="1">
        <v>8.5170376247853744E-4</v>
      </c>
      <c r="U65" s="1">
        <v>3.1451399383875291E-3</v>
      </c>
      <c r="V65" s="1">
        <v>2.1415362993733207E-3</v>
      </c>
      <c r="W65" s="1">
        <v>2.1076007553045596E-4</v>
      </c>
      <c r="X65" s="1">
        <v>2.4243934478986526E-3</v>
      </c>
      <c r="Y65" s="1">
        <v>-2.6748975189195938E-4</v>
      </c>
      <c r="Z65" s="1">
        <v>1.4174180595291925E-3</v>
      </c>
      <c r="AA65" s="1">
        <v>-7.9284356348375239E-4</v>
      </c>
      <c r="AB65" s="1">
        <v>-2.1780857330053957E-3</v>
      </c>
      <c r="AC65" s="1">
        <v>9.6729363783482937E-4</v>
      </c>
      <c r="AD65" s="1">
        <v>3.0616970815731601E-4</v>
      </c>
      <c r="AE65" s="1">
        <v>-1.2377447080761349E-4</v>
      </c>
      <c r="AF65" s="1">
        <v>-1.8199991945826374E-3</v>
      </c>
      <c r="AG65" s="1">
        <v>-2.0826761003785374E-3</v>
      </c>
      <c r="AH65" s="1">
        <v>1.6363627305109683E-3</v>
      </c>
      <c r="AI65" s="1">
        <v>2.1730334544566299E-3</v>
      </c>
      <c r="AJ65" s="1">
        <v>3.8175807804189214E-3</v>
      </c>
      <c r="AK65" s="1">
        <v>-1.9154088272094957E-3</v>
      </c>
      <c r="AL65" s="1">
        <v>-1.3181973750755402E-3</v>
      </c>
      <c r="AM65" s="1">
        <v>8.0797152766442018E-4</v>
      </c>
      <c r="AN65" s="1">
        <v>-4.7848925987511136E-4</v>
      </c>
      <c r="AO65" s="1">
        <v>-3.1816893720195971E-3</v>
      </c>
      <c r="AP65" s="1">
        <v>-2.9104174397664821E-4</v>
      </c>
      <c r="AQ65" s="1">
        <v>6.8443648930950271E-4</v>
      </c>
      <c r="AR65" s="1">
        <v>-5.3112300241148075E-3</v>
      </c>
      <c r="AS65" s="1">
        <v>-2.3218010140897416E-3</v>
      </c>
      <c r="AT65" s="1">
        <v>2.8228404717802712E-3</v>
      </c>
      <c r="AU65" s="1">
        <v>2.8543376268635769E-3</v>
      </c>
      <c r="AV65" s="1">
        <v>-1.799818951853209E-3</v>
      </c>
      <c r="AW65" s="1">
        <v>1.4287349718830646E-3</v>
      </c>
      <c r="AX65" s="1">
        <v>-1.9872664677516721E-3</v>
      </c>
      <c r="AY65" s="1">
        <v>1.3333253392562097E-3</v>
      </c>
      <c r="AZ65" s="1">
        <v>-8.8825319611061243E-4</v>
      </c>
      <c r="BA65" s="1">
        <v>2.4155956738410644E-2</v>
      </c>
      <c r="BB65" s="1">
        <v>2.3865154426886692E-2</v>
      </c>
      <c r="BC65" s="1">
        <v>2.4271546613766938E-2</v>
      </c>
      <c r="BD65" s="1">
        <v>1.7064648702700518E-2</v>
      </c>
      <c r="BE65" s="1">
        <v>2.2312644984196016E-2</v>
      </c>
      <c r="BF65" s="1">
        <v>1.9548904143863233E-2</v>
      </c>
      <c r="BG65" s="1">
        <v>2.4840632660172841E-2</v>
      </c>
      <c r="BH65" s="1">
        <v>1.4352585260180475E-2</v>
      </c>
      <c r="BI65" s="1">
        <v>2.1484253781349466E-2</v>
      </c>
      <c r="BJ65" s="1">
        <v>1.8995424926543387E-2</v>
      </c>
      <c r="BK65" s="1">
        <v>1.2800075817489792E-2</v>
      </c>
      <c r="BL65" s="1">
        <v>2.216892970311167E-2</v>
      </c>
      <c r="BM65" s="1">
        <v>1.5332636907109995E-2</v>
      </c>
      <c r="BN65" s="1">
        <v>2.1360718742994549E-2</v>
      </c>
      <c r="BO65" s="1">
        <v>1.9811581049659126E-2</v>
      </c>
      <c r="BP65" s="1">
        <v>2.3224210739938612E-2</v>
      </c>
      <c r="BQ65" s="1">
        <v>2.1667127883604566E-2</v>
      </c>
      <c r="BR65" s="1">
        <v>1.7147823255596564E-2</v>
      </c>
      <c r="BS65" s="1">
        <v>1.9231178090899345E-2</v>
      </c>
      <c r="BT65" s="1">
        <v>1.6666201678818899E-2</v>
      </c>
      <c r="BU65" s="1">
        <v>2.5167222043512294E-2</v>
      </c>
      <c r="BV65" s="1">
        <v>2.0217973236539365E-2</v>
      </c>
      <c r="BW65" s="1">
        <v>2.068827790096316E-2</v>
      </c>
      <c r="BX65" s="1">
        <v>1.9505171909049109E-2</v>
      </c>
      <c r="BY65" s="1">
        <v>2.1149719235011397E-2</v>
      </c>
      <c r="BZ65" s="1">
        <v>2.262699928780465E-2</v>
      </c>
      <c r="CA65" s="1">
        <v>2.2101645476212864E-2</v>
      </c>
      <c r="CB65" s="1">
        <v>2.4932670543444453E-2</v>
      </c>
      <c r="CC65" s="1">
        <v>2.190625279731577E-2</v>
      </c>
      <c r="CD65" s="1">
        <v>1.6550611803462609E-2</v>
      </c>
      <c r="CE65" s="1">
        <v>1.6068990226684933E-2</v>
      </c>
      <c r="CF65" s="1">
        <v>1.5356188899194677E-2</v>
      </c>
      <c r="CG65" s="1">
        <v>1.8573425910577077E-2</v>
      </c>
      <c r="CH65" s="1">
        <v>2.1759165766876171E-2</v>
      </c>
      <c r="CI65" s="1">
        <v>2.1332593337266496E-2</v>
      </c>
      <c r="CJ65" s="1">
        <v>2.4768775019630672E-2</v>
      </c>
      <c r="CK65" s="1">
        <v>2.3937012067428869E-2</v>
      </c>
      <c r="CL65" s="1">
        <v>1.8402786888052788E-2</v>
      </c>
      <c r="CM65" s="1">
        <v>2.0241525228624054E-2</v>
      </c>
      <c r="CN65" s="1">
        <v>1.7924537060630377E-2</v>
      </c>
      <c r="CO65" s="1">
        <v>1.7641679912105052E-2</v>
      </c>
      <c r="CP65" s="1">
        <v>2.1790662921959476E-2</v>
      </c>
      <c r="CQ65" s="1">
        <v>1.8143481731612149E-2</v>
      </c>
      <c r="CR65" s="1">
        <v>1.4089908354384575E-2</v>
      </c>
      <c r="CS65" s="1">
        <v>1.895169269172927E-2</v>
      </c>
      <c r="CT65" s="1">
        <v>1.9695991174302832E-2</v>
      </c>
      <c r="CU65" s="1">
        <v>1.997884832282816E-2</v>
      </c>
      <c r="CV65" s="1">
        <v>2.0815184688673327E-2</v>
      </c>
      <c r="CW65" s="1">
        <v>1.5829865312973725E-2</v>
      </c>
      <c r="CX65" s="1">
        <v>1.9548904143863233E-2</v>
      </c>
      <c r="CY65" s="1">
        <v>4.2985665690027323E-3</v>
      </c>
      <c r="CZ65" s="1">
        <v>-3.3942428355735466E-3</v>
      </c>
      <c r="DA65" s="1">
        <v>1.495666907499197E-3</v>
      </c>
      <c r="DB65" s="1">
        <v>-2.4108194392887753E-3</v>
      </c>
      <c r="DC65" s="1">
        <v>1.2048645959752483E-3</v>
      </c>
      <c r="DD65" s="1">
        <v>2.3320032733443671E-3</v>
      </c>
      <c r="DE65" s="1">
        <v>-7.18513930700522E-3</v>
      </c>
      <c r="DF65" s="1">
        <v>-7.3814670759843153E-4</v>
      </c>
      <c r="DG65" s="1">
        <v>-3.4615270624723492E-3</v>
      </c>
      <c r="DH65" s="1">
        <v>7.0938045644188315E-3</v>
      </c>
      <c r="DI65" s="1">
        <v>6.391502989245932E-4</v>
      </c>
      <c r="DJ65" s="1">
        <v>-2.3906391965593382E-3</v>
      </c>
      <c r="DK65" s="1">
        <v>9.9386508799209627E-4</v>
      </c>
      <c r="DL65" s="1">
        <v>-3.7085971391821772E-3</v>
      </c>
      <c r="DM65" s="1">
        <v>5.9970798084266197E-4</v>
      </c>
      <c r="DN65" s="1">
        <v>2.6102870082263269E-3</v>
      </c>
      <c r="DO65" s="1">
        <v>-1.6463407139857764E-3</v>
      </c>
      <c r="DP65" s="1">
        <v>6.6516253057230836E-3</v>
      </c>
      <c r="DQ65" s="1">
        <v>2.2050964856342014E-3</v>
      </c>
      <c r="DR65" s="1">
        <v>-8.0606344940211405E-3</v>
      </c>
      <c r="DS65" s="1">
        <v>3.4466233740715006E-3</v>
      </c>
      <c r="DT65" s="1">
        <v>-2.5860318754564252E-3</v>
      </c>
      <c r="DU65" s="1">
        <v>9.2658086109328845E-4</v>
      </c>
      <c r="DV65" s="1">
        <v>-3.2707077972186291E-3</v>
      </c>
      <c r="DW65" s="1">
        <v>2.1164303517178466E-3</v>
      </c>
      <c r="DX65" s="1">
        <v>3.8441855612732397E-4</v>
      </c>
      <c r="DY65" s="1">
        <v>-3.0080308914227361E-3</v>
      </c>
      <c r="DZ65" s="1">
        <v>-2.3154098066619153E-3</v>
      </c>
      <c r="EA65" s="1">
        <v>-5.3509236261389988E-4</v>
      </c>
      <c r="EB65" s="1">
        <v>-1.9010724567830456E-3</v>
      </c>
      <c r="EC65" s="1">
        <v>-2.8802228590406841E-4</v>
      </c>
      <c r="ED65" s="1">
        <v>5.5605571970806407E-3</v>
      </c>
      <c r="EE65" s="1">
        <v>1.7770896487635628E-4</v>
      </c>
      <c r="EF65" s="1">
        <v>-4.9791676007244698E-3</v>
      </c>
      <c r="EG65" s="1">
        <v>-6.8863918324826509E-3</v>
      </c>
      <c r="EH65" s="1">
        <v>3.9248732014939142E-3</v>
      </c>
      <c r="EI65" s="1">
        <v>4.0157094204774039E-3</v>
      </c>
      <c r="EJ65" s="1">
        <v>-1.3836638081898816E-3</v>
      </c>
      <c r="EK65" s="1">
        <v>-2.4826770798309465E-3</v>
      </c>
      <c r="EL65" s="1">
        <v>1.5910765401260605E-3</v>
      </c>
      <c r="EM65" s="1">
        <v>3.3949459762587595E-3</v>
      </c>
      <c r="EN65" s="1">
        <v>3.0166791951065728E-3</v>
      </c>
      <c r="EO65" s="1">
        <v>-3.3942428355735466E-3</v>
      </c>
      <c r="EP65" s="1">
        <v>3.2793561009024658E-3</v>
      </c>
      <c r="EQ65" s="1">
        <v>4.9676356616788712E-3</v>
      </c>
      <c r="ER65" s="1">
        <v>2.2522004698035739E-3</v>
      </c>
      <c r="ES65" s="1">
        <v>-3.4177948276582319E-3</v>
      </c>
      <c r="ET65" s="1">
        <v>-2.2073805900526405E-4</v>
      </c>
      <c r="EU65" s="1">
        <v>3.1356408198181165E-3</v>
      </c>
      <c r="EV65" s="10">
        <v>-2.6499443529999778E-3</v>
      </c>
    </row>
    <row r="66" spans="1:152" x14ac:dyDescent="0.25">
      <c r="A66" s="21">
        <f t="shared" ca="1" si="0"/>
        <v>2.8183589016797822E-2</v>
      </c>
      <c r="B66" s="5">
        <v>65</v>
      </c>
      <c r="C66" s="9">
        <v>4.947646512578896E-4</v>
      </c>
      <c r="D66" s="1">
        <v>-7.470596501548854E-3</v>
      </c>
      <c r="E66" s="1">
        <v>-1.2961913405523662E-5</v>
      </c>
      <c r="F66" s="1">
        <v>-6.9071483103387565E-4</v>
      </c>
      <c r="G66" s="1">
        <v>4.2235819453295409E-3</v>
      </c>
      <c r="H66" s="1">
        <v>3.2426144579320998E-3</v>
      </c>
      <c r="I66" s="1">
        <v>5.174793460485716E-3</v>
      </c>
      <c r="J66" s="1">
        <v>-1.8298826637047627E-4</v>
      </c>
      <c r="K66" s="1">
        <v>-2.0462206662905935E-3</v>
      </c>
      <c r="L66" s="1">
        <v>-4.5229643696684252E-3</v>
      </c>
      <c r="M66" s="1">
        <v>3.2473829829293699E-4</v>
      </c>
      <c r="N66" s="1">
        <v>2.868076110072823E-3</v>
      </c>
      <c r="O66" s="1">
        <v>-5.2007172872967772E-3</v>
      </c>
      <c r="P66" s="1">
        <v>2.4269436538114919E-3</v>
      </c>
      <c r="Q66" s="1">
        <v>8.3246486295635025E-4</v>
      </c>
      <c r="R66" s="1">
        <v>9.6824434225171868E-3</v>
      </c>
      <c r="S66" s="1">
        <v>3.2426144579320998E-3</v>
      </c>
      <c r="T66" s="1">
        <v>-2.4958237477253065E-4</v>
      </c>
      <c r="U66" s="1">
        <v>-2.7929201865524445E-3</v>
      </c>
      <c r="V66" s="1">
        <v>6.3602729427774812E-3</v>
      </c>
      <c r="W66" s="1">
        <v>-6.2851170192570888E-3</v>
      </c>
      <c r="X66" s="1">
        <v>3.4126408108970663E-3</v>
      </c>
      <c r="Y66" s="1">
        <v>1.0325710698216153E-2</v>
      </c>
      <c r="Z66" s="1">
        <v>-6.1448466385333883E-3</v>
      </c>
      <c r="AA66" s="1">
        <v>2.868076110072823E-3</v>
      </c>
      <c r="AB66" s="1">
        <v>-8.9961286897704967E-3</v>
      </c>
      <c r="AC66" s="1">
        <v>-1.6716823184313168E-3</v>
      </c>
      <c r="AD66" s="1">
        <v>-1.0307675369637809E-3</v>
      </c>
      <c r="AE66" s="1">
        <v>-3.2340526428137895E-3</v>
      </c>
      <c r="AF66" s="1">
        <v>-1.2961913405523662E-5</v>
      </c>
      <c r="AG66" s="1">
        <v>-3.7417792074771888E-3</v>
      </c>
      <c r="AH66" s="1">
        <v>-7.7738110713179293E-3</v>
      </c>
      <c r="AI66" s="1">
        <v>1.2933290124166663E-2</v>
      </c>
      <c r="AJ66" s="1">
        <v>9.8156316393213233E-3</v>
      </c>
      <c r="AK66" s="1">
        <v>-5.2673113956988454E-3</v>
      </c>
      <c r="AL66" s="1">
        <v>-4.5895584780704796E-3</v>
      </c>
      <c r="AM66" s="1">
        <v>-5.6073641016287229E-3</v>
      </c>
      <c r="AN66" s="1">
        <v>6.4934611595816039E-3</v>
      </c>
      <c r="AO66" s="1">
        <v>1.5706443955940119E-4</v>
      </c>
      <c r="AP66" s="1">
        <v>-1.708520454592119E-3</v>
      </c>
      <c r="AQ66" s="1">
        <v>1.2759498134491121E-3</v>
      </c>
      <c r="AR66" s="1">
        <v>-1.7535810515642694E-2</v>
      </c>
      <c r="AS66" s="1">
        <v>4.5636346512594184E-3</v>
      </c>
      <c r="AT66" s="1">
        <v>-9.5709126464214866E-4</v>
      </c>
      <c r="AU66" s="1">
        <v>5.615925916747061E-3</v>
      </c>
      <c r="AV66" s="1">
        <v>-6.6894113393576177E-3</v>
      </c>
      <c r="AW66" s="1">
        <v>7.1046199688079015E-3</v>
      </c>
      <c r="AX66" s="1">
        <v>1.5125702748161329E-3</v>
      </c>
      <c r="AY66" s="1">
        <v>1.8502704865145936E-3</v>
      </c>
      <c r="AZ66" s="1">
        <v>-2.3862733722204849E-3</v>
      </c>
      <c r="BA66" s="1">
        <v>1.2691646673214291E-2</v>
      </c>
      <c r="BB66" s="1">
        <v>2.1100492776513768E-2</v>
      </c>
      <c r="BC66" s="1">
        <v>1.1269546729555505E-2</v>
      </c>
      <c r="BD66" s="1">
        <v>1.6489410569919441E-2</v>
      </c>
      <c r="BE66" s="1">
        <v>1.0761820164892098E-2</v>
      </c>
      <c r="BF66" s="1">
        <v>2.445477172272615E-2</v>
      </c>
      <c r="BG66" s="1">
        <v>2.4084963044554999E-2</v>
      </c>
      <c r="BH66" s="1">
        <v>3.0078929883190608E-2</v>
      </c>
      <c r="BI66" s="1">
        <v>1.2928267134581312E-2</v>
      </c>
      <c r="BJ66" s="1">
        <v>2.913480053195399E-2</v>
      </c>
      <c r="BK66" s="1">
        <v>1.9740257271568945E-2</v>
      </c>
      <c r="BL66" s="1">
        <v>2.432158350592202E-2</v>
      </c>
      <c r="BM66" s="1">
        <v>8.8915056010524379E-3</v>
      </c>
      <c r="BN66" s="1">
        <v>1.9811581049659147E-2</v>
      </c>
      <c r="BO66" s="1">
        <v>2.8183589016797822E-2</v>
      </c>
      <c r="BP66" s="1">
        <v>1.5064958132029224E-2</v>
      </c>
      <c r="BQ66" s="1">
        <v>2.8898180070586976E-2</v>
      </c>
      <c r="BR66" s="1">
        <v>2.2958995506745773E-2</v>
      </c>
      <c r="BS66" s="1">
        <v>2.1187060944570374E-3</v>
      </c>
      <c r="BT66" s="1">
        <v>2.0859142645458642E-2</v>
      </c>
      <c r="BU66" s="1">
        <v>2.6495112639530777E-2</v>
      </c>
      <c r="BV66" s="1">
        <v>1.8352642969839551E-2</v>
      </c>
      <c r="BW66" s="1">
        <v>7.2030292237853927E-3</v>
      </c>
      <c r="BX66" s="1">
        <v>1.9096989995869972E-2</v>
      </c>
      <c r="BY66" s="1">
        <v>1.5979331511024597E-2</v>
      </c>
      <c r="BZ66" s="1">
        <v>1.4387205214400886E-2</v>
      </c>
      <c r="CA66" s="1">
        <v>6.9295706262575626E-3</v>
      </c>
      <c r="CB66" s="1">
        <v>1.0628631948087955E-2</v>
      </c>
      <c r="CC66" s="1">
        <v>2.0592766211850369E-2</v>
      </c>
      <c r="CD66" s="1">
        <v>2.2281242589117407E-2</v>
      </c>
      <c r="CE66" s="1">
        <v>2.018138972783029E-2</v>
      </c>
      <c r="CF66" s="1">
        <v>2.092573675386071E-2</v>
      </c>
      <c r="CG66" s="1">
        <v>2.1470301454684933E-2</v>
      </c>
      <c r="CH66" s="1">
        <v>1.5441848974119939E-2</v>
      </c>
      <c r="CI66" s="1">
        <v>3.1949244447030276E-2</v>
      </c>
      <c r="CJ66" s="1">
        <v>3.0864844715069964E-2</v>
      </c>
      <c r="CK66" s="1">
        <v>1.4320611105998804E-2</v>
      </c>
      <c r="CL66" s="1">
        <v>4.285153064146216E-3</v>
      </c>
      <c r="CM66" s="1">
        <v>3.0386874122647817E-2</v>
      </c>
      <c r="CN66" s="1">
        <v>2.0895980781619458E-2</v>
      </c>
      <c r="CO66" s="1">
        <v>2.384361291349988E-2</v>
      </c>
      <c r="CP66" s="1">
        <v>2.2014866155509141E-2</v>
      </c>
      <c r="CQ66" s="1">
        <v>1.9267016348834924E-2</v>
      </c>
      <c r="CR66" s="1">
        <v>2.6350112589118957E-2</v>
      </c>
      <c r="CS66" s="1">
        <v>2.3777018805097812E-2</v>
      </c>
      <c r="CT66" s="1">
        <v>2.960568896045658E-2</v>
      </c>
      <c r="CU66" s="1">
        <v>2.6658056828576165E-2</v>
      </c>
      <c r="CV66" s="1">
        <v>1.903039588746791E-2</v>
      </c>
      <c r="CW66" s="1">
        <v>2.8486803586566911E-2</v>
      </c>
      <c r="CX66" s="1">
        <v>2.445477172272615E-2</v>
      </c>
      <c r="CY66" s="1">
        <v>8.0480372437653769E-3</v>
      </c>
      <c r="CZ66" s="1">
        <v>6.9220697059561506E-3</v>
      </c>
      <c r="DA66" s="1">
        <v>-7.7886874754361651E-3</v>
      </c>
      <c r="DB66" s="1">
        <v>4.445326002578312E-3</v>
      </c>
      <c r="DC66" s="1">
        <v>6.2015862786332643E-4</v>
      </c>
      <c r="DD66" s="1">
        <v>-1.541634841654442E-2</v>
      </c>
      <c r="DE66" s="1">
        <v>1.7733983240311835E-2</v>
      </c>
      <c r="DF66" s="1">
        <v>-1.0809995879638198E-2</v>
      </c>
      <c r="DG66" s="1">
        <v>-1.0469943173708321E-2</v>
      </c>
      <c r="DH66" s="1">
        <v>9.2810286732053493E-4</v>
      </c>
      <c r="DI66" s="1">
        <v>6.5154228916241841E-3</v>
      </c>
      <c r="DJ66" s="1">
        <v>-2.2311234233737751E-3</v>
      </c>
      <c r="DK66" s="1">
        <v>-3.2120909107712092E-3</v>
      </c>
      <c r="DL66" s="1">
        <v>3.2966846564473629E-3</v>
      </c>
      <c r="DM66" s="1">
        <v>5.4036196816540441E-3</v>
      </c>
      <c r="DN66" s="1">
        <v>5.8079140017545661E-3</v>
      </c>
      <c r="DO66" s="1">
        <v>3.5975467319850074E-3</v>
      </c>
      <c r="DP66" s="1">
        <v>-5.9946783996456254E-5</v>
      </c>
      <c r="DQ66" s="1">
        <v>-2.7243715080226931E-2</v>
      </c>
      <c r="DR66" s="1">
        <v>-4.1680320956155037E-3</v>
      </c>
      <c r="DS66" s="1">
        <v>-1.8197469393536891E-3</v>
      </c>
      <c r="DT66" s="1">
        <v>1.1432072162219024E-2</v>
      </c>
      <c r="DU66" s="1">
        <v>-2.0604103790435667E-2</v>
      </c>
      <c r="DV66" s="1">
        <v>3.8755790878301777E-5</v>
      </c>
      <c r="DW66" s="1">
        <v>4.9232965950004454E-3</v>
      </c>
      <c r="DX66" s="1">
        <v>-2.6746083738665438E-3</v>
      </c>
      <c r="DY66" s="1">
        <v>3.7675730849499531E-3</v>
      </c>
      <c r="DZ66" s="1">
        <v>9.6996754848716199E-3</v>
      </c>
      <c r="EA66" s="1">
        <v>-1.5165323695846208E-3</v>
      </c>
      <c r="EB66" s="1">
        <v>-5.5924845335057205E-3</v>
      </c>
      <c r="EC66" s="1">
        <v>-1.5283160199740291E-2</v>
      </c>
      <c r="ED66" s="1">
        <v>-1.622317108378929E-3</v>
      </c>
      <c r="EE66" s="1">
        <v>-2.2608793956150411E-3</v>
      </c>
      <c r="EF66" s="1">
        <v>4.4750819748195572E-3</v>
      </c>
      <c r="EG66" s="1">
        <v>3.8639231655932874E-3</v>
      </c>
      <c r="EH66" s="1">
        <v>-1.8430574656826917E-2</v>
      </c>
      <c r="EI66" s="1">
        <v>1.0995669375645806E-2</v>
      </c>
      <c r="EJ66" s="1">
        <v>7.3263640260566587E-3</v>
      </c>
      <c r="EK66" s="1">
        <v>1.1225207673093263E-2</v>
      </c>
      <c r="EL66" s="1">
        <v>-2.5343379931428572E-3</v>
      </c>
      <c r="EM66" s="1">
        <v>-1.7163146947908187E-3</v>
      </c>
      <c r="EN66" s="1">
        <v>-4.0230320452036977E-3</v>
      </c>
      <c r="EO66" s="1">
        <v>6.9220697059561506E-3</v>
      </c>
      <c r="EP66" s="1">
        <v>-2.9421475113203255E-4</v>
      </c>
      <c r="EQ66" s="1">
        <v>1.9459084908787644E-3</v>
      </c>
      <c r="ER66" s="1">
        <v>-3.175252774610407E-3</v>
      </c>
      <c r="ES66" s="1">
        <v>-5.1121614468521287E-3</v>
      </c>
      <c r="ET66" s="1">
        <v>2.1088526799241669E-3</v>
      </c>
      <c r="EU66" s="1">
        <v>1.3265548589897883E-2</v>
      </c>
      <c r="EV66" s="10">
        <v>1.2750739861314919E-2</v>
      </c>
    </row>
    <row r="67" spans="1:152" x14ac:dyDescent="0.25">
      <c r="A67" s="21">
        <f t="shared" ref="A67:A130" ca="1" si="1">OFFSET($B$1,B67,B67)</f>
        <v>3.5867500391660395E-2</v>
      </c>
      <c r="B67" s="5">
        <v>66</v>
      </c>
      <c r="C67" s="9">
        <v>2.7973744542796738E-3</v>
      </c>
      <c r="D67" s="1">
        <v>-4.7482543686597108E-3</v>
      </c>
      <c r="E67" s="1">
        <v>-6.9127156747011385E-3</v>
      </c>
      <c r="F67" s="1">
        <v>-9.5324227611212897E-3</v>
      </c>
      <c r="G67" s="1">
        <v>1.715143801258953E-3</v>
      </c>
      <c r="H67" s="1">
        <v>9.2340504488542825E-3</v>
      </c>
      <c r="I67" s="1">
        <v>-8.3217998517149221E-3</v>
      </c>
      <c r="J67" s="1">
        <v>1.7766736785953651E-4</v>
      </c>
      <c r="K67" s="1">
        <v>-1.4771836933961537E-2</v>
      </c>
      <c r="L67" s="1">
        <v>-2.8839244112672472E-3</v>
      </c>
      <c r="M67" s="1">
        <v>9.8877574968403784E-3</v>
      </c>
      <c r="N67" s="1">
        <v>-3.5242703715813069E-3</v>
      </c>
      <c r="O67" s="1">
        <v>-5.5036314976873845E-3</v>
      </c>
      <c r="P67" s="1">
        <v>-1.4758475846289504E-2</v>
      </c>
      <c r="Q67" s="1">
        <v>1.9597847625821178E-2</v>
      </c>
      <c r="R67" s="1">
        <v>1.8630648141514085E-2</v>
      </c>
      <c r="S67" s="1">
        <v>9.2340504488542825E-3</v>
      </c>
      <c r="T67" s="1">
        <v>1.7017827135869185E-3</v>
      </c>
      <c r="U67" s="1">
        <v>1.5113810582008589E-2</v>
      </c>
      <c r="V67" s="1">
        <v>4.0079973636860432E-3</v>
      </c>
      <c r="W67" s="1">
        <v>7.5815428467412528E-3</v>
      </c>
      <c r="X67" s="1">
        <v>2.1436674062935788E-3</v>
      </c>
      <c r="Y67" s="1">
        <v>-5.6887316776227485E-3</v>
      </c>
      <c r="Z67" s="1">
        <v>-2.0268772011980095E-3</v>
      </c>
      <c r="AA67" s="1">
        <v>-3.5242703715813069E-3</v>
      </c>
      <c r="AB67" s="1">
        <v>-2.8972854989392956E-3</v>
      </c>
      <c r="AC67" s="1">
        <v>-2.013516113525975E-3</v>
      </c>
      <c r="AD67" s="1">
        <v>4.6483433240001029E-3</v>
      </c>
      <c r="AE67" s="1">
        <v>3.8796051073003946E-3</v>
      </c>
      <c r="AF67" s="1">
        <v>-6.9127156747011385E-3</v>
      </c>
      <c r="AG67" s="1">
        <v>-5.8304850216804316E-3</v>
      </c>
      <c r="AH67" s="1">
        <v>5.3903593653557413E-3</v>
      </c>
      <c r="AI67" s="1">
        <v>1.0356364364891105E-2</v>
      </c>
      <c r="AJ67" s="1">
        <v>1.5582417450059335E-2</v>
      </c>
      <c r="AK67" s="1">
        <v>-3.9795161519600025E-3</v>
      </c>
      <c r="AL67" s="1">
        <v>-1.35980906553988E-3</v>
      </c>
      <c r="AM67" s="1">
        <v>1.0201249933161377E-2</v>
      </c>
      <c r="AN67" s="1">
        <v>9.5976667223129399E-4</v>
      </c>
      <c r="AO67" s="1">
        <v>-1.4003098717261828E-2</v>
      </c>
      <c r="AP67" s="1">
        <v>2.0286362375799656E-3</v>
      </c>
      <c r="AQ67" s="1">
        <v>-1.4918615613351057E-4</v>
      </c>
      <c r="AR67" s="1">
        <v>-1.8628889105132128E-2</v>
      </c>
      <c r="AS67" s="1">
        <v>-1.2465622283862412E-2</v>
      </c>
      <c r="AT67" s="1">
        <v>-3.4359613782117774E-3</v>
      </c>
      <c r="AU67" s="1">
        <v>2.912405622993287E-3</v>
      </c>
      <c r="AV67" s="1">
        <v>-7.6948149790728969E-3</v>
      </c>
      <c r="AW67" s="1">
        <v>5.1035891043787985E-3</v>
      </c>
      <c r="AX67" s="1">
        <v>-8.7636845444215815E-3</v>
      </c>
      <c r="AY67" s="1">
        <v>8.0367886271199354E-3</v>
      </c>
      <c r="AZ67" s="1">
        <v>-5.9107084884017173E-4</v>
      </c>
      <c r="BA67" s="1">
        <v>4.218914521752138E-2</v>
      </c>
      <c r="BB67" s="1">
        <v>2.9987740258506076E-2</v>
      </c>
      <c r="BC67" s="1">
        <v>3.8473846390408503E-2</v>
      </c>
      <c r="BD67" s="1">
        <v>8.601559962110393E-3</v>
      </c>
      <c r="BE67" s="1">
        <v>2.8763756261427659E-2</v>
      </c>
      <c r="BF67" s="1">
        <v>1.6147188785049778E-2</v>
      </c>
      <c r="BG67" s="1">
        <v>2.7809917864792599E-2</v>
      </c>
      <c r="BH67" s="1">
        <v>1.5512601825658223E-3</v>
      </c>
      <c r="BI67" s="1">
        <v>3.3574646829233293E-2</v>
      </c>
      <c r="BJ67" s="1">
        <v>5.0280144790551991E-3</v>
      </c>
      <c r="BK67" s="1">
        <v>3.2727618548740456E-4</v>
      </c>
      <c r="BL67" s="1">
        <v>1.9195419476504542E-2</v>
      </c>
      <c r="BM67" s="1">
        <v>2.037444131609107E-2</v>
      </c>
      <c r="BN67" s="1">
        <v>2.3224210739938422E-2</v>
      </c>
      <c r="BO67" s="1">
        <v>1.5064958132029058E-2</v>
      </c>
      <c r="BP67" s="1">
        <v>3.5867500391660395E-2</v>
      </c>
      <c r="BQ67" s="1">
        <v>1.3642512867343255E-2</v>
      </c>
      <c r="BR67" s="1">
        <v>2.0516194660148753E-2</v>
      </c>
      <c r="BS67" s="1">
        <v>1.859842035206815E-2</v>
      </c>
      <c r="BT67" s="1">
        <v>1.4181188746615735E-2</v>
      </c>
      <c r="BU67" s="1">
        <v>1.7446120687825691E-2</v>
      </c>
      <c r="BV67" s="1">
        <v>2.3551064263931467E-2</v>
      </c>
      <c r="BW67" s="1">
        <v>2.275560387188769E-2</v>
      </c>
      <c r="BX67" s="1">
        <v>2.4646656004624224E-2</v>
      </c>
      <c r="BY67" s="1">
        <v>2.9872709089792462E-2</v>
      </c>
      <c r="BZ67" s="1">
        <v>3.3247793305240247E-2</v>
      </c>
      <c r="CA67" s="1">
        <v>3.5412254611281689E-2</v>
      </c>
      <c r="CB67" s="1">
        <v>3.1811986952882426E-2</v>
      </c>
      <c r="CC67" s="1">
        <v>2.0277650129525249E-2</v>
      </c>
      <c r="CD67" s="1">
        <v>1.789648757372863E-2</v>
      </c>
      <c r="CE67" s="1">
        <v>1.1561481660195612E-2</v>
      </c>
      <c r="CF67" s="1">
        <v>1.2657073400888369E-2</v>
      </c>
      <c r="CG67" s="1">
        <v>1.8325011178763242E-2</v>
      </c>
      <c r="CH67" s="1">
        <v>1.7644581955433076E-2</v>
      </c>
      <c r="CI67" s="1">
        <v>9.9405751279024249E-3</v>
      </c>
      <c r="CJ67" s="1">
        <v>2.3025749472331034E-2</v>
      </c>
      <c r="CK67" s="1">
        <v>3.4771908650967645E-2</v>
      </c>
      <c r="CL67" s="1">
        <v>2.3409310919873784E-2</v>
      </c>
      <c r="CM67" s="1">
        <v>1.5833696348728766E-2</v>
      </c>
      <c r="CN67" s="1">
        <v>1.013903639550981E-2</v>
      </c>
      <c r="CO67" s="1">
        <v>1.2003366352902275E-2</v>
      </c>
      <c r="CP67" s="1">
        <v>2.399294895663813E-2</v>
      </c>
      <c r="CQ67" s="1">
        <v>1.7556272962063534E-2</v>
      </c>
      <c r="CR67" s="1">
        <v>2.6334908355865293E-3</v>
      </c>
      <c r="CS67" s="1">
        <v>1.3527481698629641E-2</v>
      </c>
      <c r="CT67" s="1">
        <v>1.8780256959141952E-2</v>
      </c>
      <c r="CU67" s="1">
        <v>1.6915927001749487E-2</v>
      </c>
      <c r="CV67" s="1">
        <v>2.6170771350351618E-2</v>
      </c>
      <c r="CW67" s="1">
        <v>4.9263443980136178E-3</v>
      </c>
      <c r="CX67" s="1">
        <v>1.6147188785049778E-2</v>
      </c>
      <c r="CY67" s="1">
        <v>-8.0178086092375332E-3</v>
      </c>
      <c r="CZ67" s="1">
        <v>-1.5311531813881379E-2</v>
      </c>
      <c r="DA67" s="1">
        <v>8.8660946611977542E-3</v>
      </c>
      <c r="DB67" s="1">
        <v>-3.4236192911870772E-3</v>
      </c>
      <c r="DC67" s="1">
        <v>-3.3353102978175495E-3</v>
      </c>
      <c r="DD67" s="1">
        <v>1.8120939009799858E-2</v>
      </c>
      <c r="DE67" s="1">
        <v>-3.1316544593379091E-2</v>
      </c>
      <c r="DF67" s="1">
        <v>1.5086069406017168E-2</v>
      </c>
      <c r="DG67" s="1">
        <v>9.0530332089579224E-4</v>
      </c>
      <c r="DH67" s="1">
        <v>1.0947125868345425E-2</v>
      </c>
      <c r="DI67" s="1">
        <v>3.9334961696738113E-4</v>
      </c>
      <c r="DJ67" s="1">
        <v>-4.2057185955588182E-3</v>
      </c>
      <c r="DK67" s="1">
        <v>3.3131880520364809E-3</v>
      </c>
      <c r="DL67" s="1">
        <v>-1.9795568857693967E-2</v>
      </c>
      <c r="DM67" s="1">
        <v>-2.0020752300645449E-2</v>
      </c>
      <c r="DN67" s="1">
        <v>-4.7443944748312983E-3</v>
      </c>
      <c r="DO67" s="1">
        <v>1.0470566649534753E-3</v>
      </c>
      <c r="DP67" s="1">
        <v>2.502622187242521E-2</v>
      </c>
      <c r="DQ67" s="1">
        <v>1.4705771531335961E-2</v>
      </c>
      <c r="DR67" s="1">
        <v>-1.107091819516804E-2</v>
      </c>
      <c r="DS67" s="1">
        <v>4.5104498737708332E-3</v>
      </c>
      <c r="DT67" s="1">
        <v>-1.9340323077315272E-2</v>
      </c>
      <c r="DU67" s="1">
        <v>1.9530023186813641E-2</v>
      </c>
      <c r="DV67" s="1">
        <v>-4.9610957245864937E-3</v>
      </c>
      <c r="DW67" s="1">
        <v>3.7684338324151904E-3</v>
      </c>
      <c r="DX67" s="1">
        <v>1.5541315186395881E-2</v>
      </c>
      <c r="DY67" s="1">
        <v>-6.0433263776072006E-3</v>
      </c>
      <c r="DZ67" s="1">
        <v>-6.3568188139282271E-3</v>
      </c>
      <c r="EA67" s="1">
        <v>-5.6281638602446241E-3</v>
      </c>
      <c r="EB67" s="1">
        <v>1.6195022234381976E-2</v>
      </c>
      <c r="EC67" s="1">
        <v>1.5072708318345125E-2</v>
      </c>
      <c r="ED67" s="1">
        <v>3.0919343093251582E-2</v>
      </c>
      <c r="EE67" s="1">
        <v>-6.7237556009373811E-3</v>
      </c>
      <c r="EF67" s="1">
        <v>-9.0558228580851774E-4</v>
      </c>
      <c r="EG67" s="1">
        <v>-5.0494047179560353E-3</v>
      </c>
      <c r="EH67" s="1">
        <v>1.7780724398134794E-2</v>
      </c>
      <c r="EI67" s="1">
        <v>-6.1534786518450679E-3</v>
      </c>
      <c r="EJ67" s="1">
        <v>-3.5173988067231654E-5</v>
      </c>
      <c r="EK67" s="1">
        <v>-8.2077876836486423E-3</v>
      </c>
      <c r="EL67" s="1">
        <v>5.9328951384566321E-3</v>
      </c>
      <c r="EM67" s="1">
        <v>-1.0558178230624903E-3</v>
      </c>
      <c r="EN67" s="1">
        <v>3.7417116570711249E-3</v>
      </c>
      <c r="EO67" s="1">
        <v>-1.5311531813881379E-2</v>
      </c>
      <c r="EP67" s="1">
        <v>2.6594810040503902E-3</v>
      </c>
      <c r="EQ67" s="1">
        <v>-6.1393313035583083E-4</v>
      </c>
      <c r="ER67" s="1">
        <v>-7.2896429906944143E-4</v>
      </c>
      <c r="ES67" s="1">
        <v>-7.5941638986786637E-3</v>
      </c>
      <c r="ET67" s="1">
        <v>-1.1441268164320353E-3</v>
      </c>
      <c r="EU67" s="1">
        <v>-6.9088557808727261E-3</v>
      </c>
      <c r="EV67" s="10">
        <v>-1.0058756553369057E-2</v>
      </c>
    </row>
    <row r="68" spans="1:152" x14ac:dyDescent="0.25">
      <c r="A68" s="21">
        <f t="shared" ca="1" si="1"/>
        <v>3.710889929806109E-2</v>
      </c>
      <c r="B68" s="5">
        <v>67</v>
      </c>
      <c r="C68" s="9">
        <v>-1.7794959843292126E-3</v>
      </c>
      <c r="D68" s="1">
        <v>-8.4030895532459446E-3</v>
      </c>
      <c r="E68" s="1">
        <v>-6.0854251565569534E-6</v>
      </c>
      <c r="F68" s="1">
        <v>-9.918270311360354E-5</v>
      </c>
      <c r="G68" s="1">
        <v>2.4190060797154803E-3</v>
      </c>
      <c r="H68" s="1">
        <v>6.7105150770161888E-3</v>
      </c>
      <c r="I68" s="1">
        <v>9.370676088125687E-3</v>
      </c>
      <c r="J68" s="1">
        <v>-1.8725932622862731E-3</v>
      </c>
      <c r="K68" s="1">
        <v>-2.8537725902773835E-4</v>
      </c>
      <c r="L68" s="1">
        <v>-9.2897496604817421E-3</v>
      </c>
      <c r="M68" s="1">
        <v>-3.6460038214589149E-3</v>
      </c>
      <c r="N68" s="1">
        <v>2.2328115238013733E-3</v>
      </c>
      <c r="O68" s="1">
        <v>-9.3828469384388026E-3</v>
      </c>
      <c r="P68" s="1">
        <v>8.8066502678028555E-4</v>
      </c>
      <c r="Q68" s="1">
        <v>-5.4194143806315723E-3</v>
      </c>
      <c r="R68" s="1">
        <v>1.1281406252889096E-2</v>
      </c>
      <c r="S68" s="1">
        <v>6.7105150770161888E-3</v>
      </c>
      <c r="T68" s="1">
        <v>1.2529637939074686E-3</v>
      </c>
      <c r="U68" s="1">
        <v>-4.6258515513528317E-3</v>
      </c>
      <c r="V68" s="1">
        <v>7.6903628069100779E-3</v>
      </c>
      <c r="W68" s="1">
        <v>-1.008340283446154E-2</v>
      </c>
      <c r="X68" s="1">
        <v>8.5770229141459049E-3</v>
      </c>
      <c r="Y68" s="1">
        <v>1.0629815651890759E-2</v>
      </c>
      <c r="Z68" s="1">
        <v>3.0262840083790932E-3</v>
      </c>
      <c r="AA68" s="1">
        <v>2.2328115238013733E-3</v>
      </c>
      <c r="AB68" s="1">
        <v>-1.0455791946289768E-2</v>
      </c>
      <c r="AC68" s="1">
        <v>4.192326294187091E-3</v>
      </c>
      <c r="AD68" s="1">
        <v>-3.8321983773730358E-3</v>
      </c>
      <c r="AE68" s="1">
        <v>-5.9779980483739073E-3</v>
      </c>
      <c r="AF68" s="1">
        <v>-6.0854251565569534E-6</v>
      </c>
      <c r="AG68" s="1">
        <v>-4.2045874892012378E-3</v>
      </c>
      <c r="AH68" s="1">
        <v>-4.0184832779881739E-3</v>
      </c>
      <c r="AI68" s="1">
        <v>6.0101398703955146E-3</v>
      </c>
      <c r="AJ68" s="1">
        <v>5.0302921405016385E-3</v>
      </c>
      <c r="AK68" s="1">
        <v>-6.2572898822450609E-3</v>
      </c>
      <c r="AL68" s="1">
        <v>-6.1641926042880144E-3</v>
      </c>
      <c r="AM68" s="1">
        <v>-9.9903055565044793E-3</v>
      </c>
      <c r="AN68" s="1">
        <v>1.4392486945226206E-3</v>
      </c>
      <c r="AO68" s="1">
        <v>1.8604224119731314E-3</v>
      </c>
      <c r="AP68" s="1">
        <v>-3.9252956553300841E-3</v>
      </c>
      <c r="AQ68" s="1">
        <v>3.3056661869512779E-3</v>
      </c>
      <c r="AR68" s="1">
        <v>-1.2180417899840097E-2</v>
      </c>
      <c r="AS68" s="1">
        <v>6.1520217539748848E-3</v>
      </c>
      <c r="AT68" s="1">
        <v>1.2403045521661323E-2</v>
      </c>
      <c r="AU68" s="1">
        <v>1.0722822585146761E-2</v>
      </c>
      <c r="AV68" s="1">
        <v>-3.3179273819654385E-3</v>
      </c>
      <c r="AW68" s="1">
        <v>4.6579030286733967E-3</v>
      </c>
      <c r="AX68" s="1">
        <v>2.0466169678872662E-3</v>
      </c>
      <c r="AY68" s="1">
        <v>-1.5933014284150917E-3</v>
      </c>
      <c r="AZ68" s="1">
        <v>-4.0183929332871446E-3</v>
      </c>
      <c r="BA68" s="1">
        <v>9.6302053592127179E-3</v>
      </c>
      <c r="BB68" s="1">
        <v>2.4978879495712286E-2</v>
      </c>
      <c r="BC68" s="1">
        <v>1.2569567859492342E-2</v>
      </c>
      <c r="BD68" s="1">
        <v>1.8076084437625435E-2</v>
      </c>
      <c r="BE68" s="1">
        <v>1.4342978418664984E-2</v>
      </c>
      <c r="BF68" s="1">
        <v>2.4699678006542151E-2</v>
      </c>
      <c r="BG68" s="1">
        <v>3.2209841337993678E-2</v>
      </c>
      <c r="BH68" s="1">
        <v>2.3440719132179162E-2</v>
      </c>
      <c r="BI68" s="1">
        <v>8.371156140148682E-3</v>
      </c>
      <c r="BJ68" s="1">
        <v>3.5849850078997055E-2</v>
      </c>
      <c r="BK68" s="1">
        <v>1.2804818055131853E-2</v>
      </c>
      <c r="BL68" s="1">
        <v>3.0950792118929621E-2</v>
      </c>
      <c r="BM68" s="1">
        <v>-3.4306065333045699E-3</v>
      </c>
      <c r="BN68" s="1">
        <v>2.1667127883604434E-2</v>
      </c>
      <c r="BO68" s="1">
        <v>2.8898180070586858E-2</v>
      </c>
      <c r="BP68" s="1">
        <v>1.3642512867343276E-2</v>
      </c>
      <c r="BQ68" s="1">
        <v>3.710889929806109E-2</v>
      </c>
      <c r="BR68" s="1">
        <v>1.1403796607787432E-2</v>
      </c>
      <c r="BS68" s="1">
        <v>7.626287571791221E-3</v>
      </c>
      <c r="BT68" s="1">
        <v>1.4250061830110017E-2</v>
      </c>
      <c r="BU68" s="1">
        <v>4.4339770795641421E-2</v>
      </c>
      <c r="BV68" s="1">
        <v>1.6488868434366886E-2</v>
      </c>
      <c r="BW68" s="1">
        <v>1.2010984191750021E-2</v>
      </c>
      <c r="BX68" s="1">
        <v>1.3456408656130202E-2</v>
      </c>
      <c r="BY68" s="1">
        <v>1.2476560926236301E-2</v>
      </c>
      <c r="BZ68" s="1">
        <v>1.3549415589386229E-2</v>
      </c>
      <c r="CA68" s="1">
        <v>5.1524114612968436E-3</v>
      </c>
      <c r="CB68" s="1">
        <v>2.0594092531052439E-2</v>
      </c>
      <c r="CC68" s="1">
        <v>2.6752290054884942E-2</v>
      </c>
      <c r="CD68" s="1">
        <v>1.1310699329830365E-2</v>
      </c>
      <c r="CE68" s="1">
        <v>1.4156964552152949E-2</v>
      </c>
      <c r="CF68" s="1">
        <v>1.1124504773916265E-2</v>
      </c>
      <c r="CG68" s="1">
        <v>1.7468716164260795E-2</v>
      </c>
      <c r="CH68" s="1">
        <v>2.5493150491119894E-2</v>
      </c>
      <c r="CI68" s="1">
        <v>4.1214304084148709E-2</v>
      </c>
      <c r="CJ68" s="1">
        <v>4.0513748188125989E-2</v>
      </c>
      <c r="CK68" s="1">
        <v>1.6674972645579961E-2</v>
      </c>
      <c r="CL68" s="1">
        <v>1.6544652932749052E-3</v>
      </c>
      <c r="CM68" s="1">
        <v>3.1043979741587728E-2</v>
      </c>
      <c r="CN68" s="1">
        <v>2.2367683779627189E-2</v>
      </c>
      <c r="CO68" s="1">
        <v>2.1481023672391374E-2</v>
      </c>
      <c r="CP68" s="1">
        <v>2.3812927554605304E-2</v>
      </c>
      <c r="CQ68" s="1">
        <v>1.5322916493259918E-2</v>
      </c>
      <c r="CR68" s="1">
        <v>1.9242217068134462E-2</v>
      </c>
      <c r="CS68" s="1">
        <v>2.4606580728585126E-2</v>
      </c>
      <c r="CT68" s="1">
        <v>2.5958817570307206E-2</v>
      </c>
      <c r="CU68" s="1">
        <v>2.6845477677543021E-2</v>
      </c>
      <c r="CV68" s="1">
        <v>1.6581965712323947E-2</v>
      </c>
      <c r="CW68" s="1">
        <v>2.4513573795329091E-2</v>
      </c>
      <c r="CX68" s="1">
        <v>2.4699678006542151E-2</v>
      </c>
      <c r="CY68" s="1">
        <v>2.7280949168270952E-2</v>
      </c>
      <c r="CZ68" s="1">
        <v>6.4749044380647061E-3</v>
      </c>
      <c r="DA68" s="1">
        <v>-7.7079081020289264E-3</v>
      </c>
      <c r="DB68" s="1">
        <v>-2.5294679633893133E-3</v>
      </c>
      <c r="DC68" s="1">
        <v>7.6407660344706418E-3</v>
      </c>
      <c r="DD68" s="1">
        <v>-1.7971420067248028E-2</v>
      </c>
      <c r="DE68" s="1">
        <v>1.459270707698395E-2</v>
      </c>
      <c r="DF68" s="1">
        <v>-2.305649189382749E-2</v>
      </c>
      <c r="DG68" s="1">
        <v>-1.9323476219568085E-2</v>
      </c>
      <c r="DH68" s="1">
        <v>1.5244026643879208E-2</v>
      </c>
      <c r="DI68" s="1">
        <v>5.8674458199990259E-3</v>
      </c>
      <c r="DJ68" s="1">
        <v>-5.8413099201982122E-3</v>
      </c>
      <c r="DK68" s="1">
        <v>-1.5498009228974985E-3</v>
      </c>
      <c r="DL68" s="1">
        <v>7.2684672673434536E-3</v>
      </c>
      <c r="DM68" s="1">
        <v>2.3783003000248978E-2</v>
      </c>
      <c r="DN68" s="1">
        <v>1.7017527547752875E-2</v>
      </c>
      <c r="DO68" s="1">
        <v>-4.4890730784760899E-3</v>
      </c>
      <c r="DP68" s="1">
        <v>1.7473468595181896E-4</v>
      </c>
      <c r="DQ68" s="1">
        <v>-2.2542401587821961E-2</v>
      </c>
      <c r="DR68" s="1">
        <v>-2.0489337815974021E-2</v>
      </c>
      <c r="DS68" s="1">
        <v>6.7540155825338011E-3</v>
      </c>
      <c r="DT68" s="1">
        <v>1.57585686733899E-2</v>
      </c>
      <c r="DU68" s="1">
        <v>-2.7348181580530262E-2</v>
      </c>
      <c r="DV68" s="1">
        <v>-6.8210673053910459E-3</v>
      </c>
      <c r="DW68" s="1">
        <v>6.940300483148934E-3</v>
      </c>
      <c r="DX68" s="1">
        <v>-1.4566390487781057E-2</v>
      </c>
      <c r="DY68" s="1">
        <v>-2.6225652413463738E-3</v>
      </c>
      <c r="DZ68" s="1">
        <v>3.7217364936991751E-3</v>
      </c>
      <c r="EA68" s="1">
        <v>2.3694093072760269E-3</v>
      </c>
      <c r="EB68" s="1">
        <v>-2.4922909386256173E-2</v>
      </c>
      <c r="EC68" s="1">
        <v>-2.4222534179635519E-2</v>
      </c>
      <c r="ED68" s="1">
        <v>-9.9955896566091967E-3</v>
      </c>
      <c r="EE68" s="1">
        <v>5.4018690855127116E-3</v>
      </c>
      <c r="EF68" s="1">
        <v>-1.377264696910023E-2</v>
      </c>
      <c r="EG68" s="1">
        <v>-1.6991301303251036E-2</v>
      </c>
      <c r="EH68" s="1">
        <v>-1.3959202903818482E-2</v>
      </c>
      <c r="EI68" s="1">
        <v>2.6394289061035137E-2</v>
      </c>
      <c r="EJ68" s="1">
        <v>-2.9057101443139693E-4</v>
      </c>
      <c r="EK68" s="1">
        <v>5.7744388867429983E-3</v>
      </c>
      <c r="EL68" s="1">
        <v>-1.4567036449404241E-3</v>
      </c>
      <c r="EM68" s="1">
        <v>1.1746080475857235E-2</v>
      </c>
      <c r="EN68" s="1">
        <v>4.6082159115329313E-3</v>
      </c>
      <c r="EO68" s="1">
        <v>6.4749044380647061E-3</v>
      </c>
      <c r="EP68" s="1">
        <v>8.8067179755776104E-3</v>
      </c>
      <c r="EQ68" s="1">
        <v>1.9070139596095659E-2</v>
      </c>
      <c r="ER68" s="1">
        <v>6.5678210266196663E-3</v>
      </c>
      <c r="ES68" s="1">
        <v>-8.0802068691561146E-3</v>
      </c>
      <c r="ET68" s="1">
        <v>1.5758464779972725E-3</v>
      </c>
      <c r="EU68" s="1">
        <v>2.5414531675842261E-2</v>
      </c>
      <c r="EV68" s="10">
        <v>7.8271412797868076E-3</v>
      </c>
    </row>
    <row r="69" spans="1:152" x14ac:dyDescent="0.25">
      <c r="A69" s="21">
        <f t="shared" ca="1" si="1"/>
        <v>3.9885057953758712E-2</v>
      </c>
      <c r="B69" s="5">
        <v>68</v>
      </c>
      <c r="C69" s="9">
        <v>4.0200916570794082E-3</v>
      </c>
      <c r="D69" s="1">
        <v>-2.7837967553655113E-3</v>
      </c>
      <c r="E69" s="1">
        <v>-4.1052695015837692E-4</v>
      </c>
      <c r="F69" s="1">
        <v>-1.8459372525982537E-3</v>
      </c>
      <c r="G69" s="1">
        <v>5.2067265596830031E-3</v>
      </c>
      <c r="H69" s="1">
        <v>-3.2288763345591498E-3</v>
      </c>
      <c r="I69" s="1">
        <v>-4.3459801957730498E-3</v>
      </c>
      <c r="J69" s="1">
        <v>2.5846813546395314E-3</v>
      </c>
      <c r="K69" s="1">
        <v>-4.716757857478035E-3</v>
      </c>
      <c r="L69" s="1">
        <v>4.9603365978961866E-3</v>
      </c>
      <c r="M69" s="1">
        <v>7.0152999618773582E-3</v>
      </c>
      <c r="N69" s="1">
        <v>2.3359059548032218E-3</v>
      </c>
      <c r="O69" s="1">
        <v>3.5249262954562821E-3</v>
      </c>
      <c r="P69" s="1">
        <v>2.9029877958655359E-3</v>
      </c>
      <c r="Q69" s="1">
        <v>1.1445918569115143E-2</v>
      </c>
      <c r="R69" s="1">
        <v>3.6993997778039522E-3</v>
      </c>
      <c r="S69" s="1">
        <v>-3.2288763345591498E-3</v>
      </c>
      <c r="T69" s="1">
        <v>-2.4130190936605539E-3</v>
      </c>
      <c r="U69" s="1">
        <v>2.2663749134135686E-3</v>
      </c>
      <c r="V69" s="1">
        <v>1.520048713904612E-3</v>
      </c>
      <c r="W69" s="1">
        <v>3.0822321543121783E-3</v>
      </c>
      <c r="X69" s="1">
        <v>-6.2240846393570581E-3</v>
      </c>
      <c r="Y69" s="1">
        <v>4.709175760010384E-3</v>
      </c>
      <c r="Z69" s="1">
        <v>-1.7901285800183936E-2</v>
      </c>
      <c r="AA69" s="1">
        <v>2.3359059548032218E-3</v>
      </c>
      <c r="AB69" s="1">
        <v>-2.6594090554473843E-3</v>
      </c>
      <c r="AC69" s="1">
        <v>-1.0281540146840407E-2</v>
      </c>
      <c r="AD69" s="1">
        <v>4.1444793569975907E-3</v>
      </c>
      <c r="AE69" s="1">
        <v>2.8334567544758688E-3</v>
      </c>
      <c r="AF69" s="1">
        <v>-4.1052695015837692E-4</v>
      </c>
      <c r="AG69" s="1">
        <v>-1.5971618527619441E-3</v>
      </c>
      <c r="AH69" s="1">
        <v>-9.7839893471677597E-3</v>
      </c>
      <c r="AI69" s="1">
        <v>1.8443725722867926E-2</v>
      </c>
      <c r="AJ69" s="1">
        <v>1.3694800674404151E-2</v>
      </c>
      <c r="AK69" s="1">
        <v>-1.4727741528437893E-3</v>
      </c>
      <c r="AL69" s="1">
        <v>-3.7363850403912546E-5</v>
      </c>
      <c r="AM69" s="1">
        <v>4.5176424567520551E-3</v>
      </c>
      <c r="AN69" s="1">
        <v>1.1515449610504797E-2</v>
      </c>
      <c r="AO69" s="1">
        <v>-3.405735254956313E-3</v>
      </c>
      <c r="AP69" s="1">
        <v>2.7090690545576862E-3</v>
      </c>
      <c r="AQ69" s="1">
        <v>-2.5374067935787087E-3</v>
      </c>
      <c r="AR69" s="1">
        <v>-1.8891616523430188E-2</v>
      </c>
      <c r="AS69" s="1">
        <v>-7.836900499128413E-4</v>
      </c>
      <c r="AT69" s="1">
        <v>-2.1836739045798609E-2</v>
      </c>
      <c r="AU69" s="1">
        <v>-4.9130620368353639E-3</v>
      </c>
      <c r="AV69" s="1">
        <v>-9.3412952060236559E-3</v>
      </c>
      <c r="AW69" s="1">
        <v>7.953159464644588E-3</v>
      </c>
      <c r="AX69" s="1">
        <v>-5.3491465007653172E-4</v>
      </c>
      <c r="AY69" s="1">
        <v>6.8909122619592034E-3</v>
      </c>
      <c r="AZ69" s="1">
        <v>1.2736587521178094E-3</v>
      </c>
      <c r="BA69" s="1">
        <v>2.2200380362425345E-2</v>
      </c>
      <c r="BB69" s="1">
        <v>1.5020943412176441E-2</v>
      </c>
      <c r="BC69" s="1">
        <v>1.4331859309245493E-2</v>
      </c>
      <c r="BD69" s="1">
        <v>1.4968472191697432E-2</v>
      </c>
      <c r="BE69" s="1">
        <v>9.9012407020076798E-3</v>
      </c>
      <c r="BF69" s="1">
        <v>2.177236060414238E-2</v>
      </c>
      <c r="BG69" s="1">
        <v>9.7744675640400319E-3</v>
      </c>
      <c r="BH69" s="1">
        <v>3.4832500846930112E-2</v>
      </c>
      <c r="BI69" s="1">
        <v>2.4202872505927495E-2</v>
      </c>
      <c r="BJ69" s="1">
        <v>1.3406288751289921E-2</v>
      </c>
      <c r="BK69" s="1">
        <v>2.9712798136761365E-2</v>
      </c>
      <c r="BL69" s="1">
        <v>1.1776959707542195E-2</v>
      </c>
      <c r="BM69" s="1">
        <v>3.3578720340986384E-2</v>
      </c>
      <c r="BN69" s="1">
        <v>1.7147823255596759E-2</v>
      </c>
      <c r="BO69" s="1">
        <v>2.2958995506745947E-2</v>
      </c>
      <c r="BP69" s="1">
        <v>2.0516194660149159E-2</v>
      </c>
      <c r="BQ69" s="1">
        <v>1.1403796607787731E-2</v>
      </c>
      <c r="BR69" s="1">
        <v>3.9885057953758712E-2</v>
      </c>
      <c r="BS69" s="1">
        <v>1.6619419871228558E-3</v>
      </c>
      <c r="BT69" s="1">
        <v>3.0581126598138955E-2</v>
      </c>
      <c r="BU69" s="1">
        <v>-4.9003273396342611E-3</v>
      </c>
      <c r="BV69" s="1">
        <v>2.2269911403814999E-2</v>
      </c>
      <c r="BW69" s="1">
        <v>5.7193974946062043E-3</v>
      </c>
      <c r="BX69" s="1">
        <v>2.8703022154554961E-2</v>
      </c>
      <c r="BY69" s="1">
        <v>2.3954097106091185E-2</v>
      </c>
      <c r="BZ69" s="1">
        <v>1.9080784357709282E-2</v>
      </c>
      <c r="CA69" s="1">
        <v>1.670751455250212E-2</v>
      </c>
      <c r="CB69" s="1">
        <v>-9.4160194592504687E-5</v>
      </c>
      <c r="CC69" s="1">
        <v>1.0590324804938628E-2</v>
      </c>
      <c r="CD69" s="1">
        <v>3.8449647651318822E-2</v>
      </c>
      <c r="CE69" s="1">
        <v>2.9145716295699078E-2</v>
      </c>
      <c r="CF69" s="1">
        <v>3.5578827046439054E-2</v>
      </c>
      <c r="CG69" s="1">
        <v>2.7018836452278774E-2</v>
      </c>
      <c r="CH69" s="1">
        <v>1.5351688491552079E-3</v>
      </c>
      <c r="CI69" s="1">
        <v>1.1155021207951421E-2</v>
      </c>
      <c r="CJ69" s="1">
        <v>1.071232706680729E-2</v>
      </c>
      <c r="CK69" s="1">
        <v>1.4083083909409183E-2</v>
      </c>
      <c r="CL69" s="1">
        <v>1.5963573791042684E-2</v>
      </c>
      <c r="CM69" s="1">
        <v>2.4270018109267669E-2</v>
      </c>
      <c r="CN69" s="1">
        <v>1.7590517396740876E-2</v>
      </c>
      <c r="CO69" s="1">
        <v>2.5334650750002574E-2</v>
      </c>
      <c r="CP69" s="1">
        <v>1.8458845858118481E-2</v>
      </c>
      <c r="CQ69" s="1">
        <v>2.5707813849757039E-2</v>
      </c>
      <c r="CR69" s="1">
        <v>3.3645865944326545E-2</v>
      </c>
      <c r="CS69" s="1">
        <v>2.0336950301702503E-2</v>
      </c>
      <c r="CT69" s="1">
        <v>3.0827516559925786E-2</v>
      </c>
      <c r="CU69" s="1">
        <v>2.3083383206664101E-2</v>
      </c>
      <c r="CV69" s="1">
        <v>2.3705321706254875E-2</v>
      </c>
      <c r="CW69" s="1">
        <v>2.9959188098548181E-2</v>
      </c>
      <c r="CX69" s="1">
        <v>2.177236060414238E-2</v>
      </c>
      <c r="CY69" s="1">
        <v>-2.6577247850050445E-2</v>
      </c>
      <c r="CZ69" s="1">
        <v>3.5333425396682355E-3</v>
      </c>
      <c r="DA69" s="1">
        <v>-3.7827710553105243E-3</v>
      </c>
      <c r="DB69" s="1">
        <v>1.3210436995042416E-2</v>
      </c>
      <c r="DC69" s="1">
        <v>-1.0962208005559443E-2</v>
      </c>
      <c r="DD69" s="1">
        <v>-3.1608325557197225E-3</v>
      </c>
      <c r="DE69" s="1">
        <v>1.2658029536841295E-2</v>
      </c>
      <c r="DF69" s="1">
        <v>1.4454313994223963E-2</v>
      </c>
      <c r="DG69" s="1">
        <v>8.4638973846281468E-3</v>
      </c>
      <c r="DH69" s="1">
        <v>-2.1524690743221886E-2</v>
      </c>
      <c r="DI69" s="1">
        <v>4.5260587009639808E-3</v>
      </c>
      <c r="DJ69" s="1">
        <v>4.2796687391771643E-3</v>
      </c>
      <c r="DK69" s="1">
        <v>-4.1559341550649609E-3</v>
      </c>
      <c r="DL69" s="1">
        <v>-5.6462011160333669E-3</v>
      </c>
      <c r="DM69" s="1">
        <v>-2.7321188611509922E-2</v>
      </c>
      <c r="DN69" s="1">
        <v>-1.489766125117406E-2</v>
      </c>
      <c r="DO69" s="1">
        <v>1.4770234997400447E-2</v>
      </c>
      <c r="DP69" s="1">
        <v>1.018625213632246E-3</v>
      </c>
      <c r="DQ69" s="1">
        <v>-2.1146756767368408E-2</v>
      </c>
      <c r="DR69" s="1">
        <v>2.295944792985577E-2</v>
      </c>
      <c r="DS69" s="1">
        <v>-1.4275722751583286E-2</v>
      </c>
      <c r="DT69" s="1">
        <v>-1.8375210083863558E-3</v>
      </c>
      <c r="DU69" s="1">
        <v>7.7462068989492261E-4</v>
      </c>
      <c r="DV69" s="1">
        <v>1.0588391789998972E-2</v>
      </c>
      <c r="DW69" s="1">
        <v>-3.4725404741794974E-4</v>
      </c>
      <c r="DX69" s="1">
        <v>1.8262994101871002E-2</v>
      </c>
      <c r="DY69" s="1">
        <v>1.1775026692602511E-2</v>
      </c>
      <c r="DZ69" s="1">
        <v>1.4272684197727828E-2</v>
      </c>
      <c r="EA69" s="1">
        <v>-7.2755301597810518E-3</v>
      </c>
      <c r="EB69" s="1">
        <v>2.8507170398307483E-2</v>
      </c>
      <c r="EC69" s="1">
        <v>6.8345683408804342E-3</v>
      </c>
      <c r="ED69" s="1">
        <v>1.4133622114948508E-2</v>
      </c>
      <c r="EE69" s="1">
        <v>-1.3708640910521042E-2</v>
      </c>
      <c r="EF69" s="1">
        <v>3.1198746644740594E-2</v>
      </c>
      <c r="EG69" s="1">
        <v>3.4761036790600802E-2</v>
      </c>
      <c r="EH69" s="1">
        <v>-1.5902666357281492E-2</v>
      </c>
      <c r="EI69" s="1">
        <v>-1.8833114496788761E-2</v>
      </c>
      <c r="EJ69" s="1">
        <v>1.5956869900004042E-2</v>
      </c>
      <c r="EK69" s="1">
        <v>1.4148296497809673E-2</v>
      </c>
      <c r="EL69" s="1">
        <v>-2.7205238526250841E-3</v>
      </c>
      <c r="EM69" s="1">
        <v>-2.2268631504681308E-2</v>
      </c>
      <c r="EN69" s="1">
        <v>-1.5586745354105008E-2</v>
      </c>
      <c r="EO69" s="1">
        <v>3.5333425396682355E-3</v>
      </c>
      <c r="EP69" s="1">
        <v>-1.4400110451501441E-2</v>
      </c>
      <c r="EQ69" s="1">
        <v>-2.6079697050377826E-2</v>
      </c>
      <c r="ER69" s="1">
        <v>-1.7146543356463068E-2</v>
      </c>
      <c r="ES69" s="1">
        <v>1.5332358342155655E-3</v>
      </c>
      <c r="ET69" s="1">
        <v>1.9040134959205091E-3</v>
      </c>
      <c r="EU69" s="1">
        <v>-1.2524391445966926E-2</v>
      </c>
      <c r="EV69" s="10">
        <v>1.4023908797891518E-2</v>
      </c>
    </row>
    <row r="70" spans="1:152" x14ac:dyDescent="0.25">
      <c r="A70" s="21">
        <f t="shared" ca="1" si="1"/>
        <v>7.5698050018195809E-2</v>
      </c>
      <c r="B70" s="5">
        <v>69</v>
      </c>
      <c r="C70" s="9">
        <v>-5.7400635706634784E-3</v>
      </c>
      <c r="D70" s="1">
        <v>2.4242814422548914E-2</v>
      </c>
      <c r="E70" s="1">
        <v>6.1325282860964225E-3</v>
      </c>
      <c r="F70" s="1">
        <v>1.0818289254917235E-2</v>
      </c>
      <c r="G70" s="1">
        <v>-1.4795206638889752E-2</v>
      </c>
      <c r="H70" s="1">
        <v>-1.428976499979176E-2</v>
      </c>
      <c r="I70" s="1">
        <v>-3.6040500527244612E-3</v>
      </c>
      <c r="J70" s="1">
        <v>-1.0543026018426105E-3</v>
      </c>
      <c r="K70" s="1">
        <v>2.0189811192558998E-2</v>
      </c>
      <c r="L70" s="1">
        <v>1.1183345656096411E-2</v>
      </c>
      <c r="M70" s="1">
        <v>-1.2926894458602511E-2</v>
      </c>
      <c r="N70" s="1">
        <v>-5.4236847012479883E-3</v>
      </c>
      <c r="O70" s="1">
        <v>1.5869106624917306E-2</v>
      </c>
      <c r="P70" s="1">
        <v>4.9456513764037924E-3</v>
      </c>
      <c r="Q70" s="1">
        <v>-2.4799486315362385E-2</v>
      </c>
      <c r="R70" s="1">
        <v>-4.2087951943301449E-2</v>
      </c>
      <c r="S70" s="1">
        <v>-1.428976499979176E-2</v>
      </c>
      <c r="T70" s="1">
        <v>4.4895317726545425E-4</v>
      </c>
      <c r="U70" s="1">
        <v>-7.0542565800890134E-3</v>
      </c>
      <c r="V70" s="1">
        <v>-2.0162402878305175E-2</v>
      </c>
      <c r="W70" s="1">
        <v>7.6844615969682006E-3</v>
      </c>
      <c r="X70" s="1">
        <v>-7.1029341118527822E-3</v>
      </c>
      <c r="Y70" s="1">
        <v>-2.3533970837700535E-2</v>
      </c>
      <c r="Z70" s="1">
        <v>2.6567890710170405E-2</v>
      </c>
      <c r="AA70" s="1">
        <v>-5.4236847012479883E-3</v>
      </c>
      <c r="AB70" s="1">
        <v>2.6427505472251617E-2</v>
      </c>
      <c r="AC70" s="1">
        <v>1.1323730894015227E-2</v>
      </c>
      <c r="AD70" s="1">
        <v>-3.5553725209607756E-3</v>
      </c>
      <c r="AE70" s="1">
        <v>3.3150794975627951E-3</v>
      </c>
      <c r="AF70" s="1">
        <v>6.1325282860964225E-3</v>
      </c>
      <c r="AG70" s="1">
        <v>1.518767135432264E-2</v>
      </c>
      <c r="AH70" s="1">
        <v>2.0062495092826038E-2</v>
      </c>
      <c r="AI70" s="1">
        <v>-5.0967101380031021E-2</v>
      </c>
      <c r="AJ70" s="1">
        <v>-4.5094463501517607E-2</v>
      </c>
      <c r="AK70" s="1">
        <v>1.7372362404025343E-2</v>
      </c>
      <c r="AL70" s="1">
        <v>1.2686601435204475E-2</v>
      </c>
      <c r="AM70" s="1">
        <v>2.998700628147305E-3</v>
      </c>
      <c r="AN70" s="1">
        <v>-2.316891443652136E-2</v>
      </c>
      <c r="AO70" s="1">
        <v>1.3319359174035456E-2</v>
      </c>
      <c r="AP70" s="1">
        <v>1.1303884478600923E-3</v>
      </c>
      <c r="AQ70" s="1">
        <v>-1.7357378724372485E-3</v>
      </c>
      <c r="AR70" s="1">
        <v>6.9786231101331933E-2</v>
      </c>
      <c r="AS70" s="1">
        <v>-4.2154486301168581E-4</v>
      </c>
      <c r="AT70" s="1">
        <v>1.6831312371349522E-2</v>
      </c>
      <c r="AU70" s="1">
        <v>-1.397338613037627E-2</v>
      </c>
      <c r="AV70" s="1">
        <v>2.8247140120775116E-2</v>
      </c>
      <c r="AW70" s="1">
        <v>-2.6351419626234107E-2</v>
      </c>
      <c r="AX70" s="1">
        <v>3.947837236393692E-3</v>
      </c>
      <c r="AY70" s="1">
        <v>-1.5111585508305242E-2</v>
      </c>
      <c r="AZ70" s="1">
        <v>5.8161494166809324E-3</v>
      </c>
      <c r="BA70" s="1">
        <v>1.8282041482652889E-2</v>
      </c>
      <c r="BB70" s="1">
        <v>1.1362911932365646E-2</v>
      </c>
      <c r="BC70" s="1">
        <v>2.9156819199402675E-2</v>
      </c>
      <c r="BD70" s="1">
        <v>4.1156727155895537E-2</v>
      </c>
      <c r="BE70" s="1">
        <v>4.1029411056162576E-2</v>
      </c>
      <c r="BF70" s="1">
        <v>1.1173849162683172E-2</v>
      </c>
      <c r="BG70" s="1">
        <v>8.4967856120683194E-3</v>
      </c>
      <c r="BH70" s="1">
        <v>2.6110785953690763E-3</v>
      </c>
      <c r="BI70" s="1">
        <v>2.3965616591483871E-2</v>
      </c>
      <c r="BJ70" s="1">
        <v>1.3309862680622148E-2</v>
      </c>
      <c r="BK70" s="1">
        <v>3.2277577719165965E-2</v>
      </c>
      <c r="BL70" s="1">
        <v>1.4180360720899302E-2</v>
      </c>
      <c r="BM70" s="1">
        <v>4.0383584179145809E-2</v>
      </c>
      <c r="BN70" s="1">
        <v>1.9231178090899304E-2</v>
      </c>
      <c r="BO70" s="1">
        <v>2.1187060944568986E-3</v>
      </c>
      <c r="BP70" s="1">
        <v>1.8598420352068351E-2</v>
      </c>
      <c r="BQ70" s="1">
        <v>7.6262875717911932E-3</v>
      </c>
      <c r="BR70" s="1">
        <v>1.6619419871226337E-3</v>
      </c>
      <c r="BS70" s="1">
        <v>7.5698050018195809E-2</v>
      </c>
      <c r="BT70" s="1">
        <v>1.7222480672693274E-2</v>
      </c>
      <c r="BU70" s="1">
        <v>1.9006506927638944E-2</v>
      </c>
      <c r="BV70" s="1">
        <v>1.9912613361493928E-2</v>
      </c>
      <c r="BW70" s="1">
        <v>5.7271385012327827E-2</v>
      </c>
      <c r="BX70" s="1">
        <v>1.3723596613565009E-2</v>
      </c>
      <c r="BY70" s="1">
        <v>1.9596234492078493E-2</v>
      </c>
      <c r="BZ70" s="1">
        <v>2.3284181320889219E-2</v>
      </c>
      <c r="CA70" s="1">
        <v>4.1394467457341738E-2</v>
      </c>
      <c r="CB70" s="1">
        <v>4.4035922614378678E-2</v>
      </c>
      <c r="CC70" s="1">
        <v>2.3235503789125547E-2</v>
      </c>
      <c r="CD70" s="1">
        <v>6.3477029559435016E-3</v>
      </c>
      <c r="CE70" s="1">
        <v>2.1908241641514156E-2</v>
      </c>
      <c r="CF70" s="1">
        <v>1.5719224893585237E-2</v>
      </c>
      <c r="CG70" s="1">
        <v>1.4039975482980471E-2</v>
      </c>
      <c r="CH70" s="1">
        <v>4.3165424574101552E-2</v>
      </c>
      <c r="CI70" s="1">
        <v>3.2569054723858154E-3</v>
      </c>
      <c r="CJ70" s="1">
        <v>-4.9277395555633041E-3</v>
      </c>
      <c r="CK70" s="1">
        <v>2.478743709999727E-2</v>
      </c>
      <c r="CL70" s="1">
        <v>5.8634255553517103E-2</v>
      </c>
      <c r="CM70" s="1">
        <v>-4.7517459240666443E-3</v>
      </c>
      <c r="CN70" s="1">
        <v>2.7415823118848423E-2</v>
      </c>
      <c r="CO70" s="1">
        <v>1.4356354352395934E-2</v>
      </c>
      <c r="CP70" s="1">
        <v>1.2360726072375733E-2</v>
      </c>
      <c r="CQ70" s="1">
        <v>2.0910427501504014E-2</v>
      </c>
      <c r="CR70" s="1">
        <v>1.1666221663595308E-2</v>
      </c>
      <c r="CS70" s="1">
        <v>1.5859610131503984E-2</v>
      </c>
      <c r="CT70" s="1">
        <v>-8.7560716222928603E-3</v>
      </c>
      <c r="CU70" s="1">
        <v>4.3033971441596292E-3</v>
      </c>
      <c r="CV70" s="1">
        <v>1.5226852392673115E-2</v>
      </c>
      <c r="CW70" s="1">
        <v>6.2990254241798022E-3</v>
      </c>
      <c r="CX70" s="1">
        <v>1.1173849162683172E-2</v>
      </c>
      <c r="CY70" s="1">
        <v>6.4635558165229701E-4</v>
      </c>
      <c r="CZ70" s="1">
        <v>-6.1884880432934025E-3</v>
      </c>
      <c r="DA70" s="1">
        <v>1.3979173043128845E-2</v>
      </c>
      <c r="DB70" s="1">
        <v>-1.5194953579755921E-2</v>
      </c>
      <c r="DC70" s="1">
        <v>7.0600434928415889E-3</v>
      </c>
      <c r="DD70" s="1">
        <v>2.4902628291642331E-2</v>
      </c>
      <c r="DE70" s="1">
        <v>-2.4487836949428368E-2</v>
      </c>
      <c r="DF70" s="1">
        <v>6.6519569172710513E-3</v>
      </c>
      <c r="DG70" s="1">
        <v>2.1025618693149062E-2</v>
      </c>
      <c r="DH70" s="1">
        <v>-3.0278102659411776E-4</v>
      </c>
      <c r="DI70" s="1">
        <v>-1.9058894040063362E-2</v>
      </c>
      <c r="DJ70" s="1">
        <v>6.9196582549227864E-3</v>
      </c>
      <c r="DK70" s="1">
        <v>7.4250998940207646E-3</v>
      </c>
      <c r="DL70" s="1">
        <v>1.1556741691979955E-2</v>
      </c>
      <c r="DM70" s="1">
        <v>1.7886143677827648E-2</v>
      </c>
      <c r="DN70" s="1">
        <v>-2.6765348459793226E-3</v>
      </c>
      <c r="DO70" s="1">
        <v>-1.7696023498874086E-2</v>
      </c>
      <c r="DP70" s="1">
        <v>-2.168728005891446E-2</v>
      </c>
      <c r="DQ70" s="1">
        <v>6.6947160911297043E-2</v>
      </c>
      <c r="DR70" s="1">
        <v>7.7770871570140981E-3</v>
      </c>
      <c r="DS70" s="1">
        <v>8.2469204025341636E-3</v>
      </c>
      <c r="DT70" s="1">
        <v>-1.1239305413293432E-2</v>
      </c>
      <c r="DU70" s="1">
        <v>3.4639206630463215E-2</v>
      </c>
      <c r="DV70" s="1">
        <v>-1.4540495427088351E-3</v>
      </c>
      <c r="DW70" s="1">
        <v>-1.5370947211252595E-2</v>
      </c>
      <c r="DX70" s="1">
        <v>-1.6144090188002336E-2</v>
      </c>
      <c r="DY70" s="1">
        <v>-1.0509192610935053E-2</v>
      </c>
      <c r="DZ70" s="1">
        <v>-2.6434787697684897E-2</v>
      </c>
      <c r="EA70" s="1">
        <v>1.2427239732257095E-2</v>
      </c>
      <c r="EB70" s="1">
        <v>-1.478121964681306E-2</v>
      </c>
      <c r="EC70" s="1">
        <v>2.1896116733426216E-2</v>
      </c>
      <c r="ED70" s="1">
        <v>-2.9695931455366892E-2</v>
      </c>
      <c r="EE70" s="1">
        <v>1.8616256480186E-2</v>
      </c>
      <c r="EF70" s="1">
        <v>-2.6891551805019134E-2</v>
      </c>
      <c r="EG70" s="1">
        <v>-2.3709046615306373E-2</v>
      </c>
      <c r="EH70" s="1">
        <v>3.9465352837202844E-2</v>
      </c>
      <c r="EI70" s="1">
        <v>-1.2413113184800179E-2</v>
      </c>
      <c r="EJ70" s="1">
        <v>-2.675116656710036E-2</v>
      </c>
      <c r="EK70" s="1">
        <v>-2.8619478747387572E-2</v>
      </c>
      <c r="EL70" s="1">
        <v>2.7393389251998967E-3</v>
      </c>
      <c r="EM70" s="1">
        <v>1.6937007069581234E-2</v>
      </c>
      <c r="EN70" s="1">
        <v>1.5117372421057707E-2</v>
      </c>
      <c r="EO70" s="1">
        <v>-6.1884880432934025E-3</v>
      </c>
      <c r="EP70" s="1">
        <v>6.0622293528314608E-3</v>
      </c>
      <c r="EQ70" s="1">
        <v>9.3851197804630804E-3</v>
      </c>
      <c r="ER70" s="1">
        <v>1.7618442340175872E-2</v>
      </c>
      <c r="ES70" s="1">
        <v>1.8475871242267197E-2</v>
      </c>
      <c r="ET70" s="1">
        <v>-5.3179900030162486E-3</v>
      </c>
      <c r="EU70" s="1">
        <v>-2.0786820982431786E-2</v>
      </c>
      <c r="EV70" s="10">
        <v>-3.0804169797090247E-2</v>
      </c>
    </row>
    <row r="71" spans="1:152" x14ac:dyDescent="0.25">
      <c r="A71" s="21">
        <f t="shared" ca="1" si="1"/>
        <v>2.9105452993243075E-2</v>
      </c>
      <c r="B71" s="5">
        <v>70</v>
      </c>
      <c r="C71" s="9">
        <v>7.8331340515716552E-4</v>
      </c>
      <c r="D71" s="1">
        <v>3.9765381516321807E-3</v>
      </c>
      <c r="E71" s="1">
        <v>3.3495606557568391E-3</v>
      </c>
      <c r="F71" s="1">
        <v>4.127558262776429E-3</v>
      </c>
      <c r="G71" s="1">
        <v>4.698246572194878E-4</v>
      </c>
      <c r="H71" s="1">
        <v>-8.1597602312500905E-3</v>
      </c>
      <c r="I71" s="1">
        <v>-5.4134008859439697E-4</v>
      </c>
      <c r="J71" s="1">
        <v>1.5613110121767415E-3</v>
      </c>
      <c r="K71" s="1">
        <v>5.6835534768155671E-3</v>
      </c>
      <c r="L71" s="1">
        <v>6.4624637930885132E-3</v>
      </c>
      <c r="M71" s="1">
        <v>-1.004936238422946E-3</v>
      </c>
      <c r="N71" s="1">
        <v>2.0258198712586467E-3</v>
      </c>
      <c r="O71" s="1">
        <v>7.240461400108103E-3</v>
      </c>
      <c r="P71" s="1">
        <v>8.4017335478128591E-3</v>
      </c>
      <c r="Q71" s="1">
        <v>-3.5711834890226196E-3</v>
      </c>
      <c r="R71" s="1">
        <v>-1.1585239407266079E-2</v>
      </c>
      <c r="S71" s="1">
        <v>-8.1597602312500905E-3</v>
      </c>
      <c r="T71" s="1">
        <v>-2.2483554137777834E-3</v>
      </c>
      <c r="U71" s="1">
        <v>-5.2791115234593761E-3</v>
      </c>
      <c r="V71" s="1">
        <v>-3.8855849462136605E-3</v>
      </c>
      <c r="W71" s="1">
        <v>6.3229329401293111E-4</v>
      </c>
      <c r="X71" s="1">
        <v>-6.371510587669979E-3</v>
      </c>
      <c r="Y71" s="1">
        <v>1.3988423753832913E-3</v>
      </c>
      <c r="Z71" s="1">
        <v>-7.2202066966904205E-3</v>
      </c>
      <c r="AA71" s="1">
        <v>2.0258198712586467E-3</v>
      </c>
      <c r="AB71" s="1">
        <v>3.7442837220912351E-3</v>
      </c>
      <c r="AC71" s="1">
        <v>-4.5020266256931563E-3</v>
      </c>
      <c r="AD71" s="1">
        <v>5.5105897561620598E-4</v>
      </c>
      <c r="AE71" s="1">
        <v>1.0968021530948363E-3</v>
      </c>
      <c r="AF71" s="1">
        <v>3.3495606557568391E-3</v>
      </c>
      <c r="AG71" s="1">
        <v>3.6630494036945238E-3</v>
      </c>
      <c r="AH71" s="1">
        <v>-5.4310443438569667E-3</v>
      </c>
      <c r="AI71" s="1">
        <v>3.082687296794076E-4</v>
      </c>
      <c r="AJ71" s="1">
        <v>-3.9659065553570155E-3</v>
      </c>
      <c r="AK71" s="1">
        <v>3.4307949741535643E-3</v>
      </c>
      <c r="AL71" s="1">
        <v>2.6527973671339883E-3</v>
      </c>
      <c r="AM71" s="1">
        <v>-1.4570431300664488E-4</v>
      </c>
      <c r="AN71" s="1">
        <v>3.7337479056953823E-3</v>
      </c>
      <c r="AO71" s="1">
        <v>5.1378102993369368E-3</v>
      </c>
      <c r="AP71" s="1">
        <v>1.3290565826357958E-3</v>
      </c>
      <c r="AQ71" s="1">
        <v>-2.0161009842368377E-3</v>
      </c>
      <c r="AR71" s="1">
        <v>5.6940892932114268E-3</v>
      </c>
      <c r="AS71" s="1">
        <v>4.04632394437969E-3</v>
      </c>
      <c r="AT71" s="1">
        <v>-1.1111107441041684E-2</v>
      </c>
      <c r="AU71" s="1">
        <v>-6.9172537651486093E-3</v>
      </c>
      <c r="AV71" s="1">
        <v>1.1771237622382053E-3</v>
      </c>
      <c r="AW71" s="1">
        <v>-8.5391612727871158E-4</v>
      </c>
      <c r="AX71" s="1">
        <v>3.5818150852977987E-3</v>
      </c>
      <c r="AY71" s="1">
        <v>-7.7268180888198645E-4</v>
      </c>
      <c r="AZ71" s="1">
        <v>2.1070541896553718E-3</v>
      </c>
      <c r="BA71" s="1">
        <v>1.2938682280514521E-2</v>
      </c>
      <c r="BB71" s="1">
        <v>1.1300540038825274E-2</v>
      </c>
      <c r="BC71" s="1">
        <v>1.0685011068599148E-2</v>
      </c>
      <c r="BD71" s="1">
        <v>2.436585613987137E-2</v>
      </c>
      <c r="BE71" s="1">
        <v>1.3251258319198836E-2</v>
      </c>
      <c r="BF71" s="1">
        <v>2.1172631393396341E-2</v>
      </c>
      <c r="BG71" s="1">
        <v>7.9553824719526614E-3</v>
      </c>
      <c r="BH71" s="1">
        <v>3.4308645996443288E-2</v>
      </c>
      <c r="BI71" s="1">
        <v>1.8536598350049158E-2</v>
      </c>
      <c r="BJ71" s="1">
        <v>1.9847977899644764E-2</v>
      </c>
      <c r="BK71" s="1">
        <v>3.6259364276816849E-2</v>
      </c>
      <c r="BL71" s="1">
        <v>1.3553298541487277E-2</v>
      </c>
      <c r="BM71" s="1">
        <v>3.2845333626450091E-2</v>
      </c>
      <c r="BN71" s="1">
        <v>1.6666201678818965E-2</v>
      </c>
      <c r="BO71" s="1">
        <v>2.085914264545867E-2</v>
      </c>
      <c r="BP71" s="1">
        <v>1.4181188746616002E-2</v>
      </c>
      <c r="BQ71" s="1">
        <v>1.4250061830110142E-2</v>
      </c>
      <c r="BR71" s="1">
        <v>3.0581126598138858E-2</v>
      </c>
      <c r="BS71" s="1">
        <v>1.7222480672693441E-2</v>
      </c>
      <c r="BT71" s="1">
        <v>2.9105452993243075E-2</v>
      </c>
      <c r="BU71" s="1">
        <v>3.3668057297251835E-3</v>
      </c>
      <c r="BV71" s="1">
        <v>2.0243613675232544E-2</v>
      </c>
      <c r="BW71" s="1">
        <v>1.5352996710716618E-2</v>
      </c>
      <c r="BX71" s="1">
        <v>2.3275282494167493E-2</v>
      </c>
      <c r="BY71" s="1">
        <v>1.9001107209131049E-2</v>
      </c>
      <c r="BZ71" s="1">
        <v>1.4959186353635585E-2</v>
      </c>
      <c r="CA71" s="1">
        <v>1.5586163849510934E-2</v>
      </c>
      <c r="CB71" s="1">
        <v>5.6319254672897792E-3</v>
      </c>
      <c r="CC71" s="1">
        <v>1.3866787289424962E-2</v>
      </c>
      <c r="CD71" s="1">
        <v>3.1359124205158434E-2</v>
      </c>
      <c r="CE71" s="1">
        <v>2.9883450600262637E-2</v>
      </c>
      <c r="CF71" s="1">
        <v>3.2915119419197586E-2</v>
      </c>
      <c r="CG71" s="1">
        <v>2.451778896026896E-2</v>
      </c>
      <c r="CH71" s="1">
        <v>1.192660482544726E-2</v>
      </c>
      <c r="CI71" s="1">
        <v>1.4714570689192033E-2</v>
      </c>
      <c r="CJ71" s="1">
        <v>8.1064025830968889E-3</v>
      </c>
      <c r="CK71" s="1">
        <v>1.1149519927681054E-2</v>
      </c>
      <c r="CL71" s="1">
        <v>2.2507820703543763E-2</v>
      </c>
      <c r="CM71" s="1">
        <v>2.0313399467980039E-2</v>
      </c>
      <c r="CN71" s="1">
        <v>2.3274369784914123E-2</v>
      </c>
      <c r="CO71" s="1">
        <v>2.5760295426370441E-2</v>
      </c>
      <c r="CP71" s="1">
        <v>1.6120458501340341E-2</v>
      </c>
      <c r="CQ71" s="1">
        <v>2.5063532137747591E-2</v>
      </c>
      <c r="CR71" s="1">
        <v>3.4622134744380972E-2</v>
      </c>
      <c r="CS71" s="1">
        <v>2.1950629000415917E-2</v>
      </c>
      <c r="CT71" s="1">
        <v>2.3112813857374043E-2</v>
      </c>
      <c r="CU71" s="1">
        <v>2.062688821591771E-2</v>
      </c>
      <c r="CV71" s="1">
        <v>1.9465616068212954E-2</v>
      </c>
      <c r="CW71" s="1">
        <v>3.0266725140947831E-2</v>
      </c>
      <c r="CX71" s="1">
        <v>2.1172631393396341E-2</v>
      </c>
      <c r="CY71" s="1">
        <v>-1.5480340203253846E-2</v>
      </c>
      <c r="CZ71" s="1">
        <v>7.1454039229323502E-3</v>
      </c>
      <c r="DA71" s="1">
        <v>-3.5744708314057808E-3</v>
      </c>
      <c r="DB71" s="1">
        <v>7.9243142392052962E-3</v>
      </c>
      <c r="DC71" s="1">
        <v>-5.2126130730950279E-3</v>
      </c>
      <c r="DD71" s="1">
        <v>-4.7357429791105368E-3</v>
      </c>
      <c r="DE71" s="1">
        <v>1.6390517781628061E-2</v>
      </c>
      <c r="DF71" s="1">
        <v>5.6017699437957841E-3</v>
      </c>
      <c r="DG71" s="1">
        <v>9.1782692309559932E-3</v>
      </c>
      <c r="DH71" s="1">
        <v>-1.920785960155829E-2</v>
      </c>
      <c r="DI71" s="1">
        <v>-2.4076179018238386E-4</v>
      </c>
      <c r="DJ71" s="1">
        <v>5.7518773456866346E-3</v>
      </c>
      <c r="DK71" s="1">
        <v>-2.8777075427829299E-3</v>
      </c>
      <c r="DL71" s="1">
        <v>5.4374758884956076E-3</v>
      </c>
      <c r="DM71" s="1">
        <v>-8.5586833492210107E-3</v>
      </c>
      <c r="DN71" s="1">
        <v>-9.1035138174462849E-3</v>
      </c>
      <c r="DO71" s="1">
        <v>6.9140622026447676E-3</v>
      </c>
      <c r="DP71" s="1">
        <v>-1.2365611647415453E-2</v>
      </c>
      <c r="DQ71" s="1">
        <v>-8.8483623366068936E-3</v>
      </c>
      <c r="DR71" s="1">
        <v>2.1536286226983378E-2</v>
      </c>
      <c r="DS71" s="1">
        <v>-1.0264785965151041E-2</v>
      </c>
      <c r="DT71" s="1">
        <v>4.03250078560069E-3</v>
      </c>
      <c r="DU71" s="1">
        <v>-8.4484223475929376E-4</v>
      </c>
      <c r="DV71" s="1">
        <v>9.015800594162543E-3</v>
      </c>
      <c r="DW71" s="1">
        <v>-4.2826826456778613E-3</v>
      </c>
      <c r="DX71" s="1">
        <v>4.1967948409008526E-3</v>
      </c>
      <c r="DY71" s="1">
        <v>8.7023118462248722E-3</v>
      </c>
      <c r="DZ71" s="1">
        <v>7.843079920808578E-3</v>
      </c>
      <c r="EA71" s="1">
        <v>-8.5720346966187966E-4</v>
      </c>
      <c r="EB71" s="1">
        <v>1.1351618833728004E-2</v>
      </c>
      <c r="EC71" s="1">
        <v>2.883589872798506E-3</v>
      </c>
      <c r="ED71" s="1">
        <v>-6.7667828686274606E-3</v>
      </c>
      <c r="EE71" s="1">
        <v>-3.8888722885968285E-3</v>
      </c>
      <c r="EF71" s="1">
        <v>1.7565063873488773E-2</v>
      </c>
      <c r="EG71" s="1">
        <v>2.2152727906462874E-2</v>
      </c>
      <c r="EH71" s="1">
        <v>-1.1031335046521394E-2</v>
      </c>
      <c r="EI71" s="1">
        <v>-1.2994414561797521E-2</v>
      </c>
      <c r="EJ71" s="1">
        <v>6.6005734547070899E-3</v>
      </c>
      <c r="EK71" s="1">
        <v>8.0753343503495167E-3</v>
      </c>
      <c r="EL71" s="1">
        <v>-3.6557051498025128E-3</v>
      </c>
      <c r="EM71" s="1">
        <v>-1.2286202747525454E-2</v>
      </c>
      <c r="EN71" s="1">
        <v>-9.7190427876724106E-3</v>
      </c>
      <c r="EO71" s="1">
        <v>7.1454039229323502E-3</v>
      </c>
      <c r="EP71" s="1">
        <v>-1.0032531535610081E-2</v>
      </c>
      <c r="EQ71" s="1">
        <v>-1.6409357921417657E-2</v>
      </c>
      <c r="ER71" s="1">
        <v>-8.708790751111882E-3</v>
      </c>
      <c r="ES71" s="1">
        <v>7.0756181301848547E-3</v>
      </c>
      <c r="ET71" s="1">
        <v>8.5072456477486985E-4</v>
      </c>
      <c r="EU71" s="1">
        <v>-9.7304913133216264E-3</v>
      </c>
      <c r="EV71" s="10">
        <v>8.3075887798904624E-3</v>
      </c>
    </row>
    <row r="72" spans="1:152" x14ac:dyDescent="0.25">
      <c r="A72" s="21">
        <f t="shared" ca="1" si="1"/>
        <v>6.6365599226348437E-2</v>
      </c>
      <c r="B72" s="5">
        <v>71</v>
      </c>
      <c r="C72" s="9">
        <v>-4.1926029083455135E-3</v>
      </c>
      <c r="D72" s="1">
        <v>-9.2508395451203068E-3</v>
      </c>
      <c r="E72" s="1">
        <v>-1.9805624232738656E-3</v>
      </c>
      <c r="F72" s="1">
        <v>-1.8678563648138607E-3</v>
      </c>
      <c r="G72" s="1">
        <v>-5.5746434742230677E-4</v>
      </c>
      <c r="H72" s="1">
        <v>1.3313937072385235E-2</v>
      </c>
      <c r="I72" s="1">
        <v>1.145751334132053E-2</v>
      </c>
      <c r="J72" s="1">
        <v>-4.0798968498855087E-3</v>
      </c>
      <c r="K72" s="1">
        <v>-1.6424442478938511E-3</v>
      </c>
      <c r="L72" s="1">
        <v>-1.5531344246328307E-2</v>
      </c>
      <c r="M72" s="1">
        <v>-6.2919373349571567E-3</v>
      </c>
      <c r="N72" s="1">
        <v>-3.3205223050229715E-4</v>
      </c>
      <c r="O72" s="1">
        <v>-1.5418638187868303E-2</v>
      </c>
      <c r="P72" s="1">
        <v>-6.049026639410246E-3</v>
      </c>
      <c r="Q72" s="1">
        <v>-8.5039778200288046E-3</v>
      </c>
      <c r="R72" s="1">
        <v>1.6498251399468422E-2</v>
      </c>
      <c r="S72" s="1">
        <v>1.3313937072385235E-2</v>
      </c>
      <c r="T72" s="1">
        <v>3.8491180440940742E-3</v>
      </c>
      <c r="U72" s="1">
        <v>-2.1107670603607853E-3</v>
      </c>
      <c r="V72" s="1">
        <v>9.1327667977888771E-3</v>
      </c>
      <c r="W72" s="1">
        <v>-1.157558608865196E-2</v>
      </c>
      <c r="X72" s="1">
        <v>1.5413271498996878E-2</v>
      </c>
      <c r="Y72" s="1">
        <v>6.9382248913441441E-3</v>
      </c>
      <c r="Z72" s="1">
        <v>1.6410127446510062E-2</v>
      </c>
      <c r="AA72" s="1">
        <v>-3.3205223050229715E-4</v>
      </c>
      <c r="AB72" s="1">
        <v>-1.1124761854811913E-2</v>
      </c>
      <c r="AC72" s="1">
        <v>1.2003545054993681E-2</v>
      </c>
      <c r="AD72" s="1">
        <v>-6.0665252180371193E-3</v>
      </c>
      <c r="AE72" s="1">
        <v>-7.8277414692687203E-3</v>
      </c>
      <c r="AF72" s="1">
        <v>-1.9805624232738656E-3</v>
      </c>
      <c r="AG72" s="1">
        <v>-5.6157009841971001E-3</v>
      </c>
      <c r="AH72" s="1">
        <v>4.5078558162272298E-3</v>
      </c>
      <c r="AI72" s="1">
        <v>-3.540948663087129E-3</v>
      </c>
      <c r="AJ72" s="1">
        <v>6.4022161150924239E-4</v>
      </c>
      <c r="AK72" s="1">
        <v>-7.4896232938887058E-3</v>
      </c>
      <c r="AL72" s="1">
        <v>-7.6023293523487107E-3</v>
      </c>
      <c r="AM72" s="1">
        <v>-1.1688292147111964E-2</v>
      </c>
      <c r="AN72" s="1">
        <v>-6.7252629901703026E-3</v>
      </c>
      <c r="AO72" s="1">
        <v>1.1877200333774984E-4</v>
      </c>
      <c r="AP72" s="1">
        <v>-5.9538191595771145E-3</v>
      </c>
      <c r="AQ72" s="1">
        <v>5.72304035378568E-3</v>
      </c>
      <c r="AR72" s="1">
        <v>-6.041943112535475E-3</v>
      </c>
      <c r="AS72" s="1">
        <v>3.6412045058009518E-3</v>
      </c>
      <c r="AT72" s="1">
        <v>2.9848203211104457E-2</v>
      </c>
      <c r="AU72" s="1">
        <v>1.7174487750228479E-2</v>
      </c>
      <c r="AV72" s="1">
        <v>6.648037170108867E-4</v>
      </c>
      <c r="AW72" s="1">
        <v>1.0910458453492894E-3</v>
      </c>
      <c r="AX72" s="1">
        <v>-1.0664011358225978E-4</v>
      </c>
      <c r="AY72" s="1">
        <v>-4.4180150252655509E-3</v>
      </c>
      <c r="AZ72" s="1">
        <v>-5.8411131011171097E-3</v>
      </c>
      <c r="BA72" s="1">
        <v>1.3585570009982326E-2</v>
      </c>
      <c r="BB72" s="1">
        <v>3.287082482057159E-2</v>
      </c>
      <c r="BC72" s="1">
        <v>2.1739997020881932E-2</v>
      </c>
      <c r="BD72" s="1">
        <v>1.7801737441832499E-2</v>
      </c>
      <c r="BE72" s="1">
        <v>2.395203750595358E-2</v>
      </c>
      <c r="BF72" s="1">
        <v>2.2859974078607292E-2</v>
      </c>
      <c r="BG72" s="1">
        <v>4.4547684333934384E-2</v>
      </c>
      <c r="BH72" s="1">
        <v>6.6813246938949855E-3</v>
      </c>
      <c r="BI72" s="1">
        <v>7.7558895426143859E-3</v>
      </c>
      <c r="BJ72" s="1">
        <v>3.8510090328273364E-2</v>
      </c>
      <c r="BK72" s="1">
        <v>-2.2374626207229964E-3</v>
      </c>
      <c r="BL72" s="1">
        <v>3.8718003866566444E-2</v>
      </c>
      <c r="BM72" s="1">
        <v>-1.7454253215175908E-2</v>
      </c>
      <c r="BN72" s="1">
        <v>2.516722204351203E-2</v>
      </c>
      <c r="BO72" s="1">
        <v>2.6495112639530499E-2</v>
      </c>
      <c r="BP72" s="1">
        <v>1.7446120687825542E-2</v>
      </c>
      <c r="BQ72" s="1">
        <v>4.433977079564129E-2</v>
      </c>
      <c r="BR72" s="1">
        <v>-4.9003273396346914E-3</v>
      </c>
      <c r="BS72" s="1">
        <v>1.9006506927638847E-2</v>
      </c>
      <c r="BT72" s="1">
        <v>3.3668057297249199E-3</v>
      </c>
      <c r="BU72" s="1">
        <v>6.6365599226348437E-2</v>
      </c>
      <c r="BV72" s="1">
        <v>1.5364284839840842E-2</v>
      </c>
      <c r="BW72" s="1">
        <v>2.2416233371642016E-2</v>
      </c>
      <c r="BX72" s="1">
        <v>7.3225638874012539E-3</v>
      </c>
      <c r="BY72" s="1">
        <v>1.1503734161997597E-2</v>
      </c>
      <c r="BZ72" s="1">
        <v>1.7558826746285575E-2</v>
      </c>
      <c r="CA72" s="1">
        <v>1.0288549624439161E-2</v>
      </c>
      <c r="CB72" s="1">
        <v>3.9810067293912732E-2</v>
      </c>
      <c r="CC72" s="1">
        <v>3.5082865305643238E-2</v>
      </c>
      <c r="CD72" s="1">
        <v>-4.7876212811746588E-3</v>
      </c>
      <c r="CE72" s="1">
        <v>3.4795117881849247E-3</v>
      </c>
      <c r="CF72" s="1">
        <v>-4.5622091642546769E-3</v>
      </c>
      <c r="CG72" s="1">
        <v>1.1183114565244498E-2</v>
      </c>
      <c r="CH72" s="1">
        <v>3.9602153755619651E-2</v>
      </c>
      <c r="CI72" s="1">
        <v>4.8087615415024501E-2</v>
      </c>
      <c r="CJ72" s="1">
        <v>5.193066751424083E-2</v>
      </c>
      <c r="CK72" s="1">
        <v>2.5487841640265144E-2</v>
      </c>
      <c r="CL72" s="1">
        <v>2.8103589642995974E-3</v>
      </c>
      <c r="CM72" s="1">
        <v>2.82563288907621E-2</v>
      </c>
      <c r="CN72" s="1">
        <v>2.1324169944295729E-2</v>
      </c>
      <c r="CO72" s="1">
        <v>1.5043665243087742E-2</v>
      </c>
      <c r="CP72" s="1">
        <v>2.6928438294743631E-2</v>
      </c>
      <c r="CQ72" s="1">
        <v>9.421898314012897E-3</v>
      </c>
      <c r="CR72" s="1">
        <v>3.0461861329717788E-3</v>
      </c>
      <c r="CS72" s="1">
        <v>2.2972680137067297E-2</v>
      </c>
      <c r="CT72" s="1">
        <v>1.8340685628630907E-2</v>
      </c>
      <c r="CU72" s="1">
        <v>2.4621190329838893E-2</v>
      </c>
      <c r="CV72" s="1">
        <v>1.5251578781380837E-2</v>
      </c>
      <c r="CW72" s="1">
        <v>1.2736417278182977E-2</v>
      </c>
      <c r="CX72" s="1">
        <v>2.2859974078607292E-2</v>
      </c>
      <c r="CY72" s="1">
        <v>4.9256218545490255E-2</v>
      </c>
      <c r="CZ72" s="1">
        <v>-1.9179312807882098E-4</v>
      </c>
      <c r="DA72" s="1">
        <v>-3.1856924954957733E-3</v>
      </c>
      <c r="DB72" s="1">
        <v>-1.4080693126513277E-2</v>
      </c>
      <c r="DC72" s="1">
        <v>1.6099562315093491E-2</v>
      </c>
      <c r="DD72" s="1">
        <v>-1.255530404395383E-2</v>
      </c>
      <c r="DE72" s="1">
        <v>-2.9323667481967186E-3</v>
      </c>
      <c r="DF72" s="1">
        <v>-3.2819916223429363E-2</v>
      </c>
      <c r="DG72" s="1">
        <v>-2.8621247370206132E-2</v>
      </c>
      <c r="DH72" s="1">
        <v>3.767456651196055E-2</v>
      </c>
      <c r="DI72" s="1">
        <v>3.5385529126774895E-3</v>
      </c>
      <c r="DJ72" s="1">
        <v>-1.1435326986228511E-2</v>
      </c>
      <c r="DK72" s="1">
        <v>2.4360744335790718E-3</v>
      </c>
      <c r="DL72" s="1">
        <v>6.2014176315892122E-3</v>
      </c>
      <c r="DM72" s="1">
        <v>4.1778027885350733E-2</v>
      </c>
      <c r="DN72" s="1">
        <v>2.9537638079687872E-2</v>
      </c>
      <c r="DO72" s="1">
        <v>-1.6067321494664888E-2</v>
      </c>
      <c r="DP72" s="1">
        <v>7.7022246086469459E-3</v>
      </c>
      <c r="DQ72" s="1">
        <v>-5.3906494536926919E-3</v>
      </c>
      <c r="DR72" s="1">
        <v>-4.4912602813378402E-2</v>
      </c>
      <c r="DS72" s="1">
        <v>2.0168026531229816E-2</v>
      </c>
      <c r="DT72" s="1">
        <v>1.3358988694975593E-2</v>
      </c>
      <c r="DU72" s="1">
        <v>-2.5993379808548267E-2</v>
      </c>
      <c r="DV72" s="1">
        <v>-1.7603125628976451E-2</v>
      </c>
      <c r="DW72" s="1">
        <v>9.5936454969654528E-3</v>
      </c>
      <c r="DX72" s="1">
        <v>-2.5662345160042982E-2</v>
      </c>
      <c r="DY72" s="1">
        <v>-1.3967987068053245E-2</v>
      </c>
      <c r="DZ72" s="1">
        <v>-8.571632255898437E-3</v>
      </c>
      <c r="EA72" s="1">
        <v>6.409331169882293E-3</v>
      </c>
      <c r="EB72" s="1">
        <v>-4.5268219567385387E-2</v>
      </c>
      <c r="EC72" s="1">
        <v>-2.8413333831913024E-2</v>
      </c>
      <c r="ED72" s="1">
        <v>-1.2129061915615469E-2</v>
      </c>
      <c r="EE72" s="1">
        <v>1.4451052122321895E-2</v>
      </c>
      <c r="EF72" s="1">
        <v>-3.9967072235063669E-2</v>
      </c>
      <c r="EG72" s="1">
        <v>-4.7783381070583233E-2</v>
      </c>
      <c r="EH72" s="1">
        <v>1.654215551233712E-3</v>
      </c>
      <c r="EI72" s="1">
        <v>4.2975713844282282E-2</v>
      </c>
      <c r="EJ72" s="1">
        <v>-1.2432182933741681E-2</v>
      </c>
      <c r="EK72" s="1">
        <v>-6.6977099462068312E-3</v>
      </c>
      <c r="EL72" s="1">
        <v>2.3233683751190393E-3</v>
      </c>
      <c r="EM72" s="1">
        <v>3.0196375851821028E-2</v>
      </c>
      <c r="EN72" s="1">
        <v>1.8406810279998215E-2</v>
      </c>
      <c r="EO72" s="1">
        <v>-1.9179312807882098E-4</v>
      </c>
      <c r="EP72" s="1">
        <v>2.2041948840921449E-2</v>
      </c>
      <c r="EQ72" s="1">
        <v>4.1760529306723804E-2</v>
      </c>
      <c r="ER72" s="1">
        <v>2.0393438648149825E-2</v>
      </c>
      <c r="ES72" s="1">
        <v>-1.308383717900008E-2</v>
      </c>
      <c r="ET72" s="1">
        <v>1.6120410214287562E-5</v>
      </c>
      <c r="EU72" s="1">
        <v>3.6807915201534314E-2</v>
      </c>
      <c r="EV72" s="10">
        <v>-4.8237876365152255E-3</v>
      </c>
    </row>
    <row r="73" spans="1:152" x14ac:dyDescent="0.25">
      <c r="A73" s="21">
        <f t="shared" ca="1" si="1"/>
        <v>2.1154393199262472E-2</v>
      </c>
      <c r="B73" s="5">
        <v>72</v>
      </c>
      <c r="C73" s="9">
        <v>9.4508077250051933E-4</v>
      </c>
      <c r="D73" s="1">
        <v>-1.2666621341189416E-4</v>
      </c>
      <c r="E73" s="1">
        <v>-1.2618709291385725E-3</v>
      </c>
      <c r="F73" s="1">
        <v>-1.8113425070549818E-3</v>
      </c>
      <c r="G73" s="1">
        <v>3.7747841463718623E-4</v>
      </c>
      <c r="H73" s="1">
        <v>7.2972097077723085E-4</v>
      </c>
      <c r="I73" s="1">
        <v>-2.7658932497249024E-3</v>
      </c>
      <c r="J73" s="1">
        <v>3.9560919458411781E-4</v>
      </c>
      <c r="K73" s="1">
        <v>-2.9102856628877936E-3</v>
      </c>
      <c r="L73" s="1">
        <v>7.9162296936416583E-4</v>
      </c>
      <c r="M73" s="1">
        <v>2.6025608962232105E-3</v>
      </c>
      <c r="N73" s="1">
        <v>-7.2146474119563157E-4</v>
      </c>
      <c r="O73" s="1">
        <v>2.421513914477539E-4</v>
      </c>
      <c r="P73" s="1">
        <v>-2.5505334480016104E-3</v>
      </c>
      <c r="Q73" s="1">
        <v>4.8095125978623067E-3</v>
      </c>
      <c r="R73" s="1">
        <v>2.3600049245795247E-3</v>
      </c>
      <c r="S73" s="1">
        <v>7.2972097077723085E-4</v>
      </c>
      <c r="T73" s="1">
        <v>1.772619975099355E-5</v>
      </c>
      <c r="U73" s="1">
        <v>3.3417518371698408E-3</v>
      </c>
      <c r="V73" s="1">
        <v>-9.4699701694020769E-6</v>
      </c>
      <c r="W73" s="1">
        <v>2.6297570661436079E-3</v>
      </c>
      <c r="X73" s="1">
        <v>-9.2775915294546207E-4</v>
      </c>
      <c r="Y73" s="1">
        <v>-1.8566694569223073E-3</v>
      </c>
      <c r="Z73" s="1">
        <v>-1.8188521658011273E-3</v>
      </c>
      <c r="AA73" s="1">
        <v>-7.2146474119563157E-4</v>
      </c>
      <c r="AB73" s="1">
        <v>4.3187075447797749E-4</v>
      </c>
      <c r="AC73" s="1">
        <v>-1.4590999509149338E-3</v>
      </c>
      <c r="AD73" s="1">
        <v>1.5036177403903971E-3</v>
      </c>
      <c r="AE73" s="1">
        <v>1.5126831303638628E-3</v>
      </c>
      <c r="AF73" s="1">
        <v>-1.2618709291385725E-3</v>
      </c>
      <c r="AG73" s="1">
        <v>-6.9426857127523767E-4</v>
      </c>
      <c r="AH73" s="1">
        <v>7.7504792064455631E-4</v>
      </c>
      <c r="AI73" s="1">
        <v>2.3765799732991307E-3</v>
      </c>
      <c r="AJ73" s="1">
        <v>3.1157709142457558E-3</v>
      </c>
      <c r="AK73" s="1">
        <v>-1.3573160338535995E-4</v>
      </c>
      <c r="AL73" s="1">
        <v>4.1373997453104591E-4</v>
      </c>
      <c r="AM73" s="1">
        <v>3.1792286440600129E-3</v>
      </c>
      <c r="AN73" s="1">
        <v>7.4629601949684037E-4</v>
      </c>
      <c r="AO73" s="1">
        <v>-2.9193510528612585E-3</v>
      </c>
      <c r="AP73" s="1">
        <v>9.5414616247398512E-4</v>
      </c>
      <c r="AQ73" s="1">
        <v>-5.4081076813887376E-4</v>
      </c>
      <c r="AR73" s="1">
        <v>-3.2247109279066573E-3</v>
      </c>
      <c r="AS73" s="1">
        <v>-2.9374818328081883E-3</v>
      </c>
      <c r="AT73" s="1">
        <v>-3.3228744863874494E-3</v>
      </c>
      <c r="AU73" s="1">
        <v>-9.3682454291892786E-4</v>
      </c>
      <c r="AV73" s="1">
        <v>-1.6125577540512968E-3</v>
      </c>
      <c r="AW73" s="1">
        <v>9.1788460258012197E-4</v>
      </c>
      <c r="AX73" s="1">
        <v>-1.8204078970284468E-3</v>
      </c>
      <c r="AY73" s="1">
        <v>2.0440239283333363E-3</v>
      </c>
      <c r="AZ73" s="1">
        <v>4.0467458455758012E-4</v>
      </c>
      <c r="BA73" s="1">
        <v>2.5217609777627943E-2</v>
      </c>
      <c r="BB73" s="1">
        <v>2.0939033397539185E-2</v>
      </c>
      <c r="BC73" s="1">
        <v>2.3740783626962011E-2</v>
      </c>
      <c r="BD73" s="1">
        <v>1.7848498341790565E-2</v>
      </c>
      <c r="BE73" s="1">
        <v>2.1533831925322919E-2</v>
      </c>
      <c r="BF73" s="1">
        <v>1.8920245327702985E-2</v>
      </c>
      <c r="BG73" s="1">
        <v>1.9444076466926318E-2</v>
      </c>
      <c r="BH73" s="1">
        <v>1.7270274862726444E-2</v>
      </c>
      <c r="BI73" s="1">
        <v>2.3938012648738374E-2</v>
      </c>
      <c r="BJ73" s="1">
        <v>1.5209271305477565E-2</v>
      </c>
      <c r="BK73" s="1">
        <v>1.7865073390510175E-2</v>
      </c>
      <c r="BL73" s="1">
        <v>1.8164479338036756E-2</v>
      </c>
      <c r="BM73" s="1">
        <v>2.3432312289461965E-2</v>
      </c>
      <c r="BN73" s="1">
        <v>2.0217973236539483E-2</v>
      </c>
      <c r="BO73" s="1">
        <v>1.8352642969839645E-2</v>
      </c>
      <c r="BP73" s="1">
        <v>2.3551064263931797E-2</v>
      </c>
      <c r="BQ73" s="1">
        <v>1.6488868434367129E-2</v>
      </c>
      <c r="BR73" s="1">
        <v>2.2269911403814902E-2</v>
      </c>
      <c r="BS73" s="1">
        <v>1.9912613361494087E-2</v>
      </c>
      <c r="BT73" s="1">
        <v>2.0243613675232554E-2</v>
      </c>
      <c r="BU73" s="1">
        <v>1.5364284839841249E-2</v>
      </c>
      <c r="BV73" s="1">
        <v>2.1154393199262472E-2</v>
      </c>
      <c r="BW73" s="1">
        <v>2.0443954159463564E-2</v>
      </c>
      <c r="BX73" s="1">
        <v>2.2081747772011998E-2</v>
      </c>
      <c r="BY73" s="1">
        <v>2.2820938712958632E-2</v>
      </c>
      <c r="BZ73" s="1">
        <v>2.3001592686015385E-2</v>
      </c>
      <c r="CA73" s="1">
        <v>2.4136797401742065E-2</v>
      </c>
      <c r="CB73" s="1">
        <v>2.0778065935656686E-2</v>
      </c>
      <c r="CC73" s="1">
        <v>1.8732081695900085E-2</v>
      </c>
      <c r="CD73" s="1">
        <v>2.1720439825898493E-2</v>
      </c>
      <c r="CE73" s="1">
        <v>1.9694142097316149E-2</v>
      </c>
      <c r="CF73" s="1">
        <v>2.0621496670065676E-2</v>
      </c>
      <c r="CG73" s="1">
        <v>2.0415202258315848E-2</v>
      </c>
      <c r="CH73" s="1">
        <v>1.782285790309749E-2</v>
      </c>
      <c r="CI73" s="1">
        <v>1.5371794498587388E-2</v>
      </c>
      <c r="CJ73" s="1">
        <v>1.7759400173283233E-2</v>
      </c>
      <c r="CK73" s="1">
        <v>2.262370969118227E-2</v>
      </c>
      <c r="CL73" s="1">
        <v>2.2316794084909546E-2</v>
      </c>
      <c r="CM73" s="1">
        <v>1.8343577579866179E-2</v>
      </c>
      <c r="CN73" s="1">
        <v>1.7830367561843634E-2</v>
      </c>
      <c r="CO73" s="1">
        <v>1.8748656744619695E-2</v>
      </c>
      <c r="CP73" s="1">
        <v>2.0208907846566017E-2</v>
      </c>
      <c r="CQ73" s="1">
        <v>2.0424267648289314E-2</v>
      </c>
      <c r="CR73" s="1">
        <v>1.7837877220589778E-2</v>
      </c>
      <c r="CS73" s="1">
        <v>1.8370773749786573E-2</v>
      </c>
      <c r="CT73" s="1">
        <v>1.9829469120505584E-2</v>
      </c>
      <c r="CU73" s="1">
        <v>1.8911179937729523E-2</v>
      </c>
      <c r="CV73" s="1">
        <v>2.1703864777178884E-2</v>
      </c>
      <c r="CW73" s="1">
        <v>1.745092883578319E-2</v>
      </c>
      <c r="CX73" s="1">
        <v>1.8920245327702985E-2</v>
      </c>
      <c r="CY73" s="1">
        <v>-6.0338003136688433E-3</v>
      </c>
      <c r="CZ73" s="1">
        <v>-3.2079653767802616E-3</v>
      </c>
      <c r="DA73" s="1">
        <v>2.1711098903686304E-3</v>
      </c>
      <c r="DB73" s="1">
        <v>4.9394325547169257E-4</v>
      </c>
      <c r="DC73" s="1">
        <v>-2.1074664897201278E-3</v>
      </c>
      <c r="DD73" s="1">
        <v>4.9637947298179982E-3</v>
      </c>
      <c r="DE73" s="1">
        <v>-6.3619581623431329E-3</v>
      </c>
      <c r="DF73" s="1">
        <v>6.0793129343704212E-3</v>
      </c>
      <c r="DG73" s="1">
        <v>2.7643526869250493E-3</v>
      </c>
      <c r="DH73" s="1">
        <v>-1.0341637725803828E-3</v>
      </c>
      <c r="DI73" s="1">
        <v>-2.7088812416800612E-4</v>
      </c>
      <c r="DJ73" s="1">
        <v>1.4325643055897522E-4</v>
      </c>
      <c r="DK73" s="1">
        <v>4.954989866990181E-4</v>
      </c>
      <c r="DL73" s="1">
        <v>-4.6757261374727292E-3</v>
      </c>
      <c r="DM73" s="1">
        <v>-7.8538036305013537E-3</v>
      </c>
      <c r="DN73" s="1">
        <v>-3.6114888103064499E-3</v>
      </c>
      <c r="DO73" s="1">
        <v>1.6019518012779753E-3</v>
      </c>
      <c r="DP73" s="1">
        <v>4.522454005170623E-3</v>
      </c>
      <c r="DQ73" s="1">
        <v>3.7038841121026823E-3</v>
      </c>
      <c r="DR73" s="1">
        <v>1.6638537998649051E-3</v>
      </c>
      <c r="DS73" s="1">
        <v>-8.1880397085708906E-4</v>
      </c>
      <c r="DT73" s="1">
        <v>-5.2614592752830026E-3</v>
      </c>
      <c r="DU73" s="1">
        <v>6.4678170504043273E-3</v>
      </c>
      <c r="DV73" s="1">
        <v>5.1207403541862068E-4</v>
      </c>
      <c r="DW73" s="1">
        <v>-9.023415111124658E-5</v>
      </c>
      <c r="DX73" s="1">
        <v>5.4935797965601531E-3</v>
      </c>
      <c r="DY73" s="1">
        <v>-5.5528322444712425E-5</v>
      </c>
      <c r="DZ73" s="1">
        <v>-6.3219607028152172E-4</v>
      </c>
      <c r="EA73" s="1">
        <v>-1.7205181049135404E-3</v>
      </c>
      <c r="EB73" s="1">
        <v>7.3664197220061345E-3</v>
      </c>
      <c r="EC73" s="1">
        <v>5.7195607194842416E-3</v>
      </c>
      <c r="ED73" s="1">
        <v>7.4942370864494248E-3</v>
      </c>
      <c r="EE73" s="1">
        <v>-2.6478726776630671E-3</v>
      </c>
      <c r="EF73" s="1">
        <v>3.2850723636937348E-3</v>
      </c>
      <c r="EG73" s="1">
        <v>3.1134837806104411E-3</v>
      </c>
      <c r="EH73" s="1">
        <v>3.6676225522088227E-3</v>
      </c>
      <c r="EI73" s="1">
        <v>-5.1155111308927824E-3</v>
      </c>
      <c r="EJ73" s="1">
        <v>1.0343494434146387E-3</v>
      </c>
      <c r="EK73" s="1">
        <v>-1.1907330381713925E-3</v>
      </c>
      <c r="EL73" s="1">
        <v>1.0449705646154231E-3</v>
      </c>
      <c r="EM73" s="1">
        <v>-2.8541670894128915E-3</v>
      </c>
      <c r="EN73" s="1">
        <v>-8.0973858088362327E-4</v>
      </c>
      <c r="EO73" s="1">
        <v>-3.2079653767802616E-3</v>
      </c>
      <c r="EP73" s="1">
        <v>-1.3773409387469598E-3</v>
      </c>
      <c r="EQ73" s="1">
        <v>-3.7996524421093462E-3</v>
      </c>
      <c r="ER73" s="1">
        <v>-1.9177471266898991E-3</v>
      </c>
      <c r="ES73" s="1">
        <v>-3.9714975738397093E-4</v>
      </c>
      <c r="ET73" s="1">
        <v>-2.5275734422107454E-4</v>
      </c>
      <c r="EU73" s="1">
        <v>-4.7466935260331265E-3</v>
      </c>
      <c r="EV73" s="10">
        <v>-1.7492700060612563E-3</v>
      </c>
    </row>
    <row r="74" spans="1:152" x14ac:dyDescent="0.25">
      <c r="A74" s="21">
        <f t="shared" ca="1" si="1"/>
        <v>4.6097786047574627E-2</v>
      </c>
      <c r="B74" s="5">
        <v>73</v>
      </c>
      <c r="C74" s="9">
        <v>-3.531907672614687E-3</v>
      </c>
      <c r="D74" s="1">
        <v>1.4495982771926708E-2</v>
      </c>
      <c r="E74" s="1">
        <v>2.2887208217109711E-3</v>
      </c>
      <c r="F74" s="1">
        <v>4.823704816533686E-3</v>
      </c>
      <c r="G74" s="1">
        <v>-9.6355386477225691E-3</v>
      </c>
      <c r="H74" s="1">
        <v>-6.32890468911812E-3</v>
      </c>
      <c r="I74" s="1">
        <v>-3.5705864118971697E-3</v>
      </c>
      <c r="J74" s="1">
        <v>-9.9692367779194435E-4</v>
      </c>
      <c r="K74" s="1">
        <v>9.893672806179199E-3</v>
      </c>
      <c r="L74" s="1">
        <v>5.6130440604963694E-3</v>
      </c>
      <c r="M74" s="1">
        <v>-6.8175521721176024E-3</v>
      </c>
      <c r="N74" s="1">
        <v>-4.5655706580770561E-3</v>
      </c>
      <c r="O74" s="1">
        <v>8.148028055319112E-3</v>
      </c>
      <c r="P74" s="1">
        <v>-7.7358939539370897E-4</v>
      </c>
      <c r="Q74" s="1">
        <v>-1.2638180666443261E-2</v>
      </c>
      <c r="R74" s="1">
        <v>-2.2572471643517E-2</v>
      </c>
      <c r="S74" s="1">
        <v>-6.32890468911812E-3</v>
      </c>
      <c r="T74" s="1">
        <v>1.0317235538503389E-3</v>
      </c>
      <c r="U74" s="1">
        <v>-1.220257960190152E-3</v>
      </c>
      <c r="V74" s="1">
        <v>-1.192619890104557E-2</v>
      </c>
      <c r="W74" s="1">
        <v>6.1403702827783069E-3</v>
      </c>
      <c r="X74" s="1">
        <v>-3.04326018961526E-3</v>
      </c>
      <c r="Y74" s="1">
        <v>-1.677283260829282E-2</v>
      </c>
      <c r="Z74" s="1">
        <v>1.8797600976711001E-2</v>
      </c>
      <c r="AA74" s="1">
        <v>-4.5655706580770561E-3</v>
      </c>
      <c r="AB74" s="1">
        <v>1.628030626206925E-2</v>
      </c>
      <c r="AC74" s="1">
        <v>8.1303387751380934E-3</v>
      </c>
      <c r="AD74" s="1">
        <v>-1.7475841824721172E-3</v>
      </c>
      <c r="AE74" s="1">
        <v>2.5717233024931951E-3</v>
      </c>
      <c r="AF74" s="1">
        <v>2.2887208217109711E-3</v>
      </c>
      <c r="AG74" s="1">
        <v>8.3923517968187977E-3</v>
      </c>
      <c r="AH74" s="1">
        <v>1.5267632735708345E-2</v>
      </c>
      <c r="AI74" s="1">
        <v>-3.2227060318728934E-2</v>
      </c>
      <c r="AJ74" s="1">
        <v>-2.6629766106801567E-2</v>
      </c>
      <c r="AK74" s="1">
        <v>1.0176675286961395E-2</v>
      </c>
      <c r="AL74" s="1">
        <v>7.6416912921386526E-3</v>
      </c>
      <c r="AM74" s="1">
        <v>3.6053862879555643E-3</v>
      </c>
      <c r="AN74" s="1">
        <v>-1.5983493364330137E-2</v>
      </c>
      <c r="AO74" s="1">
        <v>5.5743653212138866E-3</v>
      </c>
      <c r="AP74" s="1">
        <v>7.8739981235059764E-4</v>
      </c>
      <c r="AQ74" s="1">
        <v>-7.5259993629223088E-4</v>
      </c>
      <c r="AR74" s="1">
        <v>4.2157472432578585E-2</v>
      </c>
      <c r="AS74" s="1">
        <v>-3.0642496487167104E-3</v>
      </c>
      <c r="AT74" s="1">
        <v>1.2938293743102833E-2</v>
      </c>
      <c r="AU74" s="1">
        <v>-7.3625676745805446E-3</v>
      </c>
      <c r="AV74" s="1">
        <v>1.727529050824915E-2</v>
      </c>
      <c r="AW74" s="1">
        <v>-1.6489830127510596E-2</v>
      </c>
      <c r="AX74" s="1">
        <v>5.0439733156840139E-4</v>
      </c>
      <c r="AY74" s="1">
        <v>-8.6018756622601722E-3</v>
      </c>
      <c r="AZ74" s="1">
        <v>3.322383807173368E-3</v>
      </c>
      <c r="BA74" s="1">
        <v>2.378926685735043E-2</v>
      </c>
      <c r="BB74" s="1">
        <v>1.7646957142960079E-2</v>
      </c>
      <c r="BC74" s="1">
        <v>3.0887882078638185E-2</v>
      </c>
      <c r="BD74" s="1">
        <v>3.1334550643434704E-2</v>
      </c>
      <c r="BE74" s="1">
        <v>3.6708510572963857E-2</v>
      </c>
      <c r="BF74" s="1">
        <v>1.3306660198893323E-2</v>
      </c>
      <c r="BG74" s="1">
        <v>1.6106957394317251E-2</v>
      </c>
      <c r="BH74" s="1">
        <v>2.6184085382189581E-3</v>
      </c>
      <c r="BI74" s="1">
        <v>2.5046264125211055E-2</v>
      </c>
      <c r="BJ74" s="1">
        <v>1.326798145961082E-2</v>
      </c>
      <c r="BK74" s="1">
        <v>2.1679961968222708E-2</v>
      </c>
      <c r="BL74" s="1">
        <v>1.7363954662177869E-2</v>
      </c>
      <c r="BM74" s="1">
        <v>3.0884581899717725E-2</v>
      </c>
      <c r="BN74" s="1">
        <v>2.0688277900963267E-2</v>
      </c>
      <c r="BO74" s="1">
        <v>7.2030292237854412E-3</v>
      </c>
      <c r="BP74" s="1">
        <v>2.2755603871888019E-2</v>
      </c>
      <c r="BQ74" s="1">
        <v>1.2010984191750174E-2</v>
      </c>
      <c r="BR74" s="1">
        <v>5.7193974946060933E-3</v>
      </c>
      <c r="BS74" s="1">
        <v>5.7271385012327966E-2</v>
      </c>
      <c r="BT74" s="1">
        <v>1.5352996710716604E-2</v>
      </c>
      <c r="BU74" s="1">
        <v>2.241623337164235E-2</v>
      </c>
      <c r="BV74" s="1">
        <v>2.0443954159463561E-2</v>
      </c>
      <c r="BW74" s="1">
        <v>4.6097786047574627E-2</v>
      </c>
      <c r="BX74" s="1">
        <v>1.5880322932998535E-2</v>
      </c>
      <c r="BY74" s="1">
        <v>2.1477617144925944E-2</v>
      </c>
      <c r="BZ74" s="1">
        <v>2.5290587866710762E-2</v>
      </c>
      <c r="CA74" s="1">
        <v>3.7497849816926512E-2</v>
      </c>
      <c r="CB74" s="1">
        <v>4.0765805036248395E-2</v>
      </c>
      <c r="CC74" s="1">
        <v>2.3467585637285737E-2</v>
      </c>
      <c r="CD74" s="1">
        <v>8.2543814894288359E-3</v>
      </c>
      <c r="CE74" s="1">
        <v>1.7887980705539347E-2</v>
      </c>
      <c r="CF74" s="1">
        <v>1.3324349479074321E-2</v>
      </c>
      <c r="CG74" s="1">
        <v>1.4846659947536138E-2</v>
      </c>
      <c r="CH74" s="1">
        <v>3.666983183368136E-2</v>
      </c>
      <c r="CI74" s="1">
        <v>8.4423372114650619E-3</v>
      </c>
      <c r="CJ74" s="1">
        <v>6.4346794389242568E-3</v>
      </c>
      <c r="CK74" s="1">
        <v>2.7319235098353045E-2</v>
      </c>
      <c r="CL74" s="1">
        <v>4.5609138564575193E-2</v>
      </c>
      <c r="CM74" s="1">
        <v>2.8837217388201289E-3</v>
      </c>
      <c r="CN74" s="1">
        <v>2.2695935673504093E-2</v>
      </c>
      <c r="CO74" s="1">
        <v>1.3812996962073755E-2</v>
      </c>
      <c r="CP74" s="1">
        <v>1.6368970415997955E-2</v>
      </c>
      <c r="CQ74" s="1">
        <v>1.9165967432501436E-2</v>
      </c>
      <c r="CR74" s="1">
        <v>8.7220395133268125E-3</v>
      </c>
      <c r="CS74" s="1">
        <v>1.5841644193716038E-2</v>
      </c>
      <c r="CT74" s="1">
        <v>1.044140024976728E-4</v>
      </c>
      <c r="CU74" s="1">
        <v>8.987352713928011E-3</v>
      </c>
      <c r="CV74" s="1">
        <v>1.7908970164640818E-2</v>
      </c>
      <c r="CW74" s="1">
        <v>6.4313792600037833E-3</v>
      </c>
      <c r="CX74" s="1">
        <v>1.3306660198893323E-2</v>
      </c>
      <c r="CY74" s="1">
        <v>2.4118179608467738E-3</v>
      </c>
      <c r="CZ74" s="1">
        <v>-7.9757419388643835E-3</v>
      </c>
      <c r="DA74" s="1">
        <v>1.1389803431023054E-2</v>
      </c>
      <c r="DB74" s="1">
        <v>-1.2256370684547185E-2</v>
      </c>
      <c r="DC74" s="1">
        <v>5.2474937166327174E-3</v>
      </c>
      <c r="DD74" s="1">
        <v>2.0311420881735875E-2</v>
      </c>
      <c r="DE74" s="1">
        <v>-2.4523300833146869E-2</v>
      </c>
      <c r="DF74" s="1">
        <v>5.5868642168784427E-3</v>
      </c>
      <c r="DG74" s="1">
        <v>1.2158153215884274E-2</v>
      </c>
      <c r="DH74" s="1">
        <v>5.512806917233895E-3</v>
      </c>
      <c r="DI74" s="1">
        <v>-1.2518383706227931E-2</v>
      </c>
      <c r="DJ74" s="1">
        <v>2.7301990019909933E-3</v>
      </c>
      <c r="DK74" s="1">
        <v>6.036832960595373E-3</v>
      </c>
      <c r="DL74" s="1">
        <v>3.4421807673886973E-3</v>
      </c>
      <c r="DM74" s="1">
        <v>1.0523106708495447E-2</v>
      </c>
      <c r="DN74" s="1">
        <v>-6.1181351697542352E-4</v>
      </c>
      <c r="DO74" s="1">
        <v>-1.3007031189227372E-2</v>
      </c>
      <c r="DP74" s="1">
        <v>-7.8950842813789168E-3</v>
      </c>
      <c r="DQ74" s="1">
        <v>4.8500236764669691E-2</v>
      </c>
      <c r="DR74" s="1">
        <v>-1.0650824396128411E-3</v>
      </c>
      <c r="DS74" s="1">
        <v>8.3098039337373975E-3</v>
      </c>
      <c r="DT74" s="1">
        <v>-1.1300065177649768E-2</v>
      </c>
      <c r="DU74" s="1">
        <v>2.6170728115344044E-2</v>
      </c>
      <c r="DV74" s="1">
        <v>-3.6177557146165884E-3</v>
      </c>
      <c r="DW74" s="1">
        <v>-8.7054129844430644E-3</v>
      </c>
      <c r="DX74" s="1">
        <v>-9.1553817281600364E-3</v>
      </c>
      <c r="DY74" s="1">
        <v>-9.7213866897244289E-3</v>
      </c>
      <c r="DZ74" s="1">
        <v>-2.0144325149797623E-2</v>
      </c>
      <c r="EA74" s="1">
        <v>7.5381539699557604E-3</v>
      </c>
      <c r="EB74" s="1">
        <v>-9.6440292111594911E-3</v>
      </c>
      <c r="EC74" s="1">
        <v>1.6254126418451337E-2</v>
      </c>
      <c r="ED74" s="1">
        <v>-1.3453699754023829E-2</v>
      </c>
      <c r="EE74" s="1">
        <v>1.2101785196420786E-2</v>
      </c>
      <c r="EF74" s="1">
        <v>-2.1627956878976951E-2</v>
      </c>
      <c r="EG74" s="1">
        <v>-2.1121620115796519E-2</v>
      </c>
      <c r="EH74" s="1">
        <v>3.1223006824808483E-2</v>
      </c>
      <c r="EI74" s="1">
        <v>-6.4711207505835644E-3</v>
      </c>
      <c r="EJ74" s="1">
        <v>-1.911066216433524E-2</v>
      </c>
      <c r="EK74" s="1">
        <v>-2.1928648639940179E-2</v>
      </c>
      <c r="EL74" s="1">
        <v>3.5018489657726443E-3</v>
      </c>
      <c r="EM74" s="1">
        <v>1.3624095664882568E-2</v>
      </c>
      <c r="EN74" s="1">
        <v>1.2629111418702682E-2</v>
      </c>
      <c r="EO74" s="1">
        <v>-7.9757419388643835E-3</v>
      </c>
      <c r="EP74" s="1">
        <v>6.5254804435948138E-3</v>
      </c>
      <c r="EQ74" s="1">
        <v>9.549111921417025E-3</v>
      </c>
      <c r="ER74" s="1">
        <v>1.3379771923382855E-2</v>
      </c>
      <c r="ES74" s="1">
        <v>9.5844904817790344E-3</v>
      </c>
      <c r="ET74" s="1">
        <v>-3.8797687362973343E-3</v>
      </c>
      <c r="EU74" s="1">
        <v>-1.2819075467191146E-2</v>
      </c>
      <c r="EV74" s="10">
        <v>-2.3712972130082735E-2</v>
      </c>
    </row>
    <row r="75" spans="1:152" x14ac:dyDescent="0.25">
      <c r="A75" s="21">
        <f t="shared" ca="1" si="1"/>
        <v>2.514575324878885E-2</v>
      </c>
      <c r="B75" s="5">
        <v>74</v>
      </c>
      <c r="C75" s="9">
        <v>2.4131630705753887E-3</v>
      </c>
      <c r="D75" s="1">
        <v>-1.412859954477319E-3</v>
      </c>
      <c r="E75" s="1">
        <v>-1.8268756828315885E-3</v>
      </c>
      <c r="F75" s="1">
        <v>-3.0087427746368564E-3</v>
      </c>
      <c r="G75" s="1">
        <v>2.206155206398254E-3</v>
      </c>
      <c r="H75" s="1">
        <v>3.1818300625155449E-4</v>
      </c>
      <c r="I75" s="1">
        <v>-4.6104594099715193E-3</v>
      </c>
      <c r="J75" s="1">
        <v>1.2312959787701347E-3</v>
      </c>
      <c r="K75" s="1">
        <v>-5.3724769582473783E-3</v>
      </c>
      <c r="L75" s="1">
        <v>2.1385751361135824E-3</v>
      </c>
      <c r="M75" s="1">
        <v>5.4713347321771189E-3</v>
      </c>
      <c r="N75" s="1">
        <v>-1.5757897721226793E-4</v>
      </c>
      <c r="O75" s="1">
        <v>9.5670804430832146E-4</v>
      </c>
      <c r="P75" s="1">
        <v>-2.5154793456476712E-3</v>
      </c>
      <c r="Q75" s="1">
        <v>9.7113734855840961E-3</v>
      </c>
      <c r="R75" s="1">
        <v>4.8386435092954566E-3</v>
      </c>
      <c r="S75" s="1">
        <v>3.1818300625155449E-4</v>
      </c>
      <c r="T75" s="1">
        <v>-6.5084240620146006E-4</v>
      </c>
      <c r="U75" s="1">
        <v>4.9780713031879267E-3</v>
      </c>
      <c r="V75" s="1">
        <v>8.1144643524072579E-4</v>
      </c>
      <c r="W75" s="1">
        <v>4.0090458907349261E-3</v>
      </c>
      <c r="X75" s="1">
        <v>-2.7399886553501757E-3</v>
      </c>
      <c r="Y75" s="1">
        <v>-5.7159470556653741E-4</v>
      </c>
      <c r="Z75" s="1">
        <v>-7.7537125873832768E-3</v>
      </c>
      <c r="AA75" s="1">
        <v>-1.5757897721226793E-4</v>
      </c>
      <c r="AB75" s="1">
        <v>-7.1842247648611773E-4</v>
      </c>
      <c r="AC75" s="1">
        <v>-4.8967149747835559E-3</v>
      </c>
      <c r="AD75" s="1">
        <v>3.10760054856659E-3</v>
      </c>
      <c r="AE75" s="1">
        <v>2.6201709347525234E-3</v>
      </c>
      <c r="AF75" s="1">
        <v>-1.8268756828315885E-3</v>
      </c>
      <c r="AG75" s="1">
        <v>-1.6198678186544538E-3</v>
      </c>
      <c r="AH75" s="1">
        <v>-2.1189650628187645E-3</v>
      </c>
      <c r="AI75" s="1">
        <v>9.0961837082278035E-3</v>
      </c>
      <c r="AJ75" s="1">
        <v>8.6029202792386253E-3</v>
      </c>
      <c r="AK75" s="1">
        <v>-9.2543034066325941E-4</v>
      </c>
      <c r="AL75" s="1">
        <v>2.5643675114200848E-4</v>
      </c>
      <c r="AM75" s="1">
        <v>5.190912982540187E-3</v>
      </c>
      <c r="AN75" s="1">
        <v>4.5757232051839014E-3</v>
      </c>
      <c r="AO75" s="1">
        <v>-4.8850473444333117E-3</v>
      </c>
      <c r="AP75" s="1">
        <v>1.9257334567613291E-3</v>
      </c>
      <c r="AQ75" s="1">
        <v>-1.3452798841926544E-3</v>
      </c>
      <c r="AR75" s="1">
        <v>-1.0666622639917404E-2</v>
      </c>
      <c r="AS75" s="1">
        <v>-3.9101881168051855E-3</v>
      </c>
      <c r="AT75" s="1">
        <v>-1.0537296314523187E-2</v>
      </c>
      <c r="AU75" s="1">
        <v>-2.252559041536123E-3</v>
      </c>
      <c r="AV75" s="1">
        <v>-5.1713029092453691E-3</v>
      </c>
      <c r="AW75" s="1">
        <v>3.8754519120175746E-3</v>
      </c>
      <c r="AX75" s="1">
        <v>-2.5213131608227898E-3</v>
      </c>
      <c r="AY75" s="1">
        <v>4.7768972541859175E-3</v>
      </c>
      <c r="AZ75" s="1">
        <v>7.4386636495606812E-4</v>
      </c>
      <c r="BA75" s="1">
        <v>2.7217398052412203E-2</v>
      </c>
      <c r="BB75" s="1">
        <v>1.9986767707688168E-2</v>
      </c>
      <c r="BC75" s="1">
        <v>2.2971525483830094E-2</v>
      </c>
      <c r="BD75" s="1">
        <v>1.5477974834994496E-2</v>
      </c>
      <c r="BE75" s="1">
        <v>1.8731486730423109E-2</v>
      </c>
      <c r="BF75" s="1">
        <v>1.930399786004721E-2</v>
      </c>
      <c r="BG75" s="1">
        <v>1.671575436673417E-2</v>
      </c>
      <c r="BH75" s="1">
        <v>2.0990796011191901E-2</v>
      </c>
      <c r="BI75" s="1">
        <v>2.6041364775782054E-2</v>
      </c>
      <c r="BJ75" s="1">
        <v>1.2280375379500309E-2</v>
      </c>
      <c r="BK75" s="1">
        <v>1.9735515033926856E-2</v>
      </c>
      <c r="BL75" s="1">
        <v>1.5539721090104042E-2</v>
      </c>
      <c r="BM75" s="1">
        <v>2.7654749041466968E-2</v>
      </c>
      <c r="BN75" s="1">
        <v>1.9505171909049226E-2</v>
      </c>
      <c r="BO75" s="1">
        <v>1.9096989995870069E-2</v>
      </c>
      <c r="BP75" s="1">
        <v>2.464665600462454E-2</v>
      </c>
      <c r="BQ75" s="1">
        <v>1.3456408656130438E-2</v>
      </c>
      <c r="BR75" s="1">
        <v>2.8703022154554884E-2</v>
      </c>
      <c r="BS75" s="1">
        <v>1.3723596613565141E-2</v>
      </c>
      <c r="BT75" s="1">
        <v>2.3275282494167507E-2</v>
      </c>
      <c r="BU75" s="1">
        <v>7.3225638874016286E-3</v>
      </c>
      <c r="BV75" s="1">
        <v>2.2081747772012002E-2</v>
      </c>
      <c r="BW75" s="1">
        <v>1.5880322932998521E-2</v>
      </c>
      <c r="BX75" s="1">
        <v>2.514575324878885E-2</v>
      </c>
      <c r="BY75" s="1">
        <v>2.4652489819799665E-2</v>
      </c>
      <c r="BZ75" s="1">
        <v>2.3464788912819279E-2</v>
      </c>
      <c r="CA75" s="1">
        <v>2.3878804641173548E-2</v>
      </c>
      <c r="CB75" s="1">
        <v>1.4967209960479948E-2</v>
      </c>
      <c r="CC75" s="1">
        <v>1.5746728954281169E-2</v>
      </c>
      <c r="CD75" s="1">
        <v>2.752115506274963E-2</v>
      </c>
      <c r="CE75" s="1">
        <v>2.2093415402362246E-2</v>
      </c>
      <c r="CF75" s="1">
        <v>2.5157420879139095E-2</v>
      </c>
      <c r="CG75" s="1">
        <v>2.2575011201001194E-2</v>
      </c>
      <c r="CH75" s="1">
        <v>1.1707864249876201E-2</v>
      </c>
      <c r="CI75" s="1">
        <v>1.2067533700148049E-2</v>
      </c>
      <c r="CJ75" s="1">
        <v>1.511987154657464E-2</v>
      </c>
      <c r="CK75" s="1">
        <v>2.1582650527847691E-2</v>
      </c>
      <c r="CL75" s="1">
        <v>2.1033474658924085E-2</v>
      </c>
      <c r="CM75" s="1">
        <v>1.9584419609684128E-2</v>
      </c>
      <c r="CN75" s="1">
        <v>1.6452834062622622E-2</v>
      </c>
      <c r="CO75" s="1">
        <v>2.0004269153213537E-2</v>
      </c>
      <c r="CP75" s="1">
        <v>1.9992601522863286E-2</v>
      </c>
      <c r="CQ75" s="1">
        <v>2.2087581587187134E-2</v>
      </c>
      <c r="CR75" s="1">
        <v>2.1197803875369042E-2</v>
      </c>
      <c r="CS75" s="1">
        <v>1.8122130768241942E-2</v>
      </c>
      <c r="CT75" s="1">
        <v>2.3342862564452185E-2</v>
      </c>
      <c r="CU75" s="1">
        <v>1.9791427473861277E-2</v>
      </c>
      <c r="CV75" s="1">
        <v>2.3263614863817263E-2</v>
      </c>
      <c r="CW75" s="1">
        <v>1.9803095104211514E-2</v>
      </c>
      <c r="CX75" s="1">
        <v>1.930399786004721E-2</v>
      </c>
      <c r="CY75" s="1">
        <v>-1.4934345355502809E-2</v>
      </c>
      <c r="CZ75" s="1">
        <v>-2.9470775676820951E-3</v>
      </c>
      <c r="DA75" s="1">
        <v>1.4148875340919825E-3</v>
      </c>
      <c r="DB75" s="1">
        <v>4.5639745266788587E-3</v>
      </c>
      <c r="DC75" s="1">
        <v>-5.8157428106320602E-3</v>
      </c>
      <c r="DD75" s="1">
        <v>4.8870749240479683E-3</v>
      </c>
      <c r="DE75" s="1">
        <v>-4.0438631436773217E-3</v>
      </c>
      <c r="DF75" s="1">
        <v>1.1508349306590858E-2</v>
      </c>
      <c r="DG75" s="1">
        <v>5.3920059833874115E-3</v>
      </c>
      <c r="DH75" s="1">
        <v>-7.2221192121398187E-3</v>
      </c>
      <c r="DI75" s="1">
        <v>1.2871273705497566E-3</v>
      </c>
      <c r="DJ75" s="1">
        <v>1.2195473002651058E-3</v>
      </c>
      <c r="DK75" s="1">
        <v>-6.6842489988161446E-4</v>
      </c>
      <c r="DL75" s="1">
        <v>-7.6803797500782645E-3</v>
      </c>
      <c r="DM75" s="1">
        <v>-1.7779675337752265E-2</v>
      </c>
      <c r="DN75" s="1">
        <v>-8.5993265377719633E-3</v>
      </c>
      <c r="DO75" s="1">
        <v>6.4402790964753279E-3</v>
      </c>
      <c r="DP75" s="1">
        <v>6.4169438357748187E-3</v>
      </c>
      <c r="DQ75" s="1">
        <v>-2.4962170067707595E-3</v>
      </c>
      <c r="DR75" s="1">
        <v>8.2606712263373697E-3</v>
      </c>
      <c r="DS75" s="1">
        <v>-5.1271391478159706E-3</v>
      </c>
      <c r="DT75" s="1">
        <v>-6.9125283866272869E-3</v>
      </c>
      <c r="DU75" s="1">
        <v>7.670658651187906E-3</v>
      </c>
      <c r="DV75" s="1">
        <v>3.5891152990507394E-3</v>
      </c>
      <c r="DW75" s="1">
        <v>9.9426463569363133E-5</v>
      </c>
      <c r="DX75" s="1">
        <v>1.2276200670041849E-2</v>
      </c>
      <c r="DY75" s="1">
        <v>3.3821074348736047E-3</v>
      </c>
      <c r="DZ75" s="1">
        <v>3.6625291845105296E-3</v>
      </c>
      <c r="EA75" s="1">
        <v>-4.4210340394745321E-3</v>
      </c>
      <c r="EB75" s="1">
        <v>1.7429352395967421E-2</v>
      </c>
      <c r="EC75" s="1">
        <v>8.6513516939911439E-3</v>
      </c>
      <c r="ED75" s="1">
        <v>1.3933829745310933E-2</v>
      </c>
      <c r="EE75" s="1">
        <v>-7.4850395162513808E-3</v>
      </c>
      <c r="EF75" s="1">
        <v>1.3268561343195338E-2</v>
      </c>
      <c r="EG75" s="1">
        <v>1.3968832636361672E-2</v>
      </c>
      <c r="EH75" s="1">
        <v>-5.464985515145071E-4</v>
      </c>
      <c r="EI75" s="1">
        <v>-1.1382910264911894E-2</v>
      </c>
      <c r="EJ75" s="1">
        <v>6.2332712322982001E-3</v>
      </c>
      <c r="EK75" s="1">
        <v>2.9680917065193282E-3</v>
      </c>
      <c r="EL75" s="1">
        <v>5.1344219192364648E-4</v>
      </c>
      <c r="EM75" s="1">
        <v>-1.0067449194389289E-2</v>
      </c>
      <c r="EN75" s="1">
        <v>-5.6145687616300372E-3</v>
      </c>
      <c r="EO75" s="1">
        <v>-2.9470775676820951E-3</v>
      </c>
      <c r="EP75" s="1">
        <v>-5.821576625807165E-3</v>
      </c>
      <c r="EQ75" s="1">
        <v>-1.2156595443538018E-2</v>
      </c>
      <c r="ER75" s="1">
        <v>-7.4908733314264925E-3</v>
      </c>
      <c r="ES75" s="1">
        <v>-4.4974940535422864E-4</v>
      </c>
      <c r="ET75" s="1">
        <v>3.1226814292163729E-4</v>
      </c>
      <c r="EU75" s="1">
        <v>-9.0133422661262397E-3</v>
      </c>
      <c r="EV75" s="10">
        <v>2.2736542285281339E-3</v>
      </c>
    </row>
    <row r="76" spans="1:152" x14ac:dyDescent="0.25">
      <c r="A76" s="21">
        <f t="shared" ca="1" si="1"/>
        <v>2.718243364034929E-2</v>
      </c>
      <c r="B76" s="5">
        <v>75</v>
      </c>
      <c r="C76" s="9">
        <v>2.2743167821464572E-3</v>
      </c>
      <c r="D76" s="1">
        <v>-1.3281168946542958E-3</v>
      </c>
      <c r="E76" s="1">
        <v>-3.8082291691975897E-3</v>
      </c>
      <c r="F76" s="1">
        <v>-5.3689485642570908E-3</v>
      </c>
      <c r="G76" s="1">
        <v>1.0342606448748189E-3</v>
      </c>
      <c r="H76" s="1">
        <v>3.4537043825368131E-3</v>
      </c>
      <c r="I76" s="1">
        <v>-6.7195047844163499E-3</v>
      </c>
      <c r="J76" s="1">
        <v>7.1359738708696649E-4</v>
      </c>
      <c r="K76" s="1">
        <v>-8.4903873543760704E-3</v>
      </c>
      <c r="L76" s="1">
        <v>6.637658410806619E-4</v>
      </c>
      <c r="M76" s="1">
        <v>6.7961433384310273E-3</v>
      </c>
      <c r="N76" s="1">
        <v>-2.0871781452441764E-3</v>
      </c>
      <c r="O76" s="1">
        <v>-8.9695355397884265E-4</v>
      </c>
      <c r="P76" s="1">
        <v>-7.8988923848066859E-3</v>
      </c>
      <c r="Q76" s="1">
        <v>1.287868928977506E-2</v>
      </c>
      <c r="R76" s="1">
        <v>8.4565258255031306E-3</v>
      </c>
      <c r="S76" s="1">
        <v>3.4537043825368131E-3</v>
      </c>
      <c r="T76" s="1">
        <v>4.4276567530542738E-4</v>
      </c>
      <c r="U76" s="1">
        <v>9.3260871589806171E-3</v>
      </c>
      <c r="V76" s="1">
        <v>9.2376056198720247E-4</v>
      </c>
      <c r="W76" s="1">
        <v>6.3151484517492522E-3</v>
      </c>
      <c r="X76" s="1">
        <v>-1.068122173747757E-3</v>
      </c>
      <c r="Y76" s="1">
        <v>-4.5672904197874668E-3</v>
      </c>
      <c r="Z76" s="1">
        <v>-3.5409997961644846E-3</v>
      </c>
      <c r="AA76" s="1">
        <v>-2.0871781452441764E-3</v>
      </c>
      <c r="AB76" s="1">
        <v>7.2270871511268681E-5</v>
      </c>
      <c r="AC76" s="1">
        <v>-2.9495048265950966E-3</v>
      </c>
      <c r="AD76" s="1">
        <v>3.6747045483120355E-3</v>
      </c>
      <c r="AE76" s="1">
        <v>3.5143729194181093E-3</v>
      </c>
      <c r="AF76" s="1">
        <v>-3.8082291691975897E-3</v>
      </c>
      <c r="AG76" s="1">
        <v>-2.568173031925948E-3</v>
      </c>
      <c r="AH76" s="1">
        <v>2.6520462380671891E-3</v>
      </c>
      <c r="AI76" s="1">
        <v>6.4682454285166155E-3</v>
      </c>
      <c r="AJ76" s="1">
        <v>8.9981892490662158E-3</v>
      </c>
      <c r="AK76" s="1">
        <v>-1.1677852657603696E-3</v>
      </c>
      <c r="AL76" s="1">
        <v>3.9293412929911758E-4</v>
      </c>
      <c r="AM76" s="1">
        <v>7.8758678468087429E-3</v>
      </c>
      <c r="AN76" s="1">
        <v>1.4654239855502859E-3</v>
      </c>
      <c r="AO76" s="1">
        <v>-8.330055725482146E-3</v>
      </c>
      <c r="AP76" s="1">
        <v>2.113985153252531E-3</v>
      </c>
      <c r="AQ76" s="1">
        <v>-9.5762209086013711E-4</v>
      </c>
      <c r="AR76" s="1">
        <v>-9.8835404684150859E-3</v>
      </c>
      <c r="AS76" s="1">
        <v>-8.0093924676942953E-3</v>
      </c>
      <c r="AT76" s="1">
        <v>-6.4522754113832317E-3</v>
      </c>
      <c r="AU76" s="1">
        <v>-9.0779054485383079E-4</v>
      </c>
      <c r="AV76" s="1">
        <v>-4.5600557676609048E-3</v>
      </c>
      <c r="AW76" s="1">
        <v>2.7553116688282323E-3</v>
      </c>
      <c r="AX76" s="1">
        <v>-5.2086169353631681E-3</v>
      </c>
      <c r="AY76" s="1">
        <v>5.3957555722654489E-3</v>
      </c>
      <c r="AZ76" s="1">
        <v>5.5326575819304377E-4</v>
      </c>
      <c r="BA76" s="1">
        <v>3.4234204017183453E-2</v>
      </c>
      <c r="BB76" s="1">
        <v>2.4000326313349002E-2</v>
      </c>
      <c r="BC76" s="1">
        <v>3.0841933515282922E-2</v>
      </c>
      <c r="BD76" s="1">
        <v>1.3616953971495618E-2</v>
      </c>
      <c r="BE76" s="1">
        <v>2.4759387563938862E-2</v>
      </c>
      <c r="BF76" s="1">
        <v>1.7219387648296371E-2</v>
      </c>
      <c r="BG76" s="1">
        <v>2.0928719069236313E-2</v>
      </c>
      <c r="BH76" s="1">
        <v>1.086961232391922E-2</v>
      </c>
      <c r="BI76" s="1">
        <v>2.9983209172680419E-2</v>
      </c>
      <c r="BJ76" s="1">
        <v>8.2255660817335784E-3</v>
      </c>
      <c r="BK76" s="1">
        <v>1.1628673574509085E-2</v>
      </c>
      <c r="BL76" s="1">
        <v>1.6677724224733299E-2</v>
      </c>
      <c r="BM76" s="1">
        <v>2.5953214493952621E-2</v>
      </c>
      <c r="BN76" s="1">
        <v>2.1149719235011535E-2</v>
      </c>
      <c r="BO76" s="1">
        <v>1.5979331511024729E-2</v>
      </c>
      <c r="BP76" s="1">
        <v>2.9872709089792813E-2</v>
      </c>
      <c r="BQ76" s="1">
        <v>1.2476560926236592E-2</v>
      </c>
      <c r="BR76" s="1">
        <v>2.3954097106091102E-2</v>
      </c>
      <c r="BS76" s="1">
        <v>1.9596234492078608E-2</v>
      </c>
      <c r="BT76" s="1">
        <v>1.9001107209131091E-2</v>
      </c>
      <c r="BU76" s="1">
        <v>1.1503734161998052E-2</v>
      </c>
      <c r="BV76" s="1">
        <v>2.2820938712958642E-2</v>
      </c>
      <c r="BW76" s="1">
        <v>2.1477617144925951E-2</v>
      </c>
      <c r="BX76" s="1">
        <v>2.4652489819799672E-2</v>
      </c>
      <c r="BY76" s="1">
        <v>2.718243364034929E-2</v>
      </c>
      <c r="BZ76" s="1">
        <v>2.8311989694733312E-2</v>
      </c>
      <c r="CA76" s="1">
        <v>3.0792101969276602E-2</v>
      </c>
      <c r="CB76" s="1">
        <v>2.4217724140375794E-2</v>
      </c>
      <c r="CC76" s="1">
        <v>1.7917780362004938E-2</v>
      </c>
      <c r="CD76" s="1">
        <v>2.2393377711031615E-2</v>
      </c>
      <c r="CE76" s="1">
        <v>1.74403878140716E-2</v>
      </c>
      <c r="CF76" s="1">
        <v>1.9271938920912633E-2</v>
      </c>
      <c r="CG76" s="1">
        <v>2.0290994892409039E-2</v>
      </c>
      <c r="CH76" s="1">
        <v>1.5765565997376055E-2</v>
      </c>
      <c r="CI76" s="1">
        <v>9.675785393905463E-3</v>
      </c>
      <c r="CJ76" s="1">
        <v>1.6887887399633528E-2</v>
      </c>
      <c r="CK76" s="1">
        <v>2.804115798295178E-2</v>
      </c>
      <c r="CL76" s="1">
        <v>2.4820056100820161E-2</v>
      </c>
      <c r="CM76" s="1">
        <v>1.6139663139918655E-2</v>
      </c>
      <c r="CN76" s="1">
        <v>1.3937617229283467E-2</v>
      </c>
      <c r="CO76" s="1">
        <v>1.5929499965018423E-2</v>
      </c>
      <c r="CP76" s="1">
        <v>2.1310050863905462E-2</v>
      </c>
      <c r="CQ76" s="1">
        <v>2.0130663263515116E-2</v>
      </c>
      <c r="CR76" s="1">
        <v>1.210966846119086E-2</v>
      </c>
      <c r="CS76" s="1">
        <v>1.565866825323688E-2</v>
      </c>
      <c r="CT76" s="1">
        <v>1.9371602012925249E-2</v>
      </c>
      <c r="CU76" s="1">
        <v>1.7379719277190293E-2</v>
      </c>
      <c r="CV76" s="1">
        <v>2.4381658108018147E-2</v>
      </c>
      <c r="CW76" s="1">
        <v>1.199916837830324E-2</v>
      </c>
      <c r="CX76" s="1">
        <v>1.7219387648296371E-2</v>
      </c>
      <c r="CY76" s="1">
        <v>-1.2191987902788887E-2</v>
      </c>
      <c r="CZ76" s="1">
        <v>-9.1666098659341014E-3</v>
      </c>
      <c r="DA76" s="1">
        <v>5.8563237672180218E-3</v>
      </c>
      <c r="DB76" s="1">
        <v>-1.2456670477369036E-5</v>
      </c>
      <c r="DC76" s="1">
        <v>-4.3775539366164296E-3</v>
      </c>
      <c r="DD76" s="1">
        <v>1.2858262598045858E-2</v>
      </c>
      <c r="DE76" s="1">
        <v>-1.8427660805529995E-2</v>
      </c>
      <c r="DF76" s="1">
        <v>1.3991420991178317E-2</v>
      </c>
      <c r="DG76" s="1">
        <v>4.9477678786092189E-3</v>
      </c>
      <c r="DH76" s="1">
        <v>8.9249687938301042E-4</v>
      </c>
      <c r="DI76" s="1">
        <v>-3.9378846514651067E-4</v>
      </c>
      <c r="DJ76" s="1">
        <v>-7.6428326894067283E-4</v>
      </c>
      <c r="DK76" s="1">
        <v>1.6551604687213145E-3</v>
      </c>
      <c r="DL76" s="1">
        <v>-1.2719211996728545E-2</v>
      </c>
      <c r="DM76" s="1">
        <v>-1.8164033771245331E-2</v>
      </c>
      <c r="DN76" s="1">
        <v>-7.2888295518351645E-3</v>
      </c>
      <c r="DO76" s="1">
        <v>2.9486504907476965E-3</v>
      </c>
      <c r="DP76" s="1">
        <v>1.3709752288521795E-2</v>
      </c>
      <c r="DQ76" s="1">
        <v>9.9542216349536791E-3</v>
      </c>
      <c r="DR76" s="1">
        <v>1.5871194929154356E-4</v>
      </c>
      <c r="DS76" s="1">
        <v>-2.8689072100731433E-4</v>
      </c>
      <c r="DT76" s="1">
        <v>-1.3638604876212334E-2</v>
      </c>
      <c r="DU76" s="1">
        <v>1.5769538213264614E-2</v>
      </c>
      <c r="DV76" s="1">
        <v>-3.3311992826522141E-4</v>
      </c>
      <c r="DW76" s="1">
        <v>7.3576758923752511E-4</v>
      </c>
      <c r="DX76" s="1">
        <v>1.3072028111694528E-2</v>
      </c>
      <c r="DY76" s="1">
        <v>-1.5731760655368632E-3</v>
      </c>
      <c r="DZ76" s="1">
        <v>-2.6529005739145892E-3</v>
      </c>
      <c r="EA76" s="1">
        <v>-4.2670538537288097E-3</v>
      </c>
      <c r="EB76" s="1">
        <v>1.6414467067588739E-2</v>
      </c>
      <c r="EC76" s="1">
        <v>1.3399926021608936E-2</v>
      </c>
      <c r="ED76" s="1">
        <v>2.0173630034535005E-2</v>
      </c>
      <c r="EE76" s="1">
        <v>-6.0986049605698464E-3</v>
      </c>
      <c r="EF76" s="1">
        <v>5.3218650211517976E-3</v>
      </c>
      <c r="EG76" s="1">
        <v>4.0319773378738426E-3</v>
      </c>
      <c r="EH76" s="1">
        <v>1.0595548150529377E-2</v>
      </c>
      <c r="EI76" s="1">
        <v>-1.0200105167053934E-2</v>
      </c>
      <c r="EJ76" s="1">
        <v>1.7085943534760548E-3</v>
      </c>
      <c r="EK76" s="1">
        <v>-4.0532883400801537E-3</v>
      </c>
      <c r="EL76" s="1">
        <v>3.2158798637808156E-3</v>
      </c>
      <c r="EM76" s="1">
        <v>-5.0795489890734236E-3</v>
      </c>
      <c r="EN76" s="1">
        <v>-4.4722234990124399E-4</v>
      </c>
      <c r="EO76" s="1">
        <v>-9.1666098659341014E-3</v>
      </c>
      <c r="EP76" s="1">
        <v>-1.6872784871728927E-3</v>
      </c>
      <c r="EQ76" s="1">
        <v>-6.590436838126601E-3</v>
      </c>
      <c r="ER76" s="1">
        <v>-3.4083295111263096E-3</v>
      </c>
      <c r="ES76" s="1">
        <v>-2.4853342928940966E-3</v>
      </c>
      <c r="ET76" s="1">
        <v>-7.1445172293436304E-4</v>
      </c>
      <c r="EU76" s="1">
        <v>-9.7689418263784619E-3</v>
      </c>
      <c r="EV76" s="10">
        <v>-5.4536761062457181E-3</v>
      </c>
    </row>
    <row r="77" spans="1:152" x14ac:dyDescent="0.25">
      <c r="A77" s="21">
        <f t="shared" ca="1" si="1"/>
        <v>3.1418592416605592E-2</v>
      </c>
      <c r="B77" s="5">
        <v>76</v>
      </c>
      <c r="C77" s="9">
        <v>1.91302647735625E-3</v>
      </c>
      <c r="D77" s="1">
        <v>-2.0111837856933053E-3</v>
      </c>
      <c r="E77" s="1">
        <v>-5.3151742485897831E-3</v>
      </c>
      <c r="F77" s="1">
        <v>-7.1443751372246185E-3</v>
      </c>
      <c r="G77" s="1">
        <v>2.6103124590802496E-4</v>
      </c>
      <c r="H77" s="1">
        <v>6.5628395182462575E-3</v>
      </c>
      <c r="I77" s="1">
        <v>-7.3417628782486213E-3</v>
      </c>
      <c r="J77" s="1">
        <v>8.3825588721428423E-5</v>
      </c>
      <c r="K77" s="1">
        <v>-1.0802776914494275E-2</v>
      </c>
      <c r="L77" s="1">
        <v>-1.4593847302961094E-3</v>
      </c>
      <c r="M77" s="1">
        <v>7.3120263146674597E-3</v>
      </c>
      <c r="N77" s="1">
        <v>-3.3973705313616459E-3</v>
      </c>
      <c r="O77" s="1">
        <v>-3.2885856189309448E-3</v>
      </c>
      <c r="P77" s="1">
        <v>-1.1991575919138617E-2</v>
      </c>
      <c r="Q77" s="1">
        <v>1.4540227040613477E-2</v>
      </c>
      <c r="R77" s="1">
        <v>1.222764784133735E-2</v>
      </c>
      <c r="S77" s="1">
        <v>6.5628395182462575E-3</v>
      </c>
      <c r="T77" s="1">
        <v>1.4498302505523489E-3</v>
      </c>
      <c r="U77" s="1">
        <v>1.2159227096581456E-2</v>
      </c>
      <c r="V77" s="1">
        <v>1.7156387363322471E-3</v>
      </c>
      <c r="W77" s="1">
        <v>7.0462178288875632E-3</v>
      </c>
      <c r="X77" s="1">
        <v>1.1638396809350512E-3</v>
      </c>
      <c r="Y77" s="1">
        <v>-6.7013609942581237E-3</v>
      </c>
      <c r="Z77" s="1">
        <v>3.4623213975795014E-4</v>
      </c>
      <c r="AA77" s="1">
        <v>-3.3973705313616459E-3</v>
      </c>
      <c r="AB77" s="1">
        <v>-2.7058572565176811E-4</v>
      </c>
      <c r="AC77" s="1">
        <v>-8.4256686488637031E-4</v>
      </c>
      <c r="AD77" s="1">
        <v>3.6536245373977871E-3</v>
      </c>
      <c r="AE77" s="1">
        <v>3.5650217088044889E-3</v>
      </c>
      <c r="AF77" s="1">
        <v>-5.3151742485897831E-3</v>
      </c>
      <c r="AG77" s="1">
        <v>-3.6631790171415442E-3</v>
      </c>
      <c r="AH77" s="1">
        <v>6.1198253752797627E-3</v>
      </c>
      <c r="AI77" s="1">
        <v>4.6484377357614796E-3</v>
      </c>
      <c r="AJ77" s="1">
        <v>9.4956385176754778E-3</v>
      </c>
      <c r="AK77" s="1">
        <v>-1.922580957100007E-3</v>
      </c>
      <c r="AL77" s="1">
        <v>-9.3380068465171578E-5</v>
      </c>
      <c r="AM77" s="1">
        <v>8.8754187175223848E-3</v>
      </c>
      <c r="AN77" s="1">
        <v>-1.0163705873296146E-3</v>
      </c>
      <c r="AO77" s="1">
        <v>-1.0714174085900977E-2</v>
      </c>
      <c r="AP77" s="1">
        <v>1.8244236487629517E-3</v>
      </c>
      <c r="AQ77" s="1">
        <v>-2.9076780948917441E-4</v>
      </c>
      <c r="AR77" s="1">
        <v>-1.0056992052816436E-2</v>
      </c>
      <c r="AS77" s="1">
        <v>-1.0536968428714381E-2</v>
      </c>
      <c r="AT77" s="1">
        <v>-1.6803564899008742E-3</v>
      </c>
      <c r="AU77" s="1">
        <v>1.2524425095283495E-3</v>
      </c>
      <c r="AV77" s="1">
        <v>-4.2149780725387435E-3</v>
      </c>
      <c r="AW77" s="1">
        <v>2.1788349631361482E-3</v>
      </c>
      <c r="AX77" s="1">
        <v>-7.0557723086313202E-3</v>
      </c>
      <c r="AY77" s="1">
        <v>5.5714282546259226E-3</v>
      </c>
      <c r="AZ77" s="1">
        <v>-4.7772398718733122E-6</v>
      </c>
      <c r="BA77" s="1">
        <v>3.8558190313958324E-2</v>
      </c>
      <c r="BB77" s="1">
        <v>2.7651405726905227E-2</v>
      </c>
      <c r="BC77" s="1">
        <v>3.6265793198519601E-2</v>
      </c>
      <c r="BD77" s="1">
        <v>1.2114990182799532E-2</v>
      </c>
      <c r="BE77" s="1">
        <v>2.9037592472573572E-2</v>
      </c>
      <c r="BF77" s="1">
        <v>1.6039200445849101E-2</v>
      </c>
      <c r="BG77" s="1">
        <v>2.5536214268653091E-2</v>
      </c>
      <c r="BH77" s="1">
        <v>3.1495933315553344E-3</v>
      </c>
      <c r="BI77" s="1">
        <v>3.1793185814816195E-2</v>
      </c>
      <c r="BJ77" s="1">
        <v>6.7844110902442294E-3</v>
      </c>
      <c r="BK77" s="1">
        <v>4.535780077223675E-3</v>
      </c>
      <c r="BL77" s="1">
        <v>1.8771209769510973E-2</v>
      </c>
      <c r="BM77" s="1">
        <v>2.2118966334825602E-2</v>
      </c>
      <c r="BN77" s="1">
        <v>2.2626999287804622E-2</v>
      </c>
      <c r="BO77" s="1">
        <v>1.4387205214400862E-2</v>
      </c>
      <c r="BP77" s="1">
        <v>3.3247793305240428E-2</v>
      </c>
      <c r="BQ77" s="1">
        <v>1.3549415589386361E-2</v>
      </c>
      <c r="BR77" s="1">
        <v>1.9080784357709026E-2</v>
      </c>
      <c r="BS77" s="1">
        <v>2.3284181320889177E-2</v>
      </c>
      <c r="BT77" s="1">
        <v>1.4959186353635464E-2</v>
      </c>
      <c r="BU77" s="1">
        <v>1.7558826746285873E-2</v>
      </c>
      <c r="BV77" s="1">
        <v>2.3001592686015222E-2</v>
      </c>
      <c r="BW77" s="1">
        <v>2.5290587866710599E-2</v>
      </c>
      <c r="BX77" s="1">
        <v>2.3464788912819119E-2</v>
      </c>
      <c r="BY77" s="1">
        <v>2.8311989694733131E-2</v>
      </c>
      <c r="BZ77" s="1">
        <v>3.1418592416605592E-2</v>
      </c>
      <c r="CA77" s="1">
        <v>3.472258287950207E-2</v>
      </c>
      <c r="CB77" s="1">
        <v>3.1769601796235433E-2</v>
      </c>
      <c r="CC77" s="1">
        <v>2.0423205000959198E-2</v>
      </c>
      <c r="CD77" s="1">
        <v>1.7251583469074201E-2</v>
      </c>
      <c r="CE77" s="1">
        <v>1.3129985465000629E-2</v>
      </c>
      <c r="CF77" s="1">
        <v>1.359318169180453E-2</v>
      </c>
      <c r="CG77" s="1">
        <v>1.8154391904101223E-2</v>
      </c>
      <c r="CH77" s="1">
        <v>1.97828031169687E-2</v>
      </c>
      <c r="CI77" s="1">
        <v>1.0068219469303301E-2</v>
      </c>
      <c r="CJ77" s="1">
        <v>2.0403022917121792E-2</v>
      </c>
      <c r="CK77" s="1">
        <v>3.2784597078436527E-2</v>
      </c>
      <c r="CL77" s="1">
        <v>2.6039774663131801E-2</v>
      </c>
      <c r="CM77" s="1">
        <v>1.447580804299416E-2</v>
      </c>
      <c r="CN77" s="1">
        <v>1.2292195839986128E-2</v>
      </c>
      <c r="CO77" s="1">
        <v>1.2843994895383327E-2</v>
      </c>
      <c r="CP77" s="1">
        <v>2.271560211639792E-2</v>
      </c>
      <c r="CQ77" s="1">
        <v>1.8065789075507925E-2</v>
      </c>
      <c r="CR77" s="1">
        <v>4.8015885630035698E-3</v>
      </c>
      <c r="CS77" s="1">
        <v>1.4209999557214265E-2</v>
      </c>
      <c r="CT77" s="1">
        <v>1.6679602329839598E-2</v>
      </c>
      <c r="CU77" s="1">
        <v>1.6127803274442399E-2</v>
      </c>
      <c r="CV77" s="1">
        <v>2.4830793574650071E-2</v>
      </c>
      <c r="CW77" s="1">
        <v>6.256196053427792E-3</v>
      </c>
      <c r="CX77" s="1">
        <v>1.6039200445849101E-2</v>
      </c>
      <c r="CY77" s="1">
        <v>-6.9196273067559013E-3</v>
      </c>
      <c r="CZ77" s="1">
        <v>-1.3375057217699968E-2</v>
      </c>
      <c r="DA77" s="1">
        <v>8.5921335950120709E-3</v>
      </c>
      <c r="DB77" s="1">
        <v>-4.0316650335017997E-3</v>
      </c>
      <c r="DC77" s="1">
        <v>-2.3146509920410254E-3</v>
      </c>
      <c r="DD77" s="1">
        <v>1.7295123895219727E-2</v>
      </c>
      <c r="DE77" s="1">
        <v>-2.8291252961652559E-2</v>
      </c>
      <c r="DF77" s="1">
        <v>1.3374315566913545E-2</v>
      </c>
      <c r="DG77" s="1">
        <v>2.5763158922911394E-3</v>
      </c>
      <c r="DH77" s="1">
        <v>9.011563719397802E-3</v>
      </c>
      <c r="DI77" s="1">
        <v>-1.2110528812466267E-3</v>
      </c>
      <c r="DJ77" s="1">
        <v>-2.9314688574507593E-3</v>
      </c>
      <c r="DK77" s="1">
        <v>3.3703394148874733E-3</v>
      </c>
      <c r="DL77" s="1">
        <v>-1.5756057161731989E-2</v>
      </c>
      <c r="DM77" s="1">
        <v>-1.5602435523126169E-2</v>
      </c>
      <c r="DN77" s="1">
        <v>-4.3412396216998619E-3</v>
      </c>
      <c r="DO77" s="1">
        <v>-4.6186608482542621E-4</v>
      </c>
      <c r="DP77" s="1">
        <v>1.9281348357203756E-2</v>
      </c>
      <c r="DQ77" s="1">
        <v>1.7754918187280269E-2</v>
      </c>
      <c r="DR77" s="1">
        <v>-8.4840903333677897E-3</v>
      </c>
      <c r="DS77" s="1">
        <v>4.36175067850781E-3</v>
      </c>
      <c r="DT77" s="1">
        <v>-1.7230846735993628E-2</v>
      </c>
      <c r="DU77" s="1">
        <v>1.9321712524878569E-2</v>
      </c>
      <c r="DV77" s="1">
        <v>-4.2088706906883971E-3</v>
      </c>
      <c r="DW77" s="1">
        <v>1.8955498406258327E-3</v>
      </c>
      <c r="DX77" s="1">
        <v>1.1899525992651903E-2</v>
      </c>
      <c r="DY77" s="1">
        <v>-5.8608659221366221E-3</v>
      </c>
      <c r="DZ77" s="1">
        <v>-7.4242583249915749E-3</v>
      </c>
      <c r="EA77" s="1">
        <v>-3.7692584824652597E-3</v>
      </c>
      <c r="EB77" s="1">
        <v>1.2648712789073105E-2</v>
      </c>
      <c r="EC77" s="1">
        <v>1.4563114571557885E-2</v>
      </c>
      <c r="ED77" s="1">
        <v>2.3688936930894633E-2</v>
      </c>
      <c r="EE77" s="1">
        <v>-4.2324547092691608E-3</v>
      </c>
      <c r="EF77" s="1">
        <v>-2.730679181683399E-3</v>
      </c>
      <c r="EG77" s="1">
        <v>-5.9258847321491705E-3</v>
      </c>
      <c r="EH77" s="1">
        <v>1.8109329501653469E-2</v>
      </c>
      <c r="EI77" s="1">
        <v>-6.3678282513587028E-3</v>
      </c>
      <c r="EJ77" s="1">
        <v>-2.1138613162736642E-3</v>
      </c>
      <c r="EK77" s="1">
        <v>-9.1648563850330982E-3</v>
      </c>
      <c r="EL77" s="1">
        <v>5.1995403035223087E-3</v>
      </c>
      <c r="EM77" s="1">
        <v>3.2875550302753458E-4</v>
      </c>
      <c r="EN77" s="1">
        <v>4.27314784991451E-3</v>
      </c>
      <c r="EO77" s="1">
        <v>-1.3375057217699968E-2</v>
      </c>
      <c r="EP77" s="1">
        <v>2.6211526184662728E-3</v>
      </c>
      <c r="EQ77" s="1">
        <v>4.2764933410233477E-5</v>
      </c>
      <c r="ER77" s="1">
        <v>7.0334890123813741E-4</v>
      </c>
      <c r="ES77" s="1">
        <v>-4.8492725746788947E-3</v>
      </c>
      <c r="ET77" s="1">
        <v>-1.3882585384332249E-3</v>
      </c>
      <c r="EU77" s="1">
        <v>-7.645230084596325E-3</v>
      </c>
      <c r="EV77" s="10">
        <v>-1.0905454445074621E-2</v>
      </c>
    </row>
    <row r="78" spans="1:152" x14ac:dyDescent="0.25">
      <c r="A78" s="21">
        <f t="shared" ca="1" si="1"/>
        <v>4.5274505087452017E-2</v>
      </c>
      <c r="B78" s="5">
        <v>77</v>
      </c>
      <c r="C78" s="9">
        <v>1.0341065889531709E-3</v>
      </c>
      <c r="D78" s="1">
        <v>6.5341971836862661E-3</v>
      </c>
      <c r="E78" s="1">
        <v>-4.017725024263577E-3</v>
      </c>
      <c r="F78" s="1">
        <v>-4.7073967560433833E-3</v>
      </c>
      <c r="G78" s="1">
        <v>-4.2418545150217368E-3</v>
      </c>
      <c r="H78" s="1">
        <v>1.325962619332037E-3</v>
      </c>
      <c r="I78" s="1">
        <v>-1.1328838053767568E-2</v>
      </c>
      <c r="J78" s="1">
        <v>3.4443485717339239E-4</v>
      </c>
      <c r="K78" s="1">
        <v>-6.0867402196029818E-3</v>
      </c>
      <c r="L78" s="1">
        <v>3.9830597370201989E-3</v>
      </c>
      <c r="M78" s="1">
        <v>5.3962664703901542E-3</v>
      </c>
      <c r="N78" s="1">
        <v>-5.6211979785813493E-3</v>
      </c>
      <c r="O78" s="1">
        <v>3.2933880052403927E-3</v>
      </c>
      <c r="P78" s="1">
        <v>-1.1620694084146413E-2</v>
      </c>
      <c r="Q78" s="1">
        <v>1.0448098083606902E-2</v>
      </c>
      <c r="R78" s="1">
        <v>-1.1913115575236943E-3</v>
      </c>
      <c r="S78" s="1">
        <v>1.325962619332037E-3</v>
      </c>
      <c r="T78" s="1">
        <v>1.2920993495216665E-3</v>
      </c>
      <c r="U78" s="1">
        <v>1.2309563798493184E-2</v>
      </c>
      <c r="V78" s="1">
        <v>-5.5873347087710135E-3</v>
      </c>
      <c r="W78" s="1">
        <v>1.2275700528682848E-2</v>
      </c>
      <c r="X78" s="1">
        <v>-3.0361972621049532E-3</v>
      </c>
      <c r="Y78" s="1">
        <v>-1.6173120186531192E-2</v>
      </c>
      <c r="Z78" s="1">
        <v>6.3943742428538008E-3</v>
      </c>
      <c r="AA78" s="1">
        <v>-5.6211979785813493E-3</v>
      </c>
      <c r="AB78" s="1">
        <v>9.517013601563637E-3</v>
      </c>
      <c r="AC78" s="1">
        <v>8.6042037831039059E-4</v>
      </c>
      <c r="AD78" s="1">
        <v>4.0169230068305417E-3</v>
      </c>
      <c r="AE78" s="1">
        <v>6.3100676929281063E-3</v>
      </c>
      <c r="AF78" s="1">
        <v>-4.017725024263577E-3</v>
      </c>
      <c r="AG78" s="1">
        <v>1.2582360797113307E-3</v>
      </c>
      <c r="AH78" s="1">
        <v>1.2791686049819846E-2</v>
      </c>
      <c r="AI78" s="1">
        <v>-9.9999378703233277E-3</v>
      </c>
      <c r="AJ78" s="1">
        <v>-3.0866405422203119E-3</v>
      </c>
      <c r="AK78" s="1">
        <v>4.2410524975887015E-3</v>
      </c>
      <c r="AL78" s="1">
        <v>4.9307242293685077E-3</v>
      </c>
      <c r="AM78" s="1">
        <v>1.2965372260462626E-2</v>
      </c>
      <c r="AN78" s="1">
        <v>-7.4826636934676172E-3</v>
      </c>
      <c r="AO78" s="1">
        <v>-8.3798849057005326E-3</v>
      </c>
      <c r="AP78" s="1">
        <v>3.3272512750507355E-3</v>
      </c>
      <c r="AQ78" s="1">
        <v>-1.6907170683556766E-3</v>
      </c>
      <c r="AR78" s="1">
        <v>1.0912937075428231E-2</v>
      </c>
      <c r="AS78" s="1">
        <v>-1.2966174277895662E-2</v>
      </c>
      <c r="AT78" s="1">
        <v>-9.1673878665017583E-4</v>
      </c>
      <c r="AU78" s="1">
        <v>-5.329341948202504E-3</v>
      </c>
      <c r="AV78" s="1">
        <v>3.8093735263773909E-3</v>
      </c>
      <c r="AW78" s="1">
        <v>-5.8453274693395091E-3</v>
      </c>
      <c r="AX78" s="1">
        <v>-7.0005414421409479E-3</v>
      </c>
      <c r="AY78" s="1">
        <v>2.4134500525127833E-3</v>
      </c>
      <c r="AZ78" s="1">
        <v>2.637579543270957E-3</v>
      </c>
      <c r="BA78" s="1">
        <v>4.2067559178816487E-2</v>
      </c>
      <c r="BB78" s="1">
        <v>2.4428653432120848E-2</v>
      </c>
      <c r="BC78" s="1">
        <v>4.1635880207605211E-2</v>
      </c>
      <c r="BD78" s="1">
        <v>1.7705622324965618E-2</v>
      </c>
      <c r="BE78" s="1">
        <v>3.6584048594388435E-2</v>
      </c>
      <c r="BF78" s="1">
        <v>1.220553173023255E-2</v>
      </c>
      <c r="BG78" s="1">
        <v>1.9410685088714401E-2</v>
      </c>
      <c r="BH78" s="1">
        <v>-3.2583991501016207E-3</v>
      </c>
      <c r="BI78" s="1">
        <v>3.6757734805031209E-2</v>
      </c>
      <c r="BJ78" s="1">
        <v>-1.5741291248821954E-4</v>
      </c>
      <c r="BK78" s="1">
        <v>8.8969960121659947E-3</v>
      </c>
      <c r="BL78" s="1">
        <v>1.410086071492915E-2</v>
      </c>
      <c r="BM78" s="1">
        <v>3.4138870818744463E-2</v>
      </c>
      <c r="BN78" s="1">
        <v>2.2101645476212912E-2</v>
      </c>
      <c r="BO78" s="1">
        <v>6.9295706262575869E-3</v>
      </c>
      <c r="BP78" s="1">
        <v>3.5412254611281967E-2</v>
      </c>
      <c r="BQ78" s="1">
        <v>5.1524114612970379E-3</v>
      </c>
      <c r="BR78" s="1">
        <v>1.6707514552501947E-2</v>
      </c>
      <c r="BS78" s="1">
        <v>4.139446745734171E-2</v>
      </c>
      <c r="BT78" s="1">
        <v>1.558616384951083E-2</v>
      </c>
      <c r="BU78" s="1">
        <v>1.0288549624439525E-2</v>
      </c>
      <c r="BV78" s="1">
        <v>2.4136797401741978E-2</v>
      </c>
      <c r="BW78" s="1">
        <v>3.7497849816926374E-2</v>
      </c>
      <c r="BX78" s="1">
        <v>2.3878804641173475E-2</v>
      </c>
      <c r="BY78" s="1">
        <v>3.0792101969276526E-2</v>
      </c>
      <c r="BZ78" s="1">
        <v>3.472258287950216E-2</v>
      </c>
      <c r="CA78" s="1">
        <v>4.5274505087452017E-2</v>
      </c>
      <c r="CB78" s="1">
        <v>3.8479377579085039E-2</v>
      </c>
      <c r="CC78" s="1">
        <v>1.9376821818904044E-2</v>
      </c>
      <c r="CD78" s="1">
        <v>1.6017842820722168E-2</v>
      </c>
      <c r="CE78" s="1">
        <v>1.4896492117731051E-2</v>
      </c>
      <c r="CF78" s="1">
        <v>1.4638499357162549E-2</v>
      </c>
      <c r="CG78" s="1">
        <v>1.7223500073638948E-2</v>
      </c>
      <c r="CH78" s="1">
        <v>2.4221103951667669E-2</v>
      </c>
      <c r="CI78" s="1">
        <v>-8.132213744576483E-4</v>
      </c>
      <c r="CJ78" s="1">
        <v>8.1690911489847515E-3</v>
      </c>
      <c r="CK78" s="1">
        <v>3.5670247371850469E-2</v>
      </c>
      <c r="CL78" s="1">
        <v>4.1568153667984498E-2</v>
      </c>
      <c r="CM78" s="1">
        <v>4.6364259401600327E-3</v>
      </c>
      <c r="CN78" s="1">
        <v>1.3119332952770488E-2</v>
      </c>
      <c r="CO78" s="1">
        <v>1.0568195506104428E-2</v>
      </c>
      <c r="CP78" s="1">
        <v>1.9808500790115362E-2</v>
      </c>
      <c r="CQ78" s="1">
        <v>1.9516644759736513E-2</v>
      </c>
      <c r="CR78" s="1">
        <v>2.0175619538733147E-3</v>
      </c>
      <c r="CS78" s="1">
        <v>1.1515859998452709E-2</v>
      </c>
      <c r="CT78" s="1">
        <v>7.3612495974689322E-3</v>
      </c>
      <c r="CU78" s="1">
        <v>9.9123870441349855E-3</v>
      </c>
      <c r="CV78" s="1">
        <v>2.4826469133521784E-2</v>
      </c>
      <c r="CW78" s="1">
        <v>6.7208176012403115E-4</v>
      </c>
      <c r="CX78" s="1">
        <v>1.220553173023255E-2</v>
      </c>
      <c r="CY78" s="1">
        <v>-1.4843277275070094E-2</v>
      </c>
      <c r="CZ78" s="1">
        <v>-1.7546447811282548E-2</v>
      </c>
      <c r="DA78" s="1">
        <v>1.4866717083967494E-2</v>
      </c>
      <c r="DB78" s="1">
        <v>-7.4766478546593714E-3</v>
      </c>
      <c r="DC78" s="1">
        <v>-2.7721886627281754E-3</v>
      </c>
      <c r="DD78" s="1">
        <v>2.9780799173354293E-2</v>
      </c>
      <c r="DE78" s="1">
        <v>-4.0321491721120678E-2</v>
      </c>
      <c r="DF78" s="1">
        <v>2.2351516324114255E-2</v>
      </c>
      <c r="DG78" s="1">
        <v>1.362719656124033E-2</v>
      </c>
      <c r="DH78" s="1">
        <v>5.1226364275334946E-3</v>
      </c>
      <c r="DI78" s="1">
        <v>-7.8744635560603071E-3</v>
      </c>
      <c r="DJ78" s="1">
        <v>3.5045069598165033E-4</v>
      </c>
      <c r="DK78" s="1">
        <v>5.9182678303354086E-3</v>
      </c>
      <c r="DL78" s="1">
        <v>-1.5684982096396266E-2</v>
      </c>
      <c r="DM78" s="1">
        <v>-1.85496286945376E-2</v>
      </c>
      <c r="DN78" s="1">
        <v>-1.0083301692232146E-2</v>
      </c>
      <c r="DO78" s="1">
        <v>-3.8041597050021804E-3</v>
      </c>
      <c r="DP78" s="1">
        <v>1.4676450863019674E-2</v>
      </c>
      <c r="DQ78" s="1">
        <v>4.24521798567589E-2</v>
      </c>
      <c r="DR78" s="1">
        <v>-1.147062587314035E-3</v>
      </c>
      <c r="DS78" s="1">
        <v>4.8307803971546518E-3</v>
      </c>
      <c r="DT78" s="1">
        <v>-2.5547232572566345E-2</v>
      </c>
      <c r="DU78" s="1">
        <v>3.7091912202858277E-2</v>
      </c>
      <c r="DV78" s="1">
        <v>-2.8903584824642491E-3</v>
      </c>
      <c r="DW78" s="1">
        <v>-3.9439826458346422E-3</v>
      </c>
      <c r="DX78" s="1">
        <v>1.2489265847944232E-2</v>
      </c>
      <c r="DY78" s="1">
        <v>-8.166319586439149E-3</v>
      </c>
      <c r="DZ78" s="1">
        <v>-1.5735425376511635E-2</v>
      </c>
      <c r="EA78" s="1">
        <v>-1.4267084689789039E-3</v>
      </c>
      <c r="EB78" s="1">
        <v>1.6559569699002359E-2</v>
      </c>
      <c r="EC78" s="1">
        <v>2.7885470188657689E-2</v>
      </c>
      <c r="ED78" s="1">
        <v>2.0126098177637414E-2</v>
      </c>
      <c r="EE78" s="1">
        <v>-1.1687157084104031E-3</v>
      </c>
      <c r="EF78" s="1">
        <v>-5.9574814502673101E-3</v>
      </c>
      <c r="EG78" s="1">
        <v>-7.5948176743954026E-3</v>
      </c>
      <c r="EH78" s="1">
        <v>3.3279601112368662E-2</v>
      </c>
      <c r="EI78" s="1">
        <v>-1.7394414721736161E-2</v>
      </c>
      <c r="EJ78" s="1">
        <v>-9.0801208089770873E-3</v>
      </c>
      <c r="EK78" s="1">
        <v>-1.8718241794389006E-2</v>
      </c>
      <c r="EL78" s="1">
        <v>6.6079395621152148E-3</v>
      </c>
      <c r="EM78" s="1">
        <v>1.4162850080659756E-3</v>
      </c>
      <c r="EN78" s="1">
        <v>7.1239250832522165E-3</v>
      </c>
      <c r="EO78" s="1">
        <v>-1.7546447811282548E-2</v>
      </c>
      <c r="EP78" s="1">
        <v>1.847963979277281E-3</v>
      </c>
      <c r="EQ78" s="1">
        <v>-2.912011603560638E-3</v>
      </c>
      <c r="ER78" s="1">
        <v>3.4514369335950394E-3</v>
      </c>
      <c r="ES78" s="1">
        <v>1.953923650299374E-3</v>
      </c>
      <c r="ET78" s="1">
        <v>-3.2881741838651779E-3</v>
      </c>
      <c r="EU78" s="1">
        <v>-2.0635223900182003E-2</v>
      </c>
      <c r="EV78" s="10">
        <v>-2.1701058212266349E-2</v>
      </c>
    </row>
    <row r="79" spans="1:152" x14ac:dyDescent="0.25">
      <c r="A79" s="21">
        <f t="shared" ca="1" si="1"/>
        <v>5.0900806245801428E-2</v>
      </c>
      <c r="B79" s="5">
        <v>78</v>
      </c>
      <c r="C79" s="9">
        <v>-2.2687764005072941E-3</v>
      </c>
      <c r="D79" s="1">
        <v>2.6152073883647653E-3</v>
      </c>
      <c r="E79" s="1">
        <v>-4.0945683944847433E-3</v>
      </c>
      <c r="F79" s="1">
        <v>-4.1369535511319167E-3</v>
      </c>
      <c r="G79" s="1">
        <v>-5.6236642919320345E-3</v>
      </c>
      <c r="H79" s="1">
        <v>7.8238396523988563E-3</v>
      </c>
      <c r="I79" s="1">
        <v>-3.2948516781215742E-3</v>
      </c>
      <c r="J79" s="1">
        <v>-2.3111615571544397E-3</v>
      </c>
      <c r="K79" s="1">
        <v>-4.2217238644262356E-3</v>
      </c>
      <c r="L79" s="1">
        <v>-4.8518999542007668E-3</v>
      </c>
      <c r="M79" s="1">
        <v>-4.8536956317699054E-4</v>
      </c>
      <c r="N79" s="1">
        <v>-5.7084346052263535E-3</v>
      </c>
      <c r="O79" s="1">
        <v>-4.8942851108479124E-3</v>
      </c>
      <c r="P79" s="1">
        <v>-1.3387467731027725E-2</v>
      </c>
      <c r="Q79" s="1">
        <v>1.3404224308004586E-3</v>
      </c>
      <c r="R79" s="1">
        <v>4.6384923875627537E-3</v>
      </c>
      <c r="S79" s="1">
        <v>7.8238396523988563E-3</v>
      </c>
      <c r="T79" s="1">
        <v>3.5420795746694267E-3</v>
      </c>
      <c r="U79" s="1">
        <v>8.7651446167188174E-3</v>
      </c>
      <c r="V79" s="1">
        <v>-1.4266745274969517E-3</v>
      </c>
      <c r="W79" s="1">
        <v>4.4833845389893878E-3</v>
      </c>
      <c r="X79" s="1">
        <v>6.0404328150685527E-3</v>
      </c>
      <c r="Y79" s="1">
        <v>-1.241821038807589E-2</v>
      </c>
      <c r="Z79" s="1">
        <v>1.8476294259800449E-2</v>
      </c>
      <c r="AA79" s="1">
        <v>-5.7084346052263535E-3</v>
      </c>
      <c r="AB79" s="1">
        <v>4.3138439124007222E-3</v>
      </c>
      <c r="AC79" s="1">
        <v>9.3105503931990019E-3</v>
      </c>
      <c r="AD79" s="1">
        <v>-5.7013987647133724E-4</v>
      </c>
      <c r="AE79" s="1">
        <v>1.0861114909174741E-3</v>
      </c>
      <c r="AF79" s="1">
        <v>-4.0945683944847433E-3</v>
      </c>
      <c r="AG79" s="1">
        <v>-7.3968050306000288E-4</v>
      </c>
      <c r="AH79" s="1">
        <v>1.6105096489342816E-2</v>
      </c>
      <c r="AI79" s="1">
        <v>-1.6318504055980787E-2</v>
      </c>
      <c r="AJ79" s="1">
        <v>-7.0679898760850068E-3</v>
      </c>
      <c r="AK79" s="1">
        <v>9.58956020975954E-4</v>
      </c>
      <c r="AL79" s="1">
        <v>1.0013411776231274E-3</v>
      </c>
      <c r="AM79" s="1">
        <v>4.5257696956365612E-3</v>
      </c>
      <c r="AN79" s="1">
        <v>-1.3133156791144712E-2</v>
      </c>
      <c r="AO79" s="1">
        <v>-5.8779752318150191E-3</v>
      </c>
      <c r="AP79" s="1">
        <v>-6.1252503311848283E-4</v>
      </c>
      <c r="AQ79" s="1">
        <v>1.8434430506334698E-3</v>
      </c>
      <c r="AR79" s="1">
        <v>1.3225276839119185E-2</v>
      </c>
      <c r="AS79" s="1">
        <v>-9.190477966592614E-3</v>
      </c>
      <c r="AT79" s="1">
        <v>1.9276010976163604E-2</v>
      </c>
      <c r="AU79" s="1">
        <v>4.3841814476797691E-3</v>
      </c>
      <c r="AV79" s="1">
        <v>6.7274268395055292E-3</v>
      </c>
      <c r="AW79" s="1">
        <v>-7.2375305026736725E-3</v>
      </c>
      <c r="AX79" s="1">
        <v>-5.7932049185207002E-3</v>
      </c>
      <c r="AY79" s="1">
        <v>-2.1840060872129752E-3</v>
      </c>
      <c r="AZ79" s="1">
        <v>-6.5491018976565618E-4</v>
      </c>
      <c r="BA79" s="1">
        <v>3.5251645157601555E-2</v>
      </c>
      <c r="BB79" s="1">
        <v>3.0870681988562534E-2</v>
      </c>
      <c r="BC79" s="1">
        <v>4.1020115976131102E-2</v>
      </c>
      <c r="BD79" s="1">
        <v>1.886750362838463E-2</v>
      </c>
      <c r="BE79" s="1">
        <v>3.9194323982153653E-2</v>
      </c>
      <c r="BF79" s="1">
        <v>1.398351983951257E-2</v>
      </c>
      <c r="BG79" s="1">
        <v>3.3326650072314487E-2</v>
      </c>
      <c r="BH79" s="1">
        <v>-1.0413134808750085E-2</v>
      </c>
      <c r="BI79" s="1">
        <v>2.7614997188447399E-2</v>
      </c>
      <c r="BJ79" s="1">
        <v>1.2957444561898276E-2</v>
      </c>
      <c r="BK79" s="1">
        <v>-2.0894928151589665E-3</v>
      </c>
      <c r="BL79" s="1">
        <v>2.5690002103160317E-2</v>
      </c>
      <c r="BM79" s="1">
        <v>1.1584369690423035E-2</v>
      </c>
      <c r="BN79" s="1">
        <v>2.4932670543444321E-2</v>
      </c>
      <c r="BO79" s="1">
        <v>1.0628631948087802E-2</v>
      </c>
      <c r="BP79" s="1">
        <v>3.1811986952882468E-2</v>
      </c>
      <c r="BQ79" s="1">
        <v>2.0594092531052446E-2</v>
      </c>
      <c r="BR79" s="1">
        <v>-9.4160194592851632E-5</v>
      </c>
      <c r="BS79" s="1">
        <v>4.4035922614378539E-2</v>
      </c>
      <c r="BT79" s="1">
        <v>5.6319254672895225E-3</v>
      </c>
      <c r="BU79" s="1">
        <v>3.9810067293912885E-2</v>
      </c>
      <c r="BV79" s="1">
        <v>2.0778065935656398E-2</v>
      </c>
      <c r="BW79" s="1">
        <v>4.0765805036248118E-2</v>
      </c>
      <c r="BX79" s="1">
        <v>1.4967209960479663E-2</v>
      </c>
      <c r="BY79" s="1">
        <v>2.4217724140375485E-2</v>
      </c>
      <c r="BZ79" s="1">
        <v>3.1769601796235294E-2</v>
      </c>
      <c r="CA79" s="1">
        <v>3.8479377579084817E-2</v>
      </c>
      <c r="CB79" s="1">
        <v>5.0900806245801428E-2</v>
      </c>
      <c r="CC79" s="1">
        <v>2.9044889994585085E-2</v>
      </c>
      <c r="CD79" s="1">
        <v>-1.3654535124002498E-4</v>
      </c>
      <c r="CE79" s="1">
        <v>5.5895403106423769E-3</v>
      </c>
      <c r="CF79" s="1">
        <v>-2.2131566453434393E-4</v>
      </c>
      <c r="CG79" s="1">
        <v>1.1527551755760576E-2</v>
      </c>
      <c r="CH79" s="1">
        <v>3.8168248704539373E-2</v>
      </c>
      <c r="CI79" s="1">
        <v>1.7196819482980533E-2</v>
      </c>
      <c r="CJ79" s="1">
        <v>2.6574489132817833E-2</v>
      </c>
      <c r="CK79" s="1">
        <v>3.7622842928059189E-2</v>
      </c>
      <c r="CL79" s="1">
        <v>3.2456595820672285E-2</v>
      </c>
      <c r="CM79" s="1">
        <v>8.9723805806990187E-3</v>
      </c>
      <c r="CN79" s="1">
        <v>1.5555000893607035E-2</v>
      </c>
      <c r="CO79" s="1">
        <v>8.087893551041489E-3</v>
      </c>
      <c r="CP79" s="1">
        <v>2.327641917605551E-2</v>
      </c>
      <c r="CQ79" s="1">
        <v>1.3183803123149374E-2</v>
      </c>
      <c r="CR79" s="1">
        <v>-7.0582469173253448E-3</v>
      </c>
      <c r="CS79" s="1">
        <v>1.3941134682865397E-2</v>
      </c>
      <c r="CT79" s="1">
        <v>4.8601611295582409E-3</v>
      </c>
      <c r="CU79" s="1">
        <v>1.2327268472123787E-2</v>
      </c>
      <c r="CV79" s="1">
        <v>2.0820451092303571E-2</v>
      </c>
      <c r="CW79" s="1">
        <v>-2.8612571528902619E-3</v>
      </c>
      <c r="CX79" s="1">
        <v>1.398351983951257E-2</v>
      </c>
      <c r="CY79" s="1">
        <v>1.7252004675426424E-2</v>
      </c>
      <c r="CZ79" s="1">
        <v>-1.6168805591480928E-2</v>
      </c>
      <c r="DA79" s="1">
        <v>1.2566427069173602E-2</v>
      </c>
      <c r="DB79" s="1">
        <v>-1.6798981681255418E-2</v>
      </c>
      <c r="DC79" s="1">
        <v>8.1854639001345542E-3</v>
      </c>
      <c r="DD79" s="1">
        <v>2.1059609689353387E-2</v>
      </c>
      <c r="DE79" s="1">
        <v>-3.9765743523380415E-2</v>
      </c>
      <c r="DF79" s="1">
        <v>1.8738355910415117E-4</v>
      </c>
      <c r="DG79" s="1">
        <v>-3.3794301155564144E-3</v>
      </c>
      <c r="DH79" s="1">
        <v>2.7570979289583686E-2</v>
      </c>
      <c r="DI79" s="1">
        <v>-6.7487507849964684E-3</v>
      </c>
      <c r="DJ79" s="1">
        <v>-5.9769864472651729E-3</v>
      </c>
      <c r="DK79" s="1">
        <v>7.4705174970657318E-3</v>
      </c>
      <c r="DL79" s="1">
        <v>-8.7440834055625694E-3</v>
      </c>
      <c r="DM79" s="1">
        <v>1.1229222917013865E-2</v>
      </c>
      <c r="DN79" s="1">
        <v>8.9851806164977233E-3</v>
      </c>
      <c r="DO79" s="1">
        <v>-1.5057960000572315E-2</v>
      </c>
      <c r="DP79" s="1">
        <v>1.5319091249455741E-2</v>
      </c>
      <c r="DQ79" s="1">
        <v>4.1004963633297933E-2</v>
      </c>
      <c r="DR79" s="1">
        <v>-2.7733699607171911E-2</v>
      </c>
      <c r="DS79" s="1">
        <v>1.7478363236677508E-2</v>
      </c>
      <c r="DT79" s="1">
        <v>-1.5411474031764905E-2</v>
      </c>
      <c r="DU79" s="1">
        <v>2.0259892972990218E-2</v>
      </c>
      <c r="DV79" s="1">
        <v>-1.3486478946477851E-2</v>
      </c>
      <c r="DW79" s="1">
        <v>8.0312687086339651E-4</v>
      </c>
      <c r="DX79" s="1">
        <v>-6.4800070670981841E-3</v>
      </c>
      <c r="DY79" s="1">
        <v>-1.6841366837902591E-2</v>
      </c>
      <c r="DZ79" s="1">
        <v>-2.1852506096716143E-2</v>
      </c>
      <c r="EA79" s="1">
        <v>3.9884741356994852E-3</v>
      </c>
      <c r="EB79" s="1">
        <v>-1.4789216282674031E-2</v>
      </c>
      <c r="EC79" s="1">
        <v>9.3531274257056263E-3</v>
      </c>
      <c r="ED79" s="1">
        <v>7.0946523471742129E-3</v>
      </c>
      <c r="EE79" s="1">
        <v>9.799330110876206E-3</v>
      </c>
      <c r="EF79" s="1">
        <v>-3.2575298239396797E-2</v>
      </c>
      <c r="EG79" s="1">
        <v>-3.847092452786785E-2</v>
      </c>
      <c r="EH79" s="1">
        <v>3.4379958163742758E-2</v>
      </c>
      <c r="EI79" s="1">
        <v>9.7848973328608924E-3</v>
      </c>
      <c r="EJ79" s="1">
        <v>-1.8412847891997056E-2</v>
      </c>
      <c r="EK79" s="1">
        <v>-2.35511426207521E-2</v>
      </c>
      <c r="EL79" s="1">
        <v>7.5129026537128774E-3</v>
      </c>
      <c r="EM79" s="1">
        <v>2.1548197531171098E-2</v>
      </c>
      <c r="EN79" s="1">
        <v>1.9134614604066291E-2</v>
      </c>
      <c r="EO79" s="1">
        <v>-1.6168805591480928E-2</v>
      </c>
      <c r="EP79" s="1">
        <v>1.5779726712641551E-2</v>
      </c>
      <c r="EQ79" s="1">
        <v>2.404655077157028E-2</v>
      </c>
      <c r="ER79" s="1">
        <v>1.7393592923383189E-2</v>
      </c>
      <c r="ES79" s="1">
        <v>-4.3631202365235489E-3</v>
      </c>
      <c r="ET79" s="1">
        <v>-3.4362480502188875E-3</v>
      </c>
      <c r="EU79" s="1">
        <v>2.2754048336482147E-3</v>
      </c>
      <c r="EV79" s="10">
        <v>-2.5249779144788057E-2</v>
      </c>
    </row>
    <row r="80" spans="1:152" x14ac:dyDescent="0.25">
      <c r="A80" s="21">
        <f t="shared" ca="1" si="1"/>
        <v>2.5225978770165171E-2</v>
      </c>
      <c r="B80" s="5">
        <v>79</v>
      </c>
      <c r="C80" s="9">
        <v>-1.5516238794477596E-3</v>
      </c>
      <c r="D80" s="1">
        <v>-1.8269692159709194E-3</v>
      </c>
      <c r="E80" s="1">
        <v>-7.805860339157103E-4</v>
      </c>
      <c r="F80" s="1">
        <v>-6.3503116248192493E-4</v>
      </c>
      <c r="G80" s="1">
        <v>-1.0284322884201585E-3</v>
      </c>
      <c r="H80" s="1">
        <v>4.1712353492855958E-3</v>
      </c>
      <c r="I80" s="1">
        <v>2.9167766585277075E-3</v>
      </c>
      <c r="J80" s="1">
        <v>-1.4060690080139812E-3</v>
      </c>
      <c r="K80" s="1">
        <v>-3.4392141961435418E-4</v>
      </c>
      <c r="L80" s="1">
        <v>-4.6235035977929065E-3</v>
      </c>
      <c r="M80" s="1">
        <v>-2.1771068535460306E-3</v>
      </c>
      <c r="N80" s="1">
        <v>-7.373225455525878E-4</v>
      </c>
      <c r="O80" s="1">
        <v>-4.4779487263591211E-3</v>
      </c>
      <c r="P80" s="1">
        <v>-2.806082570205648E-3</v>
      </c>
      <c r="Q80" s="1">
        <v>-2.9481446990780799E-3</v>
      </c>
      <c r="R80" s="1">
        <v>4.1122074545780485E-3</v>
      </c>
      <c r="S80" s="1">
        <v>4.1712353492855958E-3</v>
      </c>
      <c r="T80" s="1">
        <v>1.4337288621711422E-3</v>
      </c>
      <c r="U80" s="1">
        <v>-6.0554458223144314E-6</v>
      </c>
      <c r="V80" s="1">
        <v>2.0001839415618658E-3</v>
      </c>
      <c r="W80" s="1">
        <v>-2.7435619329367611E-3</v>
      </c>
      <c r="X80" s="1">
        <v>4.7967183233838528E-3</v>
      </c>
      <c r="Y80" s="1">
        <v>3.0906063650262827E-4</v>
      </c>
      <c r="Z80" s="1">
        <v>7.0267976258151163E-3</v>
      </c>
      <c r="AA80" s="1">
        <v>-7.373225455525878E-4</v>
      </c>
      <c r="AB80" s="1">
        <v>-2.1613424472016196E-3</v>
      </c>
      <c r="AC80" s="1">
        <v>4.5646364752238155E-3</v>
      </c>
      <c r="AD80" s="1">
        <v>-1.8859971106784598E-3</v>
      </c>
      <c r="AE80" s="1">
        <v>-2.0748154704753677E-3</v>
      </c>
      <c r="AF80" s="1">
        <v>-7.805860339157103E-4</v>
      </c>
      <c r="AG80" s="1">
        <v>-1.3037776249433183E-3</v>
      </c>
      <c r="AH80" s="1">
        <v>3.2271435503010426E-3</v>
      </c>
      <c r="AI80" s="1">
        <v>-3.7384396935158937E-3</v>
      </c>
      <c r="AJ80" s="1">
        <v>-1.5673882857921706E-3</v>
      </c>
      <c r="AK80" s="1">
        <v>-1.6381508561740116E-3</v>
      </c>
      <c r="AL80" s="1">
        <v>-1.7837057276077969E-3</v>
      </c>
      <c r="AM80" s="1">
        <v>-2.8891168043705465E-3</v>
      </c>
      <c r="AN80" s="1">
        <v>-3.6794117988083533E-3</v>
      </c>
      <c r="AO80" s="1">
        <v>-1.5510305981744632E-4</v>
      </c>
      <c r="AP80" s="1">
        <v>-1.7404422392446744E-3</v>
      </c>
      <c r="AQ80" s="1">
        <v>1.7681020934018285E-3</v>
      </c>
      <c r="AR80" s="1">
        <v>1.1741479319923864E-3</v>
      </c>
      <c r="AS80" s="1">
        <v>2.2253365977637635E-4</v>
      </c>
      <c r="AT80" s="1">
        <v>1.0724160318258527E-2</v>
      </c>
      <c r="AU80" s="1">
        <v>4.9855366831807607E-3</v>
      </c>
      <c r="AV80" s="1">
        <v>1.4927567568786757E-3</v>
      </c>
      <c r="AW80" s="1">
        <v>-9.8516880005703605E-4</v>
      </c>
      <c r="AX80" s="1">
        <v>-4.4621280268501012E-4</v>
      </c>
      <c r="AY80" s="1">
        <v>-1.8427336223153373E-3</v>
      </c>
      <c r="AZ80" s="1">
        <v>-1.5948873678108891E-3</v>
      </c>
      <c r="BA80" s="1">
        <v>1.9463348795630053E-2</v>
      </c>
      <c r="BB80" s="1">
        <v>2.4454940924633115E-2</v>
      </c>
      <c r="BC80" s="1">
        <v>2.2594256408682727E-2</v>
      </c>
      <c r="BD80" s="1">
        <v>1.9794229284299386E-2</v>
      </c>
      <c r="BE80" s="1">
        <v>2.3365294254214783E-2</v>
      </c>
      <c r="BF80" s="1">
        <v>2.0069574620822532E-2</v>
      </c>
      <c r="BG80" s="1">
        <v>2.7963485257279624E-2</v>
      </c>
      <c r="BH80" s="1">
        <v>1.3033228806623769E-2</v>
      </c>
      <c r="BI80" s="1">
        <v>1.7249033899543201E-2</v>
      </c>
      <c r="BJ80" s="1">
        <v>2.4537975158798006E-2</v>
      </c>
      <c r="BK80" s="1">
        <v>1.194358213620543E-2</v>
      </c>
      <c r="BL80" s="1">
        <v>2.5749170361192765E-2</v>
      </c>
      <c r="BM80" s="1">
        <v>8.9774865434923065E-3</v>
      </c>
      <c r="BN80" s="1">
        <v>2.1906252797315569E-2</v>
      </c>
      <c r="BO80" s="1">
        <v>2.0592766211850147E-2</v>
      </c>
      <c r="BP80" s="1">
        <v>2.0277650129525211E-2</v>
      </c>
      <c r="BQ80" s="1">
        <v>2.6752290054884852E-2</v>
      </c>
      <c r="BR80" s="1">
        <v>1.0590324804938239E-2</v>
      </c>
      <c r="BS80" s="1">
        <v>2.3235503789125402E-2</v>
      </c>
      <c r="BT80" s="1">
        <v>1.3866787289424712E-2</v>
      </c>
      <c r="BU80" s="1">
        <v>3.5082865305643286E-2</v>
      </c>
      <c r="BV80" s="1">
        <v>1.8732081695899759E-2</v>
      </c>
      <c r="BW80" s="1">
        <v>2.3467585637285446E-2</v>
      </c>
      <c r="BX80" s="1">
        <v>1.5746728954280857E-2</v>
      </c>
      <c r="BY80" s="1">
        <v>1.7917780362004587E-2</v>
      </c>
      <c r="BZ80" s="1">
        <v>2.0423205000959004E-2</v>
      </c>
      <c r="CA80" s="1">
        <v>1.9376821818903794E-2</v>
      </c>
      <c r="CB80" s="1">
        <v>2.9044889994585002E-2</v>
      </c>
      <c r="CC80" s="1">
        <v>2.5225978770165171E-2</v>
      </c>
      <c r="CD80" s="1">
        <v>1.0735879676372018E-2</v>
      </c>
      <c r="CE80" s="1">
        <v>1.4012342160858497E-2</v>
      </c>
      <c r="CF80" s="1">
        <v>1.1026989419239595E-2</v>
      </c>
      <c r="CG80" s="1">
        <v>1.6561030288176036E-2</v>
      </c>
      <c r="CH80" s="1">
        <v>2.783369479219025E-2</v>
      </c>
      <c r="CI80" s="1">
        <v>2.7421036517346245E-2</v>
      </c>
      <c r="CJ80" s="1">
        <v>2.9155423310768619E-2</v>
      </c>
      <c r="CK80" s="1">
        <v>2.3263002871144113E-2</v>
      </c>
      <c r="CL80" s="1">
        <v>1.7119243434453826E-2</v>
      </c>
      <c r="CM80" s="1">
        <v>2.0781584571647055E-2</v>
      </c>
      <c r="CN80" s="1">
        <v>2.0171866003893209E-2</v>
      </c>
      <c r="CO80" s="1">
        <v>1.7375331622071215E-2</v>
      </c>
      <c r="CP80" s="1">
        <v>2.2095071157112477E-2</v>
      </c>
      <c r="CQ80" s="1">
        <v>1.6372211928379128E-2</v>
      </c>
      <c r="CR80" s="1">
        <v>1.2510037215596161E-2</v>
      </c>
      <c r="CS80" s="1">
        <v>2.0215129492256324E-2</v>
      </c>
      <c r="CT80" s="1">
        <v>1.7461858598797453E-2</v>
      </c>
      <c r="CU80" s="1">
        <v>2.0258392980619447E-2</v>
      </c>
      <c r="CV80" s="1">
        <v>1.8586526824465974E-2</v>
      </c>
      <c r="CW80" s="1">
        <v>1.5538653445578185E-2</v>
      </c>
      <c r="CX80" s="1">
        <v>2.0069574620822532E-2</v>
      </c>
      <c r="CY80" s="1">
        <v>1.5729114754155754E-2</v>
      </c>
      <c r="CZ80" s="1">
        <v>-1.6440456981856311E-3</v>
      </c>
      <c r="DA80" s="1">
        <v>5.4626285844387029E-4</v>
      </c>
      <c r="DB80" s="1">
        <v>-5.9236278763641764E-3</v>
      </c>
      <c r="DC80" s="1">
        <v>5.5378549874469454E-3</v>
      </c>
      <c r="DD80" s="1">
        <v>-1.1256032977096098E-3</v>
      </c>
      <c r="DE80" s="1">
        <v>-4.9830288199409836E-3</v>
      </c>
      <c r="DF80" s="1">
        <v>-9.2673601886711435E-3</v>
      </c>
      <c r="DG80" s="1">
        <v>-8.0163942404746016E-3</v>
      </c>
      <c r="DH80" s="1">
        <v>1.3286210752470225E-2</v>
      </c>
      <c r="DI80" s="1">
        <v>-5.5213776197035602E-5</v>
      </c>
      <c r="DJ80" s="1">
        <v>-3.6502850855698044E-3</v>
      </c>
      <c r="DK80" s="1">
        <v>1.5493825521359569E-3</v>
      </c>
      <c r="DL80" s="1">
        <v>1.2980435550701414E-3</v>
      </c>
      <c r="DM80" s="1">
        <v>1.3471536369705772E-2</v>
      </c>
      <c r="DN80" s="1">
        <v>9.2352176798903424E-3</v>
      </c>
      <c r="DO80" s="1">
        <v>-6.403555979028655E-3</v>
      </c>
      <c r="DP80" s="1">
        <v>3.0359230910538826E-3</v>
      </c>
      <c r="DQ80" s="1">
        <v>3.7554555151098484E-3</v>
      </c>
      <c r="DR80" s="1">
        <v>-1.5198294926107157E-2</v>
      </c>
      <c r="DS80" s="1">
        <v>7.5633515237368693E-3</v>
      </c>
      <c r="DT80" s="1">
        <v>2.1988718656915651E-3</v>
      </c>
      <c r="DU80" s="1">
        <v>-4.8229659901530275E-3</v>
      </c>
      <c r="DV80" s="1">
        <v>-6.3012645959579991E-3</v>
      </c>
      <c r="DW80" s="1">
        <v>2.4502108627573738E-3</v>
      </c>
      <c r="DX80" s="1">
        <v>-8.3665318780497058E-3</v>
      </c>
      <c r="DY80" s="1">
        <v>-5.7780730049304049E-3</v>
      </c>
      <c r="DZ80" s="1">
        <v>-5.0660630541058821E-3</v>
      </c>
      <c r="EA80" s="1">
        <v>2.5092387574649072E-3</v>
      </c>
      <c r="EB80" s="1">
        <v>-1.4714874080881325E-2</v>
      </c>
      <c r="EC80" s="1">
        <v>-6.8051990380798427E-3</v>
      </c>
      <c r="ED80" s="1">
        <v>-3.6035288546453215E-3</v>
      </c>
      <c r="EE80" s="1">
        <v>5.4945914990838091E-3</v>
      </c>
      <c r="EF80" s="1">
        <v>-1.506850446101779E-2</v>
      </c>
      <c r="EG80" s="1">
        <v>-1.7762747459769121E-2</v>
      </c>
      <c r="EH80" s="1">
        <v>4.5107289542974799E-3</v>
      </c>
      <c r="EI80" s="1">
        <v>1.293258037233376E-2</v>
      </c>
      <c r="EJ80" s="1">
        <v>-5.8803643880010609E-3</v>
      </c>
      <c r="EK80" s="1">
        <v>-4.7316898228751819E-3</v>
      </c>
      <c r="EL80" s="1">
        <v>1.4038276807021646E-3</v>
      </c>
      <c r="EM80" s="1">
        <v>1.1028632368020243E-2</v>
      </c>
      <c r="EN80" s="1">
        <v>7.3745331639399544E-3</v>
      </c>
      <c r="EO80" s="1">
        <v>-1.6440456981856311E-3</v>
      </c>
      <c r="EP80" s="1">
        <v>7.8977247549675694E-3</v>
      </c>
      <c r="EQ80" s="1">
        <v>1.4391621829232967E-2</v>
      </c>
      <c r="ER80" s="1">
        <v>7.8544612666044331E-3</v>
      </c>
      <c r="ES80" s="1">
        <v>-3.6935485739329199E-3</v>
      </c>
      <c r="ET80" s="1">
        <v>-4.3285049579085827E-4</v>
      </c>
      <c r="EU80" s="1">
        <v>1.0281600861945545E-2</v>
      </c>
      <c r="EV80" s="10">
        <v>-4.3973165916444956E-3</v>
      </c>
    </row>
    <row r="81" spans="1:152" x14ac:dyDescent="0.25">
      <c r="A81" s="21">
        <f t="shared" ca="1" si="1"/>
        <v>3.7804743546664021E-2</v>
      </c>
      <c r="B81" s="5">
        <v>80</v>
      </c>
      <c r="C81" s="9">
        <v>3.1357436801555671E-3</v>
      </c>
      <c r="D81" s="1">
        <v>-4.6726172399536026E-5</v>
      </c>
      <c r="E81" s="1">
        <v>1.1870144759525691E-3</v>
      </c>
      <c r="F81" s="1">
        <v>5.4211037129800466E-4</v>
      </c>
      <c r="G81" s="1">
        <v>3.7526140043316059E-3</v>
      </c>
      <c r="H81" s="1">
        <v>-5.90008726516765E-3</v>
      </c>
      <c r="I81" s="1">
        <v>-3.3659432223071828E-3</v>
      </c>
      <c r="J81" s="1">
        <v>2.4908395755009749E-3</v>
      </c>
      <c r="K81" s="1">
        <v>-7.4769783801117984E-4</v>
      </c>
      <c r="L81" s="1">
        <v>6.3848762788669133E-3</v>
      </c>
      <c r="M81" s="1">
        <v>4.4395687797039729E-3</v>
      </c>
      <c r="N81" s="1">
        <v>2.4628057950224491E-3</v>
      </c>
      <c r="O81" s="1">
        <v>5.739972174212335E-3</v>
      </c>
      <c r="P81" s="1">
        <v>5.6698877230160066E-3</v>
      </c>
      <c r="Q81" s="1">
        <v>6.3882979839069709E-3</v>
      </c>
      <c r="R81" s="1">
        <v>-2.7036005223732978E-3</v>
      </c>
      <c r="S81" s="1">
        <v>-5.90008726516765E-3</v>
      </c>
      <c r="T81" s="1">
        <v>-2.6649715566955667E-3</v>
      </c>
      <c r="U81" s="1">
        <v>-6.8820857201404295E-4</v>
      </c>
      <c r="V81" s="1">
        <v>-7.723099134496203E-4</v>
      </c>
      <c r="W81" s="1">
        <v>2.5469071364580542E-3</v>
      </c>
      <c r="X81" s="1">
        <v>-7.2039123647160558E-3</v>
      </c>
      <c r="Y81" s="1">
        <v>3.6965464433745543E-3</v>
      </c>
      <c r="Z81" s="1">
        <v>-1.5528176459228424E-2</v>
      </c>
      <c r="AA81" s="1">
        <v>2.4628057950224491E-3</v>
      </c>
      <c r="AB81" s="1">
        <v>-3.2709282160259257E-5</v>
      </c>
      <c r="AC81" s="1">
        <v>-9.1105908982012651E-3</v>
      </c>
      <c r="AD81" s="1">
        <v>3.1497605703948439E-3</v>
      </c>
      <c r="AE81" s="1">
        <v>2.5188733559795284E-3</v>
      </c>
      <c r="AF81" s="1">
        <v>1.1870144759525691E-3</v>
      </c>
      <c r="AG81" s="1">
        <v>5.7014415177653044E-4</v>
      </c>
      <c r="AH81" s="1">
        <v>-9.0545233372441997E-3</v>
      </c>
      <c r="AI81" s="1">
        <v>1.2735799093737829E-2</v>
      </c>
      <c r="AJ81" s="1">
        <v>7.6080217420197993E-3</v>
      </c>
      <c r="AK81" s="1">
        <v>5.8416104201577945E-4</v>
      </c>
      <c r="AL81" s="1">
        <v>1.2290651466703717E-3</v>
      </c>
      <c r="AM81" s="1">
        <v>3.1918112411126187E-3</v>
      </c>
      <c r="AN81" s="1">
        <v>9.539312350943463E-3</v>
      </c>
      <c r="AO81" s="1">
        <v>-1.1681062359586436E-4</v>
      </c>
      <c r="AP81" s="1">
        <v>2.5048564657402517E-3</v>
      </c>
      <c r="AQ81" s="1">
        <v>-2.6789884469348435E-3</v>
      </c>
      <c r="AR81" s="1">
        <v>-1.0319719471114902E-2</v>
      </c>
      <c r="AS81" s="1">
        <v>1.1449638052347666E-3</v>
      </c>
      <c r="AT81" s="1">
        <v>-2.0081134157488204E-2</v>
      </c>
      <c r="AU81" s="1">
        <v>-6.5730251503007403E-3</v>
      </c>
      <c r="AV81" s="1">
        <v>-5.8614582994899189E-3</v>
      </c>
      <c r="AW81" s="1">
        <v>5.0284053234015136E-3</v>
      </c>
      <c r="AX81" s="1">
        <v>1.1729975857133201E-3</v>
      </c>
      <c r="AY81" s="1">
        <v>4.4255518894647239E-3</v>
      </c>
      <c r="AZ81" s="1">
        <v>1.8599523610856594E-3</v>
      </c>
      <c r="BA81" s="1">
        <v>1.8569425458861866E-2</v>
      </c>
      <c r="BB81" s="1">
        <v>1.2684608880575127E-2</v>
      </c>
      <c r="BC81" s="1">
        <v>1.2123806117356153E-2</v>
      </c>
      <c r="BD81" s="1">
        <v>1.8481902412386175E-2</v>
      </c>
      <c r="BE81" s="1">
        <v>1.0175076913153142E-2</v>
      </c>
      <c r="BF81" s="1">
        <v>2.1664372264941278E-2</v>
      </c>
      <c r="BG81" s="1">
        <v>7.5007639679000454E-3</v>
      </c>
      <c r="BH81" s="1">
        <v>3.6430833995919273E-2</v>
      </c>
      <c r="BI81" s="1">
        <v>2.242141149150996E-2</v>
      </c>
      <c r="BJ81" s="1">
        <v>1.5162685362478528E-2</v>
      </c>
      <c r="BK81" s="1">
        <v>3.3921302028497288E-2</v>
      </c>
      <c r="BL81" s="1">
        <v>1.1352750000548181E-2</v>
      </c>
      <c r="BM81" s="1">
        <v>3.5323245359720562E-2</v>
      </c>
      <c r="BN81" s="1">
        <v>1.6550611803462525E-2</v>
      </c>
      <c r="BO81" s="1">
        <v>2.2281242589117303E-2</v>
      </c>
      <c r="BP81" s="1">
        <v>1.7896487573728762E-2</v>
      </c>
      <c r="BQ81" s="1">
        <v>1.1310699329830379E-2</v>
      </c>
      <c r="BR81" s="1">
        <v>3.84496476513186E-2</v>
      </c>
      <c r="BS81" s="1">
        <v>6.3477029559435016E-3</v>
      </c>
      <c r="BT81" s="1">
        <v>3.1359124205158295E-2</v>
      </c>
      <c r="BU81" s="1">
        <v>-4.7876212811745755E-3</v>
      </c>
      <c r="BV81" s="1">
        <v>2.172043982589833E-2</v>
      </c>
      <c r="BW81" s="1">
        <v>8.2543814894286971E-3</v>
      </c>
      <c r="BX81" s="1">
        <v>2.7521155062749464E-2</v>
      </c>
      <c r="BY81" s="1">
        <v>2.2393377711031434E-2</v>
      </c>
      <c r="BZ81" s="1">
        <v>1.7251583469074169E-2</v>
      </c>
      <c r="CA81" s="1">
        <v>1.6017842820722078E-2</v>
      </c>
      <c r="CB81" s="1">
        <v>-1.3654535123992784E-4</v>
      </c>
      <c r="CC81" s="1">
        <v>1.0735879676372129E-2</v>
      </c>
      <c r="CD81" s="1">
        <v>3.7804743546664021E-2</v>
      </c>
      <c r="CE81" s="1">
        <v>3.0714220100503731E-2</v>
      </c>
      <c r="CF81" s="1">
        <v>3.6514935337354865E-2</v>
      </c>
      <c r="CG81" s="1">
        <v>2.684821717761636E-2</v>
      </c>
      <c r="CH81" s="1">
        <v>3.6733900106903777E-3</v>
      </c>
      <c r="CI81" s="1">
        <v>1.1282665549351853E-2</v>
      </c>
      <c r="CJ81" s="1">
        <v>8.0896005115975583E-3</v>
      </c>
      <c r="CK81" s="1">
        <v>1.2095772336877628E-2</v>
      </c>
      <c r="CL81" s="1">
        <v>1.8594037534300306E-2</v>
      </c>
      <c r="CM81" s="1">
        <v>2.2912129803532619E-2</v>
      </c>
      <c r="CN81" s="1">
        <v>1.9743676841216806E-2</v>
      </c>
      <c r="CO81" s="1">
        <v>2.6175279292483242E-2</v>
      </c>
      <c r="CP81" s="1">
        <v>1.7181499017877841E-2</v>
      </c>
      <c r="CQ81" s="1">
        <v>2.6217329963201044E-2</v>
      </c>
      <c r="CR81" s="1">
        <v>3.5813963671743221E-2</v>
      </c>
      <c r="CS81" s="1">
        <v>2.1019468160286686E-2</v>
      </c>
      <c r="CT81" s="1">
        <v>2.8726861930623029E-2</v>
      </c>
      <c r="CU81" s="1">
        <v>2.229525947935658E-2</v>
      </c>
      <c r="CV81" s="1">
        <v>2.2365343930552908E-2</v>
      </c>
      <c r="CW81" s="1">
        <v>3.1289039753961995E-2</v>
      </c>
      <c r="CX81" s="1">
        <v>2.1664372264941278E-2</v>
      </c>
      <c r="CY81" s="1">
        <v>-2.5479066547569387E-2</v>
      </c>
      <c r="CZ81" s="1">
        <v>5.4698171358491671E-3</v>
      </c>
      <c r="DA81" s="1">
        <v>-4.0567321214967228E-3</v>
      </c>
      <c r="DB81" s="1">
        <v>1.2602391252727219E-2</v>
      </c>
      <c r="DC81" s="1">
        <v>-9.9415486997834479E-3</v>
      </c>
      <c r="DD81" s="1">
        <v>-3.9866476703003945E-3</v>
      </c>
      <c r="DE81" s="1">
        <v>1.5683321168567382E-2</v>
      </c>
      <c r="DF81" s="1">
        <v>1.2742560155119875E-2</v>
      </c>
      <c r="DG81" s="1">
        <v>1.0134909956023036E-2</v>
      </c>
      <c r="DH81" s="1">
        <v>-2.3460252892170061E-2</v>
      </c>
      <c r="DI81" s="1">
        <v>2.9216562027494508E-3</v>
      </c>
      <c r="DJ81" s="1">
        <v>5.5539184772847583E-3</v>
      </c>
      <c r="DK81" s="1">
        <v>-4.0987827922145115E-3</v>
      </c>
      <c r="DL81" s="1">
        <v>-1.6066894200718607E-3</v>
      </c>
      <c r="DM81" s="1">
        <v>-2.2902871833991145E-2</v>
      </c>
      <c r="DN81" s="1">
        <v>-1.4494506398043172E-2</v>
      </c>
      <c r="DO81" s="1">
        <v>1.326131224762106E-2</v>
      </c>
      <c r="DP81" s="1">
        <v>-4.7262483015897694E-3</v>
      </c>
      <c r="DQ81" s="1">
        <v>-1.8097610111424592E-2</v>
      </c>
      <c r="DR81" s="1">
        <v>2.5546275791655609E-2</v>
      </c>
      <c r="DS81" s="1">
        <v>-1.4424421946846844E-2</v>
      </c>
      <c r="DT81" s="1">
        <v>2.71955332934809E-4</v>
      </c>
      <c r="DU81" s="1">
        <v>5.6631002795937135E-4</v>
      </c>
      <c r="DV81" s="1">
        <v>1.1340616823896602E-2</v>
      </c>
      <c r="DW81" s="1">
        <v>-2.2201380392078418E-3</v>
      </c>
      <c r="DX81" s="1">
        <v>1.4621204908126545E-2</v>
      </c>
      <c r="DY81" s="1">
        <v>1.1957487148072654E-2</v>
      </c>
      <c r="DZ81" s="1">
        <v>1.3205244686663994E-2</v>
      </c>
      <c r="EA81" s="1">
        <v>-5.416624782002194E-3</v>
      </c>
      <c r="EB81" s="1">
        <v>2.4960860952998168E-2</v>
      </c>
      <c r="EC81" s="1">
        <v>6.3249745940927304E-3</v>
      </c>
      <c r="ED81" s="1">
        <v>6.9032159525910242E-3</v>
      </c>
      <c r="EE81" s="1">
        <v>-1.1217340018853328E-2</v>
      </c>
      <c r="EF81" s="1">
        <v>2.9373649748865277E-2</v>
      </c>
      <c r="EG81" s="1">
        <v>3.3884556776407254E-2</v>
      </c>
      <c r="EH81" s="1">
        <v>-1.5574061253763344E-2</v>
      </c>
      <c r="EI81" s="1">
        <v>-1.9047464096302938E-2</v>
      </c>
      <c r="EJ81" s="1">
        <v>1.3878182571797112E-2</v>
      </c>
      <c r="EK81" s="1">
        <v>1.3191227796424732E-2</v>
      </c>
      <c r="EL81" s="1">
        <v>-3.4538786875599331E-3</v>
      </c>
      <c r="EM81" s="1">
        <v>-2.0884058178591805E-2</v>
      </c>
      <c r="EN81" s="1">
        <v>-1.5055309161262145E-2</v>
      </c>
      <c r="EO81" s="1">
        <v>5.4698171358491671E-3</v>
      </c>
      <c r="EP81" s="1">
        <v>-1.4438438837086093E-2</v>
      </c>
      <c r="EQ81" s="1">
        <v>-2.5422998986612322E-2</v>
      </c>
      <c r="ER81" s="1">
        <v>-1.5714230156155987E-2</v>
      </c>
      <c r="ES81" s="1">
        <v>4.2781271582148783E-3</v>
      </c>
      <c r="ET81" s="1">
        <v>1.6598817739188199E-3</v>
      </c>
      <c r="EU81" s="1">
        <v>-1.3260765749691067E-2</v>
      </c>
      <c r="EV81" s="10">
        <v>1.3177210906185469E-2</v>
      </c>
    </row>
    <row r="82" spans="1:152" x14ac:dyDescent="0.25">
      <c r="A82" s="21">
        <f t="shared" ca="1" si="1"/>
        <v>3.1451954405067713E-2</v>
      </c>
      <c r="B82" s="5">
        <v>81</v>
      </c>
      <c r="C82" s="9">
        <v>-1.0103457176624531E-4</v>
      </c>
      <c r="D82" s="1">
        <v>6.713608734598607E-3</v>
      </c>
      <c r="E82" s="1">
        <v>4.9471020818682085E-3</v>
      </c>
      <c r="F82" s="1">
        <v>6.5156058866730968E-3</v>
      </c>
      <c r="G82" s="1">
        <v>-9.8428789813143763E-4</v>
      </c>
      <c r="H82" s="1">
        <v>-1.0830971161858098E-2</v>
      </c>
      <c r="I82" s="1">
        <v>4.3869688487190028E-4</v>
      </c>
      <c r="J82" s="1">
        <v>1.4674692330386291E-3</v>
      </c>
      <c r="K82" s="1">
        <v>9.6526134962828455E-3</v>
      </c>
      <c r="L82" s="1">
        <v>7.8870034740596701E-3</v>
      </c>
      <c r="M82" s="1">
        <v>-3.5806674205958386E-3</v>
      </c>
      <c r="N82" s="1">
        <v>2.1527197114783042E-3</v>
      </c>
      <c r="O82" s="1">
        <v>9.4555072788645445E-3</v>
      </c>
      <c r="P82" s="1">
        <v>1.1168633474963746E-2</v>
      </c>
      <c r="Q82" s="1">
        <v>-8.6288040742302924E-3</v>
      </c>
      <c r="R82" s="1">
        <v>-1.7988239707442788E-2</v>
      </c>
      <c r="S82" s="1">
        <v>-1.0830971161858098E-2</v>
      </c>
      <c r="T82" s="1">
        <v>-2.5003078768123382E-3</v>
      </c>
      <c r="U82" s="1">
        <v>-8.2336950088864741E-3</v>
      </c>
      <c r="V82" s="1">
        <v>-6.1779435735674348E-3</v>
      </c>
      <c r="W82" s="1">
        <v>9.6968276159264954E-5</v>
      </c>
      <c r="X82" s="1">
        <v>-7.3513383130285048E-3</v>
      </c>
      <c r="Y82" s="1">
        <v>3.862130587479265E-4</v>
      </c>
      <c r="Z82" s="1">
        <v>-4.8470973557344643E-3</v>
      </c>
      <c r="AA82" s="1">
        <v>2.1527197114783042E-3</v>
      </c>
      <c r="AB82" s="1">
        <v>6.3709834953787695E-3</v>
      </c>
      <c r="AC82" s="1">
        <v>-3.3310773770535637E-3</v>
      </c>
      <c r="AD82" s="1">
        <v>-4.4365981098608287E-4</v>
      </c>
      <c r="AE82" s="1">
        <v>7.8221875459895396E-4</v>
      </c>
      <c r="AF82" s="1">
        <v>4.9471020818682085E-3</v>
      </c>
      <c r="AG82" s="1">
        <v>5.8303554082334078E-3</v>
      </c>
      <c r="AH82" s="1">
        <v>-4.7015783339329278E-3</v>
      </c>
      <c r="AI82" s="1">
        <v>-5.3996578994501832E-3</v>
      </c>
      <c r="AJ82" s="1">
        <v>-1.0052685487740839E-2</v>
      </c>
      <c r="AK82" s="1">
        <v>5.4877301690135702E-3</v>
      </c>
      <c r="AL82" s="1">
        <v>3.9192263642086958E-3</v>
      </c>
      <c r="AM82" s="1">
        <v>-1.4715355286455956E-3</v>
      </c>
      <c r="AN82" s="1">
        <v>1.7576106461344998E-3</v>
      </c>
      <c r="AO82" s="1">
        <v>8.4267349306978087E-3</v>
      </c>
      <c r="AP82" s="1">
        <v>1.1248439938187915E-3</v>
      </c>
      <c r="AQ82" s="1">
        <v>-2.1576826375925007E-3</v>
      </c>
      <c r="AR82" s="1">
        <v>1.4265986345527115E-2</v>
      </c>
      <c r="AS82" s="1">
        <v>5.9749777995277351E-3</v>
      </c>
      <c r="AT82" s="1">
        <v>-9.3555025527308003E-3</v>
      </c>
      <c r="AU82" s="1">
        <v>-8.5772168786135347E-3</v>
      </c>
      <c r="AV82" s="1">
        <v>4.6569606687723517E-3</v>
      </c>
      <c r="AW82" s="1">
        <v>-3.7786702685213419E-3</v>
      </c>
      <c r="AX82" s="1">
        <v>5.2897273210880599E-3</v>
      </c>
      <c r="AY82" s="1">
        <v>-3.2380421813759871E-3</v>
      </c>
      <c r="AZ82" s="1">
        <v>2.6933477986236659E-3</v>
      </c>
      <c r="BA82" s="1">
        <v>9.3077273769515412E-3</v>
      </c>
      <c r="BB82" s="1">
        <v>8.9642055072244806E-3</v>
      </c>
      <c r="BC82" s="1">
        <v>8.4769578767103157E-3</v>
      </c>
      <c r="BD82" s="1">
        <v>2.7879286360560546E-2</v>
      </c>
      <c r="BE82" s="1">
        <v>1.3525094530344776E-2</v>
      </c>
      <c r="BF82" s="1">
        <v>2.1064643054195687E-2</v>
      </c>
      <c r="BG82" s="1">
        <v>5.6816788758131884E-3</v>
      </c>
      <c r="BH82" s="1">
        <v>3.5906979145432838E-2</v>
      </c>
      <c r="BI82" s="1">
        <v>1.6755137335632112E-2</v>
      </c>
      <c r="BJ82" s="1">
        <v>2.1604374510833822E-2</v>
      </c>
      <c r="BK82" s="1">
        <v>4.0467868168553134E-2</v>
      </c>
      <c r="BL82" s="1">
        <v>1.3129088834493742E-2</v>
      </c>
      <c r="BM82" s="1">
        <v>3.4589858645184671E-2</v>
      </c>
      <c r="BN82" s="1">
        <v>1.6068990226685204E-2</v>
      </c>
      <c r="BO82" s="1">
        <v>2.0181389727830488E-2</v>
      </c>
      <c r="BP82" s="1">
        <v>1.1561481660196091E-2</v>
      </c>
      <c r="BQ82" s="1">
        <v>1.4156964552153255E-2</v>
      </c>
      <c r="BR82" s="1">
        <v>2.9145716295699176E-2</v>
      </c>
      <c r="BS82" s="1">
        <v>2.1908241641514503E-2</v>
      </c>
      <c r="BT82" s="1">
        <v>2.9883450600262824E-2</v>
      </c>
      <c r="BU82" s="1">
        <v>3.4795117881853688E-3</v>
      </c>
      <c r="BV82" s="1">
        <v>1.9694142097316337E-2</v>
      </c>
      <c r="BW82" s="1">
        <v>1.7887980705539569E-2</v>
      </c>
      <c r="BX82" s="1">
        <v>2.2093415402362437E-2</v>
      </c>
      <c r="BY82" s="1">
        <v>1.7440387814071787E-2</v>
      </c>
      <c r="BZ82" s="1">
        <v>1.3129985465000979E-2</v>
      </c>
      <c r="CA82" s="1">
        <v>1.4896492117731364E-2</v>
      </c>
      <c r="CB82" s="1">
        <v>5.5895403106428349E-3</v>
      </c>
      <c r="CC82" s="1">
        <v>1.4012342160858941E-2</v>
      </c>
      <c r="CD82" s="1">
        <v>3.071422010050405E-2</v>
      </c>
      <c r="CE82" s="1">
        <v>3.1451954405067713E-2</v>
      </c>
      <c r="CF82" s="1">
        <v>3.3851227710113813E-2</v>
      </c>
      <c r="CG82" s="1">
        <v>2.4347169685606979E-2</v>
      </c>
      <c r="CH82" s="1">
        <v>1.4064825986982908E-2</v>
      </c>
      <c r="CI82" s="1">
        <v>1.484221503059293E-2</v>
      </c>
      <c r="CJ82" s="1">
        <v>5.4836760278876642E-3</v>
      </c>
      <c r="CK82" s="1">
        <v>9.1622083551499908E-3</v>
      </c>
      <c r="CL82" s="1">
        <v>2.5138284446801832E-2</v>
      </c>
      <c r="CM82" s="1">
        <v>1.8955511162245451E-2</v>
      </c>
      <c r="CN82" s="1">
        <v>2.542752922939048E-2</v>
      </c>
      <c r="CO82" s="1">
        <v>2.6600923968851543E-2</v>
      </c>
      <c r="CP82" s="1">
        <v>1.4843111661100167E-2</v>
      </c>
      <c r="CQ82" s="1">
        <v>2.5573048251192016E-2</v>
      </c>
      <c r="CR82" s="1">
        <v>3.679023247179803E-2</v>
      </c>
      <c r="CS82" s="1">
        <v>2.2633146859000555E-2</v>
      </c>
      <c r="CT82" s="1">
        <v>2.1012159228071713E-2</v>
      </c>
      <c r="CU82" s="1">
        <v>1.983876448861065E-2</v>
      </c>
      <c r="CV82" s="1">
        <v>1.8125638292511462E-2</v>
      </c>
      <c r="CW82" s="1">
        <v>3.1596576796362026E-2</v>
      </c>
      <c r="CX82" s="1">
        <v>2.1064643054195687E-2</v>
      </c>
      <c r="CY82" s="1">
        <v>-1.4382158900772171E-2</v>
      </c>
      <c r="CZ82" s="1">
        <v>9.081878519113816E-3</v>
      </c>
      <c r="DA82" s="1">
        <v>-3.8484318975913895E-3</v>
      </c>
      <c r="DB82" s="1">
        <v>7.3162684968906544E-3</v>
      </c>
      <c r="DC82" s="1">
        <v>-4.191953767318464E-3</v>
      </c>
      <c r="DD82" s="1">
        <v>-5.5615580936905912E-3</v>
      </c>
      <c r="DE82" s="1">
        <v>1.9415809413354641E-2</v>
      </c>
      <c r="DF82" s="1">
        <v>3.8900161046922649E-3</v>
      </c>
      <c r="DG82" s="1">
        <v>1.0849281802351431E-2</v>
      </c>
      <c r="DH82" s="1">
        <v>-2.1143421750505827E-2</v>
      </c>
      <c r="DI82" s="1">
        <v>-1.8451642883963379E-3</v>
      </c>
      <c r="DJ82" s="1">
        <v>7.0261270837947906E-3</v>
      </c>
      <c r="DK82" s="1">
        <v>-2.8205561799318768E-3</v>
      </c>
      <c r="DL82" s="1">
        <v>9.4769875844576273E-3</v>
      </c>
      <c r="DM82" s="1">
        <v>-4.1403665717017063E-3</v>
      </c>
      <c r="DN82" s="1">
        <v>-8.7003589643147791E-3</v>
      </c>
      <c r="DO82" s="1">
        <v>5.4051394528659286E-3</v>
      </c>
      <c r="DP82" s="1">
        <v>-1.8110485162636802E-2</v>
      </c>
      <c r="DQ82" s="1">
        <v>-5.7992156806624812E-3</v>
      </c>
      <c r="DR82" s="1">
        <v>2.4123114088783704E-2</v>
      </c>
      <c r="DS82" s="1">
        <v>-1.0413485160413981E-2</v>
      </c>
      <c r="DT82" s="1">
        <v>6.1419771269223614E-3</v>
      </c>
      <c r="DU82" s="1">
        <v>-1.0531528966942552E-3</v>
      </c>
      <c r="DV82" s="1">
        <v>9.7680256280607211E-3</v>
      </c>
      <c r="DW82" s="1">
        <v>-6.1555666374671428E-3</v>
      </c>
      <c r="DX82" s="1">
        <v>5.5500564715699197E-4</v>
      </c>
      <c r="DY82" s="1">
        <v>8.8847723016955288E-3</v>
      </c>
      <c r="DZ82" s="1">
        <v>6.7756404097452927E-3</v>
      </c>
      <c r="EA82" s="1">
        <v>1.001701908117561E-3</v>
      </c>
      <c r="EB82" s="1">
        <v>7.8053093884192654E-3</v>
      </c>
      <c r="EC82" s="1">
        <v>2.3739961260113573E-3</v>
      </c>
      <c r="ED82" s="1">
        <v>-1.3997189030984278E-2</v>
      </c>
      <c r="EE82" s="1">
        <v>-1.3975713969285389E-3</v>
      </c>
      <c r="EF82" s="1">
        <v>1.5739966977613991E-2</v>
      </c>
      <c r="EG82" s="1">
        <v>2.1276247892269833E-2</v>
      </c>
      <c r="EH82" s="1">
        <v>-1.0702729943002622E-2</v>
      </c>
      <c r="EI82" s="1">
        <v>-1.3208764161311108E-2</v>
      </c>
      <c r="EJ82" s="1">
        <v>4.5218861265007432E-3</v>
      </c>
      <c r="EK82" s="1">
        <v>7.1182656489651303E-3</v>
      </c>
      <c r="EL82" s="1">
        <v>-4.3890599847367512E-3</v>
      </c>
      <c r="EM82" s="1">
        <v>-1.0901629421435369E-2</v>
      </c>
      <c r="EN82" s="1">
        <v>-9.187606594828944E-3</v>
      </c>
      <c r="EO82" s="1">
        <v>9.081878519113816E-3</v>
      </c>
      <c r="EP82" s="1">
        <v>-1.0070859921194143E-2</v>
      </c>
      <c r="EQ82" s="1">
        <v>-1.5752659857651535E-2</v>
      </c>
      <c r="ER82" s="1">
        <v>-7.276477550804232E-3</v>
      </c>
      <c r="ES82" s="1">
        <v>9.8205094541847018E-3</v>
      </c>
      <c r="ET82" s="1">
        <v>6.0659284277373576E-4</v>
      </c>
      <c r="EU82" s="1">
        <v>-1.0466865617045171E-2</v>
      </c>
      <c r="EV82" s="10">
        <v>7.4608908881849678E-3</v>
      </c>
    </row>
    <row r="83" spans="1:152" x14ac:dyDescent="0.25">
      <c r="A83" s="21">
        <f t="shared" ca="1" si="1"/>
        <v>3.8387151919187235E-2</v>
      </c>
      <c r="B83" s="5">
        <v>82</v>
      </c>
      <c r="C83" s="9">
        <v>1.3670477263086206E-3</v>
      </c>
      <c r="D83" s="1">
        <v>5.4274149935331917E-3</v>
      </c>
      <c r="E83" s="1">
        <v>4.3820973281751968E-3</v>
      </c>
      <c r="F83" s="1">
        <v>5.3182056190912153E-3</v>
      </c>
      <c r="G83" s="1">
        <v>8.443888936296301E-4</v>
      </c>
      <c r="H83" s="1">
        <v>-1.1242509126383776E-2</v>
      </c>
      <c r="I83" s="1">
        <v>-1.4058692753747271E-3</v>
      </c>
      <c r="J83" s="1">
        <v>2.303156017224639E-3</v>
      </c>
      <c r="K83" s="1">
        <v>7.190422200923266E-3</v>
      </c>
      <c r="L83" s="1">
        <v>9.2339556408090884E-3</v>
      </c>
      <c r="M83" s="1">
        <v>-7.1189358464192332E-4</v>
      </c>
      <c r="N83" s="1">
        <v>2.716605475461667E-3</v>
      </c>
      <c r="O83" s="1">
        <v>1.0170063931725107E-2</v>
      </c>
      <c r="P83" s="1">
        <v>1.120368757731767E-2</v>
      </c>
      <c r="Q83" s="1">
        <v>-3.7269431865084995E-3</v>
      </c>
      <c r="R83" s="1">
        <v>-1.5509601122726868E-2</v>
      </c>
      <c r="S83" s="1">
        <v>-1.1242509126383776E-2</v>
      </c>
      <c r="T83" s="1">
        <v>-3.1688764827648014E-3</v>
      </c>
      <c r="U83" s="1">
        <v>-6.5973755428683917E-3</v>
      </c>
      <c r="V83" s="1">
        <v>-5.3570271681573217E-3</v>
      </c>
      <c r="W83" s="1">
        <v>1.476257100750597E-3</v>
      </c>
      <c r="X83" s="1">
        <v>-9.1635678154332323E-3</v>
      </c>
      <c r="Y83" s="1">
        <v>1.671287810103686E-3</v>
      </c>
      <c r="Z83" s="1">
        <v>-1.0781957777316609E-2</v>
      </c>
      <c r="AA83" s="1">
        <v>2.716605475461667E-3</v>
      </c>
      <c r="AB83" s="1">
        <v>5.2206902644146708E-3</v>
      </c>
      <c r="AC83" s="1">
        <v>-6.7686924009222049E-3</v>
      </c>
      <c r="AD83" s="1">
        <v>1.1603229971901136E-3</v>
      </c>
      <c r="AE83" s="1">
        <v>1.8897065589876111E-3</v>
      </c>
      <c r="AF83" s="1">
        <v>4.3820973281751968E-3</v>
      </c>
      <c r="AG83" s="1">
        <v>4.9047561608541873E-3</v>
      </c>
      <c r="AH83" s="1">
        <v>-7.5955913173962331E-3</v>
      </c>
      <c r="AI83" s="1">
        <v>1.319945835478481E-3</v>
      </c>
      <c r="AJ83" s="1">
        <v>-4.5655361227479735E-3</v>
      </c>
      <c r="AK83" s="1">
        <v>4.6980314317356803E-3</v>
      </c>
      <c r="AL83" s="1">
        <v>3.761923140819648E-3</v>
      </c>
      <c r="AM83" s="1">
        <v>5.401488098345647E-4</v>
      </c>
      <c r="AN83" s="1">
        <v>5.5870378318215591E-3</v>
      </c>
      <c r="AO83" s="1">
        <v>6.4610386391257546E-3</v>
      </c>
      <c r="AP83" s="1">
        <v>2.096431288106132E-3</v>
      </c>
      <c r="AQ83" s="1">
        <v>-2.9621517536462943E-3</v>
      </c>
      <c r="AR83" s="1">
        <v>6.8240746335163777E-3</v>
      </c>
      <c r="AS83" s="1">
        <v>5.0022715155307457E-3</v>
      </c>
      <c r="AT83" s="1">
        <v>-1.6569924380866546E-2</v>
      </c>
      <c r="AU83" s="1">
        <v>-9.8929513772307298E-3</v>
      </c>
      <c r="AV83" s="1">
        <v>1.0982155135782767E-3</v>
      </c>
      <c r="AW83" s="1">
        <v>-8.2110295908389974E-4</v>
      </c>
      <c r="AX83" s="1">
        <v>4.5888220572937038E-3</v>
      </c>
      <c r="AY83" s="1">
        <v>-5.0516885552341628E-4</v>
      </c>
      <c r="AZ83" s="1">
        <v>3.0325395790221504E-3</v>
      </c>
      <c r="BA83" s="1">
        <v>1.1307515651735822E-2</v>
      </c>
      <c r="BB83" s="1">
        <v>8.0119398173734979E-3</v>
      </c>
      <c r="BC83" s="1">
        <v>7.7076997335784325E-3</v>
      </c>
      <c r="BD83" s="1">
        <v>2.5508762853764494E-2</v>
      </c>
      <c r="BE83" s="1">
        <v>1.0722749335445009E-2</v>
      </c>
      <c r="BF83" s="1">
        <v>2.1448395586539923E-2</v>
      </c>
      <c r="BG83" s="1">
        <v>2.9533567756210716E-3</v>
      </c>
      <c r="BH83" s="1">
        <v>3.9627500293898318E-2</v>
      </c>
      <c r="BI83" s="1">
        <v>1.885848946267582E-2</v>
      </c>
      <c r="BJ83" s="1">
        <v>1.8675478584856589E-2</v>
      </c>
      <c r="BK83" s="1">
        <v>4.2338309811969829E-2</v>
      </c>
      <c r="BL83" s="1">
        <v>1.050433058656107E-2</v>
      </c>
      <c r="BM83" s="1">
        <v>3.8812295397189694E-2</v>
      </c>
      <c r="BN83" s="1">
        <v>1.5356188899194975E-2</v>
      </c>
      <c r="BO83" s="1">
        <v>2.0925736753860946E-2</v>
      </c>
      <c r="BP83" s="1">
        <v>1.2657073400888869E-2</v>
      </c>
      <c r="BQ83" s="1">
        <v>1.1124504773916605E-2</v>
      </c>
      <c r="BR83" s="1">
        <v>3.5578827046439179E-2</v>
      </c>
      <c r="BS83" s="1">
        <v>1.5719224893585571E-2</v>
      </c>
      <c r="BT83" s="1">
        <v>3.2915119419197808E-2</v>
      </c>
      <c r="BU83" s="1">
        <v>-4.5622091642541912E-3</v>
      </c>
      <c r="BV83" s="1">
        <v>2.0621496670065895E-2</v>
      </c>
      <c r="BW83" s="1">
        <v>1.3324349479074543E-2</v>
      </c>
      <c r="BX83" s="1">
        <v>2.5157420879139317E-2</v>
      </c>
      <c r="BY83" s="1">
        <v>1.9271938920912848E-2</v>
      </c>
      <c r="BZ83" s="1">
        <v>1.3593181691804901E-2</v>
      </c>
      <c r="CA83" s="1">
        <v>1.4638499357162882E-2</v>
      </c>
      <c r="CB83" s="1">
        <v>-2.2131566453387208E-4</v>
      </c>
      <c r="CC83" s="1">
        <v>1.102698941924006E-2</v>
      </c>
      <c r="CD83" s="1">
        <v>3.6514935337355198E-2</v>
      </c>
      <c r="CE83" s="1">
        <v>3.3851227710113813E-2</v>
      </c>
      <c r="CF83" s="1">
        <v>3.8387151919187235E-2</v>
      </c>
      <c r="CG83" s="1">
        <v>2.6506978628292349E-2</v>
      </c>
      <c r="CH83" s="1">
        <v>7.9498323337616472E-3</v>
      </c>
      <c r="CI83" s="1">
        <v>1.1537954232153633E-2</v>
      </c>
      <c r="CJ83" s="1">
        <v>2.8441474011790951E-3</v>
      </c>
      <c r="CK83" s="1">
        <v>8.1211491918154466E-3</v>
      </c>
      <c r="CL83" s="1">
        <v>2.3854965020816396E-2</v>
      </c>
      <c r="CM83" s="1">
        <v>2.0196353192063435E-2</v>
      </c>
      <c r="CN83" s="1">
        <v>2.4049995730169485E-2</v>
      </c>
      <c r="CO83" s="1">
        <v>2.7856536377445396E-2</v>
      </c>
      <c r="CP83" s="1">
        <v>1.4626805337397464E-2</v>
      </c>
      <c r="CQ83" s="1">
        <v>2.7236362190089861E-2</v>
      </c>
      <c r="CR83" s="1">
        <v>4.0150159126577309E-2</v>
      </c>
      <c r="CS83" s="1">
        <v>2.2384503877455955E-2</v>
      </c>
      <c r="CT83" s="1">
        <v>2.4525552672018336E-2</v>
      </c>
      <c r="CU83" s="1">
        <v>2.0719012024742425E-2</v>
      </c>
      <c r="CV83" s="1">
        <v>1.9685388379149862E-2</v>
      </c>
      <c r="CW83" s="1">
        <v>3.3948743064790371E-2</v>
      </c>
      <c r="CX83" s="1">
        <v>2.1448395586539923E-2</v>
      </c>
      <c r="CY83" s="1">
        <v>-2.3282703942606078E-2</v>
      </c>
      <c r="CZ83" s="1">
        <v>9.3427663282120293E-3</v>
      </c>
      <c r="DA83" s="1">
        <v>-4.6046542538679958E-3</v>
      </c>
      <c r="DB83" s="1">
        <v>1.1386299768097866E-2</v>
      </c>
      <c r="DC83" s="1">
        <v>-7.9002300882303478E-3</v>
      </c>
      <c r="DD83" s="1">
        <v>-5.6382778994605587E-3</v>
      </c>
      <c r="DE83" s="1">
        <v>2.1733904432020487E-2</v>
      </c>
      <c r="DF83" s="1">
        <v>9.3190524769127397E-3</v>
      </c>
      <c r="DG83" s="1">
        <v>1.3476935098813828E-2</v>
      </c>
      <c r="DH83" s="1">
        <v>-2.7331377190065217E-2</v>
      </c>
      <c r="DI83" s="1">
        <v>-2.8714879367852664E-4</v>
      </c>
      <c r="DJ83" s="1">
        <v>8.1024179535009594E-3</v>
      </c>
      <c r="DK83" s="1">
        <v>-3.9844800665124608E-3</v>
      </c>
      <c r="DL83" s="1">
        <v>6.4723339718521233E-3</v>
      </c>
      <c r="DM83" s="1">
        <v>-1.4066238278952564E-2</v>
      </c>
      <c r="DN83" s="1">
        <v>-1.368819669178023E-2</v>
      </c>
      <c r="DO83" s="1">
        <v>1.0243466748063326E-2</v>
      </c>
      <c r="DP83" s="1">
        <v>-1.6215995332032551E-2</v>
      </c>
      <c r="DQ83" s="1">
        <v>-1.1999316799535864E-2</v>
      </c>
      <c r="DR83" s="1">
        <v>3.0719931515256205E-2</v>
      </c>
      <c r="DS83" s="1">
        <v>-1.4721820337372793E-2</v>
      </c>
      <c r="DT83" s="1">
        <v>4.4909080155781378E-3</v>
      </c>
      <c r="DU83" s="1">
        <v>1.4968870408935131E-4</v>
      </c>
      <c r="DV83" s="1">
        <v>1.2845066891692875E-2</v>
      </c>
      <c r="DW83" s="1">
        <v>-5.9659060227864741E-3</v>
      </c>
      <c r="DX83" s="1">
        <v>7.3376265206387264E-3</v>
      </c>
      <c r="DY83" s="1">
        <v>1.232240805901387E-2</v>
      </c>
      <c r="DZ83" s="1">
        <v>1.1070365664537382E-2</v>
      </c>
      <c r="EA83" s="1">
        <v>-1.698814026443396E-3</v>
      </c>
      <c r="EB83" s="1">
        <v>1.7868242062380565E-2</v>
      </c>
      <c r="EC83" s="1">
        <v>5.3057871005183221E-3</v>
      </c>
      <c r="ED83" s="1">
        <v>-7.557596372122749E-3</v>
      </c>
      <c r="EE83" s="1">
        <v>-6.2347382355168179E-3</v>
      </c>
      <c r="EF83" s="1">
        <v>2.5723455957115615E-2</v>
      </c>
      <c r="EG83" s="1">
        <v>3.2131596748021088E-2</v>
      </c>
      <c r="EH83" s="1">
        <v>-1.4916851046725896E-2</v>
      </c>
      <c r="EI83" s="1">
        <v>-1.9476163295330168E-2</v>
      </c>
      <c r="EJ83" s="1">
        <v>9.7208079153843358E-3</v>
      </c>
      <c r="EK83" s="1">
        <v>1.1277090393655889E-2</v>
      </c>
      <c r="EL83" s="1">
        <v>-4.9205883574284792E-3</v>
      </c>
      <c r="EM83" s="1">
        <v>-1.8114911526411703E-2</v>
      </c>
      <c r="EN83" s="1">
        <v>-1.3992436775575295E-2</v>
      </c>
      <c r="EO83" s="1">
        <v>9.3427663282120293E-3</v>
      </c>
      <c r="EP83" s="1">
        <v>-1.4515095608254286E-2</v>
      </c>
      <c r="EQ83" s="1">
        <v>-2.4109602859080134E-2</v>
      </c>
      <c r="ER83" s="1">
        <v>-1.284960375554077E-2</v>
      </c>
      <c r="ES83" s="1">
        <v>9.7679098062144754E-3</v>
      </c>
      <c r="ET83" s="1">
        <v>1.1716183299164962E-3</v>
      </c>
      <c r="EU83" s="1">
        <v>-1.4733514357138239E-2</v>
      </c>
      <c r="EV83" s="10">
        <v>1.148381512277441E-2</v>
      </c>
    </row>
    <row r="84" spans="1:152" x14ac:dyDescent="0.25">
      <c r="A84" s="21">
        <f t="shared" ca="1" si="1"/>
        <v>2.269921856690808E-2</v>
      </c>
      <c r="B84" s="5">
        <v>83</v>
      </c>
      <c r="C84" s="9">
        <v>1.0839270609297458E-3</v>
      </c>
      <c r="D84" s="1">
        <v>-2.1140927323462511E-4</v>
      </c>
      <c r="E84" s="1">
        <v>7.1948255722771581E-4</v>
      </c>
      <c r="F84" s="1">
        <v>5.4886328256553707E-4</v>
      </c>
      <c r="G84" s="1">
        <v>1.5493729761609162E-3</v>
      </c>
      <c r="H84" s="1">
        <v>-2.4058004055077312E-3</v>
      </c>
      <c r="I84" s="1">
        <v>-6.5684787527978822E-4</v>
      </c>
      <c r="J84" s="1">
        <v>9.1330778626757397E-4</v>
      </c>
      <c r="K84" s="1">
        <v>2.0762473324118652E-4</v>
      </c>
      <c r="L84" s="1">
        <v>2.2664322643973847E-3</v>
      </c>
      <c r="M84" s="1">
        <v>1.2777522899696109E-3</v>
      </c>
      <c r="N84" s="1">
        <v>1.2081344268365657E-3</v>
      </c>
      <c r="O84" s="1">
        <v>2.0958129897352129E-3</v>
      </c>
      <c r="P84" s="1">
        <v>2.8328795911576957E-3</v>
      </c>
      <c r="Q84" s="1">
        <v>1.6421967936716408E-3</v>
      </c>
      <c r="R84" s="1">
        <v>-1.2578773916278596E-3</v>
      </c>
      <c r="S84" s="1">
        <v>-2.4058004055077312E-3</v>
      </c>
      <c r="T84" s="1">
        <v>-1.0758818817555998E-3</v>
      </c>
      <c r="U84" s="1">
        <v>-1.0062640186225547E-3</v>
      </c>
      <c r="V84" s="1">
        <v>-1.2178409691558645E-4</v>
      </c>
      <c r="W84" s="1">
        <v>3.2365450512959054E-4</v>
      </c>
      <c r="X84" s="1">
        <v>-2.5996256345475963E-3</v>
      </c>
      <c r="Y84" s="1">
        <v>2.1390262572988997E-3</v>
      </c>
      <c r="Z84" s="1">
        <v>-6.0315649570196195E-3</v>
      </c>
      <c r="AA84" s="1">
        <v>1.2081344268365657E-3</v>
      </c>
      <c r="AB84" s="1">
        <v>-3.5882259351911749E-4</v>
      </c>
      <c r="AC84" s="1">
        <v>-3.4063100991031103E-3</v>
      </c>
      <c r="AD84" s="1">
        <v>9.3651374064525339E-4</v>
      </c>
      <c r="AE84" s="1">
        <v>6.1848114569858226E-4</v>
      </c>
      <c r="AF84" s="1">
        <v>7.1948255722771581E-4</v>
      </c>
      <c r="AG84" s="1">
        <v>2.5403664199654535E-4</v>
      </c>
      <c r="AH84" s="1">
        <v>-3.9959633802410938E-3</v>
      </c>
      <c r="AI84" s="1">
        <v>5.0045182530106258E-3</v>
      </c>
      <c r="AJ84" s="1">
        <v>2.7205019444184741E-3</v>
      </c>
      <c r="AK84" s="1">
        <v>1.0662332171204603E-4</v>
      </c>
      <c r="AL84" s="1">
        <v>2.7724259637422477E-4</v>
      </c>
      <c r="AM84" s="1">
        <v>4.9427377979176235E-4</v>
      </c>
      <c r="AN84" s="1">
        <v>3.8565952391307473E-3</v>
      </c>
      <c r="AO84" s="1">
        <v>5.2565732818785765E-4</v>
      </c>
      <c r="AP84" s="1">
        <v>7.6589446598307465E-4</v>
      </c>
      <c r="AQ84" s="1">
        <v>-9.2846856147110052E-4</v>
      </c>
      <c r="AR84" s="1">
        <v>-4.0077930994086991E-3</v>
      </c>
      <c r="AS84" s="1">
        <v>1.1617225180812069E-3</v>
      </c>
      <c r="AT84" s="1">
        <v>-7.4078953895271166E-3</v>
      </c>
      <c r="AU84" s="1">
        <v>-2.2815930396009251E-3</v>
      </c>
      <c r="AV84" s="1">
        <v>-2.2238048956354714E-3</v>
      </c>
      <c r="AW84" s="1">
        <v>2.0380248457697592E-3</v>
      </c>
      <c r="AX84" s="1">
        <v>8.668958775122082E-4</v>
      </c>
      <c r="AY84" s="1">
        <v>1.4251656102541033E-3</v>
      </c>
      <c r="AZ84" s="1">
        <v>5.952751913208959E-4</v>
      </c>
      <c r="BA84" s="1">
        <v>1.8200803812856808E-2</v>
      </c>
      <c r="BB84" s="1">
        <v>1.6925474791878434E-2</v>
      </c>
      <c r="BC84" s="1">
        <v>1.5870375595509287E-2</v>
      </c>
      <c r="BD84" s="1">
        <v>1.9709519205289534E-2</v>
      </c>
      <c r="BE84" s="1">
        <v>1.5505931091807257E-2</v>
      </c>
      <c r="BF84" s="1">
        <v>2.1004855539453905E-2</v>
      </c>
      <c r="BG84" s="1">
        <v>1.5231111764424272E-2</v>
      </c>
      <c r="BH84" s="1">
        <v>2.7391458549999199E-2</v>
      </c>
      <c r="BI84" s="1">
        <v>1.9996168251840116E-2</v>
      </c>
      <c r="BJ84" s="1">
        <v>1.9264080603244371E-2</v>
      </c>
      <c r="BK84" s="1">
        <v>2.5971914849928016E-2</v>
      </c>
      <c r="BL84" s="1">
        <v>1.7026476203407574E-2</v>
      </c>
      <c r="BM84" s="1">
        <v>2.5133846836976392E-2</v>
      </c>
      <c r="BN84" s="1">
        <v>1.8573425910577254E-2</v>
      </c>
      <c r="BO84" s="1">
        <v>2.1470301454685075E-2</v>
      </c>
      <c r="BP84" s="1">
        <v>1.8325011178763621E-2</v>
      </c>
      <c r="BQ84" s="1">
        <v>1.7468716164261065E-2</v>
      </c>
      <c r="BR84" s="1">
        <v>2.7018836452278761E-2</v>
      </c>
      <c r="BS84" s="1">
        <v>1.4039975482980707E-2</v>
      </c>
      <c r="BT84" s="1">
        <v>2.4517788960269061E-2</v>
      </c>
      <c r="BU84" s="1">
        <v>1.11831145652449E-2</v>
      </c>
      <c r="BV84" s="1">
        <v>2.0415202258315921E-2</v>
      </c>
      <c r="BW84" s="1">
        <v>1.4846659947536228E-2</v>
      </c>
      <c r="BX84" s="1">
        <v>2.257501120100126E-2</v>
      </c>
      <c r="BY84" s="1">
        <v>2.0290994892409101E-2</v>
      </c>
      <c r="BZ84" s="1">
        <v>1.8154391904101449E-2</v>
      </c>
      <c r="CA84" s="1">
        <v>1.7223500073639108E-2</v>
      </c>
      <c r="CB84" s="1">
        <v>1.152755175576093E-2</v>
      </c>
      <c r="CC84" s="1">
        <v>1.6561030288176404E-2</v>
      </c>
      <c r="CD84" s="1">
        <v>2.6848217177616575E-2</v>
      </c>
      <c r="CE84" s="1">
        <v>2.4347169685606882E-2</v>
      </c>
      <c r="CF84" s="1">
        <v>2.6506978628292224E-2</v>
      </c>
      <c r="CG84" s="1">
        <v>2.269921856690808E-2</v>
      </c>
      <c r="CH84" s="1">
        <v>1.3765156155597723E-2</v>
      </c>
      <c r="CI84" s="1">
        <v>1.7763542804830057E-2</v>
      </c>
      <c r="CJ84" s="1">
        <v>1.5991384320224428E-2</v>
      </c>
      <c r="CK84" s="1">
        <v>1.6165202236078278E-2</v>
      </c>
      <c r="CL84" s="1">
        <v>1.8530212643013567E-2</v>
      </c>
      <c r="CM84" s="1">
        <v>2.1788334049631746E-2</v>
      </c>
      <c r="CN84" s="1">
        <v>2.0345584395182876E-2</v>
      </c>
      <c r="CO84" s="1">
        <v>2.2823425932814886E-2</v>
      </c>
      <c r="CP84" s="1">
        <v>1.8891458505523925E-2</v>
      </c>
      <c r="CQ84" s="1">
        <v>2.2381185971961402E-2</v>
      </c>
      <c r="CR84" s="1">
        <v>2.6926012634768029E-2</v>
      </c>
      <c r="CS84" s="1">
        <v>2.0834236264791726E-2</v>
      </c>
      <c r="CT84" s="1">
        <v>2.3800729672032585E-2</v>
      </c>
      <c r="CU84" s="1">
        <v>2.1322888134400576E-2</v>
      </c>
      <c r="CV84" s="1">
        <v>2.05858215329781E-2</v>
      </c>
      <c r="CW84" s="1">
        <v>2.5254855561691537E-2</v>
      </c>
      <c r="CX84" s="1">
        <v>2.1004855539453905E-2</v>
      </c>
      <c r="CY84" s="1">
        <v>-8.7761577663826723E-3</v>
      </c>
      <c r="CZ84" s="1">
        <v>3.0115669214718158E-3</v>
      </c>
      <c r="DA84" s="1">
        <v>-2.2703263427572978E-3</v>
      </c>
      <c r="DB84" s="1">
        <v>5.070374452628014E-3</v>
      </c>
      <c r="DC84" s="1">
        <v>-3.5456553637356683E-3</v>
      </c>
      <c r="DD84" s="1">
        <v>-3.0073929441797806E-3</v>
      </c>
      <c r="DE84" s="1">
        <v>8.0218394995096101E-3</v>
      </c>
      <c r="DF84" s="1">
        <v>3.5962412497830554E-3</v>
      </c>
      <c r="DG84" s="1">
        <v>3.2085907917033391E-3</v>
      </c>
      <c r="DH84" s="1">
        <v>-9.1487798641031251E-3</v>
      </c>
      <c r="DI84" s="1">
        <v>1.4100277115283583E-3</v>
      </c>
      <c r="DJ84" s="1">
        <v>2.1270869997648337E-3</v>
      </c>
      <c r="DK84" s="1">
        <v>-1.8280863819038137E-3</v>
      </c>
      <c r="DL84" s="1">
        <v>3.6310610917762026E-4</v>
      </c>
      <c r="DM84" s="1">
        <v>-7.4694451970082135E-3</v>
      </c>
      <c r="DN84" s="1">
        <v>-4.9219857962431654E-3</v>
      </c>
      <c r="DO84" s="1">
        <v>5.0935804070056934E-3</v>
      </c>
      <c r="DP84" s="1">
        <v>-2.7703544475762357E-3</v>
      </c>
      <c r="DQ84" s="1">
        <v>-8.7465545296216418E-3</v>
      </c>
      <c r="DR84" s="1">
        <v>9.7658130769108092E-3</v>
      </c>
      <c r="DS84" s="1">
        <v>-5.6590523976656412E-3</v>
      </c>
      <c r="DT84" s="1">
        <v>1.464617214302133E-3</v>
      </c>
      <c r="DU84" s="1">
        <v>-1.6310625116722766E-3</v>
      </c>
      <c r="DV84" s="1">
        <v>4.4343092627346647E-3</v>
      </c>
      <c r="DW84" s="1">
        <v>-7.2657527677929407E-4</v>
      </c>
      <c r="DX84" s="1">
        <v>4.6977523549075612E-3</v>
      </c>
      <c r="DY84" s="1">
        <v>4.8997551779658421E-3</v>
      </c>
      <c r="DZ84" s="1">
        <v>5.6832336881436768E-3</v>
      </c>
      <c r="EA84" s="1">
        <v>-1.8744982906591726E-3</v>
      </c>
      <c r="EB84" s="1">
        <v>8.3813050503849032E-3</v>
      </c>
      <c r="EC84" s="1">
        <v>9.7098639186653929E-4</v>
      </c>
      <c r="ED84" s="1">
        <v>1.25443679722545E-3</v>
      </c>
      <c r="EE84" s="1">
        <v>-4.0343072333445182E-3</v>
      </c>
      <c r="EF84" s="1">
        <v>1.1231768685737359E-2</v>
      </c>
      <c r="EG84" s="1">
        <v>1.305033907909835E-2</v>
      </c>
      <c r="EH84" s="1">
        <v>-7.4744241498349503E-3</v>
      </c>
      <c r="EI84" s="1">
        <v>-6.2983162287506625E-3</v>
      </c>
      <c r="EJ84" s="1">
        <v>5.5590263222368569E-3</v>
      </c>
      <c r="EK84" s="1">
        <v>5.8306470084281692E-3</v>
      </c>
      <c r="EL84" s="1">
        <v>-1.657467107241635E-3</v>
      </c>
      <c r="EM84" s="1">
        <v>-7.8420672947286663E-3</v>
      </c>
      <c r="EN84" s="1">
        <v>-5.9770849926123124E-3</v>
      </c>
      <c r="EO84" s="1">
        <v>3.0115669214718158E-3</v>
      </c>
      <c r="EP84" s="1">
        <v>-5.5116390773811488E-3</v>
      </c>
      <c r="EQ84" s="1">
        <v>-9.3658110475206557E-3</v>
      </c>
      <c r="ER84" s="1">
        <v>-6.0002909469899918E-3</v>
      </c>
      <c r="ES84" s="1">
        <v>1.6384351301559838E-3</v>
      </c>
      <c r="ET84" s="1">
        <v>7.73962521635016E-4</v>
      </c>
      <c r="EU84" s="1">
        <v>-3.9910939657808175E-3</v>
      </c>
      <c r="EV84" s="10">
        <v>5.9780603287126685E-3</v>
      </c>
    </row>
    <row r="85" spans="1:152" x14ac:dyDescent="0.25">
      <c r="A85" s="21">
        <f t="shared" ca="1" si="1"/>
        <v>3.8306060024296415E-2</v>
      </c>
      <c r="B85" s="5">
        <v>84</v>
      </c>
      <c r="C85" s="9">
        <v>-4.3435140986478327E-3</v>
      </c>
      <c r="D85" s="1">
        <v>6.4689855927504425E-3</v>
      </c>
      <c r="E85" s="1">
        <v>2.030684758051543E-3</v>
      </c>
      <c r="F85" s="1">
        <v>4.1689059195869904E-3</v>
      </c>
      <c r="G85" s="1">
        <v>-6.5626645159972963E-3</v>
      </c>
      <c r="H85" s="1">
        <v>-7.0687606625412236E-4</v>
      </c>
      <c r="I85" s="1">
        <v>3.7478422044808779E-3</v>
      </c>
      <c r="J85" s="1">
        <v>-2.2052929371123575E-3</v>
      </c>
      <c r="K85" s="1">
        <v>8.445348242657913E-3</v>
      </c>
      <c r="L85" s="1">
        <v>-1.824693849913267E-3</v>
      </c>
      <c r="M85" s="1">
        <v>-8.5794917938117332E-3</v>
      </c>
      <c r="N85" s="1">
        <v>-2.2862221929263737E-3</v>
      </c>
      <c r="O85" s="1">
        <v>3.1352731162218039E-4</v>
      </c>
      <c r="P85" s="1">
        <v>1.1120417208715372E-4</v>
      </c>
      <c r="Q85" s="1">
        <v>-1.4953690650511109E-2</v>
      </c>
      <c r="R85" s="1">
        <v>-1.1478911129745417E-2</v>
      </c>
      <c r="S85" s="1">
        <v>-7.0687606625412236E-4</v>
      </c>
      <c r="T85" s="1">
        <v>1.7714795545734352E-3</v>
      </c>
      <c r="U85" s="1">
        <v>-4.5217900463119243E-3</v>
      </c>
      <c r="V85" s="1">
        <v>-4.7645778137539452E-3</v>
      </c>
      <c r="W85" s="1">
        <v>-2.0434344254843528E-3</v>
      </c>
      <c r="X85" s="1">
        <v>3.5291016289098059E-3</v>
      </c>
      <c r="Y85" s="1">
        <v>-6.724523027625301E-3</v>
      </c>
      <c r="Z85" s="1">
        <v>1.8358838439900896E-2</v>
      </c>
      <c r="AA85" s="1">
        <v>-2.2862221929263737E-3</v>
      </c>
      <c r="AB85" s="1">
        <v>6.5094502206574645E-3</v>
      </c>
      <c r="AC85" s="1">
        <v>1.0024694369330192E-2</v>
      </c>
      <c r="AD85" s="1">
        <v>-4.3030494707408384E-3</v>
      </c>
      <c r="AE85" s="1">
        <v>-2.1243636812983691E-3</v>
      </c>
      <c r="AF85" s="1">
        <v>2.030684758051543E-3</v>
      </c>
      <c r="AG85" s="1">
        <v>4.2498351754010066E-3</v>
      </c>
      <c r="AH85" s="1">
        <v>1.0186552880958197E-2</v>
      </c>
      <c r="AI85" s="1">
        <v>-2.3490157860616839E-2</v>
      </c>
      <c r="AJ85" s="1">
        <v>-1.943245611311703E-2</v>
      </c>
      <c r="AK85" s="1">
        <v>4.2902998033080009E-3</v>
      </c>
      <c r="AL85" s="1">
        <v>2.1520786417725535E-3</v>
      </c>
      <c r="AM85" s="1">
        <v>-4.181655587019828E-3</v>
      </c>
      <c r="AN85" s="1">
        <v>-1.2718122797125558E-2</v>
      </c>
      <c r="AO85" s="1">
        <v>6.2666624532154436E-3</v>
      </c>
      <c r="AP85" s="1">
        <v>-2.1648283092053633E-3</v>
      </c>
      <c r="AQ85" s="1">
        <v>1.731014926666441E-3</v>
      </c>
      <c r="AR85" s="1">
        <v>2.7672921260440936E-2</v>
      </c>
      <c r="AS85" s="1">
        <v>1.9092908743305326E-3</v>
      </c>
      <c r="AT85" s="1">
        <v>2.0075995886330258E-2</v>
      </c>
      <c r="AU85" s="1">
        <v>1.3504158394673366E-3</v>
      </c>
      <c r="AV85" s="1">
        <v>1.2543514618064716E-2</v>
      </c>
      <c r="AW85" s="1">
        <v>-1.0879571466975213E-2</v>
      </c>
      <c r="AX85" s="1">
        <v>1.9902201301445488E-3</v>
      </c>
      <c r="AY85" s="1">
        <v>-8.6199564217187552E-3</v>
      </c>
      <c r="AZ85" s="1">
        <v>-2.6607147669915898E-5</v>
      </c>
      <c r="BA85" s="1">
        <v>1.5587290049711572E-2</v>
      </c>
      <c r="BB85" s="1">
        <v>2.145949593549086E-2</v>
      </c>
      <c r="BC85" s="1">
        <v>2.3840504864468329E-2</v>
      </c>
      <c r="BD85" s="1">
        <v>2.8473499082867434E-2</v>
      </c>
      <c r="BE85" s="1">
        <v>3.0214703721167704E-2</v>
      </c>
      <c r="BF85" s="1">
        <v>1.7660999391469145E-2</v>
      </c>
      <c r="BG85" s="1">
        <v>2.5355339171362679E-2</v>
      </c>
      <c r="BH85" s="1">
        <v>7.7070445663191406E-3</v>
      </c>
      <c r="BI85" s="1">
        <v>1.5846495253189707E-2</v>
      </c>
      <c r="BJ85" s="1">
        <v>2.5752355694597828E-2</v>
      </c>
      <c r="BK85" s="1">
        <v>1.6462252351995971E-2</v>
      </c>
      <c r="BL85" s="1">
        <v>2.5614544374840745E-2</v>
      </c>
      <c r="BM85" s="1">
        <v>1.2509527052181071E-2</v>
      </c>
      <c r="BN85" s="1">
        <v>2.1759165766875949E-2</v>
      </c>
      <c r="BO85" s="1">
        <v>1.5441848974119682E-2</v>
      </c>
      <c r="BP85" s="1">
        <v>1.7644581955433031E-2</v>
      </c>
      <c r="BQ85" s="1">
        <v>2.5493150491119748E-2</v>
      </c>
      <c r="BR85" s="1">
        <v>1.5351688491547777E-3</v>
      </c>
      <c r="BS85" s="1">
        <v>4.3165424574101427E-2</v>
      </c>
      <c r="BT85" s="1">
        <v>1.1926604825446982E-2</v>
      </c>
      <c r="BU85" s="1">
        <v>3.9602153755619651E-2</v>
      </c>
      <c r="BV85" s="1">
        <v>1.7822857903097164E-2</v>
      </c>
      <c r="BW85" s="1">
        <v>3.6669831833681069E-2</v>
      </c>
      <c r="BX85" s="1">
        <v>1.1707864249875882E-2</v>
      </c>
      <c r="BY85" s="1">
        <v>1.5765565997375705E-2</v>
      </c>
      <c r="BZ85" s="1">
        <v>1.9782803116968492E-2</v>
      </c>
      <c r="CA85" s="1">
        <v>2.4221103951667433E-2</v>
      </c>
      <c r="CB85" s="1">
        <v>3.8168248704539318E-2</v>
      </c>
      <c r="CC85" s="1">
        <v>2.7833694792190222E-2</v>
      </c>
      <c r="CD85" s="1">
        <v>3.673390010690239E-3</v>
      </c>
      <c r="CE85" s="1">
        <v>1.4064825986982429E-2</v>
      </c>
      <c r="CF85" s="1">
        <v>7.9498323337611476E-3</v>
      </c>
      <c r="CG85" s="1">
        <v>1.3765156155597313E-2</v>
      </c>
      <c r="CH85" s="1">
        <v>3.8306060024296415E-2</v>
      </c>
      <c r="CI85" s="1">
        <v>2.5412221235305746E-2</v>
      </c>
      <c r="CJ85" s="1">
        <v>2.3055259498199199E-2</v>
      </c>
      <c r="CK85" s="1">
        <v>2.3759575608654313E-2</v>
      </c>
      <c r="CL85" s="1">
        <v>2.8797216106123444E-2</v>
      </c>
      <c r="CM85" s="1">
        <v>1.3263163184677212E-2</v>
      </c>
      <c r="CN85" s="1">
        <v>2.4116127503982523E-2</v>
      </c>
      <c r="CO85" s="1">
        <v>1.5822448061318772E-2</v>
      </c>
      <c r="CP85" s="1">
        <v>1.9580479977433479E-2</v>
      </c>
      <c r="CQ85" s="1">
        <v>1.5943841945039783E-2</v>
      </c>
      <c r="CR85" s="1">
        <v>9.9261949836686042E-3</v>
      </c>
      <c r="CS85" s="1">
        <v>1.9799220553004593E-2</v>
      </c>
      <c r="CT85" s="1">
        <v>7.1886341593629388E-3</v>
      </c>
      <c r="CU85" s="1">
        <v>1.548231360202669E-2</v>
      </c>
      <c r="CV85" s="1">
        <v>1.5684636741561689E-2</v>
      </c>
      <c r="CW85" s="1">
        <v>1.1724281685911969E-2</v>
      </c>
      <c r="CX85" s="1">
        <v>1.7660999391469145E-2</v>
      </c>
      <c r="CY85" s="1">
        <v>2.1766016114314002E-2</v>
      </c>
      <c r="CZ85" s="1">
        <v>-2.0541542078938851E-3</v>
      </c>
      <c r="DA85" s="1">
        <v>4.1658158930123201E-3</v>
      </c>
      <c r="DB85" s="1">
        <v>-1.2324196300465037E-2</v>
      </c>
      <c r="DC85" s="1">
        <v>1.0038021778791595E-2</v>
      </c>
      <c r="DD85" s="1">
        <v>4.3681390325473191E-3</v>
      </c>
      <c r="DE85" s="1">
        <v>-1.0290951586614513E-2</v>
      </c>
      <c r="DF85" s="1">
        <v>-1.1919550021395012E-2</v>
      </c>
      <c r="DG85" s="1">
        <v>-3.4475946310671968E-3</v>
      </c>
      <c r="DH85" s="1">
        <v>1.5594140397149653E-2</v>
      </c>
      <c r="DI85" s="1">
        <v>-6.5493371065358796E-3</v>
      </c>
      <c r="DJ85" s="1">
        <v>-1.8113664404518642E-3</v>
      </c>
      <c r="DK85" s="1">
        <v>4.0444220092913097E-3</v>
      </c>
      <c r="DL85" s="1">
        <v>8.3777463963053134E-3</v>
      </c>
      <c r="DM85" s="1">
        <v>2.6342128268770026E-2</v>
      </c>
      <c r="DN85" s="1">
        <v>1.175517922522093E-2</v>
      </c>
      <c r="DO85" s="1">
        <v>-1.4421952834093504E-2</v>
      </c>
      <c r="DP85" s="1">
        <v>-6.9058890018640351E-3</v>
      </c>
      <c r="DQ85" s="1">
        <v>2.5353334124666699E-2</v>
      </c>
      <c r="DR85" s="1">
        <v>-1.5539770617752663E-2</v>
      </c>
      <c r="DS85" s="1">
        <v>1.1957502364755929E-2</v>
      </c>
      <c r="DT85" s="1">
        <v>1.8012244000709388E-3</v>
      </c>
      <c r="DU85" s="1">
        <v>2.6509815861179842E-3</v>
      </c>
      <c r="DV85" s="1">
        <v>-7.9668247215801263E-3</v>
      </c>
      <c r="DW85" s="1">
        <v>-2.5320999869430649E-3</v>
      </c>
      <c r="DX85" s="1">
        <v>-1.84960720176294E-2</v>
      </c>
      <c r="DY85" s="1">
        <v>-1.0185975138929576E-2</v>
      </c>
      <c r="DZ85" s="1">
        <v>-1.4583811345721509E-2</v>
      </c>
      <c r="EA85" s="1">
        <v>8.2399350765482299E-3</v>
      </c>
      <c r="EB85" s="1">
        <v>-2.6368687745187025E-2</v>
      </c>
      <c r="EC85" s="1">
        <v>-3.5854059508242941E-3</v>
      </c>
      <c r="ED85" s="1">
        <v>-1.9054947052492582E-2</v>
      </c>
      <c r="EE85" s="1">
        <v>1.4354928729769525E-2</v>
      </c>
      <c r="EF85" s="1">
        <v>-2.8490491470686399E-2</v>
      </c>
      <c r="EG85" s="1">
        <v>-3.0329042800836759E-2</v>
      </c>
      <c r="EH85" s="1">
        <v>1.6638590966896863E-2</v>
      </c>
      <c r="EI85" s="1">
        <v>1.3472336671650265E-2</v>
      </c>
      <c r="EJ85" s="1">
        <v>-1.6641103251442968E-2</v>
      </c>
      <c r="EK85" s="1">
        <v>-1.4624275973628517E-2</v>
      </c>
      <c r="EL85" s="1">
        <v>1.9062008477558623E-3</v>
      </c>
      <c r="EM85" s="1">
        <v>2.017025255160565E-2</v>
      </c>
      <c r="EN85" s="1">
        <v>1.4136188154198398E-2</v>
      </c>
      <c r="EO85" s="1">
        <v>-2.0541542078938851E-3</v>
      </c>
      <c r="EP85" s="1">
        <v>1.1917037736848934E-2</v>
      </c>
      <c r="EQ85" s="1">
        <v>2.1927874625942007E-2</v>
      </c>
      <c r="ER85" s="1">
        <v>1.6233944687826851E-2</v>
      </c>
      <c r="ES85" s="1">
        <v>2.5055405105260525E-3</v>
      </c>
      <c r="ET85" s="1">
        <v>-2.1919655276509686E-3</v>
      </c>
      <c r="EU85" s="1">
        <v>7.3168783905220025E-3</v>
      </c>
      <c r="EV85" s="10">
        <v>-1.4664740601535525E-2</v>
      </c>
    </row>
    <row r="86" spans="1:152" x14ac:dyDescent="0.25">
      <c r="A86" s="21">
        <f t="shared" ca="1" si="1"/>
        <v>4.6782668847430056E-2</v>
      </c>
      <c r="B86" s="5">
        <v>85</v>
      </c>
      <c r="C86" s="9">
        <v>-2.224384017051345E-3</v>
      </c>
      <c r="D86" s="1">
        <v>-9.9387094549695972E-3</v>
      </c>
      <c r="E86" s="1">
        <v>9.4273138879145697E-4</v>
      </c>
      <c r="F86" s="1">
        <v>1.0703757301921942E-3</v>
      </c>
      <c r="G86" s="1">
        <v>3.2163364048291539E-3</v>
      </c>
      <c r="H86" s="1">
        <v>6.6577425958650269E-3</v>
      </c>
      <c r="I86" s="1">
        <v>1.2344250649351201E-2</v>
      </c>
      <c r="J86" s="1">
        <v>-2.0967396756506355E-3</v>
      </c>
      <c r="K86" s="1">
        <v>1.3256644129936409E-3</v>
      </c>
      <c r="L86" s="1">
        <v>-1.0586432213169039E-2</v>
      </c>
      <c r="M86" s="1">
        <v>-5.2638550814934244E-3</v>
      </c>
      <c r="N86" s="1">
        <v>3.4716250876306283E-3</v>
      </c>
      <c r="O86" s="1">
        <v>-1.0458787871768275E-2</v>
      </c>
      <c r="P86" s="1">
        <v>3.4621240364348161E-3</v>
      </c>
      <c r="Q86" s="1">
        <v>-8.4309704873362264E-3</v>
      </c>
      <c r="R86" s="1">
        <v>1.1587885652142632E-2</v>
      </c>
      <c r="S86" s="1">
        <v>6.6577425958650269E-3</v>
      </c>
      <c r="T86" s="1">
        <v>1.0798767813879912E-3</v>
      </c>
      <c r="U86" s="1">
        <v>-7.6556033877360746E-3</v>
      </c>
      <c r="V86" s="1">
        <v>9.0494909021076615E-3</v>
      </c>
      <c r="W86" s="1">
        <v>-1.3233469202213109E-2</v>
      </c>
      <c r="X86" s="1">
        <v>9.6972136603071194E-3</v>
      </c>
      <c r="Y86" s="1">
        <v>1.4353065931391653E-2</v>
      </c>
      <c r="Z86" s="1">
        <v>2.3753222977868776E-3</v>
      </c>
      <c r="AA86" s="1">
        <v>3.4716250876306283E-3</v>
      </c>
      <c r="AB86" s="1">
        <v>-1.2722891836610201E-2</v>
      </c>
      <c r="AC86" s="1">
        <v>4.5117819212280395E-3</v>
      </c>
      <c r="AD86" s="1">
        <v>-5.0085663986919769E-3</v>
      </c>
      <c r="AE86" s="1">
        <v>-7.6651044389318725E-3</v>
      </c>
      <c r="AF86" s="1">
        <v>9.4273138879145697E-4</v>
      </c>
      <c r="AG86" s="1">
        <v>-4.4979890330890419E-3</v>
      </c>
      <c r="AH86" s="1">
        <v>-6.6249476053344327E-3</v>
      </c>
      <c r="AI86" s="1">
        <v>7.6264010443080257E-3</v>
      </c>
      <c r="AJ86" s="1">
        <v>5.2346527380654042E-3</v>
      </c>
      <c r="AK86" s="1">
        <v>-7.2821714147297024E-3</v>
      </c>
      <c r="AL86" s="1">
        <v>-7.4098157561304119E-3</v>
      </c>
      <c r="AM86" s="1">
        <v>-1.3361113543613846E-2</v>
      </c>
      <c r="AN86" s="1">
        <v>2.6962579880304206E-3</v>
      </c>
      <c r="AO86" s="1">
        <v>3.9822024532335217E-3</v>
      </c>
      <c r="AP86" s="1">
        <v>-4.8809220572912397E-3</v>
      </c>
      <c r="AQ86" s="1">
        <v>3.8640591630285954E-3</v>
      </c>
      <c r="AR86" s="1">
        <v>-1.4093485411646997E-2</v>
      </c>
      <c r="AS86" s="1">
        <v>9.2952785337133102E-3</v>
      </c>
      <c r="AT86" s="1">
        <v>1.3776841558346607E-2</v>
      </c>
      <c r="AU86" s="1">
        <v>1.2353751700547E-2</v>
      </c>
      <c r="AV86" s="1">
        <v>-3.8502662748896004E-3</v>
      </c>
      <c r="AW86" s="1">
        <v>5.7452301036683253E-3</v>
      </c>
      <c r="AX86" s="1">
        <v>3.7269137704320889E-3</v>
      </c>
      <c r="AY86" s="1">
        <v>-2.4796726998527916E-3</v>
      </c>
      <c r="AZ86" s="1">
        <v>-4.7532777158905302E-3</v>
      </c>
      <c r="BA86" s="1">
        <v>4.2445660232205903E-3</v>
      </c>
      <c r="BB86" s="1">
        <v>2.4253921111503637E-2</v>
      </c>
      <c r="BC86" s="1">
        <v>7.6764711630606386E-3</v>
      </c>
      <c r="BD86" s="1">
        <v>1.8794198587231518E-2</v>
      </c>
      <c r="BE86" s="1">
        <v>1.0843586568903468E-2</v>
      </c>
      <c r="BF86" s="1">
        <v>2.6508524025149742E-2</v>
      </c>
      <c r="BG86" s="1">
        <v>3.2998902331823489E-2</v>
      </c>
      <c r="BH86" s="1">
        <v>2.8243048521997105E-2</v>
      </c>
      <c r="BI86" s="1">
        <v>4.1074206306240604E-3</v>
      </c>
      <c r="BJ86" s="1">
        <v>4.1077158691552297E-2</v>
      </c>
      <c r="BK86" s="1">
        <v>1.4832713979396936E-2</v>
      </c>
      <c r="BL86" s="1">
        <v>3.2861756939226952E-2</v>
      </c>
      <c r="BM86" s="1">
        <v>-7.6960337565294551E-3</v>
      </c>
      <c r="BN86" s="1">
        <v>2.1332593337266496E-2</v>
      </c>
      <c r="BO86" s="1">
        <v>3.1949244447030269E-2</v>
      </c>
      <c r="BP86" s="1">
        <v>9.9405751279025359E-3</v>
      </c>
      <c r="BQ86" s="1">
        <v>4.121430408414882E-2</v>
      </c>
      <c r="BR86" s="1">
        <v>1.1155021207951241E-2</v>
      </c>
      <c r="BS86" s="1">
        <v>3.2569054723859681E-3</v>
      </c>
      <c r="BT86" s="1">
        <v>1.4714570689192026E-2</v>
      </c>
      <c r="BU86" s="1">
        <v>4.8087615415024758E-2</v>
      </c>
      <c r="BV86" s="1">
        <v>1.537179449858727E-2</v>
      </c>
      <c r="BW86" s="1">
        <v>8.4423372114650341E-3</v>
      </c>
      <c r="BX86" s="1">
        <v>1.2067533700147924E-2</v>
      </c>
      <c r="BY86" s="1">
        <v>9.6757853939052965E-3</v>
      </c>
      <c r="BZ86" s="1">
        <v>1.0068219469303273E-2</v>
      </c>
      <c r="CA86" s="1">
        <v>-8.1322137445773851E-4</v>
      </c>
      <c r="CB86" s="1">
        <v>1.7196819482980651E-2</v>
      </c>
      <c r="CC86" s="1">
        <v>2.7421036517346467E-2</v>
      </c>
      <c r="CD86" s="1">
        <v>1.128266554935195E-2</v>
      </c>
      <c r="CE86" s="1">
        <v>1.4842215030592736E-2</v>
      </c>
      <c r="CF86" s="1">
        <v>1.1537954232153397E-2</v>
      </c>
      <c r="CG86" s="1">
        <v>1.7763542804829911E-2</v>
      </c>
      <c r="CH86" s="1">
        <v>2.541222123530603E-2</v>
      </c>
      <c r="CI86" s="1">
        <v>4.6782668847430056E-2</v>
      </c>
      <c r="CJ86" s="1">
        <v>4.4007987516985252E-2</v>
      </c>
      <c r="CK86" s="1">
        <v>1.3244835926341875E-2</v>
      </c>
      <c r="CL86" s="1">
        <v>-3.4792604658934259E-3</v>
      </c>
      <c r="CM86" s="1">
        <v>3.4605782487270149E-2</v>
      </c>
      <c r="CN86" s="1">
        <v>2.4107274667711308E-2</v>
      </c>
      <c r="CO86" s="1">
        <v>2.3459551909511857E-2</v>
      </c>
      <c r="CP86" s="1">
        <v>2.3989131377506377E-2</v>
      </c>
      <c r="CQ86" s="1">
        <v>1.5107004764590017E-2</v>
      </c>
      <c r="CR86" s="1">
        <v>2.2802328100116606E-2</v>
      </c>
      <c r="CS86" s="1">
        <v>2.6636168366550493E-2</v>
      </c>
      <c r="CT86" s="1">
        <v>2.8517339307190172E-2</v>
      </c>
      <c r="CU86" s="1">
        <v>2.9165062065389637E-2</v>
      </c>
      <c r="CV86" s="1">
        <v>1.5244150157186533E-2</v>
      </c>
      <c r="CW86" s="1">
        <v>2.863548259739513E-2</v>
      </c>
      <c r="CX86" s="1">
        <v>2.6508524025149742E-2</v>
      </c>
      <c r="CY86" s="1">
        <v>3.2340955454909656E-2</v>
      </c>
      <c r="CZ86" s="1">
        <v>1.0497074331037401E-2</v>
      </c>
      <c r="DA86" s="1">
        <v>-1.11191609126923E-2</v>
      </c>
      <c r="DB86" s="1">
        <v>-1.4150222951252525E-3</v>
      </c>
      <c r="DC86" s="1">
        <v>8.8901941755907404E-3</v>
      </c>
      <c r="DD86" s="1">
        <v>-2.5040072820895404E-2</v>
      </c>
      <c r="DE86" s="1">
        <v>2.3633118088444489E-2</v>
      </c>
      <c r="DF86" s="1">
        <v>-2.9256846111531461E-2</v>
      </c>
      <c r="DG86" s="1">
        <v>-2.3177903982647317E-2</v>
      </c>
      <c r="DH86" s="1">
        <v>1.5252928140863736E-2</v>
      </c>
      <c r="DI86" s="1">
        <v>7.5947486591918523E-3</v>
      </c>
      <c r="DJ86" s="1">
        <v>-6.2080199588063351E-3</v>
      </c>
      <c r="DK86" s="1">
        <v>-2.7666137677704594E-3</v>
      </c>
      <c r="DL86" s="1">
        <v>1.1272441430637561E-2</v>
      </c>
      <c r="DM86" s="1">
        <v>2.9674916363473969E-2</v>
      </c>
      <c r="DN86" s="1">
        <v>2.0291713436150466E-2</v>
      </c>
      <c r="DO86" s="1">
        <v>-4.3268490181666078E-3</v>
      </c>
      <c r="DP86" s="1">
        <v>-3.267690082177574E-3</v>
      </c>
      <c r="DQ86" s="1">
        <v>-3.1841885766616923E-2</v>
      </c>
      <c r="DR86" s="1">
        <v>-2.1571023827200636E-2</v>
      </c>
      <c r="DS86" s="1">
        <v>6.3708015279473618E-3</v>
      </c>
      <c r="DT86" s="1">
        <v>2.2026237932997864E-2</v>
      </c>
      <c r="DU86" s="1">
        <v>-3.6441592081455157E-2</v>
      </c>
      <c r="DV86" s="1">
        <v>-6.728098375605028E-3</v>
      </c>
      <c r="DW86" s="1">
        <v>7.987182734589815E-3</v>
      </c>
      <c r="DX86" s="1">
        <v>-1.8503049609171186E-2</v>
      </c>
      <c r="DY86" s="1">
        <v>-1.2873779537245431E-3</v>
      </c>
      <c r="DZ86" s="1">
        <v>6.8098805083958644E-3</v>
      </c>
      <c r="EA86" s="1">
        <v>3.0570396783122372E-3</v>
      </c>
      <c r="EB86" s="1">
        <v>-3.0424647286529653E-2</v>
      </c>
      <c r="EC86" s="1">
        <v>-3.1393305734972662E-2</v>
      </c>
      <c r="ED86" s="1">
        <v>-1.5444576442337515E-2</v>
      </c>
      <c r="EE86" s="1">
        <v>6.3613004767515691E-3</v>
      </c>
      <c r="EF86" s="1">
        <v>-1.3984342730683164E-2</v>
      </c>
      <c r="EG86" s="1">
        <v>-1.7033314846321042E-2</v>
      </c>
      <c r="EH86" s="1">
        <v>-2.1215733605657372E-2</v>
      </c>
      <c r="EI86" s="1">
        <v>3.1693232696710205E-2</v>
      </c>
      <c r="EJ86" s="1">
        <v>1.1138714037138911E-3</v>
      </c>
      <c r="EK86" s="1">
        <v>9.5940628900364963E-3</v>
      </c>
      <c r="EL86" s="1">
        <v>-2.8942581091711966E-3</v>
      </c>
      <c r="EM86" s="1">
        <v>1.2586889049428035E-2</v>
      </c>
      <c r="EN86" s="1">
        <v>3.7142634877074671E-3</v>
      </c>
      <c r="EO86" s="1">
        <v>1.0497074331037401E-2</v>
      </c>
      <c r="EP86" s="1">
        <v>9.1549839095879937E-3</v>
      </c>
      <c r="EQ86" s="1">
        <v>2.1204225928347156E-2</v>
      </c>
      <c r="ER86" s="1">
        <v>6.6260902107488084E-3</v>
      </c>
      <c r="ES86" s="1">
        <v>-8.7369136576454925E-3</v>
      </c>
      <c r="ET86" s="1">
        <v>2.2816725787120629E-3</v>
      </c>
      <c r="EU86" s="1">
        <v>3.1173154279911477E-2</v>
      </c>
      <c r="EV86" s="10">
        <v>1.23782452716771E-2</v>
      </c>
    </row>
    <row r="87" spans="1:152" x14ac:dyDescent="0.25">
      <c r="A87" s="21">
        <f t="shared" ca="1" si="1"/>
        <v>5.3644183035671839E-2</v>
      </c>
      <c r="B87" s="5">
        <v>86</v>
      </c>
      <c r="C87" s="9">
        <v>2.8981362529018062E-4</v>
      </c>
      <c r="D87" s="1">
        <v>-1.8065178144045624E-2</v>
      </c>
      <c r="E87" s="1">
        <v>-5.8312463759084832E-3</v>
      </c>
      <c r="F87" s="1">
        <v>-8.4539729311178535E-3</v>
      </c>
      <c r="G87" s="1">
        <v>6.4067795093587232E-3</v>
      </c>
      <c r="H87" s="1">
        <v>1.7806896763974511E-2</v>
      </c>
      <c r="I87" s="1">
        <v>7.2950943545076891E-3</v>
      </c>
      <c r="J87" s="1">
        <v>-2.3329129299192453E-3</v>
      </c>
      <c r="K87" s="1">
        <v>-1.3699426041536678E-2</v>
      </c>
      <c r="L87" s="1">
        <v>-1.6334860551115229E-2</v>
      </c>
      <c r="M87" s="1">
        <v>3.788147071279363E-3</v>
      </c>
      <c r="N87" s="1">
        <v>1.161326398939927E-3</v>
      </c>
      <c r="O87" s="1">
        <v>-1.89575871063246E-2</v>
      </c>
      <c r="P87" s="1">
        <v>-1.0221988784176697E-2</v>
      </c>
      <c r="Q87" s="1">
        <v>9.909207072477999E-3</v>
      </c>
      <c r="R87" s="1">
        <v>3.4414768868880702E-2</v>
      </c>
      <c r="S87" s="1">
        <v>1.7806896763974511E-2</v>
      </c>
      <c r="T87" s="1">
        <v>2.9293422519987705E-3</v>
      </c>
      <c r="U87" s="1">
        <v>5.5561629243382066E-3</v>
      </c>
      <c r="V87" s="1">
        <v>1.6038880910915723E-2</v>
      </c>
      <c r="W87" s="1">
        <v>-9.3213915876375897E-3</v>
      </c>
      <c r="X87" s="1">
        <v>1.4308563317985329E-2</v>
      </c>
      <c r="Y87" s="1">
        <v>1.3395258167077068E-2</v>
      </c>
      <c r="Z87" s="1">
        <v>-5.3129293386201815E-4</v>
      </c>
      <c r="AA87" s="1">
        <v>1.161326398939927E-3</v>
      </c>
      <c r="AB87" s="1">
        <v>-1.9812297808475182E-2</v>
      </c>
      <c r="AC87" s="1">
        <v>2.9461443234979345E-3</v>
      </c>
      <c r="AD87" s="1">
        <v>-1.4573060391394332E-3</v>
      </c>
      <c r="AE87" s="1">
        <v>-5.8271522587784175E-3</v>
      </c>
      <c r="AF87" s="1">
        <v>-5.8312463759084832E-3</v>
      </c>
      <c r="AG87" s="1">
        <v>-1.1948212259977026E-2</v>
      </c>
      <c r="AH87" s="1">
        <v>-4.0423343342204099E-3</v>
      </c>
      <c r="AI87" s="1">
        <v>2.2122242651985854E-2</v>
      </c>
      <c r="AJ87" s="1">
        <v>2.3890258505044726E-2</v>
      </c>
      <c r="AK87" s="1">
        <v>-1.369533192440664E-2</v>
      </c>
      <c r="AL87" s="1">
        <v>-1.1072605369197214E-2</v>
      </c>
      <c r="AM87" s="1">
        <v>-6.6986650324281638E-3</v>
      </c>
      <c r="AN87" s="1">
        <v>5.5143705470796917E-3</v>
      </c>
      <c r="AO87" s="1">
        <v>-9.3295798218976933E-3</v>
      </c>
      <c r="AP87" s="1">
        <v>-4.0800325943488036E-3</v>
      </c>
      <c r="AQ87" s="1">
        <v>4.6764619164283289E-3</v>
      </c>
      <c r="AR87" s="1">
        <v>-3.9026094397091579E-2</v>
      </c>
      <c r="AS87" s="1">
        <v>-5.8988738261972484E-4</v>
      </c>
      <c r="AT87" s="1">
        <v>1.2595047796554099E-2</v>
      </c>
      <c r="AU87" s="1">
        <v>1.8678409537624313E-2</v>
      </c>
      <c r="AV87" s="1">
        <v>-1.367852985290742E-2</v>
      </c>
      <c r="AW87" s="1">
        <v>1.3399352284207133E-2</v>
      </c>
      <c r="AX87" s="1">
        <v>-4.0841267114788693E-3</v>
      </c>
      <c r="AY87" s="1">
        <v>5.5352667357089769E-3</v>
      </c>
      <c r="AZ87" s="1">
        <v>-6.7027591495582295E-3</v>
      </c>
      <c r="BA87" s="1">
        <v>2.2154236698680857E-2</v>
      </c>
      <c r="BB87" s="1">
        <v>3.5276483311966936E-2</v>
      </c>
      <c r="BC87" s="1">
        <v>2.2171038770180021E-2</v>
      </c>
      <c r="BD87" s="1">
        <v>6.3928870616651728E-3</v>
      </c>
      <c r="BE87" s="1">
        <v>1.6049978768981413E-2</v>
      </c>
      <c r="BF87" s="1">
        <v>2.4747878831000922E-2</v>
      </c>
      <c r="BG87" s="1">
        <v>4.4032977822744096E-2</v>
      </c>
      <c r="BH87" s="1">
        <v>1.3326865387755862E-2</v>
      </c>
      <c r="BI87" s="1">
        <v>1.3393648070773659E-2</v>
      </c>
      <c r="BJ87" s="1">
        <v>3.1753159560218444E-2</v>
      </c>
      <c r="BK87" s="1">
        <v>-5.8996391552296329E-3</v>
      </c>
      <c r="BL87" s="1">
        <v>3.5272389194836898E-2</v>
      </c>
      <c r="BM87" s="1">
        <v>-1.4631143360247498E-2</v>
      </c>
      <c r="BN87" s="1">
        <v>2.4768775019630151E-2</v>
      </c>
      <c r="BO87" s="1">
        <v>3.0864844715069492E-2</v>
      </c>
      <c r="BP87" s="1">
        <v>2.3025749472330603E-2</v>
      </c>
      <c r="BQ87" s="1">
        <v>4.0513748188125656E-2</v>
      </c>
      <c r="BR87" s="1">
        <v>1.0712327066806596E-2</v>
      </c>
      <c r="BS87" s="1">
        <v>-4.9277395555637205E-3</v>
      </c>
      <c r="BT87" s="1">
        <v>8.1064025830963927E-3</v>
      </c>
      <c r="BU87" s="1">
        <v>5.1930667514240636E-2</v>
      </c>
      <c r="BV87" s="1">
        <v>1.7759400173282577E-2</v>
      </c>
      <c r="BW87" s="1">
        <v>6.4346794389236461E-3</v>
      </c>
      <c r="BX87" s="1">
        <v>1.5119871546573987E-2</v>
      </c>
      <c r="BY87" s="1">
        <v>1.6887887399632803E-2</v>
      </c>
      <c r="BZ87" s="1">
        <v>2.0403022917121233E-2</v>
      </c>
      <c r="CA87" s="1">
        <v>8.1690911489840923E-3</v>
      </c>
      <c r="CB87" s="1">
        <v>2.6574489132817389E-2</v>
      </c>
      <c r="CC87" s="1">
        <v>2.9155423310768327E-2</v>
      </c>
      <c r="CD87" s="1">
        <v>8.0896005115971975E-3</v>
      </c>
      <c r="CE87" s="1">
        <v>5.4836760278869946E-3</v>
      </c>
      <c r="CF87" s="1">
        <v>2.8441474011784013E-3</v>
      </c>
      <c r="CG87" s="1">
        <v>1.5991384320223775E-2</v>
      </c>
      <c r="CH87" s="1">
        <v>2.3055259498198963E-2</v>
      </c>
      <c r="CI87" s="1">
        <v>4.4007987516984801E-2</v>
      </c>
      <c r="CJ87" s="1">
        <v>5.3644183035671839E-2</v>
      </c>
      <c r="CK87" s="1">
        <v>2.5665278099039193E-2</v>
      </c>
      <c r="CL87" s="1">
        <v>-7.584070253771516E-3</v>
      </c>
      <c r="CM87" s="1">
        <v>3.5234690934708476E-2</v>
      </c>
      <c r="CN87" s="1">
        <v>1.5132579500943155E-2</v>
      </c>
      <c r="CO87" s="1">
        <v>1.686289709387355E-2</v>
      </c>
      <c r="CP87" s="1">
        <v>2.9138621239269136E-2</v>
      </c>
      <c r="CQ87" s="1">
        <v>1.1621538100584791E-2</v>
      </c>
      <c r="CR87" s="1">
        <v>7.2098995036873059E-3</v>
      </c>
      <c r="CS87" s="1">
        <v>2.2125152275791538E-2</v>
      </c>
      <c r="CT87" s="1">
        <v>3.08480426435703E-2</v>
      </c>
      <c r="CU87" s="1">
        <v>2.9117725050639906E-2</v>
      </c>
      <c r="CV87" s="1">
        <v>2.0382126728491975E-2</v>
      </c>
      <c r="CW87" s="1">
        <v>1.6842000905244323E-2</v>
      </c>
      <c r="CX87" s="1">
        <v>2.4747878831000922E-2</v>
      </c>
      <c r="CY87" s="1">
        <v>3.1788769000178671E-2</v>
      </c>
      <c r="CZ87" s="1">
        <v>-1.5318817557588293E-3</v>
      </c>
      <c r="DA87" s="1">
        <v>-5.8558414810092746E-3</v>
      </c>
      <c r="DB87" s="1">
        <v>-4.1673162653373952E-3</v>
      </c>
      <c r="DC87" s="1">
        <v>7.2664051322767834E-3</v>
      </c>
      <c r="DD87" s="1">
        <v>-1.4591439803157205E-2</v>
      </c>
      <c r="DE87" s="1">
        <v>1.7344553141224184E-4</v>
      </c>
      <c r="DF87" s="1">
        <v>-2.1638512909633228E-2</v>
      </c>
      <c r="DG87" s="1">
        <v>-2.8635179801611663E-2</v>
      </c>
      <c r="DH87" s="1">
        <v>2.9174230679229377E-2</v>
      </c>
      <c r="DI87" s="1">
        <v>1.0727040318137565E-2</v>
      </c>
      <c r="DJ87" s="1">
        <v>-1.2014599742336346E-2</v>
      </c>
      <c r="DK87" s="1">
        <v>-6.1448248772054403E-4</v>
      </c>
      <c r="DL87" s="1">
        <v>-5.8849259038986218E-3</v>
      </c>
      <c r="DM87" s="1">
        <v>1.603560759742309E-2</v>
      </c>
      <c r="DN87" s="1">
        <v>2.0392745862692914E-2</v>
      </c>
      <c r="DO87" s="1">
        <v>-3.2917093745575832E-3</v>
      </c>
      <c r="DP87" s="1">
        <v>2.1259738916233679E-2</v>
      </c>
      <c r="DQ87" s="1">
        <v>-2.8538887092725541E-2</v>
      </c>
      <c r="DR87" s="1">
        <v>-3.7433466689647282E-2</v>
      </c>
      <c r="DS87" s="1">
        <v>1.1657147540544983E-2</v>
      </c>
      <c r="DT87" s="1">
        <v>8.9717324194479031E-3</v>
      </c>
      <c r="DU87" s="1">
        <v>-2.771778053357335E-2</v>
      </c>
      <c r="DV87" s="1">
        <v>-1.290700870461535E-2</v>
      </c>
      <c r="DW87" s="1">
        <v>1.4242175835625967E-2</v>
      </c>
      <c r="DX87" s="1">
        <v>-6.7818545862866897E-3</v>
      </c>
      <c r="DY87" s="1">
        <v>-6.7900428205467933E-3</v>
      </c>
      <c r="DZ87" s="1">
        <v>3.6967692831607613E-3</v>
      </c>
      <c r="EA87" s="1">
        <v>-2.3656962692801958E-3</v>
      </c>
      <c r="EB87" s="1">
        <v>-2.0800604278981838E-2</v>
      </c>
      <c r="EC87" s="1">
        <v>-2.5115950166993209E-2</v>
      </c>
      <c r="ED87" s="1">
        <v>1.2486442333957321E-2</v>
      </c>
      <c r="EE87" s="1">
        <v>2.7383235742840101E-4</v>
      </c>
      <c r="EF87" s="1">
        <v>-1.6455748365102149E-2</v>
      </c>
      <c r="EG87" s="1">
        <v>-2.4340730102229521E-2</v>
      </c>
      <c r="EH87" s="1">
        <v>-1.1059502214169618E-2</v>
      </c>
      <c r="EI87" s="1">
        <v>3.3519086593109065E-2</v>
      </c>
      <c r="EJ87" s="1">
        <v>2.8252565095109872E-3</v>
      </c>
      <c r="EK87" s="1">
        <v>5.4438889475903474E-3</v>
      </c>
      <c r="EL87" s="1">
        <v>2.0082440674888263E-3</v>
      </c>
      <c r="EM87" s="1">
        <v>1.3421069276473768E-2</v>
      </c>
      <c r="EN87" s="1">
        <v>7.2873013209059992E-3</v>
      </c>
      <c r="EO87" s="1">
        <v>-1.5318817557588293E-3</v>
      </c>
      <c r="EP87" s="1">
        <v>1.3404267204974597E-2</v>
      </c>
      <c r="EQ87" s="1">
        <v>2.4800290342460327E-2</v>
      </c>
      <c r="ER87" s="1">
        <v>6.4116944301261872E-3</v>
      </c>
      <c r="ES87" s="1">
        <v>-1.9007172517184728E-2</v>
      </c>
      <c r="ET87" s="1">
        <v>1.9873478788595966E-3</v>
      </c>
      <c r="EU87" s="1">
        <v>3.2626677630830055E-2</v>
      </c>
      <c r="EV87" s="10">
        <v>7.1910086120199335E-3</v>
      </c>
    </row>
    <row r="88" spans="1:152" x14ac:dyDescent="0.25">
      <c r="A88" s="21">
        <f t="shared" ca="1" si="1"/>
        <v>3.581296781430212E-2</v>
      </c>
      <c r="B88" s="5">
        <v>87</v>
      </c>
      <c r="C88" s="9">
        <v>1.3292921562048088E-3</v>
      </c>
      <c r="D88" s="1">
        <v>-3.4620606275942781E-3</v>
      </c>
      <c r="E88" s="1">
        <v>-6.3477109210081095E-3</v>
      </c>
      <c r="F88" s="1">
        <v>-8.3350224935394082E-3</v>
      </c>
      <c r="G88" s="1">
        <v>-1.1353299050208959E-4</v>
      </c>
      <c r="H88" s="1">
        <v>9.6455884133799727E-3</v>
      </c>
      <c r="I88" s="1">
        <v>-6.4772336914682982E-3</v>
      </c>
      <c r="J88" s="1">
        <v>-6.5801941632645522E-4</v>
      </c>
      <c r="K88" s="1">
        <v>-1.230964563860195E-2</v>
      </c>
      <c r="L88" s="1">
        <v>-4.2308765780166568E-3</v>
      </c>
      <c r="M88" s="1">
        <v>7.0189836608864839E-3</v>
      </c>
      <c r="N88" s="1">
        <v>-4.0881561355646662E-3</v>
      </c>
      <c r="O88" s="1">
        <v>-6.2181881505479486E-3</v>
      </c>
      <c r="P88" s="1">
        <v>-1.4793529948643427E-2</v>
      </c>
      <c r="Q88" s="1">
        <v>1.4695986738099413E-2</v>
      </c>
      <c r="R88" s="1">
        <v>1.6152009556798158E-2</v>
      </c>
      <c r="S88" s="1">
        <v>9.6455884133799727E-3</v>
      </c>
      <c r="T88" s="1">
        <v>2.3703513195393738E-3</v>
      </c>
      <c r="U88" s="1">
        <v>1.3477491115990507E-2</v>
      </c>
      <c r="V88" s="1">
        <v>3.1870809582759188E-3</v>
      </c>
      <c r="W88" s="1">
        <v>6.2022540221499389E-3</v>
      </c>
      <c r="X88" s="1">
        <v>3.9558969086982976E-3</v>
      </c>
      <c r="Y88" s="1">
        <v>-6.9738064289784976E-3</v>
      </c>
      <c r="Z88" s="1">
        <v>3.9079832203841314E-3</v>
      </c>
      <c r="AA88" s="1">
        <v>-4.0881561355646662E-3</v>
      </c>
      <c r="AB88" s="1">
        <v>-1.7469922679751795E-3</v>
      </c>
      <c r="AC88" s="1">
        <v>1.4240989103426679E-3</v>
      </c>
      <c r="AD88" s="1">
        <v>3.0443605158239212E-3</v>
      </c>
      <c r="AE88" s="1">
        <v>2.7721173029117419E-3</v>
      </c>
      <c r="AF88" s="1">
        <v>-6.3477109210081095E-3</v>
      </c>
      <c r="AG88" s="1">
        <v>-4.9048857743012111E-3</v>
      </c>
      <c r="AH88" s="1">
        <v>8.2843723488190621E-3</v>
      </c>
      <c r="AI88" s="1">
        <v>3.636760629962453E-3</v>
      </c>
      <c r="AJ88" s="1">
        <v>1.0095268085066479E-2</v>
      </c>
      <c r="AK88" s="1">
        <v>-3.1898174146820987E-3</v>
      </c>
      <c r="AL88" s="1">
        <v>-1.2025058421508139E-3</v>
      </c>
      <c r="AM88" s="1">
        <v>8.1895655946812029E-3</v>
      </c>
      <c r="AN88" s="1">
        <v>-2.8696605134557462E-3</v>
      </c>
      <c r="AO88" s="1">
        <v>-1.2037402425689771E-2</v>
      </c>
      <c r="AP88" s="1">
        <v>1.0570489432926294E-3</v>
      </c>
      <c r="AQ88" s="1">
        <v>6.5528295992028918E-4</v>
      </c>
      <c r="AR88" s="1">
        <v>-1.1186977393121376E-2</v>
      </c>
      <c r="AS88" s="1">
        <v>-1.1492915999865405E-2</v>
      </c>
      <c r="AT88" s="1">
        <v>3.7784604499239635E-3</v>
      </c>
      <c r="AU88" s="1">
        <v>4.2281401216104769E-3</v>
      </c>
      <c r="AV88" s="1">
        <v>-4.1360698238788254E-3</v>
      </c>
      <c r="AW88" s="1">
        <v>2.1460217949413538E-3</v>
      </c>
      <c r="AX88" s="1">
        <v>-8.0627792806272219E-3</v>
      </c>
      <c r="AY88" s="1">
        <v>5.3039153012673715E-3</v>
      </c>
      <c r="AZ88" s="1">
        <v>-9.3026262923863456E-4</v>
      </c>
      <c r="BA88" s="1">
        <v>4.0189356942737023E-2</v>
      </c>
      <c r="BB88" s="1">
        <v>3.0940005948357011E-2</v>
      </c>
      <c r="BC88" s="1">
        <v>3.9243104533540317E-2</v>
      </c>
      <c r="BD88" s="1">
        <v>1.0972083468906373E-2</v>
      </c>
      <c r="BE88" s="1">
        <v>3.1566101456327378E-2</v>
      </c>
      <c r="BF88" s="1">
        <v>1.5763436252705473E-2</v>
      </c>
      <c r="BG88" s="1">
        <v>3.0538239964984653E-2</v>
      </c>
      <c r="BH88" s="1">
        <v>-2.1692609658997067E-3</v>
      </c>
      <c r="BI88" s="1">
        <v>3.1471294702189533E-2</v>
      </c>
      <c r="BJ88" s="1">
        <v>7.9569104050323733E-3</v>
      </c>
      <c r="BK88" s="1">
        <v>-1.5431654579293325E-3</v>
      </c>
      <c r="BL88" s="1">
        <v>2.1820177724437152E-2</v>
      </c>
      <c r="BM88" s="1">
        <v>1.6152004564086005E-2</v>
      </c>
      <c r="BN88" s="1">
        <v>2.3937012067428612E-2</v>
      </c>
      <c r="BO88" s="1">
        <v>1.4320611105998561E-2</v>
      </c>
      <c r="BP88" s="1">
        <v>3.4771908650967562E-2</v>
      </c>
      <c r="BQ88" s="1">
        <v>1.6674972645579857E-2</v>
      </c>
      <c r="BR88" s="1">
        <v>1.4083083909408711E-2</v>
      </c>
      <c r="BS88" s="1">
        <v>2.4787437099996996E-2</v>
      </c>
      <c r="BT88" s="1">
        <v>1.1149519927680714E-2</v>
      </c>
      <c r="BU88" s="1">
        <v>2.5487841640265196E-2</v>
      </c>
      <c r="BV88" s="1">
        <v>2.2623709691181867E-2</v>
      </c>
      <c r="BW88" s="1">
        <v>2.7319235098352639E-2</v>
      </c>
      <c r="BX88" s="1">
        <v>2.1582650527847309E-2</v>
      </c>
      <c r="BY88" s="1">
        <v>2.8041157982951349E-2</v>
      </c>
      <c r="BZ88" s="1">
        <v>3.278459707843627E-2</v>
      </c>
      <c r="CA88" s="1">
        <v>3.5670247371850101E-2</v>
      </c>
      <c r="CB88" s="1">
        <v>3.7622842928059064E-2</v>
      </c>
      <c r="CC88" s="1">
        <v>2.3263002871144071E-2</v>
      </c>
      <c r="CD88" s="1">
        <v>1.2095772336877433E-2</v>
      </c>
      <c r="CE88" s="1">
        <v>9.1622083551494288E-3</v>
      </c>
      <c r="CF88" s="1">
        <v>8.1211491918148707E-3</v>
      </c>
      <c r="CG88" s="1">
        <v>1.6165202236077827E-2</v>
      </c>
      <c r="CH88" s="1">
        <v>2.3759575608654267E-2</v>
      </c>
      <c r="CI88" s="1">
        <v>1.3244835926341673E-2</v>
      </c>
      <c r="CJ88" s="1">
        <v>2.5665278099039537E-2</v>
      </c>
      <c r="CK88" s="1">
        <v>3.581296781430212E-2</v>
      </c>
      <c r="CL88" s="1">
        <v>2.4692630345859161E-2</v>
      </c>
      <c r="CM88" s="1">
        <v>1.459285431891074E-2</v>
      </c>
      <c r="CN88" s="1">
        <v>1.1516569894730738E-2</v>
      </c>
      <c r="CO88" s="1">
        <v>1.0747753944308353E-2</v>
      </c>
      <c r="CP88" s="1">
        <v>2.4209255280340791E-2</v>
      </c>
      <c r="CQ88" s="1">
        <v>1.5892959023165648E-2</v>
      </c>
      <c r="CR88" s="1">
        <v>-7.2643581919278749E-4</v>
      </c>
      <c r="CS88" s="1">
        <v>1.3776124680174195E-2</v>
      </c>
      <c r="CT88" s="1">
        <v>1.5266863515195274E-2</v>
      </c>
      <c r="CU88" s="1">
        <v>1.603567946561766E-2</v>
      </c>
      <c r="CV88" s="1">
        <v>2.4611021263713152E-2</v>
      </c>
      <c r="CW88" s="1">
        <v>2.5741781295852209E-3</v>
      </c>
      <c r="CX88" s="1">
        <v>1.5763436252705473E-2</v>
      </c>
      <c r="CY88" s="1">
        <v>8.8273643259631496E-4</v>
      </c>
      <c r="CZ88" s="1">
        <v>-1.5572419622979627E-2</v>
      </c>
      <c r="DA88" s="1">
        <v>9.6223170174743085E-3</v>
      </c>
      <c r="DB88" s="1">
        <v>-7.4936505623943266E-3</v>
      </c>
      <c r="DC88" s="1">
        <v>3.7296602309428925E-4</v>
      </c>
      <c r="DD88" s="1">
        <v>1.8197658815569801E-2</v>
      </c>
      <c r="DE88" s="1">
        <v>-3.3634639612044978E-2</v>
      </c>
      <c r="DF88" s="1">
        <v>9.6570330337966432E-3</v>
      </c>
      <c r="DG88" s="1">
        <v>-1.7223499755666602E-3</v>
      </c>
      <c r="DH88" s="1">
        <v>1.7135081307904747E-2</v>
      </c>
      <c r="DI88" s="1">
        <v>-1.1646658777504648E-3</v>
      </c>
      <c r="DJ88" s="1">
        <v>-5.2820094652650355E-3</v>
      </c>
      <c r="DK88" s="1">
        <v>4.4771119386170129E-3</v>
      </c>
      <c r="DL88" s="1">
        <v>-1.6790915245088522E-2</v>
      </c>
      <c r="DM88" s="1">
        <v>-1.009488059339465E-2</v>
      </c>
      <c r="DN88" s="1">
        <v>2.4344325263411445E-4</v>
      </c>
      <c r="DO88" s="1">
        <v>-3.7912706302439501E-3</v>
      </c>
      <c r="DP88" s="1">
        <v>2.313173204182091E-2</v>
      </c>
      <c r="DQ88" s="1">
        <v>2.0905872650209292E-2</v>
      </c>
      <c r="DR88" s="1">
        <v>-1.7667735621640569E-2</v>
      </c>
      <c r="DS88" s="1">
        <v>8.8187850507296054E-3</v>
      </c>
      <c r="DT88" s="1">
        <v>-1.7689253965971083E-2</v>
      </c>
      <c r="DU88" s="1">
        <v>1.8327181586029976E-2</v>
      </c>
      <c r="DV88" s="1">
        <v>-8.0381369882186922E-3</v>
      </c>
      <c r="DW88" s="1">
        <v>3.5787732177344732E-3</v>
      </c>
      <c r="DX88" s="1">
        <v>8.7586943129141035E-3</v>
      </c>
      <c r="DY88" s="1">
        <v>-9.4809621349256079E-3</v>
      </c>
      <c r="DZ88" s="1">
        <v>-1.0651544068720344E-2</v>
      </c>
      <c r="EA88" s="1">
        <v>-2.9276479256837296E-3</v>
      </c>
      <c r="EB88" s="1">
        <v>6.1320895604206234E-3</v>
      </c>
      <c r="EC88" s="1">
        <v>1.2140917343838119E-2</v>
      </c>
      <c r="ED88" s="1">
        <v>2.4479750434389984E-2</v>
      </c>
      <c r="EE88" s="1">
        <v>-1.8865887623491714E-3</v>
      </c>
      <c r="EF88" s="1">
        <v>-1.0889071265310187E-2</v>
      </c>
      <c r="EG88" s="1">
        <v>-1.5904753573707305E-2</v>
      </c>
      <c r="EH88" s="1">
        <v>2.1994845501858016E-2</v>
      </c>
      <c r="EI88" s="1">
        <v>1.1392048217393272E-4</v>
      </c>
      <c r="EJ88" s="1">
        <v>-5.2340957769508693E-3</v>
      </c>
      <c r="EK88" s="1">
        <v>-1.2366612428339443E-2</v>
      </c>
      <c r="EL88" s="1">
        <v>6.4644235111483064E-3</v>
      </c>
      <c r="EM88" s="1">
        <v>6.1574642819137819E-3</v>
      </c>
      <c r="EN88" s="1">
        <v>8.5465418378174226E-3</v>
      </c>
      <c r="EO88" s="1">
        <v>-1.5572419622979627E-2</v>
      </c>
      <c r="EP88" s="1">
        <v>7.1037166911104947E-3</v>
      </c>
      <c r="EQ88" s="1">
        <v>7.7430098710727091E-3</v>
      </c>
      <c r="ER88" s="1">
        <v>4.8441619056670444E-3</v>
      </c>
      <c r="ES88" s="1">
        <v>-7.5415642507084962E-3</v>
      </c>
      <c r="ET88" s="1">
        <v>-1.7091523035748304E-3</v>
      </c>
      <c r="EU88" s="1">
        <v>-2.6422070407797239E-3</v>
      </c>
      <c r="EV88" s="10">
        <v>-1.4081680787958541E-2</v>
      </c>
    </row>
    <row r="89" spans="1:152" x14ac:dyDescent="0.25">
      <c r="A89" s="21">
        <f t="shared" ca="1" si="1"/>
        <v>5.3437152958288645E-2</v>
      </c>
      <c r="B89" s="5">
        <v>88</v>
      </c>
      <c r="C89" s="9">
        <v>-1.9195509975901415E-3</v>
      </c>
      <c r="D89" s="1">
        <v>1.8933356357451858E-2</v>
      </c>
      <c r="E89" s="1">
        <v>3.4049773525991617E-3</v>
      </c>
      <c r="F89" s="1">
        <v>6.0354410958570193E-3</v>
      </c>
      <c r="G89" s="1">
        <v>-9.6837405000164689E-3</v>
      </c>
      <c r="H89" s="1">
        <v>-1.2441629998234879E-2</v>
      </c>
      <c r="I89" s="1">
        <v>-8.2732193466837772E-3</v>
      </c>
      <c r="J89" s="1">
        <v>7.1091274566772999E-4</v>
      </c>
      <c r="K89" s="1">
        <v>1.1296368582372762E-2</v>
      </c>
      <c r="L89" s="1">
        <v>1.2452710308624326E-2</v>
      </c>
      <c r="M89" s="1">
        <v>-4.6136156045216148E-3</v>
      </c>
      <c r="N89" s="1">
        <v>-4.4228130135007537E-3</v>
      </c>
      <c r="O89" s="1">
        <v>1.5083174051882142E-2</v>
      </c>
      <c r="P89" s="1">
        <v>2.2488596539609468E-3</v>
      </c>
      <c r="Q89" s="1">
        <v>-9.9381439547109318E-3</v>
      </c>
      <c r="R89" s="1">
        <v>-3.0727674473692637E-2</v>
      </c>
      <c r="S89" s="1">
        <v>-1.2441629998234879E-2</v>
      </c>
      <c r="T89" s="1">
        <v>-6.3623157160468125E-4</v>
      </c>
      <c r="U89" s="1">
        <v>-8.2703416262548679E-4</v>
      </c>
      <c r="V89" s="1">
        <v>-1.6228211440130938E-2</v>
      </c>
      <c r="W89" s="1">
        <v>1.0978364264004697E-2</v>
      </c>
      <c r="X89" s="1">
        <v>-9.7475653913034338E-3</v>
      </c>
      <c r="Y89" s="1">
        <v>-1.9951192018353436E-2</v>
      </c>
      <c r="Z89" s="1">
        <v>1.232506052605041E-2</v>
      </c>
      <c r="AA89" s="1">
        <v>-4.4228130135007537E-3</v>
      </c>
      <c r="AB89" s="1">
        <v>2.1500219237036072E-2</v>
      </c>
      <c r="AC89" s="1">
        <v>3.2775515976386366E-3</v>
      </c>
      <c r="AD89" s="1">
        <v>6.4731188199410039E-4</v>
      </c>
      <c r="AE89" s="1">
        <v>5.8446385048362137E-3</v>
      </c>
      <c r="AF89" s="1">
        <v>3.4049773525991617E-3</v>
      </c>
      <c r="AG89" s="1">
        <v>1.1169166855025503E-2</v>
      </c>
      <c r="AH89" s="1">
        <v>1.3545003115975604E-2</v>
      </c>
      <c r="AI89" s="1">
        <v>-3.1819967281043887E-2</v>
      </c>
      <c r="AJ89" s="1">
        <v>-2.8033385839147829E-2</v>
      </c>
      <c r="AK89" s="1">
        <v>1.3736029734609773E-2</v>
      </c>
      <c r="AL89" s="1">
        <v>1.1105565991351873E-2</v>
      </c>
      <c r="AM89" s="1">
        <v>8.347900520746826E-3</v>
      </c>
      <c r="AN89" s="1">
        <v>-1.3533922805586129E-2</v>
      </c>
      <c r="AO89" s="1">
        <v>6.0990419595306489E-3</v>
      </c>
      <c r="AP89" s="1">
        <v>3.2777756252519719E-3</v>
      </c>
      <c r="AQ89" s="1">
        <v>-3.2030944511889231E-3</v>
      </c>
      <c r="AR89" s="1">
        <v>4.6330510624994985E-2</v>
      </c>
      <c r="AS89" s="1">
        <v>-4.29561128615355E-3</v>
      </c>
      <c r="AT89" s="1">
        <v>6.4686382676741594E-4</v>
      </c>
      <c r="AU89" s="1">
        <v>-1.4944892014145492E-2</v>
      </c>
      <c r="AV89" s="1">
        <v>1.7649812903853049E-2</v>
      </c>
      <c r="AW89" s="1">
        <v>-1.7511530866116398E-2</v>
      </c>
      <c r="AX89" s="1">
        <v>8.3811447301490594E-4</v>
      </c>
      <c r="AY89" s="1">
        <v>-7.1804784841058567E-3</v>
      </c>
      <c r="AZ89" s="1">
        <v>5.9082393685098156E-3</v>
      </c>
      <c r="BA89" s="1">
        <v>2.5912572935784927E-2</v>
      </c>
      <c r="BB89" s="1">
        <v>1.1794715084264953E-2</v>
      </c>
      <c r="BC89" s="1">
        <v>2.9826356105028248E-2</v>
      </c>
      <c r="BD89" s="1">
        <v>3.2902249921614737E-2</v>
      </c>
      <c r="BE89" s="1">
        <v>3.5150884455217565E-2</v>
      </c>
      <c r="BF89" s="1">
        <v>1.2049342566572762E-2</v>
      </c>
      <c r="BG89" s="1">
        <v>5.3138450078240758E-3</v>
      </c>
      <c r="BH89" s="1">
        <v>8.4537877433108755E-3</v>
      </c>
      <c r="BI89" s="1">
        <v>2.9953781859988825E-2</v>
      </c>
      <c r="BJ89" s="1">
        <v>5.6956742174790846E-3</v>
      </c>
      <c r="BK89" s="1">
        <v>3.1809957114263446E-2</v>
      </c>
      <c r="BL89" s="1">
        <v>9.355053932027943E-3</v>
      </c>
      <c r="BM89" s="1">
        <v>4.7083932664421665E-2</v>
      </c>
      <c r="BN89" s="1">
        <v>1.8402786888053062E-2</v>
      </c>
      <c r="BO89" s="1">
        <v>4.2851530641464068E-3</v>
      </c>
      <c r="BP89" s="1">
        <v>2.3409310919874315E-2</v>
      </c>
      <c r="BQ89" s="1">
        <v>1.6544652932751897E-3</v>
      </c>
      <c r="BR89" s="1">
        <v>1.5963573791042712E-2</v>
      </c>
      <c r="BS89" s="1">
        <v>5.8634255553517395E-2</v>
      </c>
      <c r="BT89" s="1">
        <v>2.2507820703543849E-2</v>
      </c>
      <c r="BU89" s="1">
        <v>2.810358964300097E-3</v>
      </c>
      <c r="BV89" s="1">
        <v>2.2316794084909702E-2</v>
      </c>
      <c r="BW89" s="1">
        <v>4.5609138564575338E-2</v>
      </c>
      <c r="BX89" s="1">
        <v>2.1033474658924252E-2</v>
      </c>
      <c r="BY89" s="1">
        <v>2.4820056100820369E-2</v>
      </c>
      <c r="BZ89" s="1">
        <v>2.6039774663132158E-2</v>
      </c>
      <c r="CA89" s="1">
        <v>4.1568153667984845E-2</v>
      </c>
      <c r="CB89" s="1">
        <v>3.2456595820672743E-2</v>
      </c>
      <c r="CC89" s="1">
        <v>1.7119243434454298E-2</v>
      </c>
      <c r="CD89" s="1">
        <v>1.8594037534300584E-2</v>
      </c>
      <c r="CE89" s="1">
        <v>2.5138284446801749E-2</v>
      </c>
      <c r="CF89" s="1">
        <v>2.3854965020816299E-2</v>
      </c>
      <c r="CG89" s="1">
        <v>1.8530212643013612E-2</v>
      </c>
      <c r="CH89" s="1">
        <v>2.8797216106123919E-2</v>
      </c>
      <c r="CI89" s="1">
        <v>-3.4792604658932663E-3</v>
      </c>
      <c r="CJ89" s="1">
        <v>-7.5840702537707111E-3</v>
      </c>
      <c r="CK89" s="1">
        <v>2.4692630345859765E-2</v>
      </c>
      <c r="CL89" s="1">
        <v>5.3437152958288645E-2</v>
      </c>
      <c r="CM89" s="1">
        <v>-9.1217355869570305E-4</v>
      </c>
      <c r="CN89" s="1">
        <v>2.2507596675930535E-2</v>
      </c>
      <c r="CO89" s="1">
        <v>1.6026950627103E-2</v>
      </c>
      <c r="CP89" s="1">
        <v>1.3205460265210949E-2</v>
      </c>
      <c r="CQ89" s="1">
        <v>2.3727539265855697E-2</v>
      </c>
      <c r="CR89" s="1">
        <v>1.6217977245737175E-2</v>
      </c>
      <c r="CS89" s="1">
        <v>1.4679806309830578E-2</v>
      </c>
      <c r="CT89" s="1">
        <v>3.7136989490311328E-4</v>
      </c>
      <c r="CU89" s="1">
        <v>6.8520159437306764E-3</v>
      </c>
      <c r="CV89" s="1">
        <v>1.9686330341651886E-2</v>
      </c>
      <c r="CW89" s="1">
        <v>9.6735063056226679E-3</v>
      </c>
      <c r="CX89" s="1">
        <v>1.2049342566572762E-2</v>
      </c>
      <c r="CY89" s="1">
        <v>-1.8252915804496603E-2</v>
      </c>
      <c r="CZ89" s="1">
        <v>-7.6031870212779663E-3</v>
      </c>
      <c r="DA89" s="1">
        <v>1.2740689396761765E-2</v>
      </c>
      <c r="DB89" s="1">
        <v>-6.4468452950263745E-3</v>
      </c>
      <c r="DC89" s="1">
        <v>-1.3771684547582083E-3</v>
      </c>
      <c r="DD89" s="1">
        <v>2.5575003794682975E-2</v>
      </c>
      <c r="DE89" s="1">
        <v>-2.2876938543822816E-2</v>
      </c>
      <c r="DF89" s="1">
        <v>1.9221783500816016E-2</v>
      </c>
      <c r="DG89" s="1">
        <v>2.4609912714678935E-2</v>
      </c>
      <c r="DH89" s="1">
        <v>-1.074312975676471E-2</v>
      </c>
      <c r="DI89" s="1">
        <v>-1.4338460552413307E-2</v>
      </c>
      <c r="DJ89" s="1">
        <v>7.7979902562275126E-3</v>
      </c>
      <c r="DK89" s="1">
        <v>5.0401007580090675E-3</v>
      </c>
      <c r="DL89" s="1">
        <v>1.5079227708074405E-3</v>
      </c>
      <c r="DM89" s="1">
        <v>-6.3839165141928063E-3</v>
      </c>
      <c r="DN89" s="1">
        <v>-1.3055365154041175E-2</v>
      </c>
      <c r="DO89" s="1">
        <v>-6.5104461587000041E-3</v>
      </c>
      <c r="DP89" s="1">
        <v>-1.2153426882484046E-2</v>
      </c>
      <c r="DQ89" s="1">
        <v>5.1497812017606483E-2</v>
      </c>
      <c r="DR89" s="1">
        <v>1.8383894148159191E-2</v>
      </c>
      <c r="DS89" s="1">
        <v>-2.2105075611999342E-4</v>
      </c>
      <c r="DT89" s="1">
        <v>-1.6650919977303086E-2</v>
      </c>
      <c r="DU89" s="1">
        <v>3.7253200493965966E-2</v>
      </c>
      <c r="DV89" s="1">
        <v>3.9478079506577966E-3</v>
      </c>
      <c r="DW89" s="1">
        <v>-1.3118741990101431E-2</v>
      </c>
      <c r="DX89" s="1">
        <v>1.06294075270549E-3</v>
      </c>
      <c r="DY89" s="1">
        <v>-3.816381551768503E-3</v>
      </c>
      <c r="DZ89" s="1">
        <v>-1.6777897677036972E-2</v>
      </c>
      <c r="EA89" s="1">
        <v>5.1673024853563267E-3</v>
      </c>
      <c r="EB89" s="1">
        <v>8.8909551464187893E-3</v>
      </c>
      <c r="EC89" s="1">
        <v>2.8269292429227818E-2</v>
      </c>
      <c r="ED89" s="1">
        <v>-9.586339975286462E-3</v>
      </c>
      <c r="EE89" s="1">
        <v>6.4506219113417765E-3</v>
      </c>
      <c r="EF89" s="1">
        <v>-5.0994769501406384E-3</v>
      </c>
      <c r="EG89" s="1">
        <v>-1.1218688896104008E-3</v>
      </c>
      <c r="EH89" s="1">
        <v>3.0708505526238113E-2</v>
      </c>
      <c r="EI89" s="1">
        <v>-2.4733561853324138E-2</v>
      </c>
      <c r="EJ89" s="1">
        <v>-1.4274635661126304E-2</v>
      </c>
      <c r="EK89" s="1">
        <v>-1.9344760556621186E-2</v>
      </c>
      <c r="EL89" s="1">
        <v>2.4096370147512237E-3</v>
      </c>
      <c r="EM89" s="1">
        <v>1.125869533539086E-3</v>
      </c>
      <c r="EN89" s="1">
        <v>4.9762758667221199E-3</v>
      </c>
      <c r="EO89" s="1">
        <v>-7.6031870212779663E-3</v>
      </c>
      <c r="EP89" s="1">
        <v>-2.7879136357042353E-3</v>
      </c>
      <c r="EQ89" s="1">
        <v>-7.9854642861596353E-3</v>
      </c>
      <c r="ER89" s="1">
        <v>5.0398767303957218E-3</v>
      </c>
      <c r="ES89" s="1">
        <v>1.5625780622327414E-2</v>
      </c>
      <c r="ET89" s="1">
        <v>-3.943807306729108E-3</v>
      </c>
      <c r="EU89" s="1">
        <v>-2.8583744158893802E-2</v>
      </c>
      <c r="EV89" s="10">
        <v>-2.1911623436205428E-2</v>
      </c>
    </row>
    <row r="90" spans="1:152" x14ac:dyDescent="0.25">
      <c r="A90" s="21">
        <f t="shared" ca="1" si="1"/>
        <v>3.3525663801223744E-2</v>
      </c>
      <c r="B90" s="5">
        <v>89</v>
      </c>
      <c r="C90" s="9">
        <v>1.156668611820455E-3</v>
      </c>
      <c r="D90" s="1">
        <v>-1.0975477035376859E-2</v>
      </c>
      <c r="E90" s="1">
        <v>-1.1360949325426584E-3</v>
      </c>
      <c r="F90" s="1">
        <v>-2.4939832382774099E-3</v>
      </c>
      <c r="G90" s="1">
        <v>6.0763596632375377E-3</v>
      </c>
      <c r="H90" s="1">
        <v>5.8874391479647598E-3</v>
      </c>
      <c r="I90" s="1">
        <v>5.6815437676324271E-3</v>
      </c>
      <c r="J90" s="1">
        <v>-2.0121969391431738E-4</v>
      </c>
      <c r="K90" s="1">
        <v>-5.2097598497469547E-3</v>
      </c>
      <c r="L90" s="1">
        <v>-6.5958453269829853E-3</v>
      </c>
      <c r="M90" s="1">
        <v>2.091543850448796E-3</v>
      </c>
      <c r="N90" s="1">
        <v>3.3605830517680207E-3</v>
      </c>
      <c r="O90" s="1">
        <v>-7.9537336327177438E-3</v>
      </c>
      <c r="P90" s="1">
        <v>9.5077323148808068E-4</v>
      </c>
      <c r="Q90" s="1">
        <v>4.3843073948119371E-3</v>
      </c>
      <c r="R90" s="1">
        <v>1.6238683422320918E-2</v>
      </c>
      <c r="S90" s="1">
        <v>5.8874391479647598E-3</v>
      </c>
      <c r="T90" s="1">
        <v>-8.4173417997476796E-5</v>
      </c>
      <c r="U90" s="1">
        <v>-1.3532126193167016E-3</v>
      </c>
      <c r="V90" s="1">
        <v>9.3321956177302989E-3</v>
      </c>
      <c r="W90" s="1">
        <v>-7.3248251852789728E-3</v>
      </c>
      <c r="X90" s="1">
        <v>4.9525639093364326E-3</v>
      </c>
      <c r="Y90" s="1">
        <v>1.3199965154602214E-2</v>
      </c>
      <c r="Z90" s="1">
        <v>-8.8434368347852232E-3</v>
      </c>
      <c r="AA90" s="1">
        <v>3.3605830517680207E-3</v>
      </c>
      <c r="AB90" s="1">
        <v>-1.2756378408218021E-2</v>
      </c>
      <c r="AC90" s="1">
        <v>-2.6829037535501948E-3</v>
      </c>
      <c r="AD90" s="1">
        <v>-6.2423276102072101E-4</v>
      </c>
      <c r="AE90" s="1">
        <v>-3.7630224395966347E-3</v>
      </c>
      <c r="AF90" s="1">
        <v>-1.1360949325426584E-3</v>
      </c>
      <c r="AG90" s="1">
        <v>-6.055785983959748E-3</v>
      </c>
      <c r="AH90" s="1">
        <v>-9.8065092449148572E-3</v>
      </c>
      <c r="AI90" s="1">
        <v>1.9449347340252776E-2</v>
      </c>
      <c r="AJ90" s="1">
        <v>1.6004590870487292E-2</v>
      </c>
      <c r="AK90" s="1">
        <v>-7.836687356800924E-3</v>
      </c>
      <c r="AL90" s="1">
        <v>-6.4787990510661517E-3</v>
      </c>
      <c r="AM90" s="1">
        <v>-5.9669368795442004E-3</v>
      </c>
      <c r="AN90" s="1">
        <v>9.0981030658966455E-3</v>
      </c>
      <c r="AO90" s="1">
        <v>-2.070970171171034E-3</v>
      </c>
      <c r="AP90" s="1">
        <v>-1.9821210667554656E-3</v>
      </c>
      <c r="AQ90" s="1">
        <v>1.6967279548436714E-3</v>
      </c>
      <c r="AR90" s="1">
        <v>-2.7064241323861614E-2</v>
      </c>
      <c r="AS90" s="1">
        <v>4.206609185980828E-3</v>
      </c>
      <c r="AT90" s="1">
        <v>-2.0257981346101656E-3</v>
      </c>
      <c r="AU90" s="1">
        <v>8.0913535879123533E-3</v>
      </c>
      <c r="AV90" s="1">
        <v>-1.0435417692353628E-2</v>
      </c>
      <c r="AW90" s="1">
        <v>1.0573037647548231E-2</v>
      </c>
      <c r="AX90" s="1">
        <v>6.4480644029851764E-4</v>
      </c>
      <c r="AY90" s="1">
        <v>3.872445223289972E-3</v>
      </c>
      <c r="AZ90" s="1">
        <v>-3.3400093724902449E-3</v>
      </c>
      <c r="BA90" s="1">
        <v>1.3629781908781377E-2</v>
      </c>
      <c r="BB90" s="1">
        <v>2.3074348116010404E-2</v>
      </c>
      <c r="BC90" s="1">
        <v>1.1031051573228645E-2</v>
      </c>
      <c r="BD90" s="1">
        <v>1.3335037424033434E-2</v>
      </c>
      <c r="BE90" s="1">
        <v>8.7382880288655179E-3</v>
      </c>
      <c r="BF90" s="1">
        <v>2.5467183071230713E-2</v>
      </c>
      <c r="BG90" s="1">
        <v>2.6753197137609541E-2</v>
      </c>
      <c r="BH90" s="1">
        <v>3.0881761429110158E-2</v>
      </c>
      <c r="BI90" s="1">
        <v>1.2577860394236189E-2</v>
      </c>
      <c r="BJ90" s="1">
        <v>2.9992058227042692E-2</v>
      </c>
      <c r="BK90" s="1">
        <v>1.6545701341965299E-2</v>
      </c>
      <c r="BL90" s="1">
        <v>2.570127562306436E-2</v>
      </c>
      <c r="BM90" s="1">
        <v>5.0142669707055193E-3</v>
      </c>
      <c r="BN90" s="1">
        <v>2.024152522862406E-2</v>
      </c>
      <c r="BO90" s="1">
        <v>3.0386874122647824E-2</v>
      </c>
      <c r="BP90" s="1">
        <v>1.5833696348728929E-2</v>
      </c>
      <c r="BQ90" s="1">
        <v>3.104397974158786E-2</v>
      </c>
      <c r="BR90" s="1">
        <v>2.4270018109267488E-2</v>
      </c>
      <c r="BS90" s="1">
        <v>-4.7517459240665333E-3</v>
      </c>
      <c r="BT90" s="1">
        <v>2.0313399467980012E-2</v>
      </c>
      <c r="BU90" s="1">
        <v>2.8256328890762399E-2</v>
      </c>
      <c r="BV90" s="1">
        <v>1.8343577579866065E-2</v>
      </c>
      <c r="BW90" s="1">
        <v>2.8837217388200942E-3</v>
      </c>
      <c r="BX90" s="1">
        <v>1.958441960968401E-2</v>
      </c>
      <c r="BY90" s="1">
        <v>1.6139663139918499E-2</v>
      </c>
      <c r="BZ90" s="1">
        <v>1.447580804299417E-2</v>
      </c>
      <c r="CA90" s="1">
        <v>4.6364259401599772E-3</v>
      </c>
      <c r="CB90" s="1">
        <v>8.9723805806991644E-3</v>
      </c>
      <c r="CC90" s="1">
        <v>2.0781584571647277E-2</v>
      </c>
      <c r="CD90" s="1">
        <v>2.2912129803532702E-2</v>
      </c>
      <c r="CE90" s="1">
        <v>1.8955511162245239E-2</v>
      </c>
      <c r="CF90" s="1">
        <v>2.0196353192063185E-2</v>
      </c>
      <c r="CG90" s="1">
        <v>2.1788334049631604E-2</v>
      </c>
      <c r="CH90" s="1">
        <v>1.326316318467749E-2</v>
      </c>
      <c r="CI90" s="1">
        <v>3.460578248727017E-2</v>
      </c>
      <c r="CJ90" s="1">
        <v>3.5234690934708962E-2</v>
      </c>
      <c r="CK90" s="1">
        <v>1.4592854318910983E-2</v>
      </c>
      <c r="CL90" s="1">
        <v>-9.1217355869587652E-4</v>
      </c>
      <c r="CM90" s="1">
        <v>3.3525663801223744E-2</v>
      </c>
      <c r="CN90" s="1">
        <v>1.9612616781185289E-2</v>
      </c>
      <c r="CO90" s="1">
        <v>2.3992248489579156E-2</v>
      </c>
      <c r="CP90" s="1">
        <v>2.3380314907199981E-2</v>
      </c>
      <c r="CQ90" s="1">
        <v>1.8649544371055669E-2</v>
      </c>
      <c r="CR90" s="1">
        <v>2.5962070377693075E-2</v>
      </c>
      <c r="CS90" s="1">
        <v>2.4109294765495982E-2</v>
      </c>
      <c r="CT90" s="1">
        <v>3.2985604458200514E-2</v>
      </c>
      <c r="CU90" s="1">
        <v>2.8605972749806648E-2</v>
      </c>
      <c r="CV90" s="1">
        <v>1.9701465885600823E-2</v>
      </c>
      <c r="CW90" s="1">
        <v>2.9217906332185836E-2</v>
      </c>
      <c r="CX90" s="1">
        <v>2.5467183071230713E-2</v>
      </c>
      <c r="CY90" s="1">
        <v>9.479859084603276E-3</v>
      </c>
      <c r="CZ90" s="1">
        <v>6.996680056261223E-3</v>
      </c>
      <c r="DA90" s="1">
        <v>-9.2203528145820557E-3</v>
      </c>
      <c r="DB90" s="1">
        <v>5.6105945790251785E-3</v>
      </c>
      <c r="DC90" s="1">
        <v>2.2421339264698872E-4</v>
      </c>
      <c r="DD90" s="1">
        <v>-1.8124859678787852E-2</v>
      </c>
      <c r="DE90" s="1">
        <v>1.9228897114315711E-2</v>
      </c>
      <c r="DF90" s="1">
        <v>-1.219841914938647E-2</v>
      </c>
      <c r="DG90" s="1">
        <v>-1.406816962664318E-2</v>
      </c>
      <c r="DH90" s="1">
        <v>2.8681157647605648E-3</v>
      </c>
      <c r="DI90" s="1">
        <v>8.9834768094347456E-3</v>
      </c>
      <c r="DJ90" s="1">
        <v>-3.6887281807857775E-3</v>
      </c>
      <c r="DK90" s="1">
        <v>-3.8776486960585554E-3</v>
      </c>
      <c r="DL90" s="1">
        <v>1.2591600421325705E-3</v>
      </c>
      <c r="DM90" s="1">
        <v>3.9312595857474153E-3</v>
      </c>
      <c r="DN90" s="1">
        <v>7.0418520928220811E-3</v>
      </c>
      <c r="DO90" s="1">
        <v>5.187581511918761E-3</v>
      </c>
      <c r="DP90" s="1">
        <v>3.9637143471604359E-3</v>
      </c>
      <c r="DQ90" s="1">
        <v>-3.4942603825568602E-2</v>
      </c>
      <c r="DR90" s="1">
        <v>-7.2957029630289771E-3</v>
      </c>
      <c r="DS90" s="1">
        <v>-1.8626547713837434E-3</v>
      </c>
      <c r="DT90" s="1">
        <v>1.2456430450701508E-2</v>
      </c>
      <c r="DU90" s="1">
        <v>-2.4942498378962938E-2</v>
      </c>
      <c r="DV90" s="1">
        <v>-6.6698477812666274E-4</v>
      </c>
      <c r="DW90" s="1">
        <v>7.3196217125103824E-3</v>
      </c>
      <c r="DX90" s="1">
        <v>-1.0011487408175326E-3</v>
      </c>
      <c r="DY90" s="1">
        <v>4.2527062732903922E-3</v>
      </c>
      <c r="DZ90" s="1">
        <v>1.2311187003283423E-2</v>
      </c>
      <c r="EA90" s="1">
        <v>-3.0316225618457621E-3</v>
      </c>
      <c r="EB90" s="1">
        <v>-4.7970440383335172E-3</v>
      </c>
      <c r="EC90" s="1">
        <v>-1.835895223062152E-2</v>
      </c>
      <c r="ED90" s="1">
        <v>2.8835956611139718E-3</v>
      </c>
      <c r="EE90" s="1">
        <v>-4.2724645916637043E-3</v>
      </c>
      <c r="EF90" s="1">
        <v>6.1943309899030741E-3</v>
      </c>
      <c r="EG90" s="1">
        <v>4.7193964082515028E-3</v>
      </c>
      <c r="EH90" s="1">
        <v>-2.2387445111264909E-2</v>
      </c>
      <c r="EI90" s="1">
        <v>1.3859490792997156E-2</v>
      </c>
      <c r="EJ90" s="1">
        <v>1.0107272563335858E-2</v>
      </c>
      <c r="EK90" s="1">
        <v>1.4092088376124585E-2</v>
      </c>
      <c r="EL90" s="1">
        <v>-2.519760390323797E-3</v>
      </c>
      <c r="EM90" s="1">
        <v>-2.680483734095282E-3</v>
      </c>
      <c r="EN90" s="1">
        <v>-5.0014444499596779E-3</v>
      </c>
      <c r="EO90" s="1">
        <v>6.996680056261223E-3</v>
      </c>
      <c r="EP90" s="1">
        <v>-8.1753398542567385E-5</v>
      </c>
      <c r="EQ90" s="1">
        <v>2.3562535932386136E-3</v>
      </c>
      <c r="ER90" s="1">
        <v>-4.5784313828532743E-3</v>
      </c>
      <c r="ES90" s="1">
        <v>-8.1854061650964566E-3</v>
      </c>
      <c r="ET90" s="1">
        <v>2.7058974522828766E-3</v>
      </c>
      <c r="EU90" s="1">
        <v>1.6881234195656247E-2</v>
      </c>
      <c r="EV90" s="10">
        <v>1.5872989748965748E-2</v>
      </c>
    </row>
    <row r="91" spans="1:152" x14ac:dyDescent="0.25">
      <c r="A91" s="21">
        <f t="shared" ca="1" si="1"/>
        <v>2.6899232227398324E-2</v>
      </c>
      <c r="B91" s="5">
        <v>90</v>
      </c>
      <c r="C91" s="9">
        <v>-2.3752952073534742E-3</v>
      </c>
      <c r="D91" s="1">
        <v>5.7811156829013725E-3</v>
      </c>
      <c r="E91" s="1">
        <v>4.9539785701170434E-3</v>
      </c>
      <c r="F91" s="1">
        <v>7.1071380145932232E-3</v>
      </c>
      <c r="G91" s="1">
        <v>-2.7888637637456387E-3</v>
      </c>
      <c r="H91" s="1">
        <v>-7.363070542774134E-3</v>
      </c>
      <c r="I91" s="1">
        <v>4.6345795125117325E-3</v>
      </c>
      <c r="J91" s="1">
        <v>-2.2213576287729436E-4</v>
      </c>
      <c r="K91" s="1">
        <v>1.1413456903545562E-2</v>
      </c>
      <c r="L91" s="1">
        <v>3.1202181832461935E-3</v>
      </c>
      <c r="M91" s="1">
        <v>-7.551409540347824E-3</v>
      </c>
      <c r="N91" s="1">
        <v>1.5174551252067157E-3</v>
      </c>
      <c r="O91" s="1">
        <v>5.2733776277223733E-3</v>
      </c>
      <c r="P91" s="1">
        <v>9.6223548479323871E-3</v>
      </c>
      <c r="Q91" s="1">
        <v>-1.4880683317818333E-2</v>
      </c>
      <c r="R91" s="1">
        <v>-1.6389276877070993E-2</v>
      </c>
      <c r="S91" s="1">
        <v>-7.363070542774134E-3</v>
      </c>
      <c r="T91" s="1">
        <v>-9.9776170813246218E-4</v>
      </c>
      <c r="U91" s="1">
        <v>-1.0066626373686986E-2</v>
      </c>
      <c r="V91" s="1">
        <v>-4.8478537094349614E-3</v>
      </c>
      <c r="W91" s="1">
        <v>-3.701317539045311E-3</v>
      </c>
      <c r="X91" s="1">
        <v>-2.1869562097797911E-3</v>
      </c>
      <c r="Y91" s="1">
        <v>6.9031801242237789E-4</v>
      </c>
      <c r="Z91" s="1">
        <v>4.3240332911778992E-3</v>
      </c>
      <c r="AA91" s="1">
        <v>1.5174551252067157E-3</v>
      </c>
      <c r="AB91" s="1">
        <v>4.9113202388593753E-3</v>
      </c>
      <c r="AC91" s="1">
        <v>2.5329312355647261E-3</v>
      </c>
      <c r="AD91" s="1">
        <v>-3.2450906513954783E-3</v>
      </c>
      <c r="AE91" s="1">
        <v>-1.9617266509613027E-3</v>
      </c>
      <c r="AF91" s="1">
        <v>4.9539785701170434E-3</v>
      </c>
      <c r="AG91" s="1">
        <v>5.3675471265092149E-3</v>
      </c>
      <c r="AH91" s="1">
        <v>-9.4625054060329047E-4</v>
      </c>
      <c r="AI91" s="1">
        <v>-1.2322808153221485E-2</v>
      </c>
      <c r="AJ91" s="1">
        <v>-1.4838024986560665E-2</v>
      </c>
      <c r="AK91" s="1">
        <v>4.4977516824672038E-3</v>
      </c>
      <c r="AL91" s="1">
        <v>2.3445922379910378E-3</v>
      </c>
      <c r="AM91" s="1">
        <v>-5.8544769835214908E-3</v>
      </c>
      <c r="AN91" s="1">
        <v>-3.29660181892465E-3</v>
      </c>
      <c r="AO91" s="1">
        <v>1.0130092903111393E-2</v>
      </c>
      <c r="AP91" s="1">
        <v>-1.0919312069192985E-3</v>
      </c>
      <c r="AQ91" s="1">
        <v>-1.2796626409045803E-4</v>
      </c>
      <c r="AR91" s="1">
        <v>1.9621378961329573E-2</v>
      </c>
      <c r="AS91" s="1">
        <v>7.5633649022430558E-3</v>
      </c>
      <c r="AT91" s="1">
        <v>4.0046342335725675E-3</v>
      </c>
      <c r="AU91" s="1">
        <v>-3.4703202102139528E-3</v>
      </c>
      <c r="AV91" s="1">
        <v>8.0284446261643921E-3</v>
      </c>
      <c r="AW91" s="1">
        <v>-6.2253872086559733E-3</v>
      </c>
      <c r="AX91" s="1">
        <v>5.8237740141590544E-3</v>
      </c>
      <c r="AY91" s="1">
        <v>-6.6816140963058199E-3</v>
      </c>
      <c r="AZ91" s="1">
        <v>1.0612282375568761E-3</v>
      </c>
      <c r="BA91" s="1">
        <v>6.2462860629500933E-3</v>
      </c>
      <c r="BB91" s="1">
        <v>1.2842592226423123E-2</v>
      </c>
      <c r="BC91" s="1">
        <v>9.7769790066472781E-3</v>
      </c>
      <c r="BD91" s="1">
        <v>2.9465960228266658E-2</v>
      </c>
      <c r="BE91" s="1">
        <v>1.7106252784117801E-2</v>
      </c>
      <c r="BF91" s="1">
        <v>2.130954933801181E-2</v>
      </c>
      <c r="BG91" s="1">
        <v>1.3806557169251985E-2</v>
      </c>
      <c r="BH91" s="1">
        <v>2.9268768394421479E-2</v>
      </c>
      <c r="BI91" s="1">
        <v>1.2198026341199611E-2</v>
      </c>
      <c r="BJ91" s="1">
        <v>2.8319424057876998E-2</v>
      </c>
      <c r="BK91" s="1">
        <v>3.3532428952116153E-2</v>
      </c>
      <c r="BL91" s="1">
        <v>1.9758297447501481E-2</v>
      </c>
      <c r="BM91" s="1">
        <v>2.2267746510827774E-2</v>
      </c>
      <c r="BN91" s="1">
        <v>1.7924537060630637E-2</v>
      </c>
      <c r="BO91" s="1">
        <v>2.0895980781619652E-2</v>
      </c>
      <c r="BP91" s="1">
        <v>1.0139036395510274E-2</v>
      </c>
      <c r="BQ91" s="1">
        <v>2.2367683779627501E-2</v>
      </c>
      <c r="BR91" s="1">
        <v>1.7590517396740946E-2</v>
      </c>
      <c r="BS91" s="1">
        <v>2.7415823118848812E-2</v>
      </c>
      <c r="BT91" s="1">
        <v>2.327436978491431E-2</v>
      </c>
      <c r="BU91" s="1">
        <v>2.1324169944296173E-2</v>
      </c>
      <c r="BV91" s="1">
        <v>1.78303675618438E-2</v>
      </c>
      <c r="BW91" s="1">
        <v>2.2695935673504315E-2</v>
      </c>
      <c r="BX91" s="1">
        <v>1.6452834062622788E-2</v>
      </c>
      <c r="BY91" s="1">
        <v>1.3937617229283612E-2</v>
      </c>
      <c r="BZ91" s="1">
        <v>1.2292195839986447E-2</v>
      </c>
      <c r="CA91" s="1">
        <v>1.3119332952770776E-2</v>
      </c>
      <c r="CB91" s="1">
        <v>1.5555000893607472E-2</v>
      </c>
      <c r="CC91" s="1">
        <v>2.0171866003893646E-2</v>
      </c>
      <c r="CD91" s="1">
        <v>1.9743676841217112E-2</v>
      </c>
      <c r="CE91" s="1">
        <v>2.5427529229390469E-2</v>
      </c>
      <c r="CF91" s="1">
        <v>2.4049995730169461E-2</v>
      </c>
      <c r="CG91" s="1">
        <v>2.0345584395182963E-2</v>
      </c>
      <c r="CH91" s="1">
        <v>2.4116127503982988E-2</v>
      </c>
      <c r="CI91" s="1">
        <v>2.4107274667711502E-2</v>
      </c>
      <c r="CJ91" s="1">
        <v>1.5132579500943821E-2</v>
      </c>
      <c r="CK91" s="1">
        <v>1.1516569894731286E-2</v>
      </c>
      <c r="CL91" s="1">
        <v>2.2507596675930632E-2</v>
      </c>
      <c r="CM91" s="1">
        <v>1.9612616781185484E-2</v>
      </c>
      <c r="CN91" s="1">
        <v>2.6899232227398324E-2</v>
      </c>
      <c r="CO91" s="1">
        <v>2.4238334727743137E-2</v>
      </c>
      <c r="CP91" s="1">
        <v>1.6641173060196468E-2</v>
      </c>
      <c r="CQ91" s="1">
        <v>2.1628948395617131E-2</v>
      </c>
      <c r="CR91" s="1">
        <v>2.968233695081365E-2</v>
      </c>
      <c r="CS91" s="1">
        <v>2.3462708782487983E-2</v>
      </c>
      <c r="CT91" s="1">
        <v>1.7365287837922461E-2</v>
      </c>
      <c r="CU91" s="1">
        <v>2.0026185337577641E-2</v>
      </c>
      <c r="CV91" s="1">
        <v>1.5677208117367621E-2</v>
      </c>
      <c r="CW91" s="1">
        <v>2.7623347005124324E-2</v>
      </c>
      <c r="CX91" s="1">
        <v>2.130954933801181E-2</v>
      </c>
      <c r="CY91" s="1">
        <v>4.8507530237335422E-3</v>
      </c>
      <c r="CZ91" s="1">
        <v>8.6347132512225033E-3</v>
      </c>
      <c r="DA91" s="1">
        <v>-3.7676525241840189E-3</v>
      </c>
      <c r="DB91" s="1">
        <v>3.4147453092314706E-4</v>
      </c>
      <c r="DC91" s="1">
        <v>2.8286536392890076E-3</v>
      </c>
      <c r="DD91" s="1">
        <v>-8.1166297443940397E-3</v>
      </c>
      <c r="DE91" s="1">
        <v>1.6274533250026854E-2</v>
      </c>
      <c r="DF91" s="1">
        <v>-8.3564799094968875E-3</v>
      </c>
      <c r="DG91" s="1">
        <v>1.9957487564918053E-3</v>
      </c>
      <c r="DH91" s="1">
        <v>-6.8274979739470013E-3</v>
      </c>
      <c r="DI91" s="1">
        <v>-2.4931413600213503E-3</v>
      </c>
      <c r="DJ91" s="1">
        <v>3.4159405869704715E-3</v>
      </c>
      <c r="DK91" s="1">
        <v>-1.1582661920580134E-3</v>
      </c>
      <c r="DL91" s="1">
        <v>1.3448770195353857E-2</v>
      </c>
      <c r="DM91" s="1">
        <v>1.4239016746893388E-2</v>
      </c>
      <c r="DN91" s="1">
        <v>2.5092545816836689E-3</v>
      </c>
      <c r="DO91" s="1">
        <v>-2.68148035759503E-3</v>
      </c>
      <c r="DP91" s="1">
        <v>-1.7875803692688378E-2</v>
      </c>
      <c r="DQ91" s="1">
        <v>-1.0979021882573659E-3</v>
      </c>
      <c r="DR91" s="1">
        <v>7.8018083684252976E-3</v>
      </c>
      <c r="DS91" s="1">
        <v>-1.8397226385263449E-3</v>
      </c>
      <c r="DT91" s="1">
        <v>1.0468473638093362E-2</v>
      </c>
      <c r="DU91" s="1">
        <v>-7.7972306867887184E-3</v>
      </c>
      <c r="DV91" s="1">
        <v>2.9082025317914775E-3</v>
      </c>
      <c r="DW91" s="1">
        <v>-4.1385627493185084E-3</v>
      </c>
      <c r="DX91" s="1">
        <v>-1.1336776466757389E-2</v>
      </c>
      <c r="DY91" s="1">
        <v>2.494633975399313E-3</v>
      </c>
      <c r="DZ91" s="1">
        <v>7.9770141857298665E-4</v>
      </c>
      <c r="EA91" s="1">
        <v>4.8876435849783337E-3</v>
      </c>
      <c r="EB91" s="1">
        <v>-1.1525115464331069E-2</v>
      </c>
      <c r="EC91" s="1">
        <v>-6.5653778538837179E-3</v>
      </c>
      <c r="ED91" s="1">
        <v>-2.2370461579214407E-2</v>
      </c>
      <c r="EE91" s="1">
        <v>6.2651770841993422E-3</v>
      </c>
      <c r="EF91" s="1">
        <v>-2.5077619663057132E-3</v>
      </c>
      <c r="EG91" s="1">
        <v>4.2102342342561355E-4</v>
      </c>
      <c r="EH91" s="1">
        <v>-6.2313581899940337E-3</v>
      </c>
      <c r="EI91" s="1">
        <v>2.1898555240783615E-3</v>
      </c>
      <c r="EJ91" s="1">
        <v>-3.0950489139872014E-3</v>
      </c>
      <c r="EK91" s="1">
        <v>1.6674968626149839E-3</v>
      </c>
      <c r="EL91" s="1">
        <v>-3.3114256365341863E-3</v>
      </c>
      <c r="EM91" s="1">
        <v>2.5607657492128441E-3</v>
      </c>
      <c r="EN91" s="1">
        <v>-5.5635863809217617E-4</v>
      </c>
      <c r="EO91" s="1">
        <v>8.6347132512225033E-3</v>
      </c>
      <c r="EP91" s="1">
        <v>-9.6992719448434073E-4</v>
      </c>
      <c r="EQ91" s="1">
        <v>1.3715712475655256E-3</v>
      </c>
      <c r="ER91" s="1">
        <v>2.4665962504260008E-3</v>
      </c>
      <c r="ES91" s="1">
        <v>6.8524640318808269E-3</v>
      </c>
      <c r="ET91" s="1">
        <v>7.3586640846987073E-5</v>
      </c>
      <c r="EU91" s="1">
        <v>1.6821174688993468E-3</v>
      </c>
      <c r="EV91" s="10">
        <v>2.537292306656988E-3</v>
      </c>
    </row>
    <row r="92" spans="1:152" x14ac:dyDescent="0.25">
      <c r="A92" s="21">
        <f t="shared" ca="1" si="1"/>
        <v>2.5642582712416241E-2</v>
      </c>
      <c r="B92" s="5">
        <v>91</v>
      </c>
      <c r="C92" s="9">
        <v>-2.4530894871604286E-4</v>
      </c>
      <c r="D92" s="1">
        <v>9.9004140800793006E-4</v>
      </c>
      <c r="E92" s="1">
        <v>3.2658407972868675E-3</v>
      </c>
      <c r="F92" s="1">
        <v>4.1064693397677848E-3</v>
      </c>
      <c r="G92" s="1">
        <v>8.9259074592342585E-4</v>
      </c>
      <c r="H92" s="1">
        <v>-5.1297838172671834E-3</v>
      </c>
      <c r="I92" s="1">
        <v>3.2967636594117763E-3</v>
      </c>
      <c r="J92" s="1">
        <v>5.953195937648606E-4</v>
      </c>
      <c r="K92" s="1">
        <v>5.7877264247295918E-3</v>
      </c>
      <c r="L92" s="1">
        <v>2.3942893926810482E-3</v>
      </c>
      <c r="M92" s="1">
        <v>-2.9158301522380636E-3</v>
      </c>
      <c r="N92" s="1">
        <v>2.5738478308852397E-3</v>
      </c>
      <c r="O92" s="1">
        <v>3.2349179351619586E-3</v>
      </c>
      <c r="P92" s="1">
        <v>8.1812385279629099E-3</v>
      </c>
      <c r="Q92" s="1">
        <v>-6.426979898240974E-3</v>
      </c>
      <c r="R92" s="1">
        <v>-7.3543982925513424E-3</v>
      </c>
      <c r="S92" s="1">
        <v>-5.1297838172671834E-3</v>
      </c>
      <c r="T92" s="1">
        <v>-1.5009213573098854E-3</v>
      </c>
      <c r="U92" s="1">
        <v>-6.9905993404331887E-3</v>
      </c>
      <c r="V92" s="1">
        <v>-1.0550146290720444E-3</v>
      </c>
      <c r="W92" s="1">
        <v>-3.3617368804759046E-3</v>
      </c>
      <c r="X92" s="1">
        <v>-2.4592626137451695E-3</v>
      </c>
      <c r="Y92" s="1">
        <v>4.8496472201641841E-3</v>
      </c>
      <c r="Z92" s="1">
        <v>-4.3094173266561217E-3</v>
      </c>
      <c r="AA92" s="1">
        <v>2.5738478308852397E-3</v>
      </c>
      <c r="AB92" s="1">
        <v>7.7728944774396735E-7</v>
      </c>
      <c r="AC92" s="1">
        <v>-1.9159052234228174E-3</v>
      </c>
      <c r="AD92" s="1">
        <v>-1.2345730672762428E-3</v>
      </c>
      <c r="AE92" s="1">
        <v>-1.3832086433555255E-3</v>
      </c>
      <c r="AF92" s="1">
        <v>3.2658407972868675E-3</v>
      </c>
      <c r="AG92" s="1">
        <v>2.1279411026474057E-3</v>
      </c>
      <c r="AH92" s="1">
        <v>-5.8729616976635896E-3</v>
      </c>
      <c r="AI92" s="1">
        <v>9.1285279779326767E-4</v>
      </c>
      <c r="AJ92" s="1">
        <v>-3.1619163904018505E-3</v>
      </c>
      <c r="AK92" s="1">
        <v>1.1386769840872127E-3</v>
      </c>
      <c r="AL92" s="1">
        <v>2.9804844160630228E-4</v>
      </c>
      <c r="AM92" s="1">
        <v>-4.202365422956808E-3</v>
      </c>
      <c r="AN92" s="1">
        <v>3.1374672730774475E-3</v>
      </c>
      <c r="AO92" s="1">
        <v>5.9363620008088744E-3</v>
      </c>
      <c r="AP92" s="1">
        <v>-3.9394452479532549E-4</v>
      </c>
      <c r="AQ92" s="1">
        <v>-5.1165723874969926E-4</v>
      </c>
      <c r="AR92" s="1">
        <v>2.6510364410998882E-3</v>
      </c>
      <c r="AS92" s="1">
        <v>6.2336331529674327E-3</v>
      </c>
      <c r="AT92" s="1">
        <v>-4.2784944645312128E-3</v>
      </c>
      <c r="AU92" s="1">
        <v>-2.31062703766588E-3</v>
      </c>
      <c r="AV92" s="1">
        <v>7.236931179742806E-4</v>
      </c>
      <c r="AW92" s="1">
        <v>2.0059777952179808E-4</v>
      </c>
      <c r="AX92" s="1">
        <v>4.2551049158470605E-3</v>
      </c>
      <c r="AY92" s="1">
        <v>-1.9265660336778706E-3</v>
      </c>
      <c r="AZ92" s="1">
        <v>4.4668401768558491E-4</v>
      </c>
      <c r="BA92" s="1">
        <v>9.1842095733013981E-3</v>
      </c>
      <c r="BB92" s="1">
        <v>1.3864181876068686E-2</v>
      </c>
      <c r="BC92" s="1">
        <v>8.7692257071884556E-3</v>
      </c>
      <c r="BD92" s="1">
        <v>2.3941063575584558E-2</v>
      </c>
      <c r="BE92" s="1">
        <v>1.2280375453191376E-2</v>
      </c>
      <c r="BF92" s="1">
        <v>2.2705713218860578E-2</v>
      </c>
      <c r="BG92" s="1">
        <v>1.3746469162114319E-2</v>
      </c>
      <c r="BH92" s="1">
        <v>3.3792121088806491E-2</v>
      </c>
      <c r="BI92" s="1">
        <v>1.3950971727898154E-2</v>
      </c>
      <c r="BJ92" s="1">
        <v>2.6247785826988404E-2</v>
      </c>
      <c r="BK92" s="1">
        <v>3.2208314665929189E-2</v>
      </c>
      <c r="BL92" s="1">
        <v>1.8513231316711079E-2</v>
      </c>
      <c r="BM92" s="1">
        <v>2.2612944632485844E-2</v>
      </c>
      <c r="BN92" s="1">
        <v>1.7641679912105263E-2</v>
      </c>
      <c r="BO92" s="1">
        <v>2.3843612913500047E-2</v>
      </c>
      <c r="BP92" s="1">
        <v>1.2003366352902684E-2</v>
      </c>
      <c r="BQ92" s="1">
        <v>2.1481023672391651E-2</v>
      </c>
      <c r="BR92" s="1">
        <v>2.533465075000263E-2</v>
      </c>
      <c r="BS92" s="1">
        <v>1.4356354352396267E-2</v>
      </c>
      <c r="BT92" s="1">
        <v>2.5760295426370608E-2</v>
      </c>
      <c r="BU92" s="1">
        <v>1.5043665243088117E-2</v>
      </c>
      <c r="BV92" s="1">
        <v>1.874865674461982E-2</v>
      </c>
      <c r="BW92" s="1">
        <v>1.3812996962073922E-2</v>
      </c>
      <c r="BX92" s="1">
        <v>2.0004269153213662E-2</v>
      </c>
      <c r="BY92" s="1">
        <v>1.5929499965018527E-2</v>
      </c>
      <c r="BZ92" s="1">
        <v>1.2843994895383598E-2</v>
      </c>
      <c r="CA92" s="1">
        <v>1.0568195506104654E-2</v>
      </c>
      <c r="CB92" s="1">
        <v>8.0878935510418845E-3</v>
      </c>
      <c r="CC92" s="1">
        <v>1.7375331622071607E-2</v>
      </c>
      <c r="CD92" s="1">
        <v>2.617527929248354E-2</v>
      </c>
      <c r="CE92" s="1">
        <v>2.6600923968851511E-2</v>
      </c>
      <c r="CF92" s="1">
        <v>2.7856536377445354E-2</v>
      </c>
      <c r="CG92" s="1">
        <v>2.2823425932814952E-2</v>
      </c>
      <c r="CH92" s="1">
        <v>1.5822448061319203E-2</v>
      </c>
      <c r="CI92" s="1">
        <v>2.3459551909512023E-2</v>
      </c>
      <c r="CJ92" s="1">
        <v>1.686289709387416E-2</v>
      </c>
      <c r="CK92" s="1">
        <v>1.0747753944308842E-2</v>
      </c>
      <c r="CL92" s="1">
        <v>1.6026950627103041E-2</v>
      </c>
      <c r="CM92" s="1">
        <v>2.3992248489579329E-2</v>
      </c>
      <c r="CN92" s="1">
        <v>2.4238334727743116E-2</v>
      </c>
      <c r="CO92" s="1">
        <v>2.5642582712416241E-2</v>
      </c>
      <c r="CP92" s="1">
        <v>1.7790315488184542E-2</v>
      </c>
      <c r="CQ92" s="1">
        <v>2.2674790356735676E-2</v>
      </c>
      <c r="CR92" s="1">
        <v>3.265422139416703E-2</v>
      </c>
      <c r="CS92" s="1">
        <v>2.3546341761341488E-2</v>
      </c>
      <c r="CT92" s="1">
        <v>2.4258596779612979E-2</v>
      </c>
      <c r="CU92" s="1">
        <v>2.2854348794939854E-2</v>
      </c>
      <c r="CV92" s="1">
        <v>1.7908028202138906E-2</v>
      </c>
      <c r="CW92" s="1">
        <v>3.0706616019171559E-2</v>
      </c>
      <c r="CX92" s="1">
        <v>2.2705713218860578E-2</v>
      </c>
      <c r="CY92" s="1">
        <v>-2.6179701772626879E-3</v>
      </c>
      <c r="CZ92" s="1">
        <v>8.9702114106256226E-3</v>
      </c>
      <c r="DA92" s="1">
        <v>-5.9555402196066892E-3</v>
      </c>
      <c r="DB92" s="1">
        <v>5.5767743785770686E-3</v>
      </c>
      <c r="DC92" s="1">
        <v>-1.2755679168393978E-3</v>
      </c>
      <c r="DD92" s="1">
        <v>-1.090186081240764E-2</v>
      </c>
      <c r="DE92" s="1">
        <v>2.0087542142696445E-2</v>
      </c>
      <c r="DF92" s="1">
        <v>-4.3158668070248339E-3</v>
      </c>
      <c r="DG92" s="1">
        <v>1.0251756000191903E-3</v>
      </c>
      <c r="DH92" s="1">
        <v>-1.107544051606656E-2</v>
      </c>
      <c r="DI92" s="1">
        <v>1.532928052506842E-3</v>
      </c>
      <c r="DJ92" s="1">
        <v>3.0346266992644783E-3</v>
      </c>
      <c r="DK92" s="1">
        <v>-2.987747863926124E-3</v>
      </c>
      <c r="DL92" s="1">
        <v>8.4065919684334078E-3</v>
      </c>
      <c r="DM92" s="1">
        <v>2.8407849437357066E-3</v>
      </c>
      <c r="DN92" s="1">
        <v>-1.244645054714482E-3</v>
      </c>
      <c r="DO92" s="1">
        <v>3.7468817175359617E-3</v>
      </c>
      <c r="DP92" s="1">
        <v>-1.1957652730927432E-2</v>
      </c>
      <c r="DQ92" s="1">
        <v>-1.4996892052472628E-2</v>
      </c>
      <c r="DR92" s="1">
        <v>1.1270954927484193E-2</v>
      </c>
      <c r="DS92" s="1">
        <v>-6.1909656475154333E-3</v>
      </c>
      <c r="DT92" s="1">
        <v>9.8417628152314418E-3</v>
      </c>
      <c r="DU92" s="1">
        <v>-1.0932783674532551E-2</v>
      </c>
      <c r="DV92" s="1">
        <v>5.2795032264185068E-3</v>
      </c>
      <c r="DW92" s="1">
        <v>-1.55257701712809E-3</v>
      </c>
      <c r="DX92" s="1">
        <v>-2.8806959602268034E-3</v>
      </c>
      <c r="DY92" s="1">
        <v>6.4174029210579756E-3</v>
      </c>
      <c r="DZ92" s="1">
        <v>7.7039381917767269E-3</v>
      </c>
      <c r="EA92" s="1">
        <v>6.7203745815607591E-4</v>
      </c>
      <c r="EB92" s="1">
        <v>-6.6674229519768369E-4</v>
      </c>
      <c r="EC92" s="1">
        <v>-6.7093789102581416E-3</v>
      </c>
      <c r="ED92" s="1">
        <v>-1.1424956150860125E-2</v>
      </c>
      <c r="EE92" s="1">
        <v>-5.8357495043776311E-4</v>
      </c>
      <c r="EF92" s="1">
        <v>9.19497602827931E-3</v>
      </c>
      <c r="EG92" s="1">
        <v>1.213184552183497E-2</v>
      </c>
      <c r="EH92" s="1">
        <v>-1.4402349748155508E-2</v>
      </c>
      <c r="EI92" s="1">
        <v>-1.2137221925895662E-3</v>
      </c>
      <c r="EJ92" s="1">
        <v>4.8847814121754339E-3</v>
      </c>
      <c r="EK92" s="1">
        <v>8.693202310336913E-3</v>
      </c>
      <c r="EL92" s="1">
        <v>-3.8283764064070379E-3</v>
      </c>
      <c r="EM92" s="1">
        <v>-5.6166853950681654E-3</v>
      </c>
      <c r="EN92" s="1">
        <v>-6.3396012235947125E-3</v>
      </c>
      <c r="EO92" s="1">
        <v>8.9702114106256226E-3</v>
      </c>
      <c r="EP92" s="1">
        <v>-5.2017015289552403E-3</v>
      </c>
      <c r="EQ92" s="1">
        <v>-6.5750266515034461E-3</v>
      </c>
      <c r="ER92" s="1">
        <v>-4.5097085625536056E-3</v>
      </c>
      <c r="ES92" s="1">
        <v>3.726619665666113E-3</v>
      </c>
      <c r="ET92" s="1">
        <v>1.2356569003482837E-3</v>
      </c>
      <c r="EU92" s="1">
        <v>1.0311543345644589E-3</v>
      </c>
      <c r="EV92" s="10">
        <v>9.682466428897106E-3</v>
      </c>
    </row>
    <row r="93" spans="1:152" x14ac:dyDescent="0.25">
      <c r="A93" s="21">
        <f t="shared" ca="1" si="1"/>
        <v>2.3156111673650236E-2</v>
      </c>
      <c r="B93" s="5">
        <v>92</v>
      </c>
      <c r="C93" s="9">
        <v>8.00806395550838E-4</v>
      </c>
      <c r="D93" s="1">
        <v>-5.850233540002454E-3</v>
      </c>
      <c r="E93" s="1">
        <v>-2.9431322137197986E-3</v>
      </c>
      <c r="F93" s="1">
        <v>-4.2204790539601671E-3</v>
      </c>
      <c r="G93" s="1">
        <v>2.2543570586921625E-3</v>
      </c>
      <c r="H93" s="1">
        <v>6.4309083153682549E-3</v>
      </c>
      <c r="I93" s="1">
        <v>9.2173524815107686E-5</v>
      </c>
      <c r="J93" s="1">
        <v>-4.7654044468953835E-4</v>
      </c>
      <c r="K93" s="1">
        <v>-6.7751727344409051E-3</v>
      </c>
      <c r="L93" s="1">
        <v>-4.7010911120143354E-3</v>
      </c>
      <c r="M93" s="1">
        <v>3.2673981645810982E-3</v>
      </c>
      <c r="N93" s="1">
        <v>-3.0033662178858287E-4</v>
      </c>
      <c r="O93" s="1">
        <v>-5.9784379522547044E-3</v>
      </c>
      <c r="P93" s="1">
        <v>-5.5379283950023088E-3</v>
      </c>
      <c r="Q93" s="1">
        <v>7.0113367738517344E-3</v>
      </c>
      <c r="R93" s="1">
        <v>1.2993846339471069E-2</v>
      </c>
      <c r="S93" s="1">
        <v>6.4309083153682549E-3</v>
      </c>
      <c r="T93" s="1">
        <v>1.0171127192535653E-3</v>
      </c>
      <c r="U93" s="1">
        <v>4.584847505623239E-3</v>
      </c>
      <c r="V93" s="1">
        <v>5.1134589743261055E-3</v>
      </c>
      <c r="W93" s="1">
        <v>-8.2894809049144933E-4</v>
      </c>
      <c r="X93" s="1">
        <v>3.9643165463379869E-3</v>
      </c>
      <c r="Y93" s="1">
        <v>2.6067647044940804E-3</v>
      </c>
      <c r="Z93" s="1">
        <v>-1.2811721367226789E-3</v>
      </c>
      <c r="AA93" s="1">
        <v>-3.0033662178858287E-4</v>
      </c>
      <c r="AB93" s="1">
        <v>-5.9383354514529318E-3</v>
      </c>
      <c r="AC93" s="1">
        <v>-4.3927797284082533E-5</v>
      </c>
      <c r="AD93" s="1">
        <v>7.1270448410036026E-4</v>
      </c>
      <c r="AE93" s="1">
        <v>-6.5274426759049384E-4</v>
      </c>
      <c r="AF93" s="1">
        <v>-2.9431322137197986E-3</v>
      </c>
      <c r="AG93" s="1">
        <v>-4.3966828768611296E-3</v>
      </c>
      <c r="AH93" s="1">
        <v>-3.9633544308599351E-4</v>
      </c>
      <c r="AI93" s="1">
        <v>8.6890906705427186E-3</v>
      </c>
      <c r="AJ93" s="1">
        <v>1.0006540011584868E-2</v>
      </c>
      <c r="AK93" s="1">
        <v>-4.4847847883116073E-3</v>
      </c>
      <c r="AL93" s="1">
        <v>-3.2074379480712318E-3</v>
      </c>
      <c r="AM93" s="1">
        <v>4.4839874974892703E-4</v>
      </c>
      <c r="AN93" s="1">
        <v>2.1261526464399121E-3</v>
      </c>
      <c r="AO93" s="1">
        <v>-5.4097239827500584E-3</v>
      </c>
      <c r="AP93" s="1">
        <v>-5.646423561400161E-4</v>
      </c>
      <c r="AQ93" s="1">
        <v>1.105214630704043E-3</v>
      </c>
      <c r="AR93" s="1">
        <v>-1.483966083233375E-2</v>
      </c>
      <c r="AS93" s="1">
        <v>-2.6788264793683584E-3</v>
      </c>
      <c r="AT93" s="1">
        <v>1.7541336018122274E-3</v>
      </c>
      <c r="AU93" s="1">
        <v>5.3297652980288344E-3</v>
      </c>
      <c r="AV93" s="1">
        <v>-5.545825304849249E-3</v>
      </c>
      <c r="AW93" s="1">
        <v>4.8971526506233782E-3</v>
      </c>
      <c r="AX93" s="1">
        <v>-2.8550303022693139E-3</v>
      </c>
      <c r="AY93" s="1">
        <v>3.355500076031576E-3</v>
      </c>
      <c r="AZ93" s="1">
        <v>-1.8419891963803851E-3</v>
      </c>
      <c r="BA93" s="1">
        <v>2.509409197397763E-2</v>
      </c>
      <c r="BB93" s="1">
        <v>2.5839009766383224E-2</v>
      </c>
      <c r="BC93" s="1">
        <v>2.4033051457439981E-2</v>
      </c>
      <c r="BD93" s="1">
        <v>1.3910275556814433E-2</v>
      </c>
      <c r="BE93" s="1">
        <v>2.0289112848169345E-2</v>
      </c>
      <c r="BF93" s="1">
        <v>2.056131549236772E-2</v>
      </c>
      <c r="BG93" s="1">
        <v>2.7508866753227276E-2</v>
      </c>
      <c r="BH93" s="1">
        <v>1.5155416806099963E-2</v>
      </c>
      <c r="BI93" s="1">
        <v>2.1133847041004267E-2</v>
      </c>
      <c r="BJ93" s="1">
        <v>1.9852682621631989E-2</v>
      </c>
      <c r="BK93" s="1">
        <v>9.6055198878860909E-3</v>
      </c>
      <c r="BL93" s="1">
        <v>2.3548621820253919E-2</v>
      </c>
      <c r="BM93" s="1">
        <v>1.1455398276763014E-2</v>
      </c>
      <c r="BN93" s="1">
        <v>2.179066292195939E-2</v>
      </c>
      <c r="BO93" s="1">
        <v>2.2014866155509051E-2</v>
      </c>
      <c r="BP93" s="1">
        <v>2.399294895663821E-2</v>
      </c>
      <c r="BQ93" s="1">
        <v>2.3812927554605352E-2</v>
      </c>
      <c r="BR93" s="1">
        <v>1.845884585811821E-2</v>
      </c>
      <c r="BS93" s="1">
        <v>1.2360726072375691E-2</v>
      </c>
      <c r="BT93" s="1">
        <v>1.6120458501340192E-2</v>
      </c>
      <c r="BU93" s="1">
        <v>2.6928438294743805E-2</v>
      </c>
      <c r="BV93" s="1">
        <v>2.0208907846565809E-2</v>
      </c>
      <c r="BW93" s="1">
        <v>1.6368970415997754E-2</v>
      </c>
      <c r="BX93" s="1">
        <v>1.9992601522863078E-2</v>
      </c>
      <c r="BY93" s="1">
        <v>2.1310050863905222E-2</v>
      </c>
      <c r="BZ93" s="1">
        <v>2.2715602116397841E-2</v>
      </c>
      <c r="CA93" s="1">
        <v>1.9808500790115185E-2</v>
      </c>
      <c r="CB93" s="1">
        <v>2.3276419176055545E-2</v>
      </c>
      <c r="CC93" s="1">
        <v>2.2095071157112595E-2</v>
      </c>
      <c r="CD93" s="1">
        <v>1.7181499017877841E-2</v>
      </c>
      <c r="CE93" s="1">
        <v>1.4843111661099823E-2</v>
      </c>
      <c r="CF93" s="1">
        <v>1.4626805337397096E-2</v>
      </c>
      <c r="CG93" s="1">
        <v>1.8891458505523664E-2</v>
      </c>
      <c r="CH93" s="1">
        <v>1.9580479977433621E-2</v>
      </c>
      <c r="CI93" s="1">
        <v>2.3989131377506308E-2</v>
      </c>
      <c r="CJ93" s="1">
        <v>2.9138621239269562E-2</v>
      </c>
      <c r="CK93" s="1">
        <v>2.4209255280340937E-2</v>
      </c>
      <c r="CL93" s="1">
        <v>1.3205460265210604E-2</v>
      </c>
      <c r="CM93" s="1">
        <v>2.3380314907199898E-2</v>
      </c>
      <c r="CN93" s="1">
        <v>1.6641173060196128E-2</v>
      </c>
      <c r="CO93" s="1">
        <v>1.7790315488184251E-2</v>
      </c>
      <c r="CP93" s="1">
        <v>2.3156111673650236E-2</v>
      </c>
      <c r="CQ93" s="1">
        <v>1.7526009753832818E-2</v>
      </c>
      <c r="CR93" s="1">
        <v>1.3701866142958638E-2</v>
      </c>
      <c r="CS93" s="1">
        <v>1.9283968652127351E-2</v>
      </c>
      <c r="CT93" s="1">
        <v>2.3075906672046689E-2</v>
      </c>
      <c r="CU93" s="1">
        <v>2.1926764244058573E-2</v>
      </c>
      <c r="CV93" s="1">
        <v>2.1486254686806178E-2</v>
      </c>
      <c r="CW93" s="1">
        <v>1.6560968058592581E-2</v>
      </c>
      <c r="CX93" s="1">
        <v>2.056131549236772E-2</v>
      </c>
      <c r="CY93" s="1">
        <v>5.73038840984047E-3</v>
      </c>
      <c r="CZ93" s="1">
        <v>-3.3196324852685965E-3</v>
      </c>
      <c r="DA93" s="1">
        <v>6.4001568353189327E-5</v>
      </c>
      <c r="DB93" s="1">
        <v>-1.2455508628420194E-3</v>
      </c>
      <c r="DC93" s="1">
        <v>8.0891936075878391E-4</v>
      </c>
      <c r="DD93" s="1">
        <v>-3.7650798889920633E-4</v>
      </c>
      <c r="DE93" s="1">
        <v>-5.6902254330014525E-3</v>
      </c>
      <c r="DF93" s="1">
        <v>-2.1265699773468038E-3</v>
      </c>
      <c r="DG93" s="1">
        <v>-7.0597535154073316E-3</v>
      </c>
      <c r="DH93" s="1">
        <v>9.0338174618587175E-3</v>
      </c>
      <c r="DI93" s="1">
        <v>3.1072042167350281E-3</v>
      </c>
      <c r="DJ93" s="1">
        <v>-3.8482439539714699E-3</v>
      </c>
      <c r="DK93" s="1">
        <v>3.2830730270462256E-4</v>
      </c>
      <c r="DL93" s="1">
        <v>-5.746121753497091E-3</v>
      </c>
      <c r="DM93" s="1">
        <v>-8.7265211506410995E-4</v>
      </c>
      <c r="DN93" s="1">
        <v>3.8442250992936893E-3</v>
      </c>
      <c r="DO93" s="1">
        <v>-5.6305934052128161E-5</v>
      </c>
      <c r="DP93" s="1">
        <v>1.0675286436879832E-2</v>
      </c>
      <c r="DQ93" s="1">
        <v>-5.4937922597076225E-3</v>
      </c>
      <c r="DR93" s="1">
        <v>-1.1188305361434704E-2</v>
      </c>
      <c r="DS93" s="1">
        <v>3.4037155420413006E-3</v>
      </c>
      <c r="DT93" s="1">
        <v>-1.5616735869740661E-3</v>
      </c>
      <c r="DU93" s="1">
        <v>-3.4118137274341126E-3</v>
      </c>
      <c r="DV93" s="1">
        <v>-3.9764483662237202E-3</v>
      </c>
      <c r="DW93" s="1">
        <v>4.5127554692276474E-3</v>
      </c>
      <c r="DX93" s="1">
        <v>2.057878189176228E-3</v>
      </c>
      <c r="DY93" s="1">
        <v>-2.5228977030823953E-3</v>
      </c>
      <c r="DZ93" s="1">
        <v>2.9610171174978975E-4</v>
      </c>
      <c r="EA93" s="1">
        <v>-2.0501825548751669E-3</v>
      </c>
      <c r="EB93" s="1">
        <v>-1.1056319616109282E-3</v>
      </c>
      <c r="EC93" s="1">
        <v>-3.3638143167854075E-3</v>
      </c>
      <c r="ED93" s="1">
        <v>1.006646996657342E-2</v>
      </c>
      <c r="EE93" s="1">
        <v>-1.8338762311724387E-3</v>
      </c>
      <c r="EF93" s="1">
        <v>-3.259918585641057E-3</v>
      </c>
      <c r="EG93" s="1">
        <v>-6.0309185898245162E-3</v>
      </c>
      <c r="EH93" s="1">
        <v>-3.1997252944228685E-5</v>
      </c>
      <c r="EI93" s="1">
        <v>6.8795308378285886E-3</v>
      </c>
      <c r="EJ93" s="1">
        <v>1.3972447290891963E-3</v>
      </c>
      <c r="EK93" s="1">
        <v>3.8420362320026749E-4</v>
      </c>
      <c r="EL93" s="1">
        <v>1.6056541429449915E-3</v>
      </c>
      <c r="EM93" s="1">
        <v>2.4307769369541305E-3</v>
      </c>
      <c r="EN93" s="1">
        <v>2.0382667903504469E-3</v>
      </c>
      <c r="EO93" s="1">
        <v>-3.3196324852685965E-3</v>
      </c>
      <c r="EP93" s="1">
        <v>3.4918174534917783E-3</v>
      </c>
      <c r="EQ93" s="1">
        <v>5.3779807640385591E-3</v>
      </c>
      <c r="ER93" s="1">
        <v>8.4902186156055569E-4</v>
      </c>
      <c r="ES93" s="1">
        <v>-6.4910395459026925E-3</v>
      </c>
      <c r="ET93" s="1">
        <v>3.7630671335332766E-4</v>
      </c>
      <c r="EU93" s="1">
        <v>6.7513264255763383E-3</v>
      </c>
      <c r="EV93" s="10">
        <v>4.7230553465074524E-4</v>
      </c>
    </row>
    <row r="94" spans="1:152" x14ac:dyDescent="0.25">
      <c r="A94" s="21">
        <f t="shared" ca="1" si="1"/>
        <v>2.2998657949740604E-2</v>
      </c>
      <c r="B94" s="5">
        <v>93</v>
      </c>
      <c r="C94" s="9">
        <v>4.2202310036708324E-4</v>
      </c>
      <c r="D94" s="1">
        <v>3.2934712605933031E-3</v>
      </c>
      <c r="E94" s="1">
        <v>1.8426155763647672E-3</v>
      </c>
      <c r="F94" s="1">
        <v>2.3521316898090019E-3</v>
      </c>
      <c r="G94" s="1">
        <v>-3.0340474174718468E-4</v>
      </c>
      <c r="H94" s="1">
        <v>-5.0506250955405022E-3</v>
      </c>
      <c r="I94" s="1">
        <v>-1.1635981824265618E-3</v>
      </c>
      <c r="J94" s="1">
        <v>9.3153921381131793E-4</v>
      </c>
      <c r="K94" s="1">
        <v>3.3711639166974713E-3</v>
      </c>
      <c r="L94" s="1">
        <v>4.3393132217118685E-3</v>
      </c>
      <c r="M94" s="1">
        <v>-4.8905326218636608E-4</v>
      </c>
      <c r="N94" s="1">
        <v>7.1562748514128471E-4</v>
      </c>
      <c r="O94" s="1">
        <v>4.8488293351561067E-3</v>
      </c>
      <c r="P94" s="1">
        <v>4.3090500134810202E-3</v>
      </c>
      <c r="Q94" s="1">
        <v>-1.9096457381840501E-3</v>
      </c>
      <c r="R94" s="1">
        <v>-7.8141173914317123E-3</v>
      </c>
      <c r="S94" s="1">
        <v>-5.0506250955405022E-3</v>
      </c>
      <c r="T94" s="1">
        <v>-1.241290838530737E-3</v>
      </c>
      <c r="U94" s="1">
        <v>-2.4459715858583878E-3</v>
      </c>
      <c r="V94" s="1">
        <v>-3.0937067718684874E-3</v>
      </c>
      <c r="W94" s="1">
        <v>1.3633626711513844E-3</v>
      </c>
      <c r="X94" s="1">
        <v>-4.1395487329870563E-3</v>
      </c>
      <c r="Y94" s="1">
        <v>-7.3522819908725112E-4</v>
      </c>
      <c r="Z94" s="1">
        <v>-3.3329747607678678E-3</v>
      </c>
      <c r="AA94" s="1">
        <v>7.1562748514128471E-4</v>
      </c>
      <c r="AB94" s="1">
        <v>3.4014271249283232E-3</v>
      </c>
      <c r="AC94" s="1">
        <v>-2.3950886639843155E-3</v>
      </c>
      <c r="AD94" s="1">
        <v>5.2997896470210332E-4</v>
      </c>
      <c r="AE94" s="1">
        <v>1.1474509424813512E-3</v>
      </c>
      <c r="AF94" s="1">
        <v>1.8426155763647672E-3</v>
      </c>
      <c r="AG94" s="1">
        <v>2.5680434184790352E-3</v>
      </c>
      <c r="AH94" s="1">
        <v>-1.9632652066442491E-3</v>
      </c>
      <c r="AI94" s="1">
        <v>-1.5115389630755809E-3</v>
      </c>
      <c r="AJ94" s="1">
        <v>-3.468457286747606E-3</v>
      </c>
      <c r="AK94" s="1">
        <v>2.6759992828140483E-3</v>
      </c>
      <c r="AL94" s="1">
        <v>2.1664831693698205E-3</v>
      </c>
      <c r="AM94" s="1">
        <v>8.5384655770714968E-4</v>
      </c>
      <c r="AN94" s="1">
        <v>1.2519533328156154E-3</v>
      </c>
      <c r="AO94" s="1">
        <v>2.7536919389182235E-3</v>
      </c>
      <c r="AP94" s="1">
        <v>1.0394950781463311E-3</v>
      </c>
      <c r="AQ94" s="1">
        <v>-1.3492467028657501E-3</v>
      </c>
      <c r="AR94" s="1">
        <v>5.5206377088101721E-3</v>
      </c>
      <c r="AS94" s="1">
        <v>1.5187479833597209E-3</v>
      </c>
      <c r="AT94" s="1">
        <v>-6.3391885195592003E-3</v>
      </c>
      <c r="AU94" s="1">
        <v>-4.7570207107663041E-3</v>
      </c>
      <c r="AV94" s="1">
        <v>1.5222014573604697E-3</v>
      </c>
      <c r="AW94" s="1">
        <v>-1.4303928329706672E-3</v>
      </c>
      <c r="AX94" s="1">
        <v>1.7346597120297541E-3</v>
      </c>
      <c r="AY94" s="1">
        <v>-5.9700912652138616E-4</v>
      </c>
      <c r="AZ94" s="1">
        <v>1.5490111915905727E-3</v>
      </c>
      <c r="BA94" s="1">
        <v>1.7262668577289655E-2</v>
      </c>
      <c r="BB94" s="1">
        <v>1.4951619452381736E-2</v>
      </c>
      <c r="BC94" s="1">
        <v>1.6108870751836077E-2</v>
      </c>
      <c r="BD94" s="1">
        <v>2.2863892351175481E-2</v>
      </c>
      <c r="BE94" s="1">
        <v>1.7529463227833761E-2</v>
      </c>
      <c r="BF94" s="1">
        <v>1.9992444190949261E-2</v>
      </c>
      <c r="BG94" s="1">
        <v>1.2562877671369654E-2</v>
      </c>
      <c r="BH94" s="1">
        <v>2.6588627004079587E-2</v>
      </c>
      <c r="BI94" s="1">
        <v>2.0346574992185153E-2</v>
      </c>
      <c r="BJ94" s="1">
        <v>1.8406822908155616E-2</v>
      </c>
      <c r="BK94" s="1">
        <v>2.9166470779531606E-2</v>
      </c>
      <c r="BL94" s="1">
        <v>1.5646784086265159E-2</v>
      </c>
      <c r="BM94" s="1">
        <v>2.9011085467323262E-2</v>
      </c>
      <c r="BN94" s="1">
        <v>1.814348173161226E-2</v>
      </c>
      <c r="BO94" s="1">
        <v>1.9267016348834994E-2</v>
      </c>
      <c r="BP94" s="1">
        <v>1.7556272962063857E-2</v>
      </c>
      <c r="BQ94" s="1">
        <v>1.5322916493260105E-2</v>
      </c>
      <c r="BR94" s="1">
        <v>2.5707813849756983E-2</v>
      </c>
      <c r="BS94" s="1">
        <v>2.0910427501504215E-2</v>
      </c>
      <c r="BT94" s="1">
        <v>2.5063532137747625E-2</v>
      </c>
      <c r="BU94" s="1">
        <v>9.4218983140132023E-3</v>
      </c>
      <c r="BV94" s="1">
        <v>2.0424267648289328E-2</v>
      </c>
      <c r="BW94" s="1">
        <v>1.9165967432501478E-2</v>
      </c>
      <c r="BX94" s="1">
        <v>2.2087581587187148E-2</v>
      </c>
      <c r="BY94" s="1">
        <v>2.0130663263515126E-2</v>
      </c>
      <c r="BZ94" s="1">
        <v>1.8065789075508092E-2</v>
      </c>
      <c r="CA94" s="1">
        <v>1.9516644759736627E-2</v>
      </c>
      <c r="CB94" s="1">
        <v>1.3183803123149658E-2</v>
      </c>
      <c r="CC94" s="1">
        <v>1.6372211928379427E-2</v>
      </c>
      <c r="CD94" s="1">
        <v>2.6217329963201211E-2</v>
      </c>
      <c r="CE94" s="1">
        <v>2.557304825119186E-2</v>
      </c>
      <c r="CF94" s="1">
        <v>2.723636219008968E-2</v>
      </c>
      <c r="CG94" s="1">
        <v>2.238118597196135E-2</v>
      </c>
      <c r="CH94" s="1">
        <v>1.5943841945040102E-2</v>
      </c>
      <c r="CI94" s="1">
        <v>1.5107004764590079E-2</v>
      </c>
      <c r="CJ94" s="1">
        <v>1.162153810058535E-2</v>
      </c>
      <c r="CK94" s="1">
        <v>1.5892959023166037E-2</v>
      </c>
      <c r="CL94" s="1">
        <v>2.3727539265855614E-2</v>
      </c>
      <c r="CM94" s="1">
        <v>1.8649544371055739E-2</v>
      </c>
      <c r="CN94" s="1">
        <v>2.1628948395616979E-2</v>
      </c>
      <c r="CO94" s="1">
        <v>2.2674790356735551E-2</v>
      </c>
      <c r="CP94" s="1">
        <v>1.7526009753833012E-2</v>
      </c>
      <c r="CQ94" s="1">
        <v>2.2998657949740604E-2</v>
      </c>
      <c r="CR94" s="1">
        <v>2.7314054846193855E-2</v>
      </c>
      <c r="CS94" s="1">
        <v>2.0501960304393489E-2</v>
      </c>
      <c r="CT94" s="1">
        <v>2.0420814174288579E-2</v>
      </c>
      <c r="CU94" s="1">
        <v>1.9374972213170007E-2</v>
      </c>
      <c r="CV94" s="1">
        <v>1.99147515348451E-2</v>
      </c>
      <c r="CW94" s="1">
        <v>2.4523752816072546E-2</v>
      </c>
      <c r="CX94" s="1">
        <v>1.9992444190949261E-2</v>
      </c>
      <c r="CY94" s="1">
        <v>-1.0207979607220641E-2</v>
      </c>
      <c r="CZ94" s="1">
        <v>2.9369565711666878E-3</v>
      </c>
      <c r="DA94" s="1">
        <v>-8.3866100361149054E-4</v>
      </c>
      <c r="DB94" s="1">
        <v>3.905105876181085E-3</v>
      </c>
      <c r="DC94" s="1">
        <v>-3.1497101285194104E-3</v>
      </c>
      <c r="DD94" s="1">
        <v>-2.9888168193641096E-4</v>
      </c>
      <c r="DE94" s="1">
        <v>6.526925625505671E-3</v>
      </c>
      <c r="DF94" s="1">
        <v>4.9846645195312442E-3</v>
      </c>
      <c r="DG94" s="1">
        <v>6.8068172446381497E-3</v>
      </c>
      <c r="DH94" s="1">
        <v>-1.1088792761543249E-2</v>
      </c>
      <c r="DI94" s="1">
        <v>-1.0580262062822726E-3</v>
      </c>
      <c r="DJ94" s="1">
        <v>3.5846917571767806E-3</v>
      </c>
      <c r="DK94" s="1">
        <v>-1.1625285966165438E-3</v>
      </c>
      <c r="DL94" s="1">
        <v>2.4006307234923502E-3</v>
      </c>
      <c r="DM94" s="1">
        <v>-5.9970851011016471E-3</v>
      </c>
      <c r="DN94" s="1">
        <v>-6.1559238873107394E-3</v>
      </c>
      <c r="DO94" s="1">
        <v>3.5035456270718635E-3</v>
      </c>
      <c r="DP94" s="1">
        <v>-6.7940155787332215E-3</v>
      </c>
      <c r="DQ94" s="1">
        <v>-1.0476657842800191E-3</v>
      </c>
      <c r="DR94" s="1">
        <v>1.2893483944324234E-2</v>
      </c>
      <c r="DS94" s="1">
        <v>-5.6161445656356529E-3</v>
      </c>
      <c r="DT94" s="1">
        <v>4.4025892581957965E-4</v>
      </c>
      <c r="DU94" s="1">
        <v>2.707332076854925E-3</v>
      </c>
      <c r="DV94" s="1">
        <v>5.1400498317395807E-3</v>
      </c>
      <c r="DW94" s="1">
        <v>-3.1229003942893074E-3</v>
      </c>
      <c r="DX94" s="1">
        <v>3.0242927218584736E-3</v>
      </c>
      <c r="DY94" s="1">
        <v>4.4146219896253197E-3</v>
      </c>
      <c r="DZ94" s="1">
        <v>3.071722169731797E-3</v>
      </c>
      <c r="EA94" s="1">
        <v>-3.5940809839810767E-4</v>
      </c>
      <c r="EB94" s="1">
        <v>7.5858645552126097E-3</v>
      </c>
      <c r="EC94" s="1">
        <v>4.0467784227476988E-3</v>
      </c>
      <c r="ED94" s="1">
        <v>-3.251475972267541E-3</v>
      </c>
      <c r="EE94" s="1">
        <v>-2.0227220372959279E-3</v>
      </c>
      <c r="EF94" s="1">
        <v>9.5125196706537865E-3</v>
      </c>
      <c r="EG94" s="1">
        <v>1.2194865836440069E-2</v>
      </c>
      <c r="EH94" s="1">
        <v>-3.5175536953970243E-3</v>
      </c>
      <c r="EI94" s="1">
        <v>-9.1621376461020719E-3</v>
      </c>
      <c r="EJ94" s="1">
        <v>2.7781177849575886E-3</v>
      </c>
      <c r="EK94" s="1">
        <v>2.9637663053967769E-3</v>
      </c>
      <c r="EL94" s="1">
        <v>-1.6720447100607716E-3</v>
      </c>
      <c r="EM94" s="1">
        <v>-6.8778982554242585E-3</v>
      </c>
      <c r="EN94" s="1">
        <v>-4.9986725878563981E-3</v>
      </c>
      <c r="EO94" s="1">
        <v>2.9369565711666878E-3</v>
      </c>
      <c r="EP94" s="1">
        <v>-5.724100429970673E-3</v>
      </c>
      <c r="EQ94" s="1">
        <v>-9.7761561498805744E-3</v>
      </c>
      <c r="ER94" s="1">
        <v>-4.5971123387471835E-3</v>
      </c>
      <c r="ES94" s="1">
        <v>4.71167984840027E-3</v>
      </c>
      <c r="ET94" s="1">
        <v>1.7691774927623E-4</v>
      </c>
      <c r="EU94" s="1">
        <v>-7.6067795715392648E-3</v>
      </c>
      <c r="EV94" s="10">
        <v>2.8558104410617638E-3</v>
      </c>
    </row>
    <row r="95" spans="1:152" x14ac:dyDescent="0.25">
      <c r="A95" s="21">
        <f t="shared" ca="1" si="1"/>
        <v>4.943847891795837E-2</v>
      </c>
      <c r="B95" s="5">
        <v>94</v>
      </c>
      <c r="C95" s="9">
        <v>-4.0707631605932382E-4</v>
      </c>
      <c r="D95" s="1">
        <v>5.0932457730520908E-3</v>
      </c>
      <c r="E95" s="1">
        <v>7.8772723821823598E-3</v>
      </c>
      <c r="F95" s="1">
        <v>1.0045370109599258E-2</v>
      </c>
      <c r="G95" s="1">
        <v>9.8493698850581068E-4</v>
      </c>
      <c r="H95" s="1">
        <v>-1.4019265019294389E-2</v>
      </c>
      <c r="I95" s="1">
        <v>5.5213168205423685E-3</v>
      </c>
      <c r="J95" s="1">
        <v>1.7610214113575606E-3</v>
      </c>
      <c r="K95" s="1">
        <v>1.4381565564433041E-2</v>
      </c>
      <c r="L95" s="1">
        <v>8.0651302164054667E-3</v>
      </c>
      <c r="M95" s="1">
        <v>-6.523327286884123E-3</v>
      </c>
      <c r="N95" s="1">
        <v>5.3211324433395935E-3</v>
      </c>
      <c r="O95" s="1">
        <v>1.0233227943822379E-2</v>
      </c>
      <c r="P95" s="1">
        <v>1.9133505523777433E-2</v>
      </c>
      <c r="Q95" s="1">
        <v>-1.4807675985125807E-2</v>
      </c>
      <c r="R95" s="1">
        <v>-2.1299642624396833E-2</v>
      </c>
      <c r="S95" s="1">
        <v>-1.4019265019294389E-2</v>
      </c>
      <c r="T95" s="1">
        <v>-3.7670029708385677E-3</v>
      </c>
      <c r="U95" s="1">
        <v>-1.5611462701062284E-2</v>
      </c>
      <c r="V95" s="1">
        <v>-4.9311296051161996E-3</v>
      </c>
      <c r="W95" s="1">
        <v>-5.3592006526064911E-3</v>
      </c>
      <c r="X95" s="1">
        <v>-7.9030140484695754E-3</v>
      </c>
      <c r="Y95" s="1">
        <v>8.1051590524698625E-3</v>
      </c>
      <c r="Z95" s="1">
        <v>-9.7107718575453195E-3</v>
      </c>
      <c r="AA95" s="1">
        <v>5.3211324433395935E-3</v>
      </c>
      <c r="AB95" s="1">
        <v>3.3131902570610883E-3</v>
      </c>
      <c r="AC95" s="1">
        <v>-4.9588318982009411E-3</v>
      </c>
      <c r="AD95" s="1">
        <v>-2.1871318320503541E-3</v>
      </c>
      <c r="AE95" s="1">
        <v>-1.7990896206244722E-3</v>
      </c>
      <c r="AF95" s="1">
        <v>7.8772723821823598E-3</v>
      </c>
      <c r="AG95" s="1">
        <v>6.4852590776172392E-3</v>
      </c>
      <c r="AH95" s="1">
        <v>-1.2079053962164993E-2</v>
      </c>
      <c r="AI95" s="1">
        <v>-1.1554584458263739E-3</v>
      </c>
      <c r="AJ95" s="1">
        <v>-1.0243593860004535E-2</v>
      </c>
      <c r="AK95" s="1">
        <v>4.7052035616262089E-3</v>
      </c>
      <c r="AL95" s="1">
        <v>2.5371058342093245E-3</v>
      </c>
      <c r="AM95" s="1">
        <v>-7.5272983800233617E-3</v>
      </c>
      <c r="AN95" s="1">
        <v>6.124919159276071E-3</v>
      </c>
      <c r="AO95" s="1">
        <v>1.3993523353007159E-2</v>
      </c>
      <c r="AP95" s="1">
        <v>-1.9034104633441906E-5</v>
      </c>
      <c r="AQ95" s="1">
        <v>-1.9869474548475652E-3</v>
      </c>
      <c r="AR95" s="1">
        <v>1.1569836662218058E-2</v>
      </c>
      <c r="AS95" s="1">
        <v>1.3217438930155395E-2</v>
      </c>
      <c r="AT95" s="1">
        <v>-1.2066727419185339E-2</v>
      </c>
      <c r="AU95" s="1">
        <v>-8.2910562598954574E-3</v>
      </c>
      <c r="AV95" s="1">
        <v>3.5133746342638772E-3</v>
      </c>
      <c r="AW95" s="1">
        <v>-1.5712029503369557E-3</v>
      </c>
      <c r="AX95" s="1">
        <v>9.6573278981733762E-3</v>
      </c>
      <c r="AY95" s="1">
        <v>-4.7432717708931066E-3</v>
      </c>
      <c r="AZ95" s="1">
        <v>2.1490636227834425E-3</v>
      </c>
      <c r="BA95" s="1">
        <v>-3.0947179238118155E-3</v>
      </c>
      <c r="BB95" s="1">
        <v>4.2256885173549974E-3</v>
      </c>
      <c r="BC95" s="1">
        <v>-4.2865468511741889E-3</v>
      </c>
      <c r="BD95" s="1">
        <v>3.0458421373665549E-2</v>
      </c>
      <c r="BE95" s="1">
        <v>3.9978018470675086E-3</v>
      </c>
      <c r="BF95" s="1">
        <v>2.4958099284554121E-2</v>
      </c>
      <c r="BG95" s="1">
        <v>2.2577751671408741E-3</v>
      </c>
      <c r="BH95" s="1">
        <v>5.0830492222523491E-2</v>
      </c>
      <c r="BI95" s="1">
        <v>8.5495574292091328E-3</v>
      </c>
      <c r="BJ95" s="1">
        <v>3.0886492421155806E-2</v>
      </c>
      <c r="BK95" s="1">
        <v>5.0602605552236016E-2</v>
      </c>
      <c r="BL95" s="1">
        <v>1.3902050520161816E-2</v>
      </c>
      <c r="BM95" s="1">
        <v>3.2025965969474129E-2</v>
      </c>
      <c r="BN95" s="1">
        <v>1.408990835438495E-2</v>
      </c>
      <c r="BO95" s="1">
        <v>2.6350112589119255E-2</v>
      </c>
      <c r="BP95" s="1">
        <v>2.6334908355871017E-3</v>
      </c>
      <c r="BQ95" s="1">
        <v>1.9242217068134865E-2</v>
      </c>
      <c r="BR95" s="1">
        <v>3.3645865944326767E-2</v>
      </c>
      <c r="BS95" s="1">
        <v>1.1666221663595822E-2</v>
      </c>
      <c r="BT95" s="1">
        <v>3.4622134744381292E-2</v>
      </c>
      <c r="BU95" s="1">
        <v>3.0461861329722853E-3</v>
      </c>
      <c r="BV95" s="1">
        <v>1.7837877220590083E-2</v>
      </c>
      <c r="BW95" s="1">
        <v>8.7220395133271733E-3</v>
      </c>
      <c r="BX95" s="1">
        <v>2.1197803875369341E-2</v>
      </c>
      <c r="BY95" s="1">
        <v>1.2109668461191152E-2</v>
      </c>
      <c r="BZ95" s="1">
        <v>4.8015885630040001E-3</v>
      </c>
      <c r="CA95" s="1">
        <v>2.0175619538737449E-3</v>
      </c>
      <c r="CB95" s="1">
        <v>-7.0582469173247828E-3</v>
      </c>
      <c r="CC95" s="1">
        <v>1.2510037215596695E-2</v>
      </c>
      <c r="CD95" s="1">
        <v>3.5813963671743651E-2</v>
      </c>
      <c r="CE95" s="1">
        <v>3.6790232471798176E-2</v>
      </c>
      <c r="CF95" s="1">
        <v>4.0150159126577434E-2</v>
      </c>
      <c r="CG95" s="1">
        <v>2.6926012634768258E-2</v>
      </c>
      <c r="CH95" s="1">
        <v>9.9261949836692009E-3</v>
      </c>
      <c r="CI95" s="1">
        <v>2.2802328100116884E-2</v>
      </c>
      <c r="CJ95" s="1">
        <v>7.2098995036880276E-3</v>
      </c>
      <c r="CK95" s="1">
        <v>-7.2643581919215605E-4</v>
      </c>
      <c r="CL95" s="1">
        <v>1.6217977245737446E-2</v>
      </c>
      <c r="CM95" s="1">
        <v>2.5962070377693373E-2</v>
      </c>
      <c r="CN95" s="1">
        <v>2.9682336950813785E-2</v>
      </c>
      <c r="CO95" s="1">
        <v>3.2654221394167175E-2</v>
      </c>
      <c r="CP95" s="1">
        <v>1.3701866142959068E-2</v>
      </c>
      <c r="CQ95" s="1">
        <v>2.731405484619414E-2</v>
      </c>
      <c r="CR95" s="1">
        <v>4.943847891795837E-2</v>
      </c>
      <c r="CS95" s="1">
        <v>2.7126197011971019E-2</v>
      </c>
      <c r="CT95" s="1">
        <v>2.7541941516481615E-2</v>
      </c>
      <c r="CU95" s="1">
        <v>2.4570057073128239E-2</v>
      </c>
      <c r="CV95" s="1">
        <v>1.5669779493173171E-2</v>
      </c>
      <c r="CW95" s="1">
        <v>4.352241232433636E-2</v>
      </c>
      <c r="CX95" s="1">
        <v>2.4958099284554121E-2</v>
      </c>
      <c r="CY95" s="1">
        <v>-1.2064510066847403E-2</v>
      </c>
      <c r="CZ95" s="1">
        <v>1.9323580710338489E-2</v>
      </c>
      <c r="DA95" s="1">
        <v>-1.1701120941380844E-2</v>
      </c>
      <c r="DB95" s="1">
        <v>1.3007145362310908E-2</v>
      </c>
      <c r="DC95" s="1">
        <v>-4.3807145002140307E-3</v>
      </c>
      <c r="DD95" s="1">
        <v>-2.0601398521335884E-2</v>
      </c>
      <c r="DE95" s="1">
        <v>4.2840018086667854E-2</v>
      </c>
      <c r="DF95" s="1">
        <v>-4.7934097975992004E-3</v>
      </c>
      <c r="DG95" s="1">
        <v>7.439092144050384E-3</v>
      </c>
      <c r="DH95" s="1">
        <v>-2.9249136345044148E-2</v>
      </c>
      <c r="DI95" s="1">
        <v>1.563054386492721E-3</v>
      </c>
      <c r="DJ95" s="1">
        <v>8.6432476143924047E-3</v>
      </c>
      <c r="DK95" s="1">
        <v>-6.3609543934077944E-3</v>
      </c>
      <c r="DL95" s="1">
        <v>1.8519793994401984E-2</v>
      </c>
      <c r="DM95" s="1">
        <v>2.1359052250163324E-3</v>
      </c>
      <c r="DN95" s="1">
        <v>-6.7366700618540221E-3</v>
      </c>
      <c r="DO95" s="1">
        <v>9.0589921189029934E-3</v>
      </c>
      <c r="DP95" s="1">
        <v>-2.8845718383513214E-2</v>
      </c>
      <c r="DQ95" s="1">
        <v>-2.7549138501181895E-2</v>
      </c>
      <c r="DR95" s="1">
        <v>3.1143387354602869E-2</v>
      </c>
      <c r="DS95" s="1">
        <v>-1.563694764180909E-2</v>
      </c>
      <c r="DT95" s="1">
        <v>1.9135722876115369E-2</v>
      </c>
      <c r="DU95" s="1">
        <v>-1.8245442959695893E-2</v>
      </c>
      <c r="DV95" s="1">
        <v>1.3783229785162672E-2</v>
      </c>
      <c r="DW95" s="1">
        <v>-5.7450255116944376E-3</v>
      </c>
      <c r="DX95" s="1">
        <v>-4.1774809158858436E-3</v>
      </c>
      <c r="DY95" s="1">
        <v>1.5175243089727793E-2</v>
      </c>
      <c r="DZ95" s="1">
        <v>1.6179214182867059E-2</v>
      </c>
      <c r="EA95" s="1">
        <v>1.5353520934080073E-3</v>
      </c>
      <c r="EB95" s="1">
        <v>3.3184568165244288E-3</v>
      </c>
      <c r="EC95" s="1">
        <v>-9.5453497569435997E-3</v>
      </c>
      <c r="ED95" s="1">
        <v>-2.5685976105936731E-2</v>
      </c>
      <c r="EE95" s="1">
        <v>-1.8245745613712505E-3</v>
      </c>
      <c r="EF95" s="1">
        <v>2.3474967538074556E-2</v>
      </c>
      <c r="EG95" s="1">
        <v>3.1171089647687611E-2</v>
      </c>
      <c r="EH95" s="1">
        <v>-2.9101307346885416E-2</v>
      </c>
      <c r="EI95" s="1">
        <v>-9.0926256234940273E-3</v>
      </c>
      <c r="EJ95" s="1">
        <v>1.0451005423468128E-2</v>
      </c>
      <c r="EK95" s="1">
        <v>1.7959269698858062E-2</v>
      </c>
      <c r="EL95" s="1">
        <v>-8.5290521208247067E-3</v>
      </c>
      <c r="EM95" s="1">
        <v>-1.5048721053180433E-2</v>
      </c>
      <c r="EN95" s="1">
        <v>-1.5248905430383208E-2</v>
      </c>
      <c r="EO95" s="1">
        <v>1.9323580710338489E-2</v>
      </c>
      <c r="EP95" s="1">
        <v>-1.385689212581806E-2</v>
      </c>
      <c r="EQ95" s="1">
        <v>-1.9184732130811455E-2</v>
      </c>
      <c r="ER95" s="1">
        <v>-1.1300752186975294E-2</v>
      </c>
      <c r="ES95" s="1">
        <v>1.1199387553235171E-2</v>
      </c>
      <c r="ET95" s="1">
        <v>2.3391388093444848E-3</v>
      </c>
      <c r="EU95" s="1">
        <v>-3.9526434527237669E-3</v>
      </c>
      <c r="EV95" s="10">
        <v>1.9739325214849064E-2</v>
      </c>
    </row>
    <row r="96" spans="1:152" x14ac:dyDescent="0.25">
      <c r="A96" s="21">
        <f t="shared" ca="1" si="1"/>
        <v>2.3112466884301425E-2</v>
      </c>
      <c r="B96" s="5">
        <v>95</v>
      </c>
      <c r="C96" s="9">
        <v>-8.2904326986742161E-4</v>
      </c>
      <c r="D96" s="1">
        <v>-4.6083543389299417E-4</v>
      </c>
      <c r="E96" s="1">
        <v>2.2333041248685914E-3</v>
      </c>
      <c r="F96" s="1">
        <v>2.9158219834530576E-3</v>
      </c>
      <c r="G96" s="1">
        <v>5.1802650951336855E-4</v>
      </c>
      <c r="H96" s="1">
        <v>-2.047034922133411E-3</v>
      </c>
      <c r="I96" s="1">
        <v>4.1612928461921724E-3</v>
      </c>
      <c r="J96" s="1">
        <v>-1.4652541128296233E-4</v>
      </c>
      <c r="K96" s="1">
        <v>4.2808577006219796E-3</v>
      </c>
      <c r="L96" s="1">
        <v>-3.7720245503945413E-4</v>
      </c>
      <c r="M96" s="1">
        <v>-3.2088728060189874E-3</v>
      </c>
      <c r="N96" s="1">
        <v>1.883062226682294E-3</v>
      </c>
      <c r="O96" s="1">
        <v>3.0531540354501209E-4</v>
      </c>
      <c r="P96" s="1">
        <v>5.3792844984581548E-3</v>
      </c>
      <c r="Q96" s="1">
        <v>-6.2712202007550013E-3</v>
      </c>
      <c r="R96" s="1">
        <v>-3.4300365770904683E-3</v>
      </c>
      <c r="S96" s="1">
        <v>-2.047034922133411E-3</v>
      </c>
      <c r="T96" s="1">
        <v>-5.8040028832279794E-4</v>
      </c>
      <c r="U96" s="1">
        <v>-5.6723353210240803E-3</v>
      </c>
      <c r="V96" s="1">
        <v>4.1642759287169491E-4</v>
      </c>
      <c r="W96" s="1">
        <v>-4.205700687213482E-3</v>
      </c>
      <c r="X96" s="1">
        <v>3.327946140181566E-4</v>
      </c>
      <c r="Y96" s="1">
        <v>4.577201785443883E-3</v>
      </c>
      <c r="Z96" s="1">
        <v>-7.4766624602987629E-4</v>
      </c>
      <c r="AA96" s="1">
        <v>1.883062226682294E-3</v>
      </c>
      <c r="AB96" s="1">
        <v>-1.4756292528756189E-3</v>
      </c>
      <c r="AC96" s="1">
        <v>3.5076055180628674E-4</v>
      </c>
      <c r="AD96" s="1">
        <v>-1.8438370888500602E-3</v>
      </c>
      <c r="AE96" s="1">
        <v>-2.1761130492482256E-3</v>
      </c>
      <c r="AF96" s="1">
        <v>2.2333041248685914E-3</v>
      </c>
      <c r="AG96" s="1">
        <v>8.8623434548780293E-4</v>
      </c>
      <c r="AH96" s="1">
        <v>-3.708414724124233E-3</v>
      </c>
      <c r="AI96" s="1">
        <v>-9.8824308005699898E-5</v>
      </c>
      <c r="AJ96" s="1">
        <v>-2.5622868230107902E-3</v>
      </c>
      <c r="AK96" s="1">
        <v>-1.2855947349482873E-4</v>
      </c>
      <c r="AL96" s="1">
        <v>-8.1107733207928974E-4</v>
      </c>
      <c r="AM96" s="1">
        <v>-4.8882185457979413E-3</v>
      </c>
      <c r="AN96" s="1">
        <v>1.2841773469513679E-3</v>
      </c>
      <c r="AO96" s="1">
        <v>4.6131336610201433E-3</v>
      </c>
      <c r="AP96" s="1">
        <v>-1.161319230265587E-3</v>
      </c>
      <c r="AQ96" s="1">
        <v>4.3439353065982678E-4</v>
      </c>
      <c r="AR96" s="1">
        <v>1.5210511007949911E-3</v>
      </c>
      <c r="AS96" s="1">
        <v>5.2776855818164707E-3</v>
      </c>
      <c r="AT96" s="1">
        <v>1.180322475293703E-3</v>
      </c>
      <c r="AU96" s="1">
        <v>6.6507057441632031E-4</v>
      </c>
      <c r="AV96" s="1">
        <v>8.0260136663426115E-4</v>
      </c>
      <c r="AW96" s="1">
        <v>1.6778461132707125E-4</v>
      </c>
      <c r="AX96" s="1">
        <v>3.2480979438512213E-3</v>
      </c>
      <c r="AY96" s="1">
        <v>-2.1940789870363558E-3</v>
      </c>
      <c r="AZ96" s="1">
        <v>-4.7880137168112603E-4</v>
      </c>
      <c r="BA96" s="1">
        <v>1.0815376202080076E-2</v>
      </c>
      <c r="BB96" s="1">
        <v>1.7152782097520462E-2</v>
      </c>
      <c r="BC96" s="1">
        <v>1.1746537042209156E-2</v>
      </c>
      <c r="BD96" s="1">
        <v>2.2798156861691392E-2</v>
      </c>
      <c r="BE96" s="1">
        <v>1.4808884436945174E-2</v>
      </c>
      <c r="BF96" s="1">
        <v>2.2429949025716957E-2</v>
      </c>
      <c r="BG96" s="1">
        <v>1.8748494858445885E-2</v>
      </c>
      <c r="BH96" s="1">
        <v>2.8473266791351447E-2</v>
      </c>
      <c r="BI96" s="1">
        <v>1.3629080615271471E-2</v>
      </c>
      <c r="BJ96" s="1">
        <v>2.7420285141776555E-2</v>
      </c>
      <c r="BK96" s="1">
        <v>2.6129369130776167E-2</v>
      </c>
      <c r="BL96" s="1">
        <v>2.1562199271637279E-2</v>
      </c>
      <c r="BM96" s="1">
        <v>1.6645982861746206E-2</v>
      </c>
      <c r="BN96" s="1">
        <v>1.8951692691729232E-2</v>
      </c>
      <c r="BO96" s="1">
        <v>2.3777018805097753E-2</v>
      </c>
      <c r="BP96" s="1">
        <v>1.3527481698629794E-2</v>
      </c>
      <c r="BQ96" s="1">
        <v>2.4606580728585167E-2</v>
      </c>
      <c r="BR96" s="1">
        <v>2.0336950301702295E-2</v>
      </c>
      <c r="BS96" s="1">
        <v>1.5859610131504082E-2</v>
      </c>
      <c r="BT96" s="1">
        <v>2.1950629000415847E-2</v>
      </c>
      <c r="BU96" s="1">
        <v>2.2972680137067485E-2</v>
      </c>
      <c r="BV96" s="1">
        <v>1.8370773749786445E-2</v>
      </c>
      <c r="BW96" s="1">
        <v>1.5841644193715945E-2</v>
      </c>
      <c r="BX96" s="1">
        <v>1.8122130768241818E-2</v>
      </c>
      <c r="BY96" s="1">
        <v>1.565866825323672E-2</v>
      </c>
      <c r="BZ96" s="1">
        <v>1.420999955721426E-2</v>
      </c>
      <c r="CA96" s="1">
        <v>1.1515859998452668E-2</v>
      </c>
      <c r="CB96" s="1">
        <v>1.3941134682865505E-2</v>
      </c>
      <c r="CC96" s="1">
        <v>2.0215129492256484E-2</v>
      </c>
      <c r="CD96" s="1">
        <v>2.1019468160286756E-2</v>
      </c>
      <c r="CE96" s="1">
        <v>2.2633146859000305E-2</v>
      </c>
      <c r="CF96" s="1">
        <v>2.2384503877455678E-2</v>
      </c>
      <c r="CG96" s="1">
        <v>2.0834236264791542E-2</v>
      </c>
      <c r="CH96" s="1">
        <v>1.979922055300478E-2</v>
      </c>
      <c r="CI96" s="1">
        <v>2.6636168366550417E-2</v>
      </c>
      <c r="CJ96" s="1">
        <v>2.212515227579193E-2</v>
      </c>
      <c r="CK96" s="1">
        <v>1.3776124680174419E-2</v>
      </c>
      <c r="CL96" s="1">
        <v>1.4679806309830366E-2</v>
      </c>
      <c r="CM96" s="1">
        <v>2.4109294765495917E-2</v>
      </c>
      <c r="CN96" s="1">
        <v>2.3462708782487719E-2</v>
      </c>
      <c r="CO96" s="1">
        <v>2.3546341761341259E-2</v>
      </c>
      <c r="CP96" s="1">
        <v>1.9283968652127399E-2</v>
      </c>
      <c r="CQ96" s="1">
        <v>2.0501960304393378E-2</v>
      </c>
      <c r="CR96" s="1">
        <v>2.7126197011970658E-2</v>
      </c>
      <c r="CS96" s="1">
        <v>2.3112466884301425E-2</v>
      </c>
      <c r="CT96" s="1">
        <v>2.2845857964968661E-2</v>
      </c>
      <c r="CU96" s="1">
        <v>2.2762224986115121E-2</v>
      </c>
      <c r="CV96" s="1">
        <v>1.7688255891201984E-2</v>
      </c>
      <c r="CW96" s="1">
        <v>2.7024598095328992E-2</v>
      </c>
      <c r="CX96" s="1">
        <v>2.2429949025716957E-2</v>
      </c>
      <c r="CY96" s="1">
        <v>5.1843935620895527E-3</v>
      </c>
      <c r="CZ96" s="1">
        <v>6.7728490053459607E-3</v>
      </c>
      <c r="DA96" s="1">
        <v>-4.9253567971444655E-3</v>
      </c>
      <c r="DB96" s="1">
        <v>2.1147888496845192E-3</v>
      </c>
      <c r="DC96" s="1">
        <v>1.412049098295922E-3</v>
      </c>
      <c r="DD96" s="1">
        <v>-9.99932589205761E-3</v>
      </c>
      <c r="DE96" s="1">
        <v>1.4744155492304033E-2</v>
      </c>
      <c r="DF96" s="1">
        <v>-8.0331493401417688E-3</v>
      </c>
      <c r="DG96" s="1">
        <v>-3.2734902678386501E-3</v>
      </c>
      <c r="DH96" s="1">
        <v>-2.9519229275596099E-3</v>
      </c>
      <c r="DI96" s="1">
        <v>1.5793150560030004E-3</v>
      </c>
      <c r="DJ96" s="1">
        <v>6.8408609145018465E-4</v>
      </c>
      <c r="DK96" s="1">
        <v>-1.8809753401965845E-3</v>
      </c>
      <c r="DL96" s="1">
        <v>7.3717338850768817E-3</v>
      </c>
      <c r="DM96" s="1">
        <v>8.3483398734672497E-3</v>
      </c>
      <c r="DN96" s="1">
        <v>3.3400378196195065E-3</v>
      </c>
      <c r="DO96" s="1">
        <v>4.1747717211742131E-4</v>
      </c>
      <c r="DP96" s="1">
        <v>-8.1072690463103014E-3</v>
      </c>
      <c r="DQ96" s="1">
        <v>-1.1845937589543647E-2</v>
      </c>
      <c r="DR96" s="1">
        <v>2.0873096392113755E-3</v>
      </c>
      <c r="DS96" s="1">
        <v>-1.7339312752936379E-3</v>
      </c>
      <c r="DT96" s="1">
        <v>9.3833555852540062E-3</v>
      </c>
      <c r="DU96" s="1">
        <v>-1.1927314613381194E-2</v>
      </c>
      <c r="DV96" s="1">
        <v>1.4502369288881918E-3</v>
      </c>
      <c r="DW96" s="1">
        <v>1.3064635998054006E-4</v>
      </c>
      <c r="DX96" s="1">
        <v>-6.0215276399646434E-3</v>
      </c>
      <c r="DY96" s="1">
        <v>2.7973067082689871E-3</v>
      </c>
      <c r="DZ96" s="1">
        <v>4.476652448047941E-3</v>
      </c>
      <c r="EA96" s="1">
        <v>1.5136480149375992E-3</v>
      </c>
      <c r="EB96" s="1">
        <v>-7.1833655238502225E-3</v>
      </c>
      <c r="EC96" s="1">
        <v>-9.1315761379779405E-3</v>
      </c>
      <c r="ED96" s="1">
        <v>-1.0634142647364802E-2</v>
      </c>
      <c r="EE96" s="1">
        <v>1.7622909964822246E-3</v>
      </c>
      <c r="EF96" s="1">
        <v>1.0365839446524801E-3</v>
      </c>
      <c r="EG96" s="1">
        <v>2.1529766802767837E-3</v>
      </c>
      <c r="EH96" s="1">
        <v>-1.0516833747950993E-2</v>
      </c>
      <c r="EI96" s="1">
        <v>5.268026540943091E-3</v>
      </c>
      <c r="EJ96" s="1">
        <v>1.7645469514982184E-3</v>
      </c>
      <c r="EK96" s="1">
        <v>5.4914462670305657E-3</v>
      </c>
      <c r="EL96" s="1">
        <v>-2.5634931987810507E-3</v>
      </c>
      <c r="EM96" s="1">
        <v>2.1202338381808711E-4</v>
      </c>
      <c r="EN96" s="1">
        <v>-2.0662072356918016E-3</v>
      </c>
      <c r="EO96" s="1">
        <v>6.7728490053459607E-3</v>
      </c>
      <c r="EP96" s="1">
        <v>-7.1913745631100624E-4</v>
      </c>
      <c r="EQ96" s="1">
        <v>1.1252182861590399E-3</v>
      </c>
      <c r="ER96" s="1">
        <v>-3.6889555812470373E-4</v>
      </c>
      <c r="ES96" s="1">
        <v>1.0343279896364872E-3</v>
      </c>
      <c r="ET96" s="1">
        <v>9.1476313520667124E-4</v>
      </c>
      <c r="EU96" s="1">
        <v>6.0341773783810972E-3</v>
      </c>
      <c r="EV96" s="10">
        <v>6.5062400860131974E-3</v>
      </c>
    </row>
    <row r="97" spans="1:152" x14ac:dyDescent="0.25">
      <c r="A97" s="21">
        <f t="shared" ca="1" si="1"/>
        <v>3.521973703370565E-2</v>
      </c>
      <c r="B97" s="5">
        <v>96</v>
      </c>
      <c r="C97" s="9">
        <v>2.8471949262562773E-3</v>
      </c>
      <c r="D97" s="1">
        <v>-1.1493860825580557E-2</v>
      </c>
      <c r="E97" s="1">
        <v>-2.1755080932098075E-3</v>
      </c>
      <c r="F97" s="1">
        <v>-4.2761627225123E-3</v>
      </c>
      <c r="G97" s="1">
        <v>7.506371292441652E-3</v>
      </c>
      <c r="H97" s="1">
        <v>5.5022874240145403E-3</v>
      </c>
      <c r="I97" s="1">
        <v>2.3501903267729024E-3</v>
      </c>
      <c r="J97" s="1">
        <v>7.4654029695375712E-4</v>
      </c>
      <c r="K97" s="1">
        <v>-8.4774719811173405E-3</v>
      </c>
      <c r="L97" s="1">
        <v>-4.600551883890025E-3</v>
      </c>
      <c r="M97" s="1">
        <v>5.769243316419842E-3</v>
      </c>
      <c r="N97" s="1">
        <v>3.3050620338366254E-3</v>
      </c>
      <c r="O97" s="1">
        <v>-6.7012065131925314E-3</v>
      </c>
      <c r="P97" s="1">
        <v>-3.0490217098534667E-4</v>
      </c>
      <c r="Q97" s="1">
        <v>1.0791946335885941E-2</v>
      </c>
      <c r="R97" s="1">
        <v>1.8564082307409968E-2</v>
      </c>
      <c r="S97" s="1">
        <v>5.5022874240145403E-3</v>
      </c>
      <c r="T97" s="1">
        <v>-6.6619851769031402E-4</v>
      </c>
      <c r="U97" s="1">
        <v>1.7979827648928887E-3</v>
      </c>
      <c r="V97" s="1">
        <v>9.4735479755415075E-3</v>
      </c>
      <c r="W97" s="1">
        <v>-4.3705031768119934E-3</v>
      </c>
      <c r="X97" s="1">
        <v>2.5802390338509756E-3</v>
      </c>
      <c r="Y97" s="1">
        <v>1.2623414766207403E-2</v>
      </c>
      <c r="Z97" s="1">
        <v>-1.4452816401071392E-2</v>
      </c>
      <c r="AA97" s="1">
        <v>3.3050620338366254E-3</v>
      </c>
      <c r="AB97" s="1">
        <v>-1.2773121694021991E-2</v>
      </c>
      <c r="AC97" s="1">
        <v>-6.2802465909394256E-3</v>
      </c>
      <c r="AD97" s="1">
        <v>1.5679340578148432E-3</v>
      </c>
      <c r="AE97" s="1">
        <v>-1.8119814399291112E-3</v>
      </c>
      <c r="AF97" s="1">
        <v>-2.1755080932098075E-3</v>
      </c>
      <c r="AG97" s="1">
        <v>-6.8346844593951822E-3</v>
      </c>
      <c r="AH97" s="1">
        <v>-1.1397290064705176E-2</v>
      </c>
      <c r="AI97" s="1">
        <v>2.5360820488225064E-2</v>
      </c>
      <c r="AJ97" s="1">
        <v>2.1389559936698138E-2</v>
      </c>
      <c r="AK97" s="1">
        <v>-8.1139453278366164E-3</v>
      </c>
      <c r="AL97" s="1">
        <v>-6.01329069853411E-3</v>
      </c>
      <c r="AM97" s="1">
        <v>-2.2698485475094593E-3</v>
      </c>
      <c r="AN97" s="1">
        <v>1.2299025604829678E-2</v>
      </c>
      <c r="AO97" s="1">
        <v>-5.0975564833733861E-3</v>
      </c>
      <c r="AP97" s="1">
        <v>-5.3272057148767704E-4</v>
      </c>
      <c r="AQ97" s="1">
        <v>6.1306235075112014E-4</v>
      </c>
      <c r="AR97" s="1">
        <v>-3.3549619279969009E-2</v>
      </c>
      <c r="AS97" s="1">
        <v>1.662274512114495E-3</v>
      </c>
      <c r="AT97" s="1">
        <v>-9.927117981088654E-3</v>
      </c>
      <c r="AU97" s="1">
        <v>5.9601545315949161E-3</v>
      </c>
      <c r="AV97" s="1">
        <v>-1.3727993401085714E-2</v>
      </c>
      <c r="AW97" s="1">
        <v>1.2986941419488099E-2</v>
      </c>
      <c r="AX97" s="1">
        <v>-8.962472247683595E-4</v>
      </c>
      <c r="AY97" s="1">
        <v>7.04850418486129E-3</v>
      </c>
      <c r="AZ97" s="1">
        <v>-2.6333752007901834E-3</v>
      </c>
      <c r="BA97" s="1">
        <v>1.8322389851561705E-2</v>
      </c>
      <c r="BB97" s="1">
        <v>2.2484561618263718E-2</v>
      </c>
      <c r="BC97" s="1">
        <v>1.2708341778312593E-2</v>
      </c>
      <c r="BD97" s="1">
        <v>1.0605456842434344E-2</v>
      </c>
      <c r="BE97" s="1">
        <v>7.685638758846508E-3</v>
      </c>
      <c r="BF97" s="1">
        <v>2.4946512594271164E-2</v>
      </c>
      <c r="BG97" s="1">
        <v>2.3630344540502488E-2</v>
      </c>
      <c r="BH97" s="1">
        <v>3.2201117882666663E-2</v>
      </c>
      <c r="BI97" s="1">
        <v>1.6813080276042197E-2</v>
      </c>
      <c r="BJ97" s="1">
        <v>2.4449507994787831E-2</v>
      </c>
      <c r="BK97" s="1">
        <v>1.7402195023249467E-2</v>
      </c>
      <c r="BL97" s="1">
        <v>2.2121034964983008E-2</v>
      </c>
      <c r="BM97" s="1">
        <v>1.1369417334323006E-2</v>
      </c>
      <c r="BN97" s="1">
        <v>1.969599117430279E-2</v>
      </c>
      <c r="BO97" s="1">
        <v>2.9605688960456553E-2</v>
      </c>
      <c r="BP97" s="1">
        <v>1.8780256959142066E-2</v>
      </c>
      <c r="BQ97" s="1">
        <v>2.5958817570307324E-2</v>
      </c>
      <c r="BR97" s="1">
        <v>3.0827516559925591E-2</v>
      </c>
      <c r="BS97" s="1">
        <v>-8.7560716222928187E-3</v>
      </c>
      <c r="BT97" s="1">
        <v>2.3112813857373973E-2</v>
      </c>
      <c r="BU97" s="1">
        <v>1.8340685628631115E-2</v>
      </c>
      <c r="BV97" s="1">
        <v>1.9829469120505441E-2</v>
      </c>
      <c r="BW97" s="1">
        <v>1.0441400249755484E-4</v>
      </c>
      <c r="BX97" s="1">
        <v>2.3342862564452033E-2</v>
      </c>
      <c r="BY97" s="1">
        <v>1.9371602012925065E-2</v>
      </c>
      <c r="BZ97" s="1">
        <v>1.667960232983956E-2</v>
      </c>
      <c r="CA97" s="1">
        <v>7.3612495974687969E-3</v>
      </c>
      <c r="CB97" s="1">
        <v>4.8601611295583519E-3</v>
      </c>
      <c r="CC97" s="1">
        <v>1.7461858598797619E-2</v>
      </c>
      <c r="CD97" s="1">
        <v>2.8726861930623071E-2</v>
      </c>
      <c r="CE97" s="1">
        <v>2.1012159228071467E-2</v>
      </c>
      <c r="CF97" s="1">
        <v>2.4525552672018058E-2</v>
      </c>
      <c r="CG97" s="1">
        <v>2.3800729672032409E-2</v>
      </c>
      <c r="CH97" s="1">
        <v>7.1886341593631609E-3</v>
      </c>
      <c r="CI97" s="1">
        <v>2.8517339307190179E-2</v>
      </c>
      <c r="CJ97" s="1">
        <v>3.0848042643570731E-2</v>
      </c>
      <c r="CK97" s="1">
        <v>1.5266863515195475E-2</v>
      </c>
      <c r="CL97" s="1">
        <v>3.7136989490285655E-4</v>
      </c>
      <c r="CM97" s="1">
        <v>3.2985604458200507E-2</v>
      </c>
      <c r="CN97" s="1">
        <v>1.7365287837922225E-2</v>
      </c>
      <c r="CO97" s="1">
        <v>2.425859677961277E-2</v>
      </c>
      <c r="CP97" s="1">
        <v>2.3075906672046745E-2</v>
      </c>
      <c r="CQ97" s="1">
        <v>2.0420814174288468E-2</v>
      </c>
      <c r="CR97" s="1">
        <v>2.7541941516481289E-2</v>
      </c>
      <c r="CS97" s="1">
        <v>2.2845857964968685E-2</v>
      </c>
      <c r="CT97" s="1">
        <v>3.521973703370565E-2</v>
      </c>
      <c r="CU97" s="1">
        <v>2.8326428092015105E-2</v>
      </c>
      <c r="CV97" s="1">
        <v>2.1930123749807934E-2</v>
      </c>
      <c r="CW97" s="1">
        <v>2.9509118199581144E-2</v>
      </c>
      <c r="CX97" s="1">
        <v>2.4946512594271164E-2</v>
      </c>
      <c r="CY97" s="1">
        <v>-1.9506891005501015E-3</v>
      </c>
      <c r="CZ97" s="1">
        <v>5.2464829188730022E-3</v>
      </c>
      <c r="DA97" s="1">
        <v>-8.270948765527017E-3</v>
      </c>
      <c r="DB97" s="1">
        <v>9.123403016100276E-3</v>
      </c>
      <c r="DC97" s="1">
        <v>-4.1087769988250034E-3</v>
      </c>
      <c r="DD97" s="1">
        <v>-1.4667253107734188E-2</v>
      </c>
      <c r="DE97" s="1">
        <v>1.7026786627251198E-2</v>
      </c>
      <c r="DF97" s="1">
        <v>-3.6692056683140656E-3</v>
      </c>
      <c r="DG97" s="1">
        <v>-9.5133024486412227E-3</v>
      </c>
      <c r="DH97" s="1">
        <v>-3.3242904232911874E-3</v>
      </c>
      <c r="DI97" s="1">
        <v>9.6778408845560604E-3</v>
      </c>
      <c r="DJ97" s="1">
        <v>-2.4290822917756166E-3</v>
      </c>
      <c r="DK97" s="1">
        <v>-4.4331661602027145E-3</v>
      </c>
      <c r="DL97" s="1">
        <v>-3.7474806521200638E-3</v>
      </c>
      <c r="DM97" s="1">
        <v>-8.940568803116028E-3</v>
      </c>
      <c r="DN97" s="1">
        <v>4.1692142115772046E-4</v>
      </c>
      <c r="DO97" s="1">
        <v>9.9447967769613621E-3</v>
      </c>
      <c r="DP97" s="1">
        <v>7.5794165618292969E-3</v>
      </c>
      <c r="DQ97" s="1">
        <v>-3.6492962855044581E-2</v>
      </c>
      <c r="DR97" s="1">
        <v>-1.5804253094321707E-4</v>
      </c>
      <c r="DS97" s="1">
        <v>-5.9793829210494642E-3</v>
      </c>
      <c r="DT97" s="1">
        <v>7.6715267095532058E-3</v>
      </c>
      <c r="DU97" s="1">
        <v>-1.9192951527716939E-2</v>
      </c>
      <c r="DV97" s="1">
        <v>2.3635720206124089E-3</v>
      </c>
      <c r="DW97" s="1">
        <v>6.9858412014705273E-3</v>
      </c>
      <c r="DX97" s="1">
        <v>7.7498016933591901E-3</v>
      </c>
      <c r="DY97" s="1">
        <v>7.0227483867977697E-3</v>
      </c>
      <c r="DZ97" s="1">
        <v>1.5061840250727113E-2</v>
      </c>
      <c r="EA97" s="1">
        <v>-6.0759536819248727E-3</v>
      </c>
      <c r="EB97" s="1">
        <v>8.0167575857644918E-3</v>
      </c>
      <c r="EC97" s="1">
        <v>-1.1841775478446045E-2</v>
      </c>
      <c r="ED97" s="1">
        <v>1.2047681712839611E-2</v>
      </c>
      <c r="EE97" s="1">
        <v>-9.5893471258714641E-3</v>
      </c>
      <c r="EF97" s="1">
        <v>1.628366785019611E-2</v>
      </c>
      <c r="EG97" s="1">
        <v>1.5595752035537716E-2</v>
      </c>
      <c r="EH97" s="1">
        <v>-2.2973300864068819E-2</v>
      </c>
      <c r="EI97" s="1">
        <v>4.9426198411404304E-3</v>
      </c>
      <c r="EJ97" s="1">
        <v>1.4603973143146737E-2</v>
      </c>
      <c r="EK97" s="1">
        <v>1.6341101119168533E-2</v>
      </c>
      <c r="EL97" s="1">
        <v>-2.332511530900222E-3</v>
      </c>
      <c r="EM97" s="1">
        <v>-1.0314170125857114E-2</v>
      </c>
      <c r="EN97" s="1">
        <v>-9.3592984187934047E-3</v>
      </c>
      <c r="EO97" s="1">
        <v>5.2464829188730022E-3</v>
      </c>
      <c r="EP97" s="1">
        <v>-4.7001220526080162E-3</v>
      </c>
      <c r="EQ97" s="1">
        <v>-7.0677325743158381E-3</v>
      </c>
      <c r="ER97" s="1">
        <v>-1.0180692179654463E-2</v>
      </c>
      <c r="ES97" s="1">
        <v>-7.9096524188220774E-3</v>
      </c>
      <c r="ET97" s="1">
        <v>2.9180098890681794E-3</v>
      </c>
      <c r="EU97" s="1">
        <v>9.7352741535284559E-3</v>
      </c>
      <c r="EV97" s="10">
        <v>1.7620361987609967E-2</v>
      </c>
    </row>
    <row r="98" spans="1:152" x14ac:dyDescent="0.25">
      <c r="A98" s="21">
        <f t="shared" ca="1" si="1"/>
        <v>2.5498264634652899E-2</v>
      </c>
      <c r="B98" s="5">
        <v>97</v>
      </c>
      <c r="C98" s="9">
        <v>7.1720866761886687E-4</v>
      </c>
      <c r="D98" s="1">
        <v>-6.7027865506871093E-3</v>
      </c>
      <c r="E98" s="1">
        <v>-4.8737032037961953E-4</v>
      </c>
      <c r="F98" s="1">
        <v>-1.2754940476868634E-3</v>
      </c>
      <c r="G98" s="1">
        <v>3.8249167827726152E-3</v>
      </c>
      <c r="H98" s="1">
        <v>3.269000698507607E-3</v>
      </c>
      <c r="I98" s="1">
        <v>3.6880061798728672E-3</v>
      </c>
      <c r="J98" s="1">
        <v>-7.0915059688377025E-5</v>
      </c>
      <c r="K98" s="1">
        <v>-2.8517415023013651E-3</v>
      </c>
      <c r="L98" s="1">
        <v>-3.8746230933248693E-3</v>
      </c>
      <c r="M98" s="1">
        <v>1.1336639283101094E-3</v>
      </c>
      <c r="N98" s="1">
        <v>2.2486693281581205E-3</v>
      </c>
      <c r="O98" s="1">
        <v>-4.6627468206321132E-3</v>
      </c>
      <c r="P98" s="1">
        <v>1.136214148984134E-3</v>
      </c>
      <c r="Q98" s="1">
        <v>2.3382429163085958E-3</v>
      </c>
      <c r="R98" s="1">
        <v>9.5292037228903309E-3</v>
      </c>
      <c r="S98" s="1">
        <v>3.269000698507607E-3</v>
      </c>
      <c r="T98" s="1">
        <v>-1.6303886851288391E-4</v>
      </c>
      <c r="U98" s="1">
        <v>-1.278044268360902E-3</v>
      </c>
      <c r="V98" s="1">
        <v>5.6807088951785975E-3</v>
      </c>
      <c r="W98" s="1">
        <v>-4.710083835381372E-3</v>
      </c>
      <c r="X98" s="1">
        <v>2.8525454378163645E-3</v>
      </c>
      <c r="Y98" s="1">
        <v>8.4640855584656102E-3</v>
      </c>
      <c r="Z98" s="1">
        <v>-5.8193657832373707E-3</v>
      </c>
      <c r="AA98" s="1">
        <v>2.2486693281581205E-3</v>
      </c>
      <c r="AB98" s="1">
        <v>-7.8625787446103546E-3</v>
      </c>
      <c r="AC98" s="1">
        <v>-1.8314101319518716E-3</v>
      </c>
      <c r="AD98" s="1">
        <v>-4.4258352630439229E-4</v>
      </c>
      <c r="AE98" s="1">
        <v>-2.3904994475348815E-3</v>
      </c>
      <c r="AF98" s="1">
        <v>-4.8737032037961953E-4</v>
      </c>
      <c r="AG98" s="1">
        <v>-3.5950784355333609E-3</v>
      </c>
      <c r="AH98" s="1">
        <v>-6.4705789076448667E-3</v>
      </c>
      <c r="AI98" s="1">
        <v>1.2125159537210314E-2</v>
      </c>
      <c r="AJ98" s="1">
        <v>9.7134513405393377E-3</v>
      </c>
      <c r="AK98" s="1">
        <v>-4.7548706294566132E-3</v>
      </c>
      <c r="AL98" s="1">
        <v>-3.9667469021493623E-3</v>
      </c>
      <c r="AM98" s="1">
        <v>-3.9219601080741281E-3</v>
      </c>
      <c r="AN98" s="1">
        <v>5.8649565128276043E-3</v>
      </c>
      <c r="AO98" s="1">
        <v>-9.0382558107086897E-4</v>
      </c>
      <c r="AP98" s="1">
        <v>-1.2307072536116223E-3</v>
      </c>
      <c r="AQ98" s="1">
        <v>9.9675332541036138E-4</v>
      </c>
      <c r="AR98" s="1">
        <v>-1.6579276759739324E-2</v>
      </c>
      <c r="AS98" s="1">
        <v>2.9920062613901233E-3</v>
      </c>
      <c r="AT98" s="1">
        <v>-1.643989282984884E-3</v>
      </c>
      <c r="AU98" s="1">
        <v>4.8004613590468537E-3</v>
      </c>
      <c r="AV98" s="1">
        <v>-6.4232418928956078E-3</v>
      </c>
      <c r="AW98" s="1">
        <v>6.5609564313103483E-3</v>
      </c>
      <c r="AX98" s="1">
        <v>6.724218735436327E-4</v>
      </c>
      <c r="AY98" s="1">
        <v>2.2934561222333547E-3</v>
      </c>
      <c r="AZ98" s="1">
        <v>-2.0188309809188801E-3</v>
      </c>
      <c r="BA98" s="1">
        <v>1.5384466341210412E-2</v>
      </c>
      <c r="BB98" s="1">
        <v>2.1462971968618148E-2</v>
      </c>
      <c r="BC98" s="1">
        <v>1.3716095077771412E-2</v>
      </c>
      <c r="BD98" s="1">
        <v>1.6130353495116441E-2</v>
      </c>
      <c r="BE98" s="1">
        <v>1.2511516089772919E-2</v>
      </c>
      <c r="BF98" s="1">
        <v>2.3550348713422403E-2</v>
      </c>
      <c r="BG98" s="1">
        <v>2.3690432547640139E-2</v>
      </c>
      <c r="BH98" s="1">
        <v>2.7677765188281668E-2</v>
      </c>
      <c r="BI98" s="1">
        <v>1.5060134889343666E-2</v>
      </c>
      <c r="BJ98" s="1">
        <v>2.6521146225676411E-2</v>
      </c>
      <c r="BK98" s="1">
        <v>1.8726309309436445E-2</v>
      </c>
      <c r="BL98" s="1">
        <v>2.3366101095773396E-2</v>
      </c>
      <c r="BM98" s="1">
        <v>1.1024219212664943E-2</v>
      </c>
      <c r="BN98" s="1">
        <v>1.997884832282816E-2</v>
      </c>
      <c r="BO98" s="1">
        <v>2.6658056828576158E-2</v>
      </c>
      <c r="BP98" s="1">
        <v>1.6915927001749653E-2</v>
      </c>
      <c r="BQ98" s="1">
        <v>2.684547767754316E-2</v>
      </c>
      <c r="BR98" s="1">
        <v>2.3083383206663914E-2</v>
      </c>
      <c r="BS98" s="1">
        <v>4.3033971441597124E-3</v>
      </c>
      <c r="BT98" s="1">
        <v>2.0626888215917683E-2</v>
      </c>
      <c r="BU98" s="1">
        <v>2.4621190329839143E-2</v>
      </c>
      <c r="BV98" s="1">
        <v>1.8911179937729408E-2</v>
      </c>
      <c r="BW98" s="1">
        <v>8.9873527139279485E-3</v>
      </c>
      <c r="BX98" s="1">
        <v>1.9791427473861159E-2</v>
      </c>
      <c r="BY98" s="1">
        <v>1.7379719277190155E-2</v>
      </c>
      <c r="BZ98" s="1">
        <v>1.6127803274442416E-2</v>
      </c>
      <c r="CA98" s="1">
        <v>9.9123870441349179E-3</v>
      </c>
      <c r="CB98" s="1">
        <v>1.232726847212391E-2</v>
      </c>
      <c r="CC98" s="1">
        <v>2.0258392980619655E-2</v>
      </c>
      <c r="CD98" s="1">
        <v>2.2295259479356663E-2</v>
      </c>
      <c r="CE98" s="1">
        <v>1.9838764488610432E-2</v>
      </c>
      <c r="CF98" s="1">
        <v>2.0719012024742182E-2</v>
      </c>
      <c r="CG98" s="1">
        <v>2.132288813440042E-2</v>
      </c>
      <c r="CH98" s="1">
        <v>1.5482313602026921E-2</v>
      </c>
      <c r="CI98" s="1">
        <v>2.9165062065389651E-2</v>
      </c>
      <c r="CJ98" s="1">
        <v>2.9117725050640378E-2</v>
      </c>
      <c r="CK98" s="1">
        <v>1.6035679465617902E-2</v>
      </c>
      <c r="CL98" s="1">
        <v>6.8520159437304527E-3</v>
      </c>
      <c r="CM98" s="1">
        <v>2.8605972749806655E-2</v>
      </c>
      <c r="CN98" s="1">
        <v>2.0026185337577433E-2</v>
      </c>
      <c r="CO98" s="1">
        <v>2.2854348794939673E-2</v>
      </c>
      <c r="CP98" s="1">
        <v>2.1926764244058657E-2</v>
      </c>
      <c r="CQ98" s="1">
        <v>1.9374972213169923E-2</v>
      </c>
      <c r="CR98" s="1">
        <v>2.4570057073127927E-2</v>
      </c>
      <c r="CS98" s="1">
        <v>2.2762224986115173E-2</v>
      </c>
      <c r="CT98" s="1">
        <v>2.8326428092015146E-2</v>
      </c>
      <c r="CU98" s="1">
        <v>2.5498264634652899E-2</v>
      </c>
      <c r="CV98" s="1">
        <v>1.9699303665036659E-2</v>
      </c>
      <c r="CW98" s="1">
        <v>2.6425849185533923E-2</v>
      </c>
      <c r="CX98" s="1">
        <v>2.3550348713422403E-2</v>
      </c>
      <c r="CY98" s="1">
        <v>5.5180341004460176E-3</v>
      </c>
      <c r="CZ98" s="1">
        <v>4.9109847594697893E-3</v>
      </c>
      <c r="DA98" s="1">
        <v>-6.0830610701044542E-3</v>
      </c>
      <c r="DB98" s="1">
        <v>3.8881031684462816E-3</v>
      </c>
      <c r="DC98" s="1">
        <v>-4.5554426967193973E-6</v>
      </c>
      <c r="DD98" s="1">
        <v>-1.1882022039720708E-2</v>
      </c>
      <c r="DE98" s="1">
        <v>1.3213777734581536E-2</v>
      </c>
      <c r="DF98" s="1">
        <v>-7.7098187707862129E-3</v>
      </c>
      <c r="DG98" s="1">
        <v>-8.5427292921686979E-3</v>
      </c>
      <c r="DH98" s="1">
        <v>9.236521188282637E-4</v>
      </c>
      <c r="DI98" s="1">
        <v>5.6517714720277709E-3</v>
      </c>
      <c r="DJ98" s="1">
        <v>-2.0477684040697101E-3</v>
      </c>
      <c r="DK98" s="1">
        <v>-2.6036844883347184E-3</v>
      </c>
      <c r="DL98" s="1">
        <v>1.294697574800302E-3</v>
      </c>
      <c r="DM98" s="1">
        <v>2.4576630000415385E-3</v>
      </c>
      <c r="DN98" s="1">
        <v>4.1708210575557743E-3</v>
      </c>
      <c r="DO98" s="1">
        <v>3.5164347018302733E-3</v>
      </c>
      <c r="DP98" s="1">
        <v>1.6612656000682437E-3</v>
      </c>
      <c r="DQ98" s="1">
        <v>-2.2593972990829426E-2</v>
      </c>
      <c r="DR98" s="1">
        <v>-3.6271890900021891E-3</v>
      </c>
      <c r="DS98" s="1">
        <v>-1.628139912060466E-3</v>
      </c>
      <c r="DT98" s="1">
        <v>8.2982375324150356E-3</v>
      </c>
      <c r="DU98" s="1">
        <v>-1.6057398539973199E-2</v>
      </c>
      <c r="DV98" s="1">
        <v>-7.7286740147036737E-6</v>
      </c>
      <c r="DW98" s="1">
        <v>4.3998554692800014E-3</v>
      </c>
      <c r="DX98" s="1">
        <v>-7.0627881317147923E-4</v>
      </c>
      <c r="DY98" s="1">
        <v>3.0999794411390308E-3</v>
      </c>
      <c r="DZ98" s="1">
        <v>8.1556034775232683E-3</v>
      </c>
      <c r="EA98" s="1">
        <v>-1.8603475551027156E-3</v>
      </c>
      <c r="EB98" s="1">
        <v>-2.8416155833689751E-3</v>
      </c>
      <c r="EC98" s="1">
        <v>-1.1697774422071715E-2</v>
      </c>
      <c r="ED98" s="1">
        <v>1.1021762844852373E-3</v>
      </c>
      <c r="EE98" s="1">
        <v>-2.7405950912344663E-3</v>
      </c>
      <c r="EF98" s="1">
        <v>4.5809298556110309E-3</v>
      </c>
      <c r="EG98" s="1">
        <v>3.8849299371282852E-3</v>
      </c>
      <c r="EH98" s="1">
        <v>-1.4802309305907448E-2</v>
      </c>
      <c r="EI98" s="1">
        <v>8.346197557808268E-3</v>
      </c>
      <c r="EJ98" s="1">
        <v>6.6241428169840147E-3</v>
      </c>
      <c r="EK98" s="1">
        <v>9.3153956714465136E-3</v>
      </c>
      <c r="EL98" s="1">
        <v>-1.8155607610274675E-3</v>
      </c>
      <c r="EM98" s="1">
        <v>-2.1367189815762223E-3</v>
      </c>
      <c r="EN98" s="1">
        <v>-3.5760558332909621E-3</v>
      </c>
      <c r="EO98" s="1">
        <v>4.9109847594697893E-3</v>
      </c>
      <c r="EP98" s="1">
        <v>-4.6834771813722073E-4</v>
      </c>
      <c r="EQ98" s="1">
        <v>8.7886532475300871E-4</v>
      </c>
      <c r="ER98" s="1">
        <v>-3.2043873666749677E-3</v>
      </c>
      <c r="ES98" s="1">
        <v>-4.7838080526074363E-3</v>
      </c>
      <c r="ET98" s="1">
        <v>1.7559396295667787E-3</v>
      </c>
      <c r="EU98" s="1">
        <v>1.0386237287863264E-2</v>
      </c>
      <c r="EV98" s="10">
        <v>1.0475187865369759E-2</v>
      </c>
    </row>
    <row r="99" spans="1:152" x14ac:dyDescent="0.25">
      <c r="A99" s="21">
        <f t="shared" ca="1" si="1"/>
        <v>2.3043842552880431E-2</v>
      </c>
      <c r="B99" s="5">
        <v>98</v>
      </c>
      <c r="C99" s="9">
        <v>1.8294287494241626E-3</v>
      </c>
      <c r="D99" s="1">
        <v>-2.8637367963780767E-3</v>
      </c>
      <c r="E99" s="1">
        <v>-2.8594123552497137E-3</v>
      </c>
      <c r="F99" s="1">
        <v>-4.1993901309514275E-3</v>
      </c>
      <c r="G99" s="1">
        <v>1.8315909699883511E-3</v>
      </c>
      <c r="H99" s="1">
        <v>3.4009319013854691E-3</v>
      </c>
      <c r="I99" s="1">
        <v>-3.7459302231909776E-3</v>
      </c>
      <c r="J99" s="1">
        <v>4.8945097372246268E-4</v>
      </c>
      <c r="K99" s="1">
        <v>-6.8793456823548378E-3</v>
      </c>
      <c r="L99" s="1">
        <v>-6.3291671160675342E-4</v>
      </c>
      <c r="M99" s="1">
        <v>5.178292078396346E-3</v>
      </c>
      <c r="N99" s="1">
        <v>-8.4836458141506962E-4</v>
      </c>
      <c r="O99" s="1">
        <v>-1.9728944873084672E-3</v>
      </c>
      <c r="P99" s="1">
        <v>-5.3174333751522789E-3</v>
      </c>
      <c r="Q99" s="1">
        <v>9.8671331830702293E-3</v>
      </c>
      <c r="R99" s="1">
        <v>8.7630052247564885E-3</v>
      </c>
      <c r="S99" s="1">
        <v>3.4009319013854691E-3</v>
      </c>
      <c r="T99" s="1">
        <v>2.6967866278578001E-4</v>
      </c>
      <c r="U99" s="1">
        <v>6.2963353225971956E-3</v>
      </c>
      <c r="V99" s="1">
        <v>2.2828886571846126E-3</v>
      </c>
      <c r="W99" s="1">
        <v>3.1650820839975134E-3</v>
      </c>
      <c r="X99" s="1">
        <v>5.2068572413285774E-5</v>
      </c>
      <c r="Y99" s="1">
        <v>-8.4404014028670662E-4</v>
      </c>
      <c r="Z99" s="1">
        <v>-4.1919615067568701E-3</v>
      </c>
      <c r="AA99" s="1">
        <v>-8.4836458141506962E-4</v>
      </c>
      <c r="AB99" s="1">
        <v>-2.1948290188093141E-3</v>
      </c>
      <c r="AC99" s="1">
        <v>-2.6300491995542991E-3</v>
      </c>
      <c r="AD99" s="1">
        <v>2.4983365269929322E-3</v>
      </c>
      <c r="AE99" s="1">
        <v>1.8272665288599881E-3</v>
      </c>
      <c r="AF99" s="1">
        <v>-2.8594123552497137E-3</v>
      </c>
      <c r="AG99" s="1">
        <v>-2.8615745758139022E-3</v>
      </c>
      <c r="AH99" s="1">
        <v>4.5581910720751684E-5</v>
      </c>
      <c r="AI99" s="1">
        <v>8.084506602428973E-3</v>
      </c>
      <c r="AJ99" s="1">
        <v>9.2025498466298296E-3</v>
      </c>
      <c r="AK99" s="1">
        <v>-2.1926667982451326E-3</v>
      </c>
      <c r="AL99" s="1">
        <v>-8.5268902254342568E-4</v>
      </c>
      <c r="AM99" s="1">
        <v>4.5050598596992203E-3</v>
      </c>
      <c r="AN99" s="1">
        <v>2.7224332790579675E-3</v>
      </c>
      <c r="AO99" s="1">
        <v>-6.2082756842218936E-3</v>
      </c>
      <c r="AP99" s="1">
        <v>1.1583587512912184E-3</v>
      </c>
      <c r="AQ99" s="1">
        <v>-3.9922911478297574E-4</v>
      </c>
      <c r="AR99" s="1">
        <v>-1.1796607980222123E-2</v>
      </c>
      <c r="AS99" s="1">
        <v>-4.8661356879560053E-3</v>
      </c>
      <c r="AT99" s="1">
        <v>-5.0784793746981183E-3</v>
      </c>
      <c r="AU99" s="1">
        <v>7.2313857054623343E-4</v>
      </c>
      <c r="AV99" s="1">
        <v>-5.092394660585229E-3</v>
      </c>
      <c r="AW99" s="1">
        <v>3.8426387438229952E-3</v>
      </c>
      <c r="AX99" s="1">
        <v>-3.5283201328184834E-3</v>
      </c>
      <c r="AY99" s="1">
        <v>4.5093843008275833E-3</v>
      </c>
      <c r="AZ99" s="1">
        <v>-1.816190244104815E-4</v>
      </c>
      <c r="BA99" s="1">
        <v>2.8848564681190986E-2</v>
      </c>
      <c r="BB99" s="1">
        <v>2.3275367929140027E-2</v>
      </c>
      <c r="BC99" s="1">
        <v>2.5948836818850907E-2</v>
      </c>
      <c r="BD99" s="1">
        <v>1.4335068121101417E-2</v>
      </c>
      <c r="BE99" s="1">
        <v>2.1259995714177013E-2</v>
      </c>
      <c r="BF99" s="1">
        <v>1.9028233666903666E-2</v>
      </c>
      <c r="BG99" s="1">
        <v>2.1717780063065829E-2</v>
      </c>
      <c r="BH99" s="1">
        <v>1.5671941713736932E-2</v>
      </c>
      <c r="BI99" s="1">
        <v>2.5719473663155482E-2</v>
      </c>
      <c r="BJ99" s="1">
        <v>1.345287469428853E-2</v>
      </c>
      <c r="BK99" s="1">
        <v>1.3656569498773918E-2</v>
      </c>
      <c r="BL99" s="1">
        <v>1.8588689045030325E-2</v>
      </c>
      <c r="BM99" s="1">
        <v>2.1687787270727434E-2</v>
      </c>
      <c r="BN99" s="1">
        <v>2.0815184688673282E-2</v>
      </c>
      <c r="BO99" s="1">
        <v>1.9030395887467848E-2</v>
      </c>
      <c r="BP99" s="1">
        <v>2.617077135035175E-2</v>
      </c>
      <c r="BQ99" s="1">
        <v>1.658196571232403E-2</v>
      </c>
      <c r="BR99" s="1">
        <v>2.3705321706254629E-2</v>
      </c>
      <c r="BS99" s="1">
        <v>1.522685239267306E-2</v>
      </c>
      <c r="BT99" s="1">
        <v>1.9465616068212833E-2</v>
      </c>
      <c r="BU99" s="1">
        <v>1.5251578781381069E-2</v>
      </c>
      <c r="BV99" s="1">
        <v>2.1703864777178717E-2</v>
      </c>
      <c r="BW99" s="1">
        <v>1.7908970164640655E-2</v>
      </c>
      <c r="BX99" s="1">
        <v>2.32636148638171E-2</v>
      </c>
      <c r="BY99" s="1">
        <v>2.4381658108017956E-2</v>
      </c>
      <c r="BZ99" s="1">
        <v>2.4830793574650047E-2</v>
      </c>
      <c r="CA99" s="1">
        <v>2.4826469133521684E-2</v>
      </c>
      <c r="CB99" s="1">
        <v>2.0820451092303665E-2</v>
      </c>
      <c r="CC99" s="1">
        <v>1.8586526824466137E-2</v>
      </c>
      <c r="CD99" s="1">
        <v>2.2365343930552922E-2</v>
      </c>
      <c r="CE99" s="1">
        <v>1.8125638292511126E-2</v>
      </c>
      <c r="CF99" s="1">
        <v>1.9685388379149509E-2</v>
      </c>
      <c r="CG99" s="1">
        <v>2.0585821532977867E-2</v>
      </c>
      <c r="CH99" s="1">
        <v>1.5684636741561866E-2</v>
      </c>
      <c r="CI99" s="1">
        <v>1.5244150157186505E-2</v>
      </c>
      <c r="CJ99" s="1">
        <v>2.0382126728492475E-2</v>
      </c>
      <c r="CK99" s="1">
        <v>2.4611021263713367E-2</v>
      </c>
      <c r="CL99" s="1">
        <v>1.9686330341651525E-2</v>
      </c>
      <c r="CM99" s="1">
        <v>1.9701465885600792E-2</v>
      </c>
      <c r="CN99" s="1">
        <v>1.5677208117367308E-2</v>
      </c>
      <c r="CO99" s="1">
        <v>1.7908028202138635E-2</v>
      </c>
      <c r="CP99" s="1">
        <v>2.1486254686806226E-2</v>
      </c>
      <c r="CQ99" s="1">
        <v>1.9914751534844923E-2</v>
      </c>
      <c r="CR99" s="1">
        <v>1.5669779493172747E-2</v>
      </c>
      <c r="CS99" s="1">
        <v>1.7688255891201959E-2</v>
      </c>
      <c r="CT99" s="1">
        <v>2.1930123749807937E-2</v>
      </c>
      <c r="CU99" s="1">
        <v>1.969930366503661E-2</v>
      </c>
      <c r="CV99" s="1">
        <v>2.3043842552880431E-2</v>
      </c>
      <c r="CW99" s="1">
        <v>1.6121077180369012E-2</v>
      </c>
      <c r="CX99" s="1">
        <v>1.9028233666903666E-2</v>
      </c>
      <c r="CY99" s="1">
        <v>-7.1319816161504734E-3</v>
      </c>
      <c r="CZ99" s="1">
        <v>-5.1444399729616737E-3</v>
      </c>
      <c r="DA99" s="1">
        <v>2.4450709565543155E-3</v>
      </c>
      <c r="DB99" s="1">
        <v>1.1019889977864142E-3</v>
      </c>
      <c r="DC99" s="1">
        <v>-3.1281257954966432E-3</v>
      </c>
      <c r="DD99" s="1">
        <v>5.7896098443981289E-3</v>
      </c>
      <c r="DE99" s="1">
        <v>-9.3872497940696645E-3</v>
      </c>
      <c r="DF99" s="1">
        <v>7.7910667734740445E-3</v>
      </c>
      <c r="DG99" s="1">
        <v>1.0933401155296882E-3</v>
      </c>
      <c r="DH99" s="1">
        <v>9.0139837636722675E-4</v>
      </c>
      <c r="DI99" s="1">
        <v>1.3335143740460104E-3</v>
      </c>
      <c r="DJ99" s="1">
        <v>-1.1309933075490906E-3</v>
      </c>
      <c r="DK99" s="1">
        <v>4.3834762384802745E-4</v>
      </c>
      <c r="DL99" s="1">
        <v>-8.7152378334347073E-3</v>
      </c>
      <c r="DM99" s="1">
        <v>-1.2272120408020636E-2</v>
      </c>
      <c r="DN99" s="1">
        <v>-4.0146436634378932E-3</v>
      </c>
      <c r="DO99" s="1">
        <v>3.1108745510568837E-3</v>
      </c>
      <c r="DP99" s="1">
        <v>1.0267327520392069E-2</v>
      </c>
      <c r="DQ99" s="1">
        <v>6.5473745615836354E-4</v>
      </c>
      <c r="DR99" s="1">
        <v>-9.2297406193534576E-4</v>
      </c>
      <c r="DS99" s="1">
        <v>-6.7010477559407283E-4</v>
      </c>
      <c r="DT99" s="1">
        <v>-7.3709356166046375E-3</v>
      </c>
      <c r="DU99" s="1">
        <v>6.6761277123393928E-3</v>
      </c>
      <c r="DV99" s="1">
        <v>-2.4015099847947419E-4</v>
      </c>
      <c r="DW99" s="1">
        <v>1.7826498406781008E-3</v>
      </c>
      <c r="DX99" s="1">
        <v>9.1353689903041178E-3</v>
      </c>
      <c r="DY99" s="1">
        <v>-2.3798877791529269E-4</v>
      </c>
      <c r="DZ99" s="1">
        <v>4.3524344078182606E-4</v>
      </c>
      <c r="EA99" s="1">
        <v>-3.5794234826929117E-3</v>
      </c>
      <c r="EB99" s="1">
        <v>1.0912729167314991E-2</v>
      </c>
      <c r="EC99" s="1">
        <v>6.2291544662714873E-3</v>
      </c>
      <c r="ED99" s="1">
        <v>1.472464324880636E-2</v>
      </c>
      <c r="EE99" s="1">
        <v>-5.1391735693312943E-3</v>
      </c>
      <c r="EF99" s="1">
        <v>5.1101692595686143E-3</v>
      </c>
      <c r="EG99" s="1">
        <v>3.9899637948035763E-3</v>
      </c>
      <c r="EH99" s="1">
        <v>3.3390174486901403E-3</v>
      </c>
      <c r="EI99" s="1">
        <v>-4.9011615313791501E-3</v>
      </c>
      <c r="EJ99" s="1">
        <v>3.1130367716210652E-3</v>
      </c>
      <c r="EK99" s="1">
        <v>-2.3366433678693663E-4</v>
      </c>
      <c r="EL99" s="1">
        <v>1.7783253995497447E-3</v>
      </c>
      <c r="EM99" s="1">
        <v>-4.2387404155029354E-3</v>
      </c>
      <c r="EN99" s="1">
        <v>-1.3411747737270135E-3</v>
      </c>
      <c r="EO99" s="1">
        <v>-5.1444399729616737E-3</v>
      </c>
      <c r="EP99" s="1">
        <v>-1.3390125531628425E-3</v>
      </c>
      <c r="EQ99" s="1">
        <v>-4.4563505058754227E-3</v>
      </c>
      <c r="ER99" s="1">
        <v>-3.3500603269974935E-3</v>
      </c>
      <c r="ES99" s="1">
        <v>-3.1420410813837417E-3</v>
      </c>
      <c r="ET99" s="1">
        <v>-8.6256222198780041E-6</v>
      </c>
      <c r="EU99" s="1">
        <v>-4.0103192223095302E-3</v>
      </c>
      <c r="EV99" s="10">
        <v>-9.0257211435569237E-4</v>
      </c>
    </row>
    <row r="100" spans="1:152" x14ac:dyDescent="0.25">
      <c r="A100" s="21">
        <f t="shared" ca="1" si="1"/>
        <v>4.057149714611278E-2</v>
      </c>
      <c r="B100" s="5">
        <v>99</v>
      </c>
      <c r="C100" s="9">
        <v>-3.289066766481441E-4</v>
      </c>
      <c r="D100" s="1">
        <v>1.3748839732315166E-4</v>
      </c>
      <c r="E100" s="1">
        <v>5.7216026906269229E-3</v>
      </c>
      <c r="F100" s="1">
        <v>7.0514543460409723E-3</v>
      </c>
      <c r="G100" s="1">
        <v>2.4631504700037415E-3</v>
      </c>
      <c r="H100" s="1">
        <v>-8.2916914341279735E-3</v>
      </c>
      <c r="I100" s="1">
        <v>6.8925963144694374E-3</v>
      </c>
      <c r="J100" s="1">
        <v>1.0009449787658914E-3</v>
      </c>
      <c r="K100" s="1">
        <v>9.7111576568690433E-3</v>
      </c>
      <c r="L100" s="1">
        <v>3.2207574113704146E-3</v>
      </c>
      <c r="M100" s="1">
        <v>-5.0495643885091895E-3</v>
      </c>
      <c r="N100" s="1">
        <v>5.1228537808318264E-3</v>
      </c>
      <c r="O100" s="1">
        <v>4.550609066784464E-3</v>
      </c>
      <c r="P100" s="1">
        <v>1.4855381071949267E-2</v>
      </c>
      <c r="Q100" s="1">
        <v>-1.1100073755784257E-2</v>
      </c>
      <c r="R100" s="1">
        <v>-1.0819040909132244E-2</v>
      </c>
      <c r="S100" s="1">
        <v>-8.2916914341279735E-3</v>
      </c>
      <c r="T100" s="1">
        <v>-2.6810729450764542E-3</v>
      </c>
      <c r="U100" s="1">
        <v>-1.285349111441747E-2</v>
      </c>
      <c r="V100" s="1">
        <v>-4.8776470821967899E-4</v>
      </c>
      <c r="W100" s="1">
        <v>-7.2428726253659648E-3</v>
      </c>
      <c r="X100" s="1">
        <v>-3.5710337222669281E-3</v>
      </c>
      <c r="Y100" s="1">
        <v>1.0706968074135598E-2</v>
      </c>
      <c r="Z100" s="1">
        <v>-8.8476109731709385E-3</v>
      </c>
      <c r="AA100" s="1">
        <v>5.1228537808318264E-3</v>
      </c>
      <c r="AB100" s="1">
        <v>-1.9234660037098089E-3</v>
      </c>
      <c r="AC100" s="1">
        <v>-3.7033875580907427E-3</v>
      </c>
      <c r="AD100" s="1">
        <v>-2.3898610776811186E-3</v>
      </c>
      <c r="AE100" s="1">
        <v>-3.1209638233000436E-3</v>
      </c>
      <c r="AF100" s="1">
        <v>5.7216026906269229E-3</v>
      </c>
      <c r="AG100" s="1">
        <v>2.9295455439750512E-3</v>
      </c>
      <c r="AH100" s="1">
        <v>-1.1947205162222599E-2</v>
      </c>
      <c r="AI100" s="1">
        <v>4.3489216644607559E-3</v>
      </c>
      <c r="AJ100" s="1">
        <v>-3.4550050614475247E-3</v>
      </c>
      <c r="AK100" s="1">
        <v>8.6859114294209061E-4</v>
      </c>
      <c r="AL100" s="1">
        <v>-4.6126051247195876E-4</v>
      </c>
      <c r="AM100" s="1">
        <v>-8.5727242807800003E-3</v>
      </c>
      <c r="AN100" s="1">
        <v>6.8762711394650261E-3</v>
      </c>
      <c r="AO100" s="1">
        <v>1.0442260402487982E-2</v>
      </c>
      <c r="AP100" s="1">
        <v>-1.0600094222670692E-3</v>
      </c>
      <c r="AQ100" s="1">
        <v>-6.2011854404349365E-4</v>
      </c>
      <c r="AR100" s="1">
        <v>9.1142051369423605E-4</v>
      </c>
      <c r="AS100" s="1">
        <v>1.1904465893725832E-2</v>
      </c>
      <c r="AT100" s="1">
        <v>-7.6766173493284379E-3</v>
      </c>
      <c r="AU100" s="1">
        <v>-2.839930976648003E-3</v>
      </c>
      <c r="AV100" s="1">
        <v>-1.5372347007217013E-4</v>
      </c>
      <c r="AW100" s="1">
        <v>1.8644015602086311E-3</v>
      </c>
      <c r="AX100" s="1">
        <v>7.7825570916599113E-3</v>
      </c>
      <c r="AY100" s="1">
        <v>-2.9886099874762151E-3</v>
      </c>
      <c r="AZ100" s="1">
        <v>2.6984223314696631E-4</v>
      </c>
      <c r="BA100" s="1">
        <v>-5.2541605946600234E-4</v>
      </c>
      <c r="BB100" s="1">
        <v>9.488144078303444E-3</v>
      </c>
      <c r="BC100" s="1">
        <v>-1.5477306724802839E-3</v>
      </c>
      <c r="BD100" s="1">
        <v>2.6161141513886446E-2</v>
      </c>
      <c r="BE100" s="1">
        <v>4.5027786947947832E-3</v>
      </c>
      <c r="BF100" s="1">
        <v>2.5694746439915123E-2</v>
      </c>
      <c r="BG100" s="1">
        <v>9.9280349565270334E-3</v>
      </c>
      <c r="BH100" s="1">
        <v>4.6314469470988093E-2</v>
      </c>
      <c r="BI100" s="1">
        <v>7.8772595762374061E-3</v>
      </c>
      <c r="BJ100" s="1">
        <v>3.2916249431032711E-2</v>
      </c>
      <c r="BK100" s="1">
        <v>4.1329104087479432E-2</v>
      </c>
      <c r="BL100" s="1">
        <v>1.8330710592230424E-2</v>
      </c>
      <c r="BM100" s="1">
        <v>2.2181765568387649E-2</v>
      </c>
      <c r="BN100" s="1">
        <v>1.5829865312973895E-2</v>
      </c>
      <c r="BO100" s="1">
        <v>2.8486803586567022E-2</v>
      </c>
      <c r="BP100" s="1">
        <v>4.9263443980139543E-3</v>
      </c>
      <c r="BQ100" s="1">
        <v>2.4513573795329327E-2</v>
      </c>
      <c r="BR100" s="1">
        <v>2.9959188098548209E-2</v>
      </c>
      <c r="BS100" s="1">
        <v>6.2990254241801491E-3</v>
      </c>
      <c r="BT100" s="1">
        <v>3.0266725140947963E-2</v>
      </c>
      <c r="BU100" s="1">
        <v>1.2736417278183317E-2</v>
      </c>
      <c r="BV100" s="1">
        <v>1.7450928835783284E-2</v>
      </c>
      <c r="BW100" s="1">
        <v>6.4313792600039638E-3</v>
      </c>
      <c r="BX100" s="1">
        <v>1.9803095104211601E-2</v>
      </c>
      <c r="BY100" s="1">
        <v>1.1999168378303299E-2</v>
      </c>
      <c r="BZ100" s="1">
        <v>6.2561960534280175E-3</v>
      </c>
      <c r="CA100" s="1">
        <v>6.720817601242185E-4</v>
      </c>
      <c r="CB100" s="1">
        <v>-2.861257152889915E-3</v>
      </c>
      <c r="CC100" s="1">
        <v>1.5538653445578539E-2</v>
      </c>
      <c r="CD100" s="1">
        <v>3.1289039753962231E-2</v>
      </c>
      <c r="CE100" s="1">
        <v>3.1596576796361998E-2</v>
      </c>
      <c r="CF100" s="1">
        <v>3.3948743064790315E-2</v>
      </c>
      <c r="CG100" s="1">
        <v>2.5254855561691575E-2</v>
      </c>
      <c r="CH100" s="1">
        <v>1.1724281685912379E-2</v>
      </c>
      <c r="CI100" s="1">
        <v>2.8635482597395248E-2</v>
      </c>
      <c r="CJ100" s="1">
        <v>1.684200090524484E-2</v>
      </c>
      <c r="CK100" s="1">
        <v>2.5741781295856372E-3</v>
      </c>
      <c r="CL100" s="1">
        <v>9.6735063056227442E-3</v>
      </c>
      <c r="CM100" s="1">
        <v>2.9217906332185961E-2</v>
      </c>
      <c r="CN100" s="1">
        <v>2.7623347005124296E-2</v>
      </c>
      <c r="CO100" s="1">
        <v>3.0706616019171531E-2</v>
      </c>
      <c r="CP100" s="1">
        <v>1.656096805859282E-2</v>
      </c>
      <c r="CQ100" s="1">
        <v>2.452375281607265E-2</v>
      </c>
      <c r="CR100" s="1">
        <v>4.3522412324336207E-2</v>
      </c>
      <c r="CS100" s="1">
        <v>2.7024598095329186E-2</v>
      </c>
      <c r="CT100" s="1">
        <v>2.9509118199581283E-2</v>
      </c>
      <c r="CU100" s="1">
        <v>2.6425849185534062E-2</v>
      </c>
      <c r="CV100" s="1">
        <v>1.6121077180369248E-2</v>
      </c>
      <c r="CW100" s="1">
        <v>4.057149714611278E-2</v>
      </c>
      <c r="CX100" s="1">
        <v>2.5694746439915123E-2</v>
      </c>
      <c r="CY100" s="1">
        <v>-2.8303244866572375E-3</v>
      </c>
      <c r="CZ100" s="1">
        <v>1.7200828655363938E-2</v>
      </c>
      <c r="DA100" s="1">
        <v>-1.2102602858064457E-2</v>
      </c>
      <c r="DB100" s="1">
        <v>1.0710428409865275E-2</v>
      </c>
      <c r="DC100" s="1">
        <v>-2.0890427202950104E-3</v>
      </c>
      <c r="DD100" s="1">
        <v>-2.240737486322926E-2</v>
      </c>
      <c r="DE100" s="1">
        <v>3.8991545310279381E-2</v>
      </c>
      <c r="DF100" s="1">
        <v>-9.8991156004643588E-3</v>
      </c>
      <c r="DG100" s="1">
        <v>-4.5780017674228873E-4</v>
      </c>
      <c r="DH100" s="1">
        <v>-1.9185605859097135E-2</v>
      </c>
      <c r="DI100" s="1">
        <v>4.0774953077994738E-3</v>
      </c>
      <c r="DJ100" s="1">
        <v>4.835102249166133E-3</v>
      </c>
      <c r="DK100" s="1">
        <v>-5.9197396549655751E-3</v>
      </c>
      <c r="DL100" s="1">
        <v>1.5447411296730718E-2</v>
      </c>
      <c r="DM100" s="1">
        <v>6.1711000588412848E-3</v>
      </c>
      <c r="DN100" s="1">
        <v>-9.1804909645250982E-4</v>
      </c>
      <c r="DO100" s="1">
        <v>7.3196223534182508E-3</v>
      </c>
      <c r="DP100" s="1">
        <v>-2.0971673567739171E-2</v>
      </c>
      <c r="DQ100" s="1">
        <v>-3.2097072783594569E-2</v>
      </c>
      <c r="DR100" s="1">
        <v>1.8832071198916639E-2</v>
      </c>
      <c r="DS100" s="1">
        <v>-1.1222821101617313E-2</v>
      </c>
      <c r="DT100" s="1">
        <v>1.9701673934620467E-2</v>
      </c>
      <c r="DU100" s="1">
        <v>-2.3578368487071781E-2</v>
      </c>
      <c r="DV100" s="1">
        <v>9.2482229186274315E-3</v>
      </c>
      <c r="DW100" s="1">
        <v>-1.6654770170758462E-3</v>
      </c>
      <c r="DX100" s="1">
        <v>-5.644852962574623E-3</v>
      </c>
      <c r="DY100" s="1">
        <v>1.204028006527931E-2</v>
      </c>
      <c r="DZ100" s="1">
        <v>1.5563439957550121E-2</v>
      </c>
      <c r="EA100" s="1">
        <v>8.6187245792841705E-4</v>
      </c>
      <c r="EB100" s="1">
        <v>-2.402725916955839E-3</v>
      </c>
      <c r="EC100" s="1">
        <v>-1.5043339015544582E-2</v>
      </c>
      <c r="ED100" s="1">
        <v>-2.0389249832948458E-2</v>
      </c>
      <c r="EE100" s="1">
        <v>-1.4902938104999E-3</v>
      </c>
      <c r="EF100" s="1">
        <v>1.7035824469531301E-2</v>
      </c>
      <c r="EG100" s="1">
        <v>2.2047694048787696E-2</v>
      </c>
      <c r="EH100" s="1">
        <v>-2.9172661801118875E-2</v>
      </c>
      <c r="EI100" s="1">
        <v>2.5294452739000467E-4</v>
      </c>
      <c r="EJ100" s="1">
        <v>1.0111679500070136E-2</v>
      </c>
      <c r="EK100" s="1">
        <v>1.7624394358583081E-2</v>
      </c>
      <c r="EL100" s="1">
        <v>-7.2495913103796106E-3</v>
      </c>
      <c r="EM100" s="1">
        <v>-1.0184181313598634E-2</v>
      </c>
      <c r="EN100" s="1">
        <v>-1.1953923847236238E-2</v>
      </c>
      <c r="EO100" s="1">
        <v>1.7200828655363938E-2</v>
      </c>
      <c r="EP100" s="1">
        <v>-9.1618667005843521E-3</v>
      </c>
      <c r="EQ100" s="1">
        <v>-1.1074142090789107E-2</v>
      </c>
      <c r="ER100" s="1">
        <v>-8.5631177907892417E-3</v>
      </c>
      <c r="ES100" s="1">
        <v>5.4338511589612712E-3</v>
      </c>
      <c r="ET100" s="1">
        <v>2.6152898165616237E-3</v>
      </c>
      <c r="EU100" s="1">
        <v>4.6660651968512823E-3</v>
      </c>
      <c r="EV100" s="10">
        <v>1.9685348759616042E-2</v>
      </c>
    </row>
    <row r="101" spans="1:152" x14ac:dyDescent="0.25">
      <c r="A101" s="21">
        <f t="shared" ca="1" si="1"/>
        <v>2.2537937364917843E-2</v>
      </c>
      <c r="B101" s="5">
        <v>100</v>
      </c>
      <c r="C101" s="9">
        <v>5.5304707056301472E-5</v>
      </c>
      <c r="D101" s="1">
        <v>-3.1979060168590978E-3</v>
      </c>
      <c r="E101" s="1">
        <v>6.3576269875752212E-4</v>
      </c>
      <c r="F101" s="1">
        <v>5.2777435955669166E-4</v>
      </c>
      <c r="G101" s="1">
        <v>1.9721390648646114E-3</v>
      </c>
      <c r="H101" s="1">
        <v>6.2417600847492621E-4</v>
      </c>
      <c r="I101" s="1">
        <v>3.1812558727261839E-3</v>
      </c>
      <c r="J101" s="1">
        <v>-5.2683632144535919E-5</v>
      </c>
      <c r="K101" s="1">
        <v>3.1179768115500647E-4</v>
      </c>
      <c r="L101" s="1">
        <v>-1.8017421360102953E-3</v>
      </c>
      <c r="M101" s="1">
        <v>-6.331416238457635E-4</v>
      </c>
      <c r="N101" s="1">
        <v>1.7561623864629367E-3</v>
      </c>
      <c r="O101" s="1">
        <v>-1.9097304752111327E-3</v>
      </c>
      <c r="P101" s="1">
        <v>2.6123845713075522E-3</v>
      </c>
      <c r="Q101" s="1">
        <v>-1.2135996155469841E-3</v>
      </c>
      <c r="R101" s="1">
        <v>2.9729637230865996E-3</v>
      </c>
      <c r="S101" s="1">
        <v>6.2417600847492621E-4</v>
      </c>
      <c r="T101" s="1">
        <v>-3.2844782528792388E-4</v>
      </c>
      <c r="U101" s="1">
        <v>-2.717751835596624E-3</v>
      </c>
      <c r="V101" s="1">
        <v>2.7087862202258006E-3</v>
      </c>
      <c r="W101" s="1">
        <v>-3.670375669359488E-3</v>
      </c>
      <c r="X101" s="1">
        <v>1.3126223393770051E-3</v>
      </c>
      <c r="Y101" s="1">
        <v>5.5898311020795566E-3</v>
      </c>
      <c r="Z101" s="1">
        <v>-3.1207755869855219E-3</v>
      </c>
      <c r="AA101" s="1">
        <v>1.7561623864629367E-3</v>
      </c>
      <c r="AB101" s="1">
        <v>-4.1023290261628306E-3</v>
      </c>
      <c r="AC101" s="1">
        <v>-8.2018869683298662E-4</v>
      </c>
      <c r="AD101" s="1">
        <v>-8.4911830224744522E-4</v>
      </c>
      <c r="AE101" s="1">
        <v>-1.8615296507520154E-3</v>
      </c>
      <c r="AF101" s="1">
        <v>6.3576269875752212E-4</v>
      </c>
      <c r="AG101" s="1">
        <v>-1.2810716590507809E-3</v>
      </c>
      <c r="AH101" s="1">
        <v>-4.4378807340479387E-3</v>
      </c>
      <c r="AI101" s="1">
        <v>5.6091023211242222E-3</v>
      </c>
      <c r="AJ101" s="1">
        <v>3.5244921093733686E-3</v>
      </c>
      <c r="AK101" s="1">
        <v>-2.1854946683545207E-3</v>
      </c>
      <c r="AL101" s="1">
        <v>-2.0775063291536833E-3</v>
      </c>
      <c r="AM101" s="1">
        <v>-3.5623873301586506E-3</v>
      </c>
      <c r="AN101" s="1">
        <v>3.2603146065125696E-3</v>
      </c>
      <c r="AO101" s="1">
        <v>1.3242090296595802E-3</v>
      </c>
      <c r="AP101" s="1">
        <v>-9.5710664144826874E-4</v>
      </c>
      <c r="AQ101" s="1">
        <v>5.7597518401580894E-4</v>
      </c>
      <c r="AR101" s="1">
        <v>-7.0508459515203972E-3</v>
      </c>
      <c r="AS101" s="1">
        <v>3.3490317266687275E-3</v>
      </c>
      <c r="AT101" s="1">
        <v>-5.7528241301686711E-4</v>
      </c>
      <c r="AU101" s="1">
        <v>2.3250336878815753E-3</v>
      </c>
      <c r="AV101" s="1">
        <v>-2.6772355398995834E-3</v>
      </c>
      <c r="AW101" s="1">
        <v>3.092538752570026E-3</v>
      </c>
      <c r="AX101" s="1">
        <v>1.5401857080612619E-3</v>
      </c>
      <c r="AY101" s="1">
        <v>2.7128138545797625E-4</v>
      </c>
      <c r="AZ101" s="1">
        <v>-1.0650949806491131E-3</v>
      </c>
      <c r="BA101" s="1">
        <v>1.4446331105643348E-2</v>
      </c>
      <c r="BB101" s="1">
        <v>1.9489116629121533E-2</v>
      </c>
      <c r="BC101" s="1">
        <v>1.3954590234098278E-2</v>
      </c>
      <c r="BD101" s="1">
        <v>1.9284726641002448E-2</v>
      </c>
      <c r="BE101" s="1">
        <v>1.4535048225799502E-2</v>
      </c>
      <c r="BF101" s="1">
        <v>2.2537937364917843E-2</v>
      </c>
      <c r="BG101" s="1">
        <v>2.1022198454585618E-2</v>
      </c>
      <c r="BH101" s="1">
        <v>2.6874933642362119E-2</v>
      </c>
      <c r="BI101" s="1">
        <v>1.5410541629688797E-2</v>
      </c>
      <c r="BJ101" s="1">
        <v>2.5663888530587729E-2</v>
      </c>
      <c r="BK101" s="1">
        <v>2.1920865239040091E-2</v>
      </c>
      <c r="BL101" s="1">
        <v>2.1986408978631071E-2</v>
      </c>
      <c r="BM101" s="1">
        <v>1.4901457843011872E-2</v>
      </c>
      <c r="BN101" s="1">
        <v>1.954890414386325E-2</v>
      </c>
      <c r="BO101" s="1">
        <v>2.445477172272616E-2</v>
      </c>
      <c r="BP101" s="1">
        <v>1.6147188785049983E-2</v>
      </c>
      <c r="BQ101" s="1">
        <v>2.4699678006542283E-2</v>
      </c>
      <c r="BR101" s="1">
        <v>2.177236060414222E-2</v>
      </c>
      <c r="BS101" s="1">
        <v>1.1173849162683273E-2</v>
      </c>
      <c r="BT101" s="1">
        <v>2.1172631393396316E-2</v>
      </c>
      <c r="BU101" s="1">
        <v>2.2859974078607542E-2</v>
      </c>
      <c r="BV101" s="1">
        <v>1.8920245327702898E-2</v>
      </c>
      <c r="BW101" s="1">
        <v>1.3306660198893257E-2</v>
      </c>
      <c r="BX101" s="1">
        <v>1.9303997860047124E-2</v>
      </c>
      <c r="BY101" s="1">
        <v>1.7219387648296263E-2</v>
      </c>
      <c r="BZ101" s="1">
        <v>1.6039200445849146E-2</v>
      </c>
      <c r="CA101" s="1">
        <v>1.2205531730232522E-2</v>
      </c>
      <c r="CB101" s="1">
        <v>1.398351983951273E-2</v>
      </c>
      <c r="CC101" s="1">
        <v>2.0069574620822758E-2</v>
      </c>
      <c r="CD101" s="1">
        <v>2.1664372264941376E-2</v>
      </c>
      <c r="CE101" s="1">
        <v>2.1064643054195475E-2</v>
      </c>
      <c r="CF101" s="1">
        <v>2.1448395586539701E-2</v>
      </c>
      <c r="CG101" s="1">
        <v>2.1004855539453769E-2</v>
      </c>
      <c r="CH101" s="1">
        <v>1.7660999391469388E-2</v>
      </c>
      <c r="CI101" s="1">
        <v>2.6508524025149749E-2</v>
      </c>
      <c r="CJ101" s="1">
        <v>2.4747878831001401E-2</v>
      </c>
      <c r="CK101" s="1">
        <v>1.5763436252705758E-2</v>
      </c>
      <c r="CL101" s="1">
        <v>1.2049342566572557E-2</v>
      </c>
      <c r="CM101" s="1">
        <v>2.5467183071230734E-2</v>
      </c>
      <c r="CN101" s="1">
        <v>2.1309549338011598E-2</v>
      </c>
      <c r="CO101" s="1">
        <v>2.2705713218860397E-2</v>
      </c>
      <c r="CP101" s="1">
        <v>2.0561315492367824E-2</v>
      </c>
      <c r="CQ101" s="1">
        <v>1.9992444190949192E-2</v>
      </c>
      <c r="CR101" s="1">
        <v>2.4958099284553809E-2</v>
      </c>
      <c r="CS101" s="1">
        <v>2.2429949025717016E-2</v>
      </c>
      <c r="CT101" s="1">
        <v>2.494651259427122E-2</v>
      </c>
      <c r="CU101" s="1">
        <v>2.3550348713422421E-2</v>
      </c>
      <c r="CV101" s="1">
        <v>1.9028233666903736E-2</v>
      </c>
      <c r="CW101" s="1">
        <v>2.5694746439915001E-2</v>
      </c>
      <c r="CX101" s="1">
        <v>2.2537937364917843E-2</v>
      </c>
      <c r="CY101" s="1">
        <v>4.0862122596081393E-3</v>
      </c>
      <c r="CZ101" s="1">
        <v>4.8363744091647412E-3</v>
      </c>
      <c r="DA101" s="1">
        <v>-4.6513957309585671E-3</v>
      </c>
      <c r="DB101" s="1">
        <v>2.7228345919994255E-3</v>
      </c>
      <c r="DC101" s="1">
        <v>3.9138979251962525E-4</v>
      </c>
      <c r="DD101" s="1">
        <v>-9.173510777477252E-3</v>
      </c>
      <c r="DE101" s="1">
        <v>1.1718863860577664E-2</v>
      </c>
      <c r="DF101" s="1">
        <v>-6.3213955010379443E-3</v>
      </c>
      <c r="DG101" s="1">
        <v>-4.9445028392338143E-3</v>
      </c>
      <c r="DH101" s="1">
        <v>-1.0163607786117662E-3</v>
      </c>
      <c r="DI101" s="1">
        <v>3.1837175542172233E-3</v>
      </c>
      <c r="DJ101" s="1">
        <v>-5.9016364665768345E-4</v>
      </c>
      <c r="DK101" s="1">
        <v>-1.9381267030473548E-3</v>
      </c>
      <c r="DL101" s="1">
        <v>3.3322221891150978E-3</v>
      </c>
      <c r="DM101" s="1">
        <v>3.9300230959481812E-3</v>
      </c>
      <c r="DN101" s="1">
        <v>2.9368829664882801E-3</v>
      </c>
      <c r="DO101" s="1">
        <v>1.9263999218965266E-3</v>
      </c>
      <c r="DP101" s="1">
        <v>-2.3623955310886277E-3</v>
      </c>
      <c r="DQ101" s="1">
        <v>-1.4895084245487737E-2</v>
      </c>
      <c r="DR101" s="1">
        <v>-4.9951822258870529E-4</v>
      </c>
      <c r="DS101" s="1">
        <v>-1.5852320800304048E-3</v>
      </c>
      <c r="DT101" s="1">
        <v>7.2738792439325552E-3</v>
      </c>
      <c r="DU101" s="1">
        <v>-1.1719003951445917E-2</v>
      </c>
      <c r="DV101" s="1">
        <v>6.9801189499028166E-4</v>
      </c>
      <c r="DW101" s="1">
        <v>2.0035303517700956E-3</v>
      </c>
      <c r="DX101" s="1">
        <v>-2.3797384462204835E-3</v>
      </c>
      <c r="DY101" s="1">
        <v>2.6148462527985812E-3</v>
      </c>
      <c r="DZ101" s="1">
        <v>5.5440919591114718E-3</v>
      </c>
      <c r="EA101" s="1">
        <v>-3.4525736284156741E-4</v>
      </c>
      <c r="EB101" s="1">
        <v>-3.6370560785411801E-3</v>
      </c>
      <c r="EC101" s="1">
        <v>-8.6219823911904865E-3</v>
      </c>
      <c r="ED101" s="1">
        <v>-3.4037364850076426E-3</v>
      </c>
      <c r="EE101" s="1">
        <v>-7.2900989518579276E-4</v>
      </c>
      <c r="EF101" s="1">
        <v>2.8616808405275244E-3</v>
      </c>
      <c r="EG101" s="1">
        <v>3.0294566944700785E-3</v>
      </c>
      <c r="EH101" s="1">
        <v>-1.0845438851469442E-2</v>
      </c>
      <c r="EI101" s="1">
        <v>5.4823761404569418E-3</v>
      </c>
      <c r="EJ101" s="1">
        <v>3.8432342797048366E-3</v>
      </c>
      <c r="EK101" s="1">
        <v>6.4485149684152046E-3</v>
      </c>
      <c r="EL101" s="1">
        <v>-1.8301383638465243E-3</v>
      </c>
      <c r="EM101" s="1">
        <v>-1.1725499422717209E-3</v>
      </c>
      <c r="EN101" s="1">
        <v>-2.597643428534975E-3</v>
      </c>
      <c r="EO101" s="1">
        <v>4.8363744091647412E-3</v>
      </c>
      <c r="EP101" s="1">
        <v>-6.8080907072665814E-4</v>
      </c>
      <c r="EQ101" s="1">
        <v>4.6852022239319419E-4</v>
      </c>
      <c r="ER101" s="1">
        <v>-1.8012087584320727E-3</v>
      </c>
      <c r="ES101" s="1">
        <v>-1.7105633343630945E-3</v>
      </c>
      <c r="ET101" s="1">
        <v>1.1588948572080759E-3</v>
      </c>
      <c r="EU101" s="1">
        <v>6.7705516821049E-3</v>
      </c>
      <c r="EV101" s="10">
        <v>7.3529379777189444E-3</v>
      </c>
    </row>
    <row r="102" spans="1:152" x14ac:dyDescent="0.25">
      <c r="A102" s="21">
        <f t="shared" ca="1" si="1"/>
        <v>7.4142731752183388E-2</v>
      </c>
      <c r="B102" s="5">
        <v>101</v>
      </c>
      <c r="C102" s="9">
        <v>-5.4415419485605854E-3</v>
      </c>
      <c r="D102" s="1">
        <v>-7.5406448661111264E-3</v>
      </c>
      <c r="E102" s="1">
        <v>3.8300510220312667E-4</v>
      </c>
      <c r="F102" s="1">
        <v>1.4811864046846424E-3</v>
      </c>
      <c r="G102" s="1">
        <v>-1.4797169644034658E-3</v>
      </c>
      <c r="H102" s="1">
        <v>1.0496826068500595E-2</v>
      </c>
      <c r="I102" s="1">
        <v>1.4677196969032025E-2</v>
      </c>
      <c r="J102" s="1">
        <v>-4.3433606460791252E-3</v>
      </c>
      <c r="K102" s="1">
        <v>3.6775490096475627E-3</v>
      </c>
      <c r="L102" s="1">
        <v>-1.5009368067107204E-2</v>
      </c>
      <c r="M102" s="1">
        <v>-1.0167907696842865E-2</v>
      </c>
      <c r="N102" s="1">
        <v>7.1664564055951008E-4</v>
      </c>
      <c r="O102" s="1">
        <v>-1.3911186764625702E-2</v>
      </c>
      <c r="P102" s="1">
        <v>-1.261171048029211E-3</v>
      </c>
      <c r="Q102" s="1">
        <v>-1.5992454747606577E-2</v>
      </c>
      <c r="R102" s="1">
        <v>1.0065925842731818E-2</v>
      </c>
      <c r="S102" s="1">
        <v>1.0496826068500595E-2</v>
      </c>
      <c r="T102" s="1">
        <v>3.4590030932733218E-3</v>
      </c>
      <c r="U102" s="1">
        <v>-7.4255502441290533E-3</v>
      </c>
      <c r="V102" s="1">
        <v>7.754468615786797E-3</v>
      </c>
      <c r="W102" s="1">
        <v>-1.446337321935634E-2</v>
      </c>
      <c r="X102" s="1">
        <v>1.5223191816782888E-2</v>
      </c>
      <c r="Y102" s="1">
        <v>8.640295608873777E-3</v>
      </c>
      <c r="Z102" s="1">
        <v>1.8396449495265491E-2</v>
      </c>
      <c r="AA102" s="1">
        <v>7.1664564055951008E-4</v>
      </c>
      <c r="AB102" s="1">
        <v>-1.007064800943043E-2</v>
      </c>
      <c r="AC102" s="1">
        <v>1.3457729437588689E-2</v>
      </c>
      <c r="AD102" s="1">
        <v>-7.9715450918799169E-3</v>
      </c>
      <c r="AE102" s="1">
        <v>-9.4033669327177327E-3</v>
      </c>
      <c r="AF102" s="1">
        <v>3.8300510220312667E-4</v>
      </c>
      <c r="AG102" s="1">
        <v>-3.5788198819539652E-3</v>
      </c>
      <c r="AH102" s="1">
        <v>3.3377168643114741E-3</v>
      </c>
      <c r="AI102" s="1">
        <v>-8.2811590886868736E-3</v>
      </c>
      <c r="AJ102" s="1">
        <v>-5.5388016359730341E-3</v>
      </c>
      <c r="AK102" s="1">
        <v>-6.1088230252732967E-3</v>
      </c>
      <c r="AL102" s="1">
        <v>-7.2070043277547846E-3</v>
      </c>
      <c r="AM102" s="1">
        <v>-1.5561554521837828E-2</v>
      </c>
      <c r="AN102" s="1">
        <v>-7.8502588629180692E-3</v>
      </c>
      <c r="AO102" s="1">
        <v>5.1093708504853924E-3</v>
      </c>
      <c r="AP102" s="1">
        <v>-6.8733637893984012E-3</v>
      </c>
      <c r="AQ102" s="1">
        <v>5.9890062365925978E-3</v>
      </c>
      <c r="AR102" s="1">
        <v>1.4571598631352156E-3</v>
      </c>
      <c r="AS102" s="1">
        <v>7.9730145321610379E-3</v>
      </c>
      <c r="AT102" s="1">
        <v>3.2690641362094319E-2</v>
      </c>
      <c r="AU102" s="1">
        <v>1.6655013657620704E-2</v>
      </c>
      <c r="AV102" s="1">
        <v>3.8899033190421123E-3</v>
      </c>
      <c r="AW102" s="1">
        <v>-1.1460764260471101E-3</v>
      </c>
      <c r="AX102" s="1">
        <v>2.9130082455224582E-3</v>
      </c>
      <c r="AY102" s="1">
        <v>-7.6379045535235612E-3</v>
      </c>
      <c r="AZ102" s="1">
        <v>-5.7751824869169549E-3</v>
      </c>
      <c r="BA102" s="1">
        <v>-1.4175996198357729E-2</v>
      </c>
      <c r="BB102" s="1">
        <v>9.9045677033919866E-3</v>
      </c>
      <c r="BC102" s="1">
        <v>-4.1772698540423481E-3</v>
      </c>
      <c r="BD102" s="1">
        <v>1.9871093420574804E-3</v>
      </c>
      <c r="BE102" s="1">
        <v>1.6472771967214195E-3</v>
      </c>
      <c r="BF102" s="1">
        <v>4.0862122596080075E-3</v>
      </c>
      <c r="BG102" s="1">
        <v>2.2766937729383041E-2</v>
      </c>
      <c r="BH102" s="1">
        <v>-8.1026850826906027E-3</v>
      </c>
      <c r="BI102" s="1">
        <v>-1.7251994189427883E-2</v>
      </c>
      <c r="BJ102" s="1">
        <v>2.4204951177200604E-2</v>
      </c>
      <c r="BK102" s="1">
        <v>-1.6359975589361198E-2</v>
      </c>
      <c r="BL102" s="1">
        <v>1.9690939738312874E-2</v>
      </c>
      <c r="BM102" s="1">
        <v>-3.8796363340878548E-2</v>
      </c>
      <c r="BN102" s="1">
        <v>4.2985665690025293E-3</v>
      </c>
      <c r="BO102" s="1">
        <v>8.0480372437651548E-3</v>
      </c>
      <c r="BP102" s="1">
        <v>-8.0178086092376338E-3</v>
      </c>
      <c r="BQ102" s="1">
        <v>2.7280949168270785E-2</v>
      </c>
      <c r="BR102" s="1">
        <v>-2.6577247850050834E-2</v>
      </c>
      <c r="BS102" s="1">
        <v>6.4635558165235252E-4</v>
      </c>
      <c r="BT102" s="1">
        <v>-1.5480340203253937E-2</v>
      </c>
      <c r="BU102" s="1">
        <v>4.9256218545490227E-2</v>
      </c>
      <c r="BV102" s="1">
        <v>-6.0338003136691798E-3</v>
      </c>
      <c r="BW102" s="1">
        <v>2.4118179608465518E-3</v>
      </c>
      <c r="BX102" s="1">
        <v>-1.4934345355503087E-2</v>
      </c>
      <c r="BY102" s="1">
        <v>-1.2191987902789303E-2</v>
      </c>
      <c r="BZ102" s="1">
        <v>-6.9196273067561737E-3</v>
      </c>
      <c r="CA102" s="1">
        <v>-1.4843277275070413E-2</v>
      </c>
      <c r="CB102" s="1">
        <v>1.7252004675426258E-2</v>
      </c>
      <c r="CC102" s="1">
        <v>1.5729114754155754E-2</v>
      </c>
      <c r="CD102" s="1">
        <v>-2.5479066547569373E-2</v>
      </c>
      <c r="CE102" s="1">
        <v>-1.4382158900772504E-2</v>
      </c>
      <c r="CF102" s="1">
        <v>-2.3282703942606425E-2</v>
      </c>
      <c r="CG102" s="1">
        <v>-8.7761577663830193E-3</v>
      </c>
      <c r="CH102" s="1">
        <v>2.1766016114314002E-2</v>
      </c>
      <c r="CI102" s="1">
        <v>3.2340955454909392E-2</v>
      </c>
      <c r="CJ102" s="1">
        <v>3.1788769000178796E-2</v>
      </c>
      <c r="CK102" s="1">
        <v>8.827364325962872E-4</v>
      </c>
      <c r="CL102" s="1">
        <v>-1.8252915804496922E-2</v>
      </c>
      <c r="CM102" s="1">
        <v>9.4798590846029707E-3</v>
      </c>
      <c r="CN102" s="1">
        <v>4.8507530237331398E-3</v>
      </c>
      <c r="CO102" s="1">
        <v>-2.6179701772629516E-3</v>
      </c>
      <c r="CP102" s="1">
        <v>5.7303884098403451E-3</v>
      </c>
      <c r="CQ102" s="1">
        <v>-1.0207979607220835E-2</v>
      </c>
      <c r="CR102" s="1">
        <v>-1.2064510066847722E-2</v>
      </c>
      <c r="CS102" s="1">
        <v>5.1843935620894954E-3</v>
      </c>
      <c r="CT102" s="1">
        <v>-1.9506891005502403E-3</v>
      </c>
      <c r="CU102" s="1">
        <v>5.5180341004458233E-3</v>
      </c>
      <c r="CV102" s="1">
        <v>-7.1319816161506955E-3</v>
      </c>
      <c r="CW102" s="1">
        <v>-2.8303244866574179E-3</v>
      </c>
      <c r="CX102" s="1">
        <v>4.0862122596080075E-3</v>
      </c>
      <c r="CY102" s="1">
        <v>7.4142731752183388E-2</v>
      </c>
      <c r="CZ102" s="1">
        <v>2.4798546172749514E-2</v>
      </c>
      <c r="DA102" s="1">
        <v>1.4005060915779854E-2</v>
      </c>
      <c r="DB102" s="1">
        <v>6.1116290959947472E-3</v>
      </c>
      <c r="DC102" s="1">
        <v>3.8085624817529612E-2</v>
      </c>
      <c r="DD102" s="1">
        <v>1.3550451991833357E-3</v>
      </c>
      <c r="DE102" s="1">
        <v>2.6903840697279774E-2</v>
      </c>
      <c r="DF102" s="1">
        <v>-1.918840233719829E-2</v>
      </c>
      <c r="DG102" s="1">
        <v>-9.7356708406337589E-3</v>
      </c>
      <c r="DH102" s="1">
        <v>5.5668168984823158E-2</v>
      </c>
      <c r="DI102" s="1">
        <v>2.3148178415537429E-2</v>
      </c>
      <c r="DJ102" s="1">
        <v>9.6185273128336912E-3</v>
      </c>
      <c r="DK102" s="1">
        <v>2.1595070345737766E-2</v>
      </c>
      <c r="DL102" s="1">
        <v>3.3365450676227065E-2</v>
      </c>
      <c r="DM102" s="1">
        <v>7.0733093222756893E-2</v>
      </c>
      <c r="DN102" s="1">
        <v>5.2379816684358399E-2</v>
      </c>
      <c r="DO102" s="1">
        <v>2.4834446501939555E-3</v>
      </c>
      <c r="DP102" s="1">
        <v>1.9180161824400577E-2</v>
      </c>
      <c r="DQ102" s="1">
        <v>1.0898844776180527E-2</v>
      </c>
      <c r="DR102" s="1">
        <v>-2.3022749485413829E-2</v>
      </c>
      <c r="DS102" s="1">
        <v>3.972980096776188E-2</v>
      </c>
      <c r="DT102" s="1">
        <v>4.0190919342059872E-2</v>
      </c>
      <c r="DU102" s="1">
        <v>-1.2939146667645507E-2</v>
      </c>
      <c r="DV102" s="1">
        <v>3.2479854143190878E-3</v>
      </c>
      <c r="DW102" s="1">
        <v>2.8420539011570545E-2</v>
      </c>
      <c r="DX102" s="1">
        <v>-1.2362933671365511E-2</v>
      </c>
      <c r="DY102" s="1">
        <v>7.2098103984762074E-3</v>
      </c>
      <c r="DZ102" s="1">
        <v>1.2603457223471171E-2</v>
      </c>
      <c r="EA102" s="1">
        <v>2.8851439237339321E-2</v>
      </c>
      <c r="EB102" s="1">
        <v>-3.3027667436708985E-2</v>
      </c>
      <c r="EC102" s="1">
        <v>-1.4249682279521503E-2</v>
      </c>
      <c r="ED102" s="1">
        <v>-3.6809345459058729E-3</v>
      </c>
      <c r="EE102" s="1">
        <v>3.7751984279173256E-2</v>
      </c>
      <c r="EF102" s="1">
        <v>-2.202182787034479E-2</v>
      </c>
      <c r="EG102" s="1">
        <v>-2.8726010307215763E-2</v>
      </c>
      <c r="EH102" s="1">
        <v>1.6626132139531818E-2</v>
      </c>
      <c r="EI102" s="1">
        <v>6.6674008551187325E-2</v>
      </c>
      <c r="EJ102" s="1">
        <v>6.4452696343510751E-3</v>
      </c>
      <c r="EK102" s="1">
        <v>1.5133460366790474E-2</v>
      </c>
      <c r="EL102" s="1">
        <v>2.0496889043256278E-2</v>
      </c>
      <c r="EM102" s="1">
        <v>5.2258530455396635E-2</v>
      </c>
      <c r="EN102" s="1">
        <v>3.8297979126924064E-2</v>
      </c>
      <c r="EO102" s="1">
        <v>2.4798546172749514E-2</v>
      </c>
      <c r="EP102" s="1">
        <v>4.2259804111081212E-2</v>
      </c>
      <c r="EQ102" s="1">
        <v>6.4022719178906173E-2</v>
      </c>
      <c r="ER102" s="1">
        <v>4.1926163572724856E-2</v>
      </c>
      <c r="ES102" s="1">
        <v>9.2848867744773633E-3</v>
      </c>
      <c r="ET102" s="1">
        <v>2.028453473386177E-2</v>
      </c>
      <c r="EU102" s="1">
        <v>6.0303466652672666E-2</v>
      </c>
      <c r="EV102" s="10">
        <v>1.7663463510109778E-2</v>
      </c>
    </row>
    <row r="103" spans="1:152" x14ac:dyDescent="0.25">
      <c r="A103" s="21">
        <f t="shared" ca="1" si="1"/>
        <v>3.597163565794026E-2</v>
      </c>
      <c r="B103" s="5">
        <v>102</v>
      </c>
      <c r="C103" s="9">
        <v>-1.716692005292092E-3</v>
      </c>
      <c r="D103" s="1">
        <v>1.9324261361553935E-3</v>
      </c>
      <c r="E103" s="1">
        <v>6.1038167297379903E-3</v>
      </c>
      <c r="F103" s="1">
        <v>8.0402913259192688E-3</v>
      </c>
      <c r="G103" s="1">
        <v>3.6900329149919947E-4</v>
      </c>
      <c r="H103" s="1">
        <v>-7.9732810617272817E-3</v>
      </c>
      <c r="I103" s="1">
        <v>8.0032345677361338E-3</v>
      </c>
      <c r="J103" s="1">
        <v>2.1978259088916569E-4</v>
      </c>
      <c r="K103" s="1">
        <v>1.1913240518281798E-2</v>
      </c>
      <c r="L103" s="1">
        <v>2.2679242955586029E-3</v>
      </c>
      <c r="M103" s="1">
        <v>-7.6007261441409235E-3</v>
      </c>
      <c r="N103" s="1">
        <v>4.2419524838617426E-3</v>
      </c>
      <c r="O103" s="1">
        <v>4.2043988917398745E-3</v>
      </c>
      <c r="P103" s="1">
        <v>1.4259823624171303E-2</v>
      </c>
      <c r="Q103" s="1">
        <v>-1.5421234879171006E-2</v>
      </c>
      <c r="R103" s="1">
        <v>-1.3633484149661056E-2</v>
      </c>
      <c r="S103" s="1">
        <v>-7.9732810617272817E-3</v>
      </c>
      <c r="T103" s="1">
        <v>-1.9775798143902845E-3</v>
      </c>
      <c r="U103" s="1">
        <v>-1.3820258442392958E-2</v>
      </c>
      <c r="V103" s="1">
        <v>-1.7537487634752408E-3</v>
      </c>
      <c r="W103" s="1">
        <v>-7.8245571950559742E-3</v>
      </c>
      <c r="X103" s="1">
        <v>-2.0892469228784433E-3</v>
      </c>
      <c r="Y103" s="1">
        <v>8.4133430774443463E-3</v>
      </c>
      <c r="Z103" s="1">
        <v>-2.6485761331967034E-3</v>
      </c>
      <c r="AA103" s="1">
        <v>4.2419524838617426E-3</v>
      </c>
      <c r="AB103" s="1">
        <v>-7.8658810330894946E-5</v>
      </c>
      <c r="AC103" s="1">
        <v>-3.0199302730721939E-4</v>
      </c>
      <c r="AD103" s="1">
        <v>-3.7277769517783804E-3</v>
      </c>
      <c r="AE103" s="1">
        <v>-3.8023873020833973E-3</v>
      </c>
      <c r="AF103" s="1">
        <v>6.1038167297379903E-3</v>
      </c>
      <c r="AG103" s="1">
        <v>4.0181214329466988E-3</v>
      </c>
      <c r="AH103" s="1">
        <v>-8.3463328132523593E-3</v>
      </c>
      <c r="AI103" s="1">
        <v>-3.0192270408500935E-3</v>
      </c>
      <c r="AJ103" s="1">
        <v>-9.2387593391021205E-3</v>
      </c>
      <c r="AK103" s="1">
        <v>2.0070364864604104E-3</v>
      </c>
      <c r="AL103" s="1">
        <v>7.0561890279138839E-5</v>
      </c>
      <c r="AM103" s="1">
        <v>-9.7610317912372319E-3</v>
      </c>
      <c r="AN103" s="1">
        <v>2.6409760470836804E-3</v>
      </c>
      <c r="AO103" s="1">
        <v>1.1987850868586808E-2</v>
      </c>
      <c r="AP103" s="1">
        <v>-1.7913023555971089E-3</v>
      </c>
      <c r="AQ103" s="1">
        <v>3.3505132095990042E-5</v>
      </c>
      <c r="AR103" s="1">
        <v>9.1936056608672295E-3</v>
      </c>
      <c r="AS103" s="1">
        <v>1.2137071569196842E-2</v>
      </c>
      <c r="AT103" s="1">
        <v>-7.4915829519858756E-4</v>
      </c>
      <c r="AU103" s="1">
        <v>-2.0146365725734333E-3</v>
      </c>
      <c r="AV103" s="1">
        <v>3.6826232735434894E-3</v>
      </c>
      <c r="AW103" s="1">
        <v>-1.4928609543770482E-3</v>
      </c>
      <c r="AX103" s="1">
        <v>8.1149016762242926E-3</v>
      </c>
      <c r="AY103" s="1">
        <v>-5.5896411976546212E-3</v>
      </c>
      <c r="AZ103" s="1">
        <v>1.4517224058414879E-4</v>
      </c>
      <c r="BA103" s="1">
        <v>-2.1270176303034894E-2</v>
      </c>
      <c r="BB103" s="1">
        <v>-9.4645544332153837E-3</v>
      </c>
      <c r="BC103" s="1">
        <v>-1.9594589515951825E-2</v>
      </c>
      <c r="BD103" s="1">
        <v>8.4854925506124279E-3</v>
      </c>
      <c r="BE103" s="1">
        <v>-1.1774080780921719E-2</v>
      </c>
      <c r="BF103" s="1">
        <v>4.8363744091649286E-3</v>
      </c>
      <c r="BG103" s="1">
        <v>-7.6397469455222605E-3</v>
      </c>
      <c r="BH103" s="1">
        <v>2.1409276007129725E-2</v>
      </c>
      <c r="BI103" s="1">
        <v>-1.3188779758906595E-2</v>
      </c>
      <c r="BJ103" s="1">
        <v>1.4556300982193154E-2</v>
      </c>
      <c r="BK103" s="1">
        <v>1.9099749659423376E-2</v>
      </c>
      <c r="BL103" s="1">
        <v>4.4164959860600039E-4</v>
      </c>
      <c r="BM103" s="1">
        <v>-8.6187910482943275E-4</v>
      </c>
      <c r="BN103" s="1">
        <v>-3.3942428355733731E-3</v>
      </c>
      <c r="BO103" s="1">
        <v>6.9220697059562478E-3</v>
      </c>
      <c r="BP103" s="1">
        <v>-1.5311531813881056E-2</v>
      </c>
      <c r="BQ103" s="1">
        <v>6.4749044380648796E-3</v>
      </c>
      <c r="BR103" s="1">
        <v>3.5333425396682216E-3</v>
      </c>
      <c r="BS103" s="1">
        <v>-6.1884880432929723E-3</v>
      </c>
      <c r="BT103" s="1">
        <v>7.1454039229325722E-3</v>
      </c>
      <c r="BU103" s="1">
        <v>-1.9179312807854343E-4</v>
      </c>
      <c r="BV103" s="1">
        <v>-3.2079653767801974E-3</v>
      </c>
      <c r="BW103" s="1">
        <v>-7.9757419388641893E-3</v>
      </c>
      <c r="BX103" s="1">
        <v>-2.9470775676820049E-3</v>
      </c>
      <c r="BY103" s="1">
        <v>-9.1666098659340459E-3</v>
      </c>
      <c r="BZ103" s="1">
        <v>-1.3375057217699771E-2</v>
      </c>
      <c r="CA103" s="1">
        <v>-1.7546447811282378E-2</v>
      </c>
      <c r="CB103" s="1">
        <v>-1.6168805591480651E-2</v>
      </c>
      <c r="CC103" s="1">
        <v>-1.6440456981852911E-3</v>
      </c>
      <c r="CD103" s="1">
        <v>5.4698171358494793E-3</v>
      </c>
      <c r="CE103" s="1">
        <v>9.0818785191138299E-3</v>
      </c>
      <c r="CF103" s="1">
        <v>9.3427663282120224E-3</v>
      </c>
      <c r="CG103" s="1">
        <v>3.0115669214718366E-3</v>
      </c>
      <c r="CH103" s="1">
        <v>-2.0541542078935104E-3</v>
      </c>
      <c r="CI103" s="1">
        <v>1.0497074331037429E-2</v>
      </c>
      <c r="CJ103" s="1">
        <v>-1.5318817557584061E-3</v>
      </c>
      <c r="CK103" s="1">
        <v>-1.5572419622979249E-2</v>
      </c>
      <c r="CL103" s="1">
        <v>-7.6031870212778345E-3</v>
      </c>
      <c r="CM103" s="1">
        <v>6.9966800562612647E-3</v>
      </c>
      <c r="CN103" s="1">
        <v>8.6347132512224617E-3</v>
      </c>
      <c r="CO103" s="1">
        <v>8.9702114106256711E-3</v>
      </c>
      <c r="CP103" s="1">
        <v>-3.3196324852683562E-3</v>
      </c>
      <c r="CQ103" s="1">
        <v>2.9369565711668197E-3</v>
      </c>
      <c r="CR103" s="1">
        <v>1.932358071033842E-2</v>
      </c>
      <c r="CS103" s="1">
        <v>6.7728490053462209E-3</v>
      </c>
      <c r="CT103" s="1">
        <v>5.2464829188731549E-3</v>
      </c>
      <c r="CU103" s="1">
        <v>4.9109847594699454E-3</v>
      </c>
      <c r="CV103" s="1">
        <v>-5.1444399729614829E-3</v>
      </c>
      <c r="CW103" s="1">
        <v>1.7200828655363987E-2</v>
      </c>
      <c r="CX103" s="1">
        <v>4.8363744091649286E-3</v>
      </c>
      <c r="CY103" s="1">
        <v>2.4798546172749777E-2</v>
      </c>
      <c r="CZ103" s="1">
        <v>3.597163565794026E-2</v>
      </c>
      <c r="DA103" s="1">
        <v>9.5295867863372241E-3</v>
      </c>
      <c r="DB103" s="1">
        <v>2.6326319435217065E-2</v>
      </c>
      <c r="DC103" s="1">
        <v>2.1335208656156734E-2</v>
      </c>
      <c r="DD103" s="1">
        <v>-5.258379460942042E-4</v>
      </c>
      <c r="DE103" s="1">
        <v>5.4443955093903165E-2</v>
      </c>
      <c r="DF103" s="1">
        <v>6.2154699703542097E-3</v>
      </c>
      <c r="DG103" s="1">
        <v>1.798353824805185E-2</v>
      </c>
      <c r="DH103" s="1">
        <v>6.9226127052882443E-3</v>
      </c>
      <c r="DI103" s="1">
        <v>2.200620497496315E-2</v>
      </c>
      <c r="DJ103" s="1">
        <v>2.3905125979022539E-2</v>
      </c>
      <c r="DK103" s="1">
        <v>1.5562841625796076E-2</v>
      </c>
      <c r="DL103" s="1">
        <v>3.7572612094718308E-2</v>
      </c>
      <c r="DM103" s="1">
        <v>3.4741806962754307E-2</v>
      </c>
      <c r="DN103" s="1">
        <v>2.3234626494154847E-2</v>
      </c>
      <c r="DO103" s="1">
        <v>2.2378759892549505E-2</v>
      </c>
      <c r="DP103" s="1">
        <v>-2.2009278992385761E-3</v>
      </c>
      <c r="DQ103" s="1">
        <v>-3.3571399119969527E-3</v>
      </c>
      <c r="DR103" s="1">
        <v>3.2619965249835375E-2</v>
      </c>
      <c r="DS103" s="1">
        <v>1.3179201761723418E-2</v>
      </c>
      <c r="DT103" s="1">
        <v>3.9807528092119654E-2</v>
      </c>
      <c r="DU103" s="1">
        <v>-2.4252557840923452E-3</v>
      </c>
      <c r="DV103" s="1">
        <v>2.6177098734607034E-2</v>
      </c>
      <c r="DW103" s="1">
        <v>1.7797757623197397E-2</v>
      </c>
      <c r="DX103" s="1">
        <v>8.4503859677555297E-3</v>
      </c>
      <c r="DY103" s="1">
        <v>2.8262794031398308E-2</v>
      </c>
      <c r="DZ103" s="1">
        <v>3.0423099678494644E-2</v>
      </c>
      <c r="EA103" s="1">
        <v>2.3457960711131171E-2</v>
      </c>
      <c r="EB103" s="1">
        <v>8.8229408853418845E-3</v>
      </c>
      <c r="EC103" s="1">
        <v>3.8688868644646997E-3</v>
      </c>
      <c r="ED103" s="1">
        <v>-5.701322174014767E-3</v>
      </c>
      <c r="EE103" s="1">
        <v>2.3197072902032979E-2</v>
      </c>
      <c r="EF103" s="1">
        <v>2.7034372512206629E-2</v>
      </c>
      <c r="EG103" s="1">
        <v>3.1168209513667354E-2</v>
      </c>
      <c r="EH103" s="1">
        <v>-3.0586985107768907E-3</v>
      </c>
      <c r="EI103" s="1">
        <v>2.5134044332152987E-2</v>
      </c>
      <c r="EJ103" s="1">
        <v>2.4464455189340796E-2</v>
      </c>
      <c r="EK103" s="1">
        <v>3.2434184624980919E-2</v>
      </c>
      <c r="EL103" s="1">
        <v>1.362636702961479E-2</v>
      </c>
      <c r="EM103" s="1">
        <v>1.6865873495292789E-2</v>
      </c>
      <c r="EN103" s="1">
        <v>1.3104591411418405E-2</v>
      </c>
      <c r="EO103" s="1">
        <v>3.597163565794026E-2</v>
      </c>
      <c r="EP103" s="1">
        <v>1.5190286708209721E-2</v>
      </c>
      <c r="EQ103" s="1">
        <v>1.6754206386804627E-2</v>
      </c>
      <c r="ER103" s="1">
        <v>1.7052150954085965E-2</v>
      </c>
      <c r="ES103" s="1">
        <v>2.5766990224898811E-2</v>
      </c>
      <c r="ET103" s="1">
        <v>2.185698427435312E-2</v>
      </c>
      <c r="EU103" s="1">
        <v>2.740601708773744E-2</v>
      </c>
      <c r="EV103" s="10">
        <v>3.4445269571467194E-2</v>
      </c>
    </row>
    <row r="104" spans="1:152" x14ac:dyDescent="0.25">
      <c r="A104" s="21">
        <f t="shared" ca="1" si="1"/>
        <v>2.8920178750765139E-2</v>
      </c>
      <c r="B104" s="5">
        <v>103</v>
      </c>
      <c r="C104" s="9">
        <v>2.2462749293954837E-4</v>
      </c>
      <c r="D104" s="1">
        <v>3.9717013780055863E-3</v>
      </c>
      <c r="E104" s="1">
        <v>-2.3028821109497416E-3</v>
      </c>
      <c r="F104" s="1">
        <v>-2.5768431771356071E-3</v>
      </c>
      <c r="G104" s="1">
        <v>-2.912664251538119E-3</v>
      </c>
      <c r="H104" s="1">
        <v>1.1272900649044217E-3</v>
      </c>
      <c r="I104" s="1">
        <v>-6.1156168382967141E-3</v>
      </c>
      <c r="J104" s="1">
        <v>-4.9333573246296281E-5</v>
      </c>
      <c r="K104" s="1">
        <v>-3.1247653095072825E-3</v>
      </c>
      <c r="L104" s="1">
        <v>1.7838136825830651E-3</v>
      </c>
      <c r="M104" s="1">
        <v>2.4781760306430145E-3</v>
      </c>
      <c r="N104" s="1">
        <v>-3.4605863839098083E-3</v>
      </c>
      <c r="O104" s="1">
        <v>1.5098526163972066E-3</v>
      </c>
      <c r="P104" s="1">
        <v>-7.018279410261577E-3</v>
      </c>
      <c r="Q104" s="1">
        <v>5.0056856345323184E-3</v>
      </c>
      <c r="R104" s="1">
        <v>-9.1415741482985327E-4</v>
      </c>
      <c r="S104" s="1">
        <v>1.1272900649044217E-3</v>
      </c>
      <c r="T104" s="1">
        <v>9.8084984921615465E-4</v>
      </c>
      <c r="U104" s="1">
        <v>6.9196122637689844E-3</v>
      </c>
      <c r="V104" s="1">
        <v>-3.3141461682215656E-3</v>
      </c>
      <c r="W104" s="1">
        <v>6.7731720480807417E-3</v>
      </c>
      <c r="X104" s="1">
        <v>-1.1262584727990514E-3</v>
      </c>
      <c r="Y104" s="1">
        <v>-9.7351698728651431E-3</v>
      </c>
      <c r="Z104" s="1">
        <v>5.35662524006119E-3</v>
      </c>
      <c r="AA104" s="1">
        <v>-3.4605863839098083E-3</v>
      </c>
      <c r="AB104" s="1">
        <v>5.6773277833373284E-3</v>
      </c>
      <c r="AC104" s="1">
        <v>1.4631111393069197E-3</v>
      </c>
      <c r="AD104" s="1">
        <v>1.9302538982713183E-3</v>
      </c>
      <c r="AE104" s="1">
        <v>3.3619192374172296E-3</v>
      </c>
      <c r="AF104" s="1">
        <v>-2.3028821109497416E-3</v>
      </c>
      <c r="AG104" s="1">
        <v>8.3440963352790498E-4</v>
      </c>
      <c r="AH104" s="1">
        <v>8.2856167606339577E-3</v>
      </c>
      <c r="AI104" s="1">
        <v>-7.4159604928807354E-3</v>
      </c>
      <c r="AJ104" s="1">
        <v>-2.9745242597547655E-3</v>
      </c>
      <c r="AK104" s="1">
        <v>2.5400360388596749E-3</v>
      </c>
      <c r="AL104" s="1">
        <v>2.8139971050455126E-3</v>
      </c>
      <c r="AM104" s="1">
        <v>7.0471331142665863E-3</v>
      </c>
      <c r="AN104" s="1">
        <v>-5.3745130131464744E-3</v>
      </c>
      <c r="AO104" s="1">
        <v>-4.5564306486531939E-3</v>
      </c>
      <c r="AP104" s="1">
        <v>1.6562928320854597E-3</v>
      </c>
      <c r="AQ104" s="1">
        <v>-7.2477655611560138E-4</v>
      </c>
      <c r="AR104" s="1">
        <v>7.9270754869765064E-3</v>
      </c>
      <c r="AS104" s="1">
        <v>-7.4197613269450097E-3</v>
      </c>
      <c r="AT104" s="1">
        <v>1.5438905127142279E-3</v>
      </c>
      <c r="AU104" s="1">
        <v>-2.5579238119449559E-3</v>
      </c>
      <c r="AV104" s="1">
        <v>3.0222973289504226E-3</v>
      </c>
      <c r="AW104" s="1">
        <v>-4.0703685244981719E-3</v>
      </c>
      <c r="AX104" s="1">
        <v>-4.0085085162815115E-3</v>
      </c>
      <c r="AY104" s="1">
        <v>7.725496253112446E-4</v>
      </c>
      <c r="AZ104" s="1">
        <v>1.3823317658996082E-3</v>
      </c>
      <c r="BA104" s="1">
        <v>1.2551308538047121E-2</v>
      </c>
      <c r="BB104" s="1">
        <v>3.073772462333195E-3</v>
      </c>
      <c r="BC104" s="1">
        <v>1.303356982813788E-2</v>
      </c>
      <c r="BD104" s="1">
        <v>-9.0432184589267321E-4</v>
      </c>
      <c r="BE104" s="1">
        <v>1.0506060224248569E-2</v>
      </c>
      <c r="BF104" s="1">
        <v>-4.6513957309586972E-3</v>
      </c>
      <c r="BG104" s="1">
        <v>6.9270307413213036E-4</v>
      </c>
      <c r="BH104" s="1">
        <v>-1.4838412685858941E-2</v>
      </c>
      <c r="BI104" s="1">
        <v>9.2675765778812008E-3</v>
      </c>
      <c r="BJ104" s="1">
        <v>-1.0991640062194965E-2</v>
      </c>
      <c r="BK104" s="1">
        <v>-7.4061249239435745E-3</v>
      </c>
      <c r="BL104" s="1">
        <v>-2.5910288860337832E-3</v>
      </c>
      <c r="BM104" s="1">
        <v>6.7868084510821838E-3</v>
      </c>
      <c r="BN104" s="1">
        <v>1.4956669074990304E-3</v>
      </c>
      <c r="BO104" s="1">
        <v>-7.7886874754363716E-3</v>
      </c>
      <c r="BP104" s="1">
        <v>8.8660946611977577E-3</v>
      </c>
      <c r="BQ104" s="1">
        <v>-7.7079081020290652E-3</v>
      </c>
      <c r="BR104" s="1">
        <v>-3.7827710553108643E-3</v>
      </c>
      <c r="BS104" s="1">
        <v>1.3979173043128741E-2</v>
      </c>
      <c r="BT104" s="1">
        <v>-3.5744708314059646E-3</v>
      </c>
      <c r="BU104" s="1">
        <v>-3.1856924954957715E-3</v>
      </c>
      <c r="BV104" s="1">
        <v>2.1711098903683269E-3</v>
      </c>
      <c r="BW104" s="1">
        <v>1.1389803431022777E-2</v>
      </c>
      <c r="BX104" s="1">
        <v>1.4148875340917171E-3</v>
      </c>
      <c r="BY104" s="1">
        <v>5.8563237672177044E-3</v>
      </c>
      <c r="BZ104" s="1">
        <v>8.5921335950118992E-3</v>
      </c>
      <c r="CA104" s="1">
        <v>1.4866717083967227E-2</v>
      </c>
      <c r="CB104" s="1">
        <v>1.2566427069173498E-2</v>
      </c>
      <c r="CC104" s="1">
        <v>5.4626285844388417E-4</v>
      </c>
      <c r="CD104" s="1">
        <v>-4.0567321214967159E-3</v>
      </c>
      <c r="CE104" s="1">
        <v>-3.8484318975917954E-3</v>
      </c>
      <c r="CF104" s="1">
        <v>-4.6046542538684052E-3</v>
      </c>
      <c r="CG104" s="1">
        <v>-2.2703263427576465E-3</v>
      </c>
      <c r="CH104" s="1">
        <v>4.1658158930123028E-3</v>
      </c>
      <c r="CI104" s="1">
        <v>-1.1119160912692563E-2</v>
      </c>
      <c r="CJ104" s="1">
        <v>-5.8558414810090421E-3</v>
      </c>
      <c r="CK104" s="1">
        <v>9.6223170174743675E-3</v>
      </c>
      <c r="CL104" s="1">
        <v>1.2740689396761373E-2</v>
      </c>
      <c r="CM104" s="1">
        <v>-9.2203528145822829E-3</v>
      </c>
      <c r="CN104" s="1">
        <v>-3.767652524184489E-3</v>
      </c>
      <c r="CO104" s="1">
        <v>-5.9555402196070101E-3</v>
      </c>
      <c r="CP104" s="1">
        <v>6.400156835311907E-5</v>
      </c>
      <c r="CQ104" s="1">
        <v>-8.3866100361174208E-4</v>
      </c>
      <c r="CR104" s="1">
        <v>-1.1701120941381295E-2</v>
      </c>
      <c r="CS104" s="1">
        <v>-4.9253567971445627E-3</v>
      </c>
      <c r="CT104" s="1">
        <v>-8.2709487655271228E-3</v>
      </c>
      <c r="CU104" s="1">
        <v>-6.0830610701046017E-3</v>
      </c>
      <c r="CV104" s="1">
        <v>2.4450709565541785E-3</v>
      </c>
      <c r="CW104" s="1">
        <v>-1.2102602858064745E-2</v>
      </c>
      <c r="CX104" s="1">
        <v>-4.6513957309586972E-3</v>
      </c>
      <c r="CY104" s="1">
        <v>1.4005060915779806E-2</v>
      </c>
      <c r="CZ104" s="1">
        <v>9.5295867863368112E-3</v>
      </c>
      <c r="DA104" s="1">
        <v>2.8920178750765139E-2</v>
      </c>
      <c r="DB104" s="1">
        <v>1.4438165778427174E-2</v>
      </c>
      <c r="DC104" s="1">
        <v>1.9442642675051212E-2</v>
      </c>
      <c r="DD104" s="1">
        <v>3.7448310777423929E-2</v>
      </c>
      <c r="DE104" s="1">
        <v>-4.4701648959103949E-3</v>
      </c>
      <c r="DF104" s="1">
        <v>3.1494429831744733E-2</v>
      </c>
      <c r="DG104" s="1">
        <v>2.6987332756337835E-2</v>
      </c>
      <c r="DH104" s="1">
        <v>2.5060702546327897E-2</v>
      </c>
      <c r="DI104" s="1">
        <v>1.5066867284206177E-2</v>
      </c>
      <c r="DJ104" s="1">
        <v>1.9763345218327361E-2</v>
      </c>
      <c r="DK104" s="1">
        <v>2.3803299534769871E-2</v>
      </c>
      <c r="DL104" s="1">
        <v>1.1443513415573481E-2</v>
      </c>
      <c r="DM104" s="1">
        <v>1.1879033228573952E-2</v>
      </c>
      <c r="DN104" s="1">
        <v>1.5629907947704261E-2</v>
      </c>
      <c r="DO104" s="1">
        <v>1.6417753249944773E-2</v>
      </c>
      <c r="DP104" s="1">
        <v>2.8456836825865042E-2</v>
      </c>
      <c r="DQ104" s="1">
        <v>4.639304325189253E-2</v>
      </c>
      <c r="DR104" s="1">
        <v>1.7074276867623424E-2</v>
      </c>
      <c r="DS104" s="1">
        <v>2.4158039974363041E-2</v>
      </c>
      <c r="DT104" s="1">
        <v>5.4428909928039906E-3</v>
      </c>
      <c r="DU104" s="1">
        <v>4.1261045504770895E-2</v>
      </c>
      <c r="DV104" s="1">
        <v>1.7301496456718982E-2</v>
      </c>
      <c r="DW104" s="1">
        <v>1.7802677112000408E-2</v>
      </c>
      <c r="DX104" s="1">
        <v>2.5493807408975264E-2</v>
      </c>
      <c r="DY104" s="1">
        <v>1.4164204712241323E-2</v>
      </c>
      <c r="DZ104" s="1">
        <v>9.5952476286177511E-3</v>
      </c>
      <c r="EA104" s="1">
        <v>1.9844124591734676E-2</v>
      </c>
      <c r="EB104" s="1">
        <v>2.6844693374713863E-2</v>
      </c>
      <c r="EC104" s="1">
        <v>3.5387943932499014E-2</v>
      </c>
      <c r="ED104" s="1">
        <v>3.0355644923975335E-2</v>
      </c>
      <c r="EE104" s="1">
        <v>2.0600346948011286E-2</v>
      </c>
      <c r="EF104" s="1">
        <v>1.3601164048743251E-2</v>
      </c>
      <c r="EG104" s="1">
        <v>1.2297019560094938E-2</v>
      </c>
      <c r="EH104" s="1">
        <v>4.0666381895308905E-2</v>
      </c>
      <c r="EI104" s="1">
        <v>1.1817173220357292E-2</v>
      </c>
      <c r="EJ104" s="1">
        <v>1.3280461505467122E-2</v>
      </c>
      <c r="EK104" s="1">
        <v>7.889621223285995E-3</v>
      </c>
      <c r="EL104" s="1">
        <v>2.4077260600955729E-2</v>
      </c>
      <c r="EM104" s="1">
        <v>2.2934674859122043E-2</v>
      </c>
      <c r="EN104" s="1">
        <v>2.5589705313508945E-2</v>
      </c>
      <c r="EO104" s="1">
        <v>9.5295867863368112E-3</v>
      </c>
      <c r="EP104" s="1">
        <v>2.2452413569031271E-2</v>
      </c>
      <c r="EQ104" s="1">
        <v>2.0827566537106844E-2</v>
      </c>
      <c r="ER104" s="1">
        <v>2.3610117841991345E-2</v>
      </c>
      <c r="ES104" s="1">
        <v>2.0921049491287407E-2</v>
      </c>
      <c r="ET104" s="1">
        <v>1.7930197962497993E-2</v>
      </c>
      <c r="EU104" s="1">
        <v>9.3553244587489259E-3</v>
      </c>
      <c r="EV104" s="10">
        <v>6.183994817954239E-3</v>
      </c>
    </row>
    <row r="105" spans="1:152" x14ac:dyDescent="0.25">
      <c r="A105" s="21">
        <f t="shared" ca="1" si="1"/>
        <v>2.9940773688657968E-2</v>
      </c>
      <c r="B105" s="5">
        <v>104</v>
      </c>
      <c r="C105" s="9">
        <v>2.1874182957132143E-3</v>
      </c>
      <c r="D105" s="1">
        <v>-2.5244789182570088E-3</v>
      </c>
      <c r="E105" s="1">
        <v>9.2050390290061845E-4</v>
      </c>
      <c r="F105" s="1">
        <v>3.1245816058574072E-4</v>
      </c>
      <c r="G105" s="1">
        <v>3.9099097062920279E-3</v>
      </c>
      <c r="H105" s="1">
        <v>-2.9632384433097569E-3</v>
      </c>
      <c r="I105" s="1">
        <v>-2.6176738128096122E-4</v>
      </c>
      <c r="J105" s="1">
        <v>1.5793725533983644E-3</v>
      </c>
      <c r="K105" s="1">
        <v>-9.03633324043987E-4</v>
      </c>
      <c r="L105" s="1">
        <v>2.7108209293970065E-3</v>
      </c>
      <c r="M105" s="1">
        <v>2.8462869462109741E-3</v>
      </c>
      <c r="N105" s="1">
        <v>2.6938182216623002E-3</v>
      </c>
      <c r="O105" s="1">
        <v>2.1027751870821426E-3</v>
      </c>
      <c r="P105" s="1">
        <v>4.8888893577419962E-3</v>
      </c>
      <c r="Q105" s="1">
        <v>4.1132013390235839E-3</v>
      </c>
      <c r="R105" s="1">
        <v>1.1914359365285121E-3</v>
      </c>
      <c r="S105" s="1">
        <v>-2.9632384433097569E-3</v>
      </c>
      <c r="T105" s="1">
        <v>-1.882612975493983E-3</v>
      </c>
      <c r="U105" s="1">
        <v>-1.7301442509452952E-3</v>
      </c>
      <c r="V105" s="1">
        <v>1.6131927538465124E-3</v>
      </c>
      <c r="W105" s="1">
        <v>-6.4951878312953515E-4</v>
      </c>
      <c r="X105" s="1">
        <v>-3.6221070938075028E-3</v>
      </c>
      <c r="Y105" s="1">
        <v>6.1388010428198997E-3</v>
      </c>
      <c r="Z105" s="1">
        <v>-1.2353212670802027E-2</v>
      </c>
      <c r="AA105" s="1">
        <v>2.6938182216623002E-3</v>
      </c>
      <c r="AB105" s="1">
        <v>-3.0817017523889767E-3</v>
      </c>
      <c r="AC105" s="1">
        <v>-6.5606899890160164E-3</v>
      </c>
      <c r="AD105" s="1">
        <v>1.6301954615812603E-3</v>
      </c>
      <c r="AE105" s="1">
        <v>4.6492688513442848E-4</v>
      </c>
      <c r="AF105" s="1">
        <v>9.2050390290061845E-4</v>
      </c>
      <c r="AG105" s="1">
        <v>-8.0198750767820903E-4</v>
      </c>
      <c r="AH105" s="1">
        <v>-8.7895813255439159E-3</v>
      </c>
      <c r="AI105" s="1">
        <v>1.2691838191469434E-2</v>
      </c>
      <c r="AJ105" s="1">
        <v>8.1154069943131651E-3</v>
      </c>
      <c r="AK105" s="1">
        <v>-1.359210341810177E-3</v>
      </c>
      <c r="AL105" s="1">
        <v>-7.5116459949529923E-4</v>
      </c>
      <c r="AM105" s="1">
        <v>-4.1473040814657414E-5</v>
      </c>
      <c r="AN105" s="1">
        <v>8.5371638116311654E-3</v>
      </c>
      <c r="AO105" s="1">
        <v>2.616352524028448E-4</v>
      </c>
      <c r="AP105" s="1">
        <v>1.0221497192663825E-3</v>
      </c>
      <c r="AQ105" s="1">
        <v>-1.3253901413620012E-3</v>
      </c>
      <c r="AR105" s="1">
        <v>-1.2522498888064157E-2</v>
      </c>
      <c r="AS105" s="1">
        <v>2.5921724052965084E-3</v>
      </c>
      <c r="AT105" s="1">
        <v>-1.3535483954983579E-2</v>
      </c>
      <c r="AU105" s="1">
        <v>-2.456838517360671E-3</v>
      </c>
      <c r="AV105" s="1">
        <v>-6.0372873553322381E-3</v>
      </c>
      <c r="AW105" s="1">
        <v>5.6832240250537097E-3</v>
      </c>
      <c r="AX105" s="1">
        <v>1.4777267370325725E-3</v>
      </c>
      <c r="AY105" s="1">
        <v>3.403509780342942E-3</v>
      </c>
      <c r="AZ105" s="1">
        <v>4.1410397695151868E-4</v>
      </c>
      <c r="BA105" s="1">
        <v>-3.9300192171358717E-3</v>
      </c>
      <c r="BB105" s="1">
        <v>-4.6567134835512614E-3</v>
      </c>
      <c r="BC105" s="1">
        <v>-8.6080962306579467E-3</v>
      </c>
      <c r="BD105" s="1">
        <v>-1.9890626219706414E-3</v>
      </c>
      <c r="BE105" s="1">
        <v>-9.8750106234705703E-3</v>
      </c>
      <c r="BF105" s="1">
        <v>2.7228345919995817E-3</v>
      </c>
      <c r="BG105" s="1">
        <v>-7.0042533441796589E-3</v>
      </c>
      <c r="BH105" s="1">
        <v>1.472963677288959E-2</v>
      </c>
      <c r="BI105" s="1">
        <v>-1.1269023387413118E-3</v>
      </c>
      <c r="BJ105" s="1">
        <v>2.7364891500543387E-4</v>
      </c>
      <c r="BK105" s="1">
        <v>9.5113396329702948E-3</v>
      </c>
      <c r="BL105" s="1">
        <v>-4.2011364657850714E-3</v>
      </c>
      <c r="BM105" s="1">
        <v>6.2696484445442513E-3</v>
      </c>
      <c r="BN105" s="1">
        <v>-2.4108194392886417E-3</v>
      </c>
      <c r="BO105" s="1">
        <v>4.4453260025783953E-3</v>
      </c>
      <c r="BP105" s="1">
        <v>-3.4236192911867996E-3</v>
      </c>
      <c r="BQ105" s="1">
        <v>-2.5294679633891537E-3</v>
      </c>
      <c r="BR105" s="1">
        <v>1.321043699504236E-2</v>
      </c>
      <c r="BS105" s="1">
        <v>-1.5194953579755643E-2</v>
      </c>
      <c r="BT105" s="1">
        <v>7.9243142392054489E-3</v>
      </c>
      <c r="BU105" s="1">
        <v>-1.4080693126512986E-2</v>
      </c>
      <c r="BV105" s="1">
        <v>4.9394325547170992E-4</v>
      </c>
      <c r="BW105" s="1">
        <v>-1.225637068454713E-2</v>
      </c>
      <c r="BX105" s="1">
        <v>4.5639745266789072E-3</v>
      </c>
      <c r="BY105" s="1">
        <v>-1.2456670477375975E-5</v>
      </c>
      <c r="BZ105" s="1">
        <v>-4.0316650335016635E-3</v>
      </c>
      <c r="CA105" s="1">
        <v>-7.4766478546592907E-3</v>
      </c>
      <c r="CB105" s="1">
        <v>-1.679898168125521E-2</v>
      </c>
      <c r="CC105" s="1">
        <v>-5.9236278763638711E-3</v>
      </c>
      <c r="CD105" s="1">
        <v>1.260239125272751E-2</v>
      </c>
      <c r="CE105" s="1">
        <v>7.3162684968905711E-3</v>
      </c>
      <c r="CF105" s="1">
        <v>1.1386299768097768E-2</v>
      </c>
      <c r="CG105" s="1">
        <v>5.0703744526279793E-3</v>
      </c>
      <c r="CH105" s="1">
        <v>-1.2324196300464732E-2</v>
      </c>
      <c r="CI105" s="1">
        <v>-1.4150222951252178E-3</v>
      </c>
      <c r="CJ105" s="1">
        <v>-4.1673162653368956E-3</v>
      </c>
      <c r="CK105" s="1">
        <v>-7.493650562393997E-3</v>
      </c>
      <c r="CL105" s="1">
        <v>-6.4468452950264127E-3</v>
      </c>
      <c r="CM105" s="1">
        <v>5.6105945790252271E-3</v>
      </c>
      <c r="CN105" s="1">
        <v>3.4147453092302216E-4</v>
      </c>
      <c r="CO105" s="1">
        <v>5.5767743785770651E-3</v>
      </c>
      <c r="CP105" s="1">
        <v>-1.2455508628418099E-3</v>
      </c>
      <c r="CQ105" s="1">
        <v>3.9051058761811475E-3</v>
      </c>
      <c r="CR105" s="1">
        <v>1.300714536231079E-2</v>
      </c>
      <c r="CS105" s="1">
        <v>2.1147888496847317E-3</v>
      </c>
      <c r="CT105" s="1">
        <v>9.1234030161004565E-3</v>
      </c>
      <c r="CU105" s="1">
        <v>3.8881031684464273E-3</v>
      </c>
      <c r="CV105" s="1">
        <v>1.1019889977865738E-3</v>
      </c>
      <c r="CW105" s="1">
        <v>1.0710428409865302E-2</v>
      </c>
      <c r="CX105" s="1">
        <v>2.7228345919995817E-3</v>
      </c>
      <c r="CY105" s="1">
        <v>6.1116290959949554E-3</v>
      </c>
      <c r="CZ105" s="1">
        <v>2.6326319435216974E-2</v>
      </c>
      <c r="DA105" s="1">
        <v>1.4438165778427464E-2</v>
      </c>
      <c r="DB105" s="1">
        <v>2.9940773688657968E-2</v>
      </c>
      <c r="DC105" s="1">
        <v>1.3711471512012088E-2</v>
      </c>
      <c r="DD105" s="1">
        <v>1.1652051607767611E-2</v>
      </c>
      <c r="DE105" s="1">
        <v>3.7150850331925431E-2</v>
      </c>
      <c r="DF105" s="1">
        <v>2.4368545347338261E-2</v>
      </c>
      <c r="DG105" s="1">
        <v>2.3050808046342755E-2</v>
      </c>
      <c r="DH105" s="1">
        <v>4.5924293181477394E-3</v>
      </c>
      <c r="DI105" s="1">
        <v>2.418207120732016E-2</v>
      </c>
      <c r="DJ105" s="1">
        <v>2.2982982430425153E-2</v>
      </c>
      <c r="DK105" s="1">
        <v>1.6109834280823368E-2</v>
      </c>
      <c r="DL105" s="1">
        <v>2.0482973845248081E-2</v>
      </c>
      <c r="DM105" s="1">
        <v>7.1414316556278334E-3</v>
      </c>
      <c r="DN105" s="1">
        <v>1.252920022783055E-2</v>
      </c>
      <c r="DO105" s="1">
        <v>2.9991596596840864E-2</v>
      </c>
      <c r="DP105" s="1">
        <v>1.63469461140031E-2</v>
      </c>
      <c r="DQ105" s="1">
        <v>-1.7063080745660653E-3</v>
      </c>
      <c r="DR105" s="1">
        <v>3.5665655969547627E-2</v>
      </c>
      <c r="DS105" s="1">
        <v>9.7430860571706968E-3</v>
      </c>
      <c r="DT105" s="1">
        <v>2.4536002408720559E-2</v>
      </c>
      <c r="DU105" s="1">
        <v>1.2834322891949163E-2</v>
      </c>
      <c r="DV105" s="1">
        <v>2.7610236535764304E-2</v>
      </c>
      <c r="DW105" s="1">
        <v>2.0162862844295845E-2</v>
      </c>
      <c r="DX105" s="1">
        <v>2.8421573910810752E-2</v>
      </c>
      <c r="DY105" s="1">
        <v>2.9332727946343104E-2</v>
      </c>
      <c r="DZ105" s="1">
        <v>3.2220487933368749E-2</v>
      </c>
      <c r="EA105" s="1">
        <v>1.600818846445759E-2</v>
      </c>
      <c r="EB105" s="1">
        <v>3.4231099300331455E-2</v>
      </c>
      <c r="EC105" s="1">
        <v>1.8576022665552278E-2</v>
      </c>
      <c r="ED105" s="1">
        <v>2.3372562988153545E-2</v>
      </c>
      <c r="EE105" s="1">
        <v>1.1938157193250393E-2</v>
      </c>
      <c r="EF105" s="1">
        <v>4.09855989258327E-2</v>
      </c>
      <c r="EG105" s="1">
        <v>4.3839538712410198E-2</v>
      </c>
      <c r="EH105" s="1">
        <v>2.9547662312212619E-3</v>
      </c>
      <c r="EI105" s="1">
        <v>1.1346928943648998E-2</v>
      </c>
      <c r="EJ105" s="1">
        <v>3.1714088007419663E-2</v>
      </c>
      <c r="EK105" s="1">
        <v>3.2777710767500717E-2</v>
      </c>
      <c r="EL105" s="1">
        <v>1.6717880023138232E-2</v>
      </c>
      <c r="EM105" s="1">
        <v>5.6222318777806174E-3</v>
      </c>
      <c r="EN105" s="1">
        <v>8.577817480723865E-3</v>
      </c>
      <c r="EO105" s="1">
        <v>2.6326319435216974E-2</v>
      </c>
      <c r="EP105" s="1">
        <v>1.0300308891302679E-2</v>
      </c>
      <c r="EQ105" s="1">
        <v>3.8827377594670837E-3</v>
      </c>
      <c r="ER105" s="1">
        <v>8.5269945725409829E-3</v>
      </c>
      <c r="ES105" s="1">
        <v>2.1209668111663443E-2</v>
      </c>
      <c r="ET105" s="1">
        <v>2.1851534054426483E-2</v>
      </c>
      <c r="EU105" s="1">
        <v>1.5974183048988178E-2</v>
      </c>
      <c r="EV105" s="10">
        <v>3.3334933601632685E-2</v>
      </c>
    </row>
    <row r="106" spans="1:152" x14ac:dyDescent="0.25">
      <c r="A106" s="21">
        <f t="shared" ca="1" si="1"/>
        <v>2.6899203419323107E-2</v>
      </c>
      <c r="B106" s="5">
        <v>105</v>
      </c>
      <c r="C106" s="9">
        <v>-2.5781189033016322E-3</v>
      </c>
      <c r="D106" s="1">
        <v>6.5103541390022085E-4</v>
      </c>
      <c r="E106" s="1">
        <v>1.1085730845874359E-3</v>
      </c>
      <c r="F106" s="1">
        <v>2.1292323903637986E-3</v>
      </c>
      <c r="G106" s="1">
        <v>-2.3493500679580212E-3</v>
      </c>
      <c r="H106" s="1">
        <v>1.3805105859766922E-3</v>
      </c>
      <c r="I106" s="1">
        <v>4.6496730056265617E-3</v>
      </c>
      <c r="J106" s="1">
        <v>-1.5574595975252695E-3</v>
      </c>
      <c r="K106" s="1">
        <v>4.1705510019165171E-3</v>
      </c>
      <c r="L106" s="1">
        <v>-3.4531861422280527E-3</v>
      </c>
      <c r="M106" s="1">
        <v>-5.2441515854143445E-3</v>
      </c>
      <c r="N106" s="1">
        <v>-3.0803145640530272E-4</v>
      </c>
      <c r="O106" s="1">
        <v>-2.43252683645169E-3</v>
      </c>
      <c r="P106" s="1">
        <v>6.9104351634823036E-4</v>
      </c>
      <c r="Q106" s="1">
        <v>-8.9308435733034125E-3</v>
      </c>
      <c r="R106" s="1">
        <v>-2.4733578017851476E-3</v>
      </c>
      <c r="S106" s="1">
        <v>1.3805105859766922E-3</v>
      </c>
      <c r="T106" s="1">
        <v>1.1301574176102586E-3</v>
      </c>
      <c r="U106" s="1">
        <v>-3.8059627113987832E-3</v>
      </c>
      <c r="V106" s="1">
        <v>-5.767828803887598E-5</v>
      </c>
      <c r="W106" s="1">
        <v>-4.0563158797652099E-3</v>
      </c>
      <c r="X106" s="1">
        <v>4.0465432680894045E-3</v>
      </c>
      <c r="Y106" s="1">
        <v>1.495062142819123E-4</v>
      </c>
      <c r="Z106" s="1">
        <v>9.3386005298668057E-3</v>
      </c>
      <c r="AA106" s="1">
        <v>-3.0803145640530272E-4</v>
      </c>
      <c r="AB106" s="1">
        <v>2.6321343340240944E-5</v>
      </c>
      <c r="AC106" s="1">
        <v>5.859093044298519E-3</v>
      </c>
      <c r="AD106" s="1">
        <v>-3.202832973861619E-3</v>
      </c>
      <c r="AE106" s="1">
        <v>-2.8068877386452432E-3</v>
      </c>
      <c r="AF106" s="1">
        <v>1.1085730845874359E-3</v>
      </c>
      <c r="AG106" s="1">
        <v>8.7980424924383183E-4</v>
      </c>
      <c r="AH106" s="1">
        <v>3.3602367620585785E-3</v>
      </c>
      <c r="AI106" s="1">
        <v>-9.2867807060717789E-3</v>
      </c>
      <c r="AJ106" s="1">
        <v>-7.8485918320562176E-3</v>
      </c>
      <c r="AK106" s="1">
        <v>2.5509017868384498E-4</v>
      </c>
      <c r="AL106" s="1">
        <v>-7.6556912709251079E-4</v>
      </c>
      <c r="AM106" s="1">
        <v>-5.0769751855415726E-3</v>
      </c>
      <c r="AN106" s="1">
        <v>-5.432912318309939E-3</v>
      </c>
      <c r="AO106" s="1">
        <v>3.7746057667001412E-3</v>
      </c>
      <c r="AP106" s="1">
        <v>-2.1821736680852563E-3</v>
      </c>
      <c r="AQ106" s="1">
        <v>1.7548714881702454E-3</v>
      </c>
      <c r="AR106" s="1">
        <v>9.6297846635666901E-3</v>
      </c>
      <c r="AS106" s="1">
        <v>2.9827152962673825E-3</v>
      </c>
      <c r="AT106" s="1">
        <v>1.2879700450905935E-2</v>
      </c>
      <c r="AU106" s="1">
        <v>3.6505980328730217E-3</v>
      </c>
      <c r="AV106" s="1">
        <v>4.9840258053720984E-3</v>
      </c>
      <c r="AW106" s="1">
        <v>-3.7659546089507667E-3</v>
      </c>
      <c r="AX106" s="1">
        <v>1.7332871551474227E-3</v>
      </c>
      <c r="AY106" s="1">
        <v>-4.6194375148543576E-3</v>
      </c>
      <c r="AZ106" s="1">
        <v>-1.1615143623088936E-3</v>
      </c>
      <c r="BA106" s="1">
        <v>-5.6053977447139067E-3</v>
      </c>
      <c r="BB106" s="1">
        <v>1.8511629995578982E-3</v>
      </c>
      <c r="BC106" s="1">
        <v>-8.7646211802564628E-4</v>
      </c>
      <c r="BD106" s="1">
        <v>3.6205441097213673E-3</v>
      </c>
      <c r="BE106" s="1">
        <v>2.8102298698634287E-3</v>
      </c>
      <c r="BF106" s="1">
        <v>3.9138979251950728E-4</v>
      </c>
      <c r="BG106" s="1">
        <v>5.7882081558133999E-3</v>
      </c>
      <c r="BH106" s="1">
        <v>-4.1519456648708014E-3</v>
      </c>
      <c r="BI106" s="1">
        <v>-5.6269820777367294E-3</v>
      </c>
      <c r="BJ106" s="1">
        <v>7.6191817014477012E-3</v>
      </c>
      <c r="BK106" s="1">
        <v>-3.1928787945652709E-3</v>
      </c>
      <c r="BL106" s="1">
        <v>5.7666238227905703E-3</v>
      </c>
      <c r="BM106" s="1">
        <v>-1.0231909970597877E-2</v>
      </c>
      <c r="BN106" s="1">
        <v>1.2048645959750887E-3</v>
      </c>
      <c r="BO106" s="1">
        <v>6.2015862786311826E-4</v>
      </c>
      <c r="BP106" s="1">
        <v>-3.3353102978175772E-3</v>
      </c>
      <c r="BQ106" s="1">
        <v>7.6407660344705308E-3</v>
      </c>
      <c r="BR106" s="1">
        <v>-1.096220800555979E-2</v>
      </c>
      <c r="BS106" s="1">
        <v>7.0600434928416445E-3</v>
      </c>
      <c r="BT106" s="1">
        <v>-5.2126130730951667E-3</v>
      </c>
      <c r="BU106" s="1">
        <v>1.6099562315093505E-2</v>
      </c>
      <c r="BV106" s="1">
        <v>-2.1074664897204262E-3</v>
      </c>
      <c r="BW106" s="1">
        <v>5.2474937166325231E-3</v>
      </c>
      <c r="BX106" s="1">
        <v>-5.8157428106323308E-3</v>
      </c>
      <c r="BY106" s="1">
        <v>-4.3775539366167626E-3</v>
      </c>
      <c r="BZ106" s="1">
        <v>-2.3146509920412145E-3</v>
      </c>
      <c r="CA106" s="1">
        <v>-2.7721886627284295E-3</v>
      </c>
      <c r="CB106" s="1">
        <v>8.1854639001344917E-3</v>
      </c>
      <c r="CC106" s="1">
        <v>5.5378549874469662E-3</v>
      </c>
      <c r="CD106" s="1">
        <v>-9.9415486997834271E-3</v>
      </c>
      <c r="CE106" s="1">
        <v>-4.1919537673188109E-3</v>
      </c>
      <c r="CF106" s="1">
        <v>-7.9002300882307086E-3</v>
      </c>
      <c r="CG106" s="1">
        <v>-3.5456553637360014E-3</v>
      </c>
      <c r="CH106" s="1">
        <v>1.0038021778791616E-2</v>
      </c>
      <c r="CI106" s="1">
        <v>8.8901941755904976E-3</v>
      </c>
      <c r="CJ106" s="1">
        <v>7.2664051322769777E-3</v>
      </c>
      <c r="CK106" s="1">
        <v>3.7296602309432048E-4</v>
      </c>
      <c r="CL106" s="1">
        <v>-1.3771684547585136E-3</v>
      </c>
      <c r="CM106" s="1">
        <v>2.2421339264674239E-4</v>
      </c>
      <c r="CN106" s="1">
        <v>2.8286536392886086E-3</v>
      </c>
      <c r="CO106" s="1">
        <v>-1.2755679168396719E-3</v>
      </c>
      <c r="CP106" s="1">
        <v>8.0891936075871279E-4</v>
      </c>
      <c r="CQ106" s="1">
        <v>-3.1497101285196255E-3</v>
      </c>
      <c r="CR106" s="1">
        <v>-4.3807145002144054E-3</v>
      </c>
      <c r="CS106" s="1">
        <v>1.4120490982958769E-3</v>
      </c>
      <c r="CT106" s="1">
        <v>-4.1087769988251491E-3</v>
      </c>
      <c r="CU106" s="1">
        <v>-4.5554426968685835E-6</v>
      </c>
      <c r="CV106" s="1">
        <v>-3.1281257954967889E-3</v>
      </c>
      <c r="CW106" s="1">
        <v>-2.0890427202952463E-3</v>
      </c>
      <c r="CX106" s="1">
        <v>3.9138979251950728E-4</v>
      </c>
      <c r="CY106" s="1">
        <v>3.8085624817529626E-2</v>
      </c>
      <c r="CZ106" s="1">
        <v>2.1335208656156429E-2</v>
      </c>
      <c r="DA106" s="1">
        <v>1.944264267505131E-2</v>
      </c>
      <c r="DB106" s="1">
        <v>1.3711471512011859E-2</v>
      </c>
      <c r="DC106" s="1">
        <v>2.6899203419323107E-2</v>
      </c>
      <c r="DD106" s="1">
        <v>1.6319072322251389E-2</v>
      </c>
      <c r="DE106" s="1">
        <v>2.033297311980526E-2</v>
      </c>
      <c r="DF106" s="1">
        <v>7.4643308064120187E-3</v>
      </c>
      <c r="DG106" s="1">
        <v>1.2796396170637429E-2</v>
      </c>
      <c r="DH106" s="1">
        <v>3.1275362476840637E-2</v>
      </c>
      <c r="DI106" s="1">
        <v>1.8690760307066553E-2</v>
      </c>
      <c r="DJ106" s="1">
        <v>1.7586924232796522E-2</v>
      </c>
      <c r="DK106" s="1">
        <v>2.1316784886731263E-2</v>
      </c>
      <c r="DL106" s="1">
        <v>2.6460089518061072E-2</v>
      </c>
      <c r="DM106" s="1">
        <v>3.9480645025499528E-2</v>
      </c>
      <c r="DN106" s="1">
        <v>3.0440303340362226E-2</v>
      </c>
      <c r="DO106" s="1">
        <v>1.2066098135675517E-2</v>
      </c>
      <c r="DP106" s="1">
        <v>1.6235072690872279E-2</v>
      </c>
      <c r="DQ106" s="1">
        <v>2.4694691834380694E-2</v>
      </c>
      <c r="DR106" s="1">
        <v>7.2324014074707649E-3</v>
      </c>
      <c r="DS106" s="1">
        <v>2.7316732987562306E-2</v>
      </c>
      <c r="DT106" s="1">
        <v>2.5896967882971925E-2</v>
      </c>
      <c r="DU106" s="1">
        <v>1.2777972401212256E-2</v>
      </c>
      <c r="DV106" s="1">
        <v>1.4503361982444618E-2</v>
      </c>
      <c r="DW106" s="1">
        <v>2.0753663251642115E-2</v>
      </c>
      <c r="DX106" s="1">
        <v>6.901209171322864E-3</v>
      </c>
      <c r="DY106" s="1">
        <v>1.4732130817788222E-2</v>
      </c>
      <c r="DZ106" s="1">
        <v>1.4564954417915457E-2</v>
      </c>
      <c r="EA106" s="1">
        <v>2.4607531639403948E-2</v>
      </c>
      <c r="EB106" s="1">
        <v>2.7654699993183429E-4</v>
      </c>
      <c r="EC106" s="1">
        <v>1.0943838291980298E-2</v>
      </c>
      <c r="ED106" s="1">
        <v>7.5690919079285102E-3</v>
      </c>
      <c r="EE106" s="1">
        <v>2.8315807960315839E-2</v>
      </c>
      <c r="EF106" s="1">
        <v>2.9825877844925491E-3</v>
      </c>
      <c r="EG106" s="1">
        <v>1.3156300751333838E-3</v>
      </c>
      <c r="EH106" s="1">
        <v>2.3110910893515184E-2</v>
      </c>
      <c r="EI106" s="1">
        <v>3.3981403261401345E-2</v>
      </c>
      <c r="EJ106" s="1">
        <v>1.2294866971019121E-2</v>
      </c>
      <c r="EK106" s="1">
        <v>1.5189668488475437E-2</v>
      </c>
      <c r="EL106" s="1">
        <v>2.02961255809549E-2</v>
      </c>
      <c r="EM106" s="1">
        <v>3.2670382684810539E-2</v>
      </c>
      <c r="EN106" s="1">
        <v>2.7712678222778682E-2</v>
      </c>
      <c r="EO106" s="1">
        <v>2.1335208656156429E-2</v>
      </c>
      <c r="EP106" s="1">
        <v>2.7941447058122293E-2</v>
      </c>
      <c r="EQ106" s="1">
        <v>3.5586768535289692E-2</v>
      </c>
      <c r="ER106" s="1">
        <v>2.9358051599115025E-2</v>
      </c>
      <c r="ES106" s="1">
        <v>1.9003528773789261E-2</v>
      </c>
      <c r="ET106" s="1">
        <v>1.9482650777499312E-2</v>
      </c>
      <c r="EU106" s="1">
        <v>3.0897841011049441E-2</v>
      </c>
      <c r="EV106" s="10">
        <v>1.5814382559035417E-2</v>
      </c>
    </row>
    <row r="107" spans="1:152" x14ac:dyDescent="0.25">
      <c r="A107" s="21">
        <f t="shared" ca="1" si="1"/>
        <v>5.5119942661542548E-2</v>
      </c>
      <c r="B107" s="5">
        <v>106</v>
      </c>
      <c r="C107" s="9">
        <v>1.3368475747447262E-3</v>
      </c>
      <c r="D107" s="1">
        <v>7.8107511323144974E-3</v>
      </c>
      <c r="E107" s="1">
        <v>-4.6749241458199642E-3</v>
      </c>
      <c r="F107" s="1">
        <v>-5.500739260400303E-3</v>
      </c>
      <c r="G107" s="1">
        <v>-4.9059900643225046E-3</v>
      </c>
      <c r="H107" s="1">
        <v>1.2592212677821762E-3</v>
      </c>
      <c r="I107" s="1">
        <v>-1.3549553241360687E-2</v>
      </c>
      <c r="J107" s="1">
        <v>5.1103246016441506E-4</v>
      </c>
      <c r="K107" s="1">
        <v>-7.1523694895608697E-3</v>
      </c>
      <c r="L107" s="1">
        <v>5.0255200643010561E-3</v>
      </c>
      <c r="M107" s="1">
        <v>6.5228041807291193E-3</v>
      </c>
      <c r="N107" s="1">
        <v>-6.5576202934831268E-3</v>
      </c>
      <c r="O107" s="1">
        <v>4.1997049497207173E-3</v>
      </c>
      <c r="P107" s="1">
        <v>-1.347192693439811E-2</v>
      </c>
      <c r="Q107" s="1">
        <v>1.253457590129381E-2</v>
      </c>
      <c r="R107" s="1">
        <v>-1.6803559129638379E-3</v>
      </c>
      <c r="S107" s="1">
        <v>1.2592212677821762E-3</v>
      </c>
      <c r="T107" s="1">
        <v>1.4135673805147075E-3</v>
      </c>
      <c r="U107" s="1">
        <v>1.449399185472694E-2</v>
      </c>
      <c r="V107" s="1">
        <v>-6.7119664062156581E-3</v>
      </c>
      <c r="W107" s="1">
        <v>1.4648337967459499E-2</v>
      </c>
      <c r="X107" s="1">
        <v>-3.9267353382022308E-3</v>
      </c>
      <c r="Y107" s="1">
        <v>-1.9043295571617588E-2</v>
      </c>
      <c r="Z107" s="1">
        <v>6.98402951654159E-3</v>
      </c>
      <c r="AA107" s="1">
        <v>-6.5576202934831268E-3</v>
      </c>
      <c r="AB107" s="1">
        <v>1.1345077509138241E-2</v>
      </c>
      <c r="AC107" s="1">
        <v>6.6447207170437783E-4</v>
      </c>
      <c r="AD107" s="1">
        <v>4.8711739515684971E-3</v>
      </c>
      <c r="AE107" s="1">
        <v>7.5796852138119569E-3</v>
      </c>
      <c r="AF107" s="1">
        <v>-4.6749241458199642E-3</v>
      </c>
      <c r="AG107" s="1">
        <v>1.5679134932472388E-3</v>
      </c>
      <c r="AH107" s="1">
        <v>1.4801777578999462E-2</v>
      </c>
      <c r="AI107" s="1">
        <v>-1.1456613427662216E-2</v>
      </c>
      <c r="AJ107" s="1">
        <v>-3.4854257536644229E-3</v>
      </c>
      <c r="AK107" s="1">
        <v>5.1022398700710375E-3</v>
      </c>
      <c r="AL107" s="1">
        <v>5.9280549846513209E-3</v>
      </c>
      <c r="AM107" s="1">
        <v>1.5474153082039782E-2</v>
      </c>
      <c r="AN107" s="1">
        <v>-8.5170362469162292E-3</v>
      </c>
      <c r="AO107" s="1">
        <v>-9.8608807518043295E-3</v>
      </c>
      <c r="AP107" s="1">
        <v>4.045358836988186E-3</v>
      </c>
      <c r="AQ107" s="1">
        <v>-2.1207589963090634E-3</v>
      </c>
      <c r="AR107" s="1">
        <v>1.27097442664936E-2</v>
      </c>
      <c r="AS107" s="1">
        <v>-1.5277903276291249E-2</v>
      </c>
      <c r="AT107" s="1">
        <v>-1.8905995789991192E-3</v>
      </c>
      <c r="AU107" s="1">
        <v>-6.6352466004456767E-3</v>
      </c>
      <c r="AV107" s="1">
        <v>4.3531445612606801E-3</v>
      </c>
      <c r="AW107" s="1">
        <v>-6.7886862119856395E-3</v>
      </c>
      <c r="AX107" s="1">
        <v>-8.2092505226437629E-3</v>
      </c>
      <c r="AY107" s="1">
        <v>2.9884778039053206E-3</v>
      </c>
      <c r="AZ107" s="1">
        <v>3.2195437224078749E-3</v>
      </c>
      <c r="BA107" s="1">
        <v>2.6015406878027475E-2</v>
      </c>
      <c r="BB107" s="1">
        <v>4.8861684228548585E-3</v>
      </c>
      <c r="BC107" s="1">
        <v>2.5266311569217145E-2</v>
      </c>
      <c r="BD107" s="1">
        <v>-2.6996072199078902E-3</v>
      </c>
      <c r="BE107" s="1">
        <v>1.9254539848652469E-2</v>
      </c>
      <c r="BF107" s="1">
        <v>-9.1735107774776337E-3</v>
      </c>
      <c r="BG107" s="1">
        <v>-1.279949410442377E-3</v>
      </c>
      <c r="BH107" s="1">
        <v>-2.6844236160403864E-2</v>
      </c>
      <c r="BI107" s="1">
        <v>1.9926915351692789E-2</v>
      </c>
      <c r="BJ107" s="1">
        <v>-2.4059911593583033E-2</v>
      </c>
      <c r="BK107" s="1">
        <v>-1.2475864734606296E-2</v>
      </c>
      <c r="BL107" s="1">
        <v>-7.3684409367770487E-3</v>
      </c>
      <c r="BM107" s="1">
        <v>1.7450376509144466E-2</v>
      </c>
      <c r="BN107" s="1">
        <v>2.3320032733439439E-3</v>
      </c>
      <c r="BO107" s="1">
        <v>-1.5416348416544864E-2</v>
      </c>
      <c r="BP107" s="1">
        <v>1.812093900979965E-2</v>
      </c>
      <c r="BQ107" s="1">
        <v>-1.7971420067248361E-2</v>
      </c>
      <c r="BR107" s="1">
        <v>-3.1608325557203609E-3</v>
      </c>
      <c r="BS107" s="1">
        <v>2.4902628291641887E-2</v>
      </c>
      <c r="BT107" s="1">
        <v>-4.7357429791110017E-3</v>
      </c>
      <c r="BU107" s="1">
        <v>-1.2555304043954024E-2</v>
      </c>
      <c r="BV107" s="1">
        <v>4.9637947298174223E-3</v>
      </c>
      <c r="BW107" s="1">
        <v>2.0311420881735293E-2</v>
      </c>
      <c r="BX107" s="1">
        <v>4.8870749240474409E-3</v>
      </c>
      <c r="BY107" s="1">
        <v>1.2858262598045275E-2</v>
      </c>
      <c r="BZ107" s="1">
        <v>1.7295123895219311E-2</v>
      </c>
      <c r="CA107" s="1">
        <v>2.9780799173353772E-2</v>
      </c>
      <c r="CB107" s="1">
        <v>2.1059609689353054E-2</v>
      </c>
      <c r="CC107" s="1">
        <v>-1.1256032977098179E-3</v>
      </c>
      <c r="CD107" s="1">
        <v>-3.986647670300672E-3</v>
      </c>
      <c r="CE107" s="1">
        <v>-5.5615580936913128E-3</v>
      </c>
      <c r="CF107" s="1">
        <v>-5.6382778994612942E-3</v>
      </c>
      <c r="CG107" s="1">
        <v>-3.0073929441803982E-3</v>
      </c>
      <c r="CH107" s="1">
        <v>4.3681390325470693E-3</v>
      </c>
      <c r="CI107" s="1">
        <v>-2.5040072820895876E-2</v>
      </c>
      <c r="CJ107" s="1">
        <v>-1.4591439803157122E-2</v>
      </c>
      <c r="CK107" s="1">
        <v>1.8197658815569631E-2</v>
      </c>
      <c r="CL107" s="1">
        <v>2.5575003794682249E-2</v>
      </c>
      <c r="CM107" s="1">
        <v>-1.8124859678788324E-2</v>
      </c>
      <c r="CN107" s="1">
        <v>-8.1166297443948099E-3</v>
      </c>
      <c r="CO107" s="1">
        <v>-1.0901860812408251E-2</v>
      </c>
      <c r="CP107" s="1">
        <v>-3.7650798889951598E-4</v>
      </c>
      <c r="CQ107" s="1">
        <v>-2.9888168193693831E-4</v>
      </c>
      <c r="CR107" s="1">
        <v>-2.0601398521336661E-2</v>
      </c>
      <c r="CS107" s="1">
        <v>-9.9993258920579586E-3</v>
      </c>
      <c r="CT107" s="1">
        <v>-1.4667253107734535E-2</v>
      </c>
      <c r="CU107" s="1">
        <v>-1.1882022039721093E-2</v>
      </c>
      <c r="CV107" s="1">
        <v>5.7896098443977334E-3</v>
      </c>
      <c r="CW107" s="1">
        <v>-2.2407374863229829E-2</v>
      </c>
      <c r="CX107" s="1">
        <v>-9.1735107774776337E-3</v>
      </c>
      <c r="CY107" s="1">
        <v>1.3550451991831691E-3</v>
      </c>
      <c r="CZ107" s="1">
        <v>-5.2583794609481482E-4</v>
      </c>
      <c r="DA107" s="1">
        <v>3.7448310777423749E-2</v>
      </c>
      <c r="DB107" s="1">
        <v>1.1652051607767125E-2</v>
      </c>
      <c r="DC107" s="1">
        <v>1.6319072322251132E-2</v>
      </c>
      <c r="DD107" s="1">
        <v>5.5119942661542548E-2</v>
      </c>
      <c r="DE107" s="1">
        <v>-2.7071192424561741E-2</v>
      </c>
      <c r="DF107" s="1">
        <v>4.6995315376004751E-2</v>
      </c>
      <c r="DG107" s="1">
        <v>3.6623402164036034E-2</v>
      </c>
      <c r="DH107" s="1">
        <v>2.50384488038667E-2</v>
      </c>
      <c r="DI107" s="1">
        <v>1.074861018622425E-2</v>
      </c>
      <c r="DJ107" s="1">
        <v>2.0680120314847783E-2</v>
      </c>
      <c r="DK107" s="1">
        <v>2.6845331646952436E-2</v>
      </c>
      <c r="DL107" s="1">
        <v>1.4335780073383153E-3</v>
      </c>
      <c r="DM107" s="1">
        <v>-2.8507501794883539E-3</v>
      </c>
      <c r="DN107" s="1">
        <v>7.4444432267104232E-3</v>
      </c>
      <c r="DO107" s="1">
        <v>1.6012193099171207E-2</v>
      </c>
      <c r="DP107" s="1">
        <v>3.7062898746188649E-2</v>
      </c>
      <c r="DQ107" s="1">
        <v>6.9641753698880107E-2</v>
      </c>
      <c r="DR107" s="1">
        <v>1.9778491895690087E-2</v>
      </c>
      <c r="DS107" s="1">
        <v>2.511607511082925E-2</v>
      </c>
      <c r="DT107" s="1">
        <v>-1.0226282156215821E-2</v>
      </c>
      <c r="DU107" s="1">
        <v>6.3994571757083257E-2</v>
      </c>
      <c r="DV107" s="1">
        <v>1.7069074132254031E-2</v>
      </c>
      <c r="DW107" s="1">
        <v>1.5185471483398327E-2</v>
      </c>
      <c r="DX107" s="1">
        <v>3.5335455212450656E-2</v>
      </c>
      <c r="DY107" s="1">
        <v>1.0826236493186814E-2</v>
      </c>
      <c r="DZ107" s="1">
        <v>1.8748875918761232E-3</v>
      </c>
      <c r="EA107" s="1">
        <v>1.81250486641443E-2</v>
      </c>
      <c r="EB107" s="1">
        <v>4.0599038125397613E-2</v>
      </c>
      <c r="EC107" s="1">
        <v>5.3314872820842019E-2</v>
      </c>
      <c r="ED107" s="1">
        <v>4.3978111888296229E-2</v>
      </c>
      <c r="EE107" s="1">
        <v>1.8201768469914281E-2</v>
      </c>
      <c r="EF107" s="1">
        <v>1.4130403452700641E-2</v>
      </c>
      <c r="EG107" s="1">
        <v>1.2402053417770023E-2</v>
      </c>
      <c r="EH107" s="1">
        <v>5.8807708649906282E-2</v>
      </c>
      <c r="EI107" s="1">
        <v>-1.4301858688302721E-3</v>
      </c>
      <c r="EJ107" s="1">
        <v>9.7693554601039762E-3</v>
      </c>
      <c r="EK107" s="1">
        <v>-1.65943878494762E-3</v>
      </c>
      <c r="EL107" s="1">
        <v>2.7671146761532747E-2</v>
      </c>
      <c r="EM107" s="1">
        <v>2.0832653425195177E-2</v>
      </c>
      <c r="EN107" s="1">
        <v>2.782458637307271E-2</v>
      </c>
      <c r="EO107" s="1">
        <v>-5.2583794609481482E-4</v>
      </c>
      <c r="EP107" s="1">
        <v>2.1581748734005479E-2</v>
      </c>
      <c r="EQ107" s="1">
        <v>1.5492350706478253E-2</v>
      </c>
      <c r="ER107" s="1">
        <v>2.3464444881668656E-2</v>
      </c>
      <c r="ES107" s="1">
        <v>2.2562816462510932E-2</v>
      </c>
      <c r="ET107" s="1">
        <v>1.616563271071117E-2</v>
      </c>
      <c r="EU107" s="1">
        <v>-5.0412320514240244E-3</v>
      </c>
      <c r="EV107" s="10">
        <v>-5.1937651617713909E-3</v>
      </c>
    </row>
    <row r="108" spans="1:152" x14ac:dyDescent="0.25">
      <c r="A108" s="21">
        <f t="shared" ca="1" si="1"/>
        <v>9.6772166934799217E-2</v>
      </c>
      <c r="B108" s="5">
        <v>107</v>
      </c>
      <c r="C108" s="9">
        <v>-2.1063314775172093E-3</v>
      </c>
      <c r="D108" s="1">
        <v>-5.4048983607585255E-4</v>
      </c>
      <c r="E108" s="1">
        <v>1.1489748923392246E-2</v>
      </c>
      <c r="F108" s="1">
        <v>1.451504055511868E-2</v>
      </c>
      <c r="G108" s="1">
        <v>3.9087879022168259E-3</v>
      </c>
      <c r="H108" s="1">
        <v>-1.4323482536024307E-2</v>
      </c>
      <c r="I108" s="1">
        <v>1.6681687158464326E-2</v>
      </c>
      <c r="J108" s="1">
        <v>9.1896015420919741E-4</v>
      </c>
      <c r="K108" s="1">
        <v>2.0565623818571466E-2</v>
      </c>
      <c r="L108" s="1">
        <v>3.2725190565937867E-3</v>
      </c>
      <c r="M108" s="1">
        <v>-1.2677120246700313E-2</v>
      </c>
      <c r="N108" s="1">
        <v>9.9593711656696671E-3</v>
      </c>
      <c r="O108" s="1">
        <v>6.2978106883202212E-3</v>
      </c>
      <c r="P108" s="1">
        <v>2.8898838216971395E-2</v>
      </c>
      <c r="Q108" s="1">
        <v>-2.6273200647609726E-2</v>
      </c>
      <c r="R108" s="1">
        <v>-2.0409529683195898E-2</v>
      </c>
      <c r="S108" s="1">
        <v>-1.4323482536024307E-2</v>
      </c>
      <c r="T108" s="1">
        <v>-4.4244264961830204E-3</v>
      </c>
      <c r="U108" s="1">
        <v>-2.7060917908552959E-2</v>
      </c>
      <c r="V108" s="1">
        <v>6.0315125828436233E-5</v>
      </c>
      <c r="W108" s="1">
        <v>-1.7161861868711728E-2</v>
      </c>
      <c r="X108" s="1">
        <v>-3.752693766841203E-3</v>
      </c>
      <c r="Y108" s="1">
        <v>2.1989609925137765E-2</v>
      </c>
      <c r="Z108" s="1">
        <v>-1.2050444281522327E-2</v>
      </c>
      <c r="AA108" s="1">
        <v>9.9593711656696671E-3</v>
      </c>
      <c r="AB108" s="1">
        <v>-5.0606953418060874E-3</v>
      </c>
      <c r="AC108" s="1">
        <v>-3.7172298831224526E-3</v>
      </c>
      <c r="AD108" s="1">
        <v>-6.6265369832474719E-3</v>
      </c>
      <c r="AE108" s="1">
        <v>-8.1214508572512722E-3</v>
      </c>
      <c r="AF108" s="1">
        <v>1.1489748923392246E-2</v>
      </c>
      <c r="AG108" s="1">
        <v>5.4746295436582104E-3</v>
      </c>
      <c r="AH108" s="1">
        <v>-2.1798051906043392E-2</v>
      </c>
      <c r="AI108" s="1">
        <v>4.6610412794412526E-3</v>
      </c>
      <c r="AJ108" s="1">
        <v>-9.7227563824114349E-3</v>
      </c>
      <c r="AK108" s="1">
        <v>9.5442403792794783E-4</v>
      </c>
      <c r="AL108" s="1">
        <v>-2.0708675937984311E-3</v>
      </c>
      <c r="AM108" s="1">
        <v>-2.0187153500438135E-2</v>
      </c>
      <c r="AN108" s="1">
        <v>1.0747088426612872E-2</v>
      </c>
      <c r="AO108" s="1">
        <v>2.2060537692575266E-2</v>
      </c>
      <c r="AP108" s="1">
        <v>-3.6012453515210097E-3</v>
      </c>
      <c r="AQ108" s="1">
        <v>9.5779009547186655E-5</v>
      </c>
      <c r="AR108" s="1">
        <v>4.757840050152562E-3</v>
      </c>
      <c r="AS108" s="1">
        <v>2.5050365440582922E-2</v>
      </c>
      <c r="AT108" s="1">
        <v>-6.85850604645033E-3</v>
      </c>
      <c r="AU108" s="1">
        <v>-2.2577798928374027E-3</v>
      </c>
      <c r="AV108" s="1">
        <v>1.6616206509885711E-3</v>
      </c>
      <c r="AW108" s="1">
        <v>2.3784101444942474E-3</v>
      </c>
      <c r="AX108" s="1">
        <v>1.6009954429122508E-2</v>
      </c>
      <c r="AY108" s="1">
        <v>-8.1569147409700227E-3</v>
      </c>
      <c r="AZ108" s="1">
        <v>-5.7595371979463073E-4</v>
      </c>
      <c r="BA108" s="1">
        <v>-4.3382247236565655E-2</v>
      </c>
      <c r="BB108" s="1">
        <v>-1.8579109220850126E-2</v>
      </c>
      <c r="BC108" s="1">
        <v>-4.2675050623505073E-2</v>
      </c>
      <c r="BD108" s="1">
        <v>1.3284705502019267E-2</v>
      </c>
      <c r="BE108" s="1">
        <v>-2.907897022259559E-2</v>
      </c>
      <c r="BF108" s="1">
        <v>1.1718863860577897E-2</v>
      </c>
      <c r="BG108" s="1">
        <v>-1.4882084859781923E-2</v>
      </c>
      <c r="BH108" s="1">
        <v>4.8855137466401938E-2</v>
      </c>
      <c r="BI108" s="1">
        <v>-2.7468071816990333E-2</v>
      </c>
      <c r="BJ108" s="1">
        <v>3.050688249655939E-2</v>
      </c>
      <c r="BK108" s="1">
        <v>3.8355276464656474E-2</v>
      </c>
      <c r="BL108" s="1">
        <v>1.0320905597934055E-3</v>
      </c>
      <c r="BM108" s="1">
        <v>-3.8569508446381906E-3</v>
      </c>
      <c r="BN108" s="1">
        <v>-7.1851393070050465E-3</v>
      </c>
      <c r="BO108" s="1">
        <v>1.773398324031196E-2</v>
      </c>
      <c r="BP108" s="1">
        <v>-3.1316544593378771E-2</v>
      </c>
      <c r="BQ108" s="1">
        <v>1.459270707698411E-2</v>
      </c>
      <c r="BR108" s="1">
        <v>1.2658029536841364E-2</v>
      </c>
      <c r="BS108" s="1">
        <v>-2.4487836949427827E-2</v>
      </c>
      <c r="BT108" s="1">
        <v>1.6390517781628366E-2</v>
      </c>
      <c r="BU108" s="1">
        <v>-2.9323667481964549E-3</v>
      </c>
      <c r="BV108" s="1">
        <v>-6.3619581623430427E-3</v>
      </c>
      <c r="BW108" s="1">
        <v>-2.4523300833146605E-2</v>
      </c>
      <c r="BX108" s="1">
        <v>-4.0438631436772038E-3</v>
      </c>
      <c r="BY108" s="1">
        <v>-1.8427660805529919E-2</v>
      </c>
      <c r="BZ108" s="1">
        <v>-2.8291252961652351E-2</v>
      </c>
      <c r="CA108" s="1">
        <v>-4.0321491721120456E-2</v>
      </c>
      <c r="CB108" s="1">
        <v>-3.9765743523380082E-2</v>
      </c>
      <c r="CC108" s="1">
        <v>-4.9830288199406436E-3</v>
      </c>
      <c r="CD108" s="1">
        <v>1.5683321168567771E-2</v>
      </c>
      <c r="CE108" s="1">
        <v>1.9415809413354745E-2</v>
      </c>
      <c r="CF108" s="1">
        <v>2.1733904432020584E-2</v>
      </c>
      <c r="CG108" s="1">
        <v>8.0218394995097003E-3</v>
      </c>
      <c r="CH108" s="1">
        <v>-1.0290951586614104E-2</v>
      </c>
      <c r="CI108" s="1">
        <v>2.3633118088444524E-2</v>
      </c>
      <c r="CJ108" s="1">
        <v>1.7344553141260266E-4</v>
      </c>
      <c r="CK108" s="1">
        <v>-3.3634639612044603E-2</v>
      </c>
      <c r="CL108" s="1">
        <v>-2.2876938543822584E-2</v>
      </c>
      <c r="CM108" s="1">
        <v>1.9228897114315774E-2</v>
      </c>
      <c r="CN108" s="1">
        <v>1.627453325002691E-2</v>
      </c>
      <c r="CO108" s="1">
        <v>2.0087542142696549E-2</v>
      </c>
      <c r="CP108" s="1">
        <v>-5.6902254330012322E-3</v>
      </c>
      <c r="CQ108" s="1">
        <v>6.5269256255058722E-3</v>
      </c>
      <c r="CR108" s="1">
        <v>4.2840018086667903E-2</v>
      </c>
      <c r="CS108" s="1">
        <v>1.4744155492304331E-2</v>
      </c>
      <c r="CT108" s="1">
        <v>1.7026786627251378E-2</v>
      </c>
      <c r="CU108" s="1">
        <v>1.3213777734581725E-2</v>
      </c>
      <c r="CV108" s="1">
        <v>-9.3872497940694494E-3</v>
      </c>
      <c r="CW108" s="1">
        <v>3.8991545310279513E-2</v>
      </c>
      <c r="CX108" s="1">
        <v>1.1718863860577897E-2</v>
      </c>
      <c r="CY108" s="1">
        <v>2.6903840697279857E-2</v>
      </c>
      <c r="CZ108" s="1">
        <v>5.4443955093903144E-2</v>
      </c>
      <c r="DA108" s="1">
        <v>-4.470164895910074E-3</v>
      </c>
      <c r="DB108" s="1">
        <v>3.7150850331925431E-2</v>
      </c>
      <c r="DC108" s="1">
        <v>2.0332973119805496E-2</v>
      </c>
      <c r="DD108" s="1">
        <v>-2.7071192424561193E-2</v>
      </c>
      <c r="DE108" s="1">
        <v>9.6772166934799217E-2</v>
      </c>
      <c r="DF108" s="1">
        <v>-8.051204725376862E-3</v>
      </c>
      <c r="DG108" s="1">
        <v>1.3090372812989283E-2</v>
      </c>
      <c r="DH108" s="1">
        <v>-9.2932672322807511E-3</v>
      </c>
      <c r="DI108" s="1">
        <v>2.7958990905144809E-2</v>
      </c>
      <c r="DJ108" s="1">
        <v>2.7322722059521735E-2</v>
      </c>
      <c r="DK108" s="1">
        <v>9.0904516212806305E-3</v>
      </c>
      <c r="DL108" s="1">
        <v>5.3656237832959919E-2</v>
      </c>
      <c r="DM108" s="1">
        <v>4.4348393874577778E-2</v>
      </c>
      <c r="DN108" s="1">
        <v>2.5524911354877493E-2</v>
      </c>
      <c r="DO108" s="1">
        <v>2.9605353194468831E-2</v>
      </c>
      <c r="DP108" s="1">
        <v>-2.1950181956926745E-2</v>
      </c>
      <c r="DQ108" s="1">
        <v>-4.2207243463638355E-2</v>
      </c>
      <c r="DR108" s="1">
        <v>4.7201354787086924E-2</v>
      </c>
      <c r="DS108" s="1">
        <v>2.9238838262263672E-3</v>
      </c>
      <c r="DT108" s="1">
        <v>6.2661184960701583E-2</v>
      </c>
      <c r="DU108" s="1">
        <v>-3.2263130659633231E-2</v>
      </c>
      <c r="DV108" s="1">
        <v>3.4161022583917802E-2</v>
      </c>
      <c r="DW108" s="1">
        <v>1.8095398749022308E-2</v>
      </c>
      <c r="DX108" s="1">
        <v>9.5374240236482249E-4</v>
      </c>
      <c r="DY108" s="1">
        <v>4.0176141963651837E-2</v>
      </c>
      <c r="DZ108" s="1">
        <v>4.7686175217389715E-2</v>
      </c>
      <c r="EA108" s="1">
        <v>2.4181445896193872E-2</v>
      </c>
      <c r="EB108" s="1">
        <v>2.6001046916888579E-3</v>
      </c>
      <c r="EC108" s="1">
        <v>-1.638441912377675E-2</v>
      </c>
      <c r="ED108" s="1">
        <v>-2.6354402931055544E-2</v>
      </c>
      <c r="EE108" s="1">
        <v>2.1863350877528033E-2</v>
      </c>
      <c r="EF108" s="1">
        <v>4.2610221513919105E-2</v>
      </c>
      <c r="EG108" s="1">
        <v>5.0978899796037778E-2</v>
      </c>
      <c r="EH108" s="1">
        <v>-3.6227587967623091E-2</v>
      </c>
      <c r="EI108" s="1">
        <v>3.0716849589949517E-2</v>
      </c>
      <c r="EJ108" s="1">
        <v>3.5620472574202824E-2</v>
      </c>
      <c r="EK108" s="1">
        <v>5.2206380723119949E-2</v>
      </c>
      <c r="EL108" s="1">
        <v>6.0651599895542099E-3</v>
      </c>
      <c r="EM108" s="1">
        <v>8.1512859450171768E-3</v>
      </c>
      <c r="EN108" s="1">
        <v>1.428969952222546E-3</v>
      </c>
      <c r="EO108" s="1">
        <v>5.4443955093903144E-2</v>
      </c>
      <c r="EP108" s="1">
        <v>7.4440893319566021E-3</v>
      </c>
      <c r="EQ108" s="1">
        <v>8.8230186743589734E-3</v>
      </c>
      <c r="ER108" s="1">
        <v>8.9744670896792014E-3</v>
      </c>
      <c r="ES108" s="1">
        <v>2.8853099817244342E-2</v>
      </c>
      <c r="ET108" s="1">
        <v>2.4969163157137167E-2</v>
      </c>
      <c r="EU108" s="1">
        <v>3.7555150114345591E-2</v>
      </c>
      <c r="EV108" s="10">
        <v>5.6726586228850184E-2</v>
      </c>
    </row>
    <row r="109" spans="1:152" x14ac:dyDescent="0.25">
      <c r="A109" s="21">
        <f t="shared" ca="1" si="1"/>
        <v>5.5370316435858755E-2</v>
      </c>
      <c r="B109" s="5">
        <v>108</v>
      </c>
      <c r="C109" s="9">
        <v>4.4118584593238197E-3</v>
      </c>
      <c r="D109" s="1">
        <v>5.1536205903610494E-3</v>
      </c>
      <c r="E109" s="1">
        <v>-3.8235801668395838E-3</v>
      </c>
      <c r="F109" s="1">
        <v>-5.5353340059433806E-3</v>
      </c>
      <c r="G109" s="1">
        <v>-7.674191927650037E-5</v>
      </c>
      <c r="H109" s="1">
        <v>-2.699376037553991E-3</v>
      </c>
      <c r="I109" s="1">
        <v>-1.5129640187408644E-2</v>
      </c>
      <c r="J109" s="1">
        <v>2.700104620220023E-3</v>
      </c>
      <c r="K109" s="1">
        <v>-8.9588416841509463E-3</v>
      </c>
      <c r="L109" s="1">
        <v>9.1942336928332452E-3</v>
      </c>
      <c r="M109" s="1">
        <v>1.0935543246383447E-2</v>
      </c>
      <c r="N109" s="1">
        <v>-3.5002495974840939E-3</v>
      </c>
      <c r="O109" s="1">
        <v>7.4824798537294346E-3</v>
      </c>
      <c r="P109" s="1">
        <v>-8.0184056905308332E-3</v>
      </c>
      <c r="Q109" s="1">
        <v>1.9170981872546844E-2</v>
      </c>
      <c r="R109" s="1">
        <v>-3.409610597391588E-4</v>
      </c>
      <c r="S109" s="1">
        <v>-2.699376037553991E-3</v>
      </c>
      <c r="T109" s="1">
        <v>-1.0171779128966274E-3</v>
      </c>
      <c r="U109" s="1">
        <v>1.3418614930970907E-2</v>
      </c>
      <c r="V109" s="1">
        <v>-5.1824477221414367E-3</v>
      </c>
      <c r="W109" s="1">
        <v>1.5100813055628243E-2</v>
      </c>
      <c r="X109" s="1">
        <v>-9.2230608246136325E-3</v>
      </c>
      <c r="Y109" s="1">
        <v>-1.2477450354684713E-2</v>
      </c>
      <c r="Z109" s="1">
        <v>-9.0984041178410191E-3</v>
      </c>
      <c r="AA109" s="1">
        <v>-3.5002495974840939E-3</v>
      </c>
      <c r="AB109" s="1">
        <v>8.2537976992130974E-3</v>
      </c>
      <c r="AC109" s="1">
        <v>-8.1579681242208851E-3</v>
      </c>
      <c r="AD109" s="1">
        <v>7.5120355681758955E-3</v>
      </c>
      <c r="AE109" s="1">
        <v>8.9004588379241467E-3</v>
      </c>
      <c r="AF109" s="1">
        <v>-3.8235801668395838E-3</v>
      </c>
      <c r="AG109" s="1">
        <v>6.6502021176071541E-4</v>
      </c>
      <c r="AH109" s="1">
        <v>4.2427403111873346E-3</v>
      </c>
      <c r="AI109" s="1">
        <v>4.6105323219067657E-3</v>
      </c>
      <c r="AJ109" s="1">
        <v>7.0936040064941697E-3</v>
      </c>
      <c r="AK109" s="1">
        <v>3.7651973206127842E-3</v>
      </c>
      <c r="AL109" s="1">
        <v>5.4769511597165532E-3</v>
      </c>
      <c r="AM109" s="1">
        <v>1.6812566894732039E-2</v>
      </c>
      <c r="AN109" s="1">
        <v>2.2521173440919057E-3</v>
      </c>
      <c r="AO109" s="1">
        <v>-1.0347264953899211E-2</v>
      </c>
      <c r="AP109" s="1">
        <v>5.800281729072071E-3</v>
      </c>
      <c r="AQ109" s="1">
        <v>-4.1173550217486754E-3</v>
      </c>
      <c r="AR109" s="1">
        <v>-2.9571613290297477E-3</v>
      </c>
      <c r="AS109" s="1">
        <v>-1.3124111493395749E-2</v>
      </c>
      <c r="AT109" s="1">
        <v>-2.0404464138410051E-2</v>
      </c>
      <c r="AU109" s="1">
        <v>-1.0611484094361898E-2</v>
      </c>
      <c r="AV109" s="1">
        <v>-3.3755928907114735E-3</v>
      </c>
      <c r="AW109" s="1">
        <v>2.4658865007901737E-4</v>
      </c>
      <c r="AX109" s="1">
        <v>-6.9237572756916596E-3</v>
      </c>
      <c r="AY109" s="1">
        <v>7.8353661375313716E-3</v>
      </c>
      <c r="AZ109" s="1">
        <v>4.088527889968302E-3</v>
      </c>
      <c r="BA109" s="1">
        <v>2.2998177462825328E-2</v>
      </c>
      <c r="BB109" s="1">
        <v>-1.0319215625074485E-3</v>
      </c>
      <c r="BC109" s="1">
        <v>1.5857387251501098E-2</v>
      </c>
      <c r="BD109" s="1">
        <v>-5.579633370000614E-3</v>
      </c>
      <c r="BE109" s="1">
        <v>7.6219486253376878E-3</v>
      </c>
      <c r="BF109" s="1">
        <v>-6.3213955010378159E-3</v>
      </c>
      <c r="BG109" s="1">
        <v>-1.0949558313328236E-2</v>
      </c>
      <c r="BH109" s="1">
        <v>-9.2820101761998119E-3</v>
      </c>
      <c r="BI109" s="1">
        <v>2.0191775208882365E-2</v>
      </c>
      <c r="BJ109" s="1">
        <v>-2.586289414777028E-2</v>
      </c>
      <c r="BK109" s="1">
        <v>-6.2813998835470342E-4</v>
      </c>
      <c r="BL109" s="1">
        <v>-1.3755960567271172E-2</v>
      </c>
      <c r="BM109" s="1">
        <v>2.7596784560669302E-2</v>
      </c>
      <c r="BN109" s="1">
        <v>-7.3814670759834999E-4</v>
      </c>
      <c r="BO109" s="1">
        <v>-1.0809995879638171E-2</v>
      </c>
      <c r="BP109" s="1">
        <v>1.5086069406017463E-2</v>
      </c>
      <c r="BQ109" s="1">
        <v>-2.3056491893827344E-2</v>
      </c>
      <c r="BR109" s="1">
        <v>1.4454313994223839E-2</v>
      </c>
      <c r="BS109" s="1">
        <v>6.6519569172711346E-3</v>
      </c>
      <c r="BT109" s="1">
        <v>5.6017699437958118E-3</v>
      </c>
      <c r="BU109" s="1">
        <v>-3.2819916223429099E-2</v>
      </c>
      <c r="BV109" s="1">
        <v>6.0793129343703761E-3</v>
      </c>
      <c r="BW109" s="1">
        <v>5.5868642168783456E-3</v>
      </c>
      <c r="BX109" s="1">
        <v>1.1508349306590851E-2</v>
      </c>
      <c r="BY109" s="1">
        <v>1.3991420991178269E-2</v>
      </c>
      <c r="BZ109" s="1">
        <v>1.3374315566913639E-2</v>
      </c>
      <c r="CA109" s="1">
        <v>2.2351516324114293E-2</v>
      </c>
      <c r="CB109" s="1">
        <v>1.8738355910434545E-4</v>
      </c>
      <c r="CC109" s="1">
        <v>-9.267360188670859E-3</v>
      </c>
      <c r="CD109" s="1">
        <v>1.2742560155120097E-2</v>
      </c>
      <c r="CE109" s="1">
        <v>3.8900161046920428E-3</v>
      </c>
      <c r="CF109" s="1">
        <v>9.3190524769125038E-3</v>
      </c>
      <c r="CG109" s="1">
        <v>3.5962412497829305E-3</v>
      </c>
      <c r="CH109" s="1">
        <v>-1.191955002139479E-2</v>
      </c>
      <c r="CI109" s="1">
        <v>-2.925684611153144E-2</v>
      </c>
      <c r="CJ109" s="1">
        <v>-2.1638512909632659E-2</v>
      </c>
      <c r="CK109" s="1">
        <v>9.6570330337970023E-3</v>
      </c>
      <c r="CL109" s="1">
        <v>1.9221783500815784E-2</v>
      </c>
      <c r="CM109" s="1">
        <v>-1.2198419149386436E-2</v>
      </c>
      <c r="CN109" s="1">
        <v>-8.3564799094971581E-3</v>
      </c>
      <c r="CO109" s="1">
        <v>-4.3158668070249345E-3</v>
      </c>
      <c r="CP109" s="1">
        <v>-2.1265699773466151E-3</v>
      </c>
      <c r="CQ109" s="1">
        <v>4.9846645195312095E-3</v>
      </c>
      <c r="CR109" s="1">
        <v>-4.7934097975994988E-3</v>
      </c>
      <c r="CS109" s="1">
        <v>-8.0331493401416404E-3</v>
      </c>
      <c r="CT109" s="1">
        <v>-3.6692056683138852E-3</v>
      </c>
      <c r="CU109" s="1">
        <v>-7.7098187707860949E-3</v>
      </c>
      <c r="CV109" s="1">
        <v>7.7910667734741729E-3</v>
      </c>
      <c r="CW109" s="1">
        <v>-9.8991156004644559E-3</v>
      </c>
      <c r="CX109" s="1">
        <v>-6.3213955010378159E-3</v>
      </c>
      <c r="CY109" s="1">
        <v>-1.9188402337198041E-2</v>
      </c>
      <c r="CZ109" s="1">
        <v>6.2154699703540345E-3</v>
      </c>
      <c r="DA109" s="1">
        <v>3.1494429831745011E-2</v>
      </c>
      <c r="DB109" s="1">
        <v>2.4368545347338219E-2</v>
      </c>
      <c r="DC109" s="1">
        <v>7.4643308064122615E-3</v>
      </c>
      <c r="DD109" s="1">
        <v>4.6995315376005278E-2</v>
      </c>
      <c r="DE109" s="1">
        <v>-8.0512047253769731E-3</v>
      </c>
      <c r="DF109" s="1">
        <v>5.5370316435858755E-2</v>
      </c>
      <c r="DG109" s="1">
        <v>4.2322946861739527E-2</v>
      </c>
      <c r="DH109" s="1">
        <v>4.5479218332256655E-3</v>
      </c>
      <c r="DI109" s="1">
        <v>1.5545557011356625E-2</v>
      </c>
      <c r="DJ109" s="1">
        <v>2.4816532623466378E-2</v>
      </c>
      <c r="DK109" s="1">
        <v>2.2193898505188839E-2</v>
      </c>
      <c r="DL109" s="1">
        <v>4.6310302877808351E-4</v>
      </c>
      <c r="DM109" s="1">
        <v>-2.2318135160496494E-2</v>
      </c>
      <c r="DN109" s="1">
        <v>-3.8417292141567916E-3</v>
      </c>
      <c r="DO109" s="1">
        <v>2.9180476295294092E-2</v>
      </c>
      <c r="DP109" s="1">
        <v>3.3559069954650772E-2</v>
      </c>
      <c r="DQ109" s="1">
        <v>4.4791112819409534E-2</v>
      </c>
      <c r="DR109" s="1">
        <v>4.1074086025681328E-2</v>
      </c>
      <c r="DS109" s="1">
        <v>1.1659156330103476E-2</v>
      </c>
      <c r="DT109" s="1">
        <v>-6.8023438893187738E-3</v>
      </c>
      <c r="DU109" s="1">
        <v>5.8301375396574373E-2</v>
      </c>
      <c r="DV109" s="1">
        <v>2.7145391886834749E-2</v>
      </c>
      <c r="DW109" s="1">
        <v>1.4928451587092037E-2</v>
      </c>
      <c r="DX109" s="1">
        <v>4.8104869517761925E-2</v>
      </c>
      <c r="DY109" s="1">
        <v>2.2656791508234478E-2</v>
      </c>
      <c r="DZ109" s="1">
        <v>1.6779767859885858E-2</v>
      </c>
      <c r="EA109" s="1">
        <v>1.2570036609277205E-2</v>
      </c>
      <c r="EB109" s="1">
        <v>6.1739788801699377E-2</v>
      </c>
      <c r="EC109" s="1">
        <v>5.4429880442238662E-2</v>
      </c>
      <c r="ED109" s="1">
        <v>5.061749691679579E-2</v>
      </c>
      <c r="EE109" s="1">
        <v>7.1410002370567438E-3</v>
      </c>
      <c r="EF109" s="1">
        <v>4.2044077733747881E-2</v>
      </c>
      <c r="EG109" s="1">
        <v>4.4049606427760776E-2</v>
      </c>
      <c r="EH109" s="1">
        <v>3.9237419740416446E-2</v>
      </c>
      <c r="EI109" s="1">
        <v>-1.5147789234725845E-2</v>
      </c>
      <c r="EJ109" s="1">
        <v>2.4691875916693765E-2</v>
      </c>
      <c r="EK109" s="1">
        <v>1.367959075103381E-2</v>
      </c>
      <c r="EL109" s="1">
        <v>2.3905652344292663E-2</v>
      </c>
      <c r="EM109" s="1">
        <v>1.4181890099272121E-3</v>
      </c>
      <c r="EN109" s="1">
        <v>1.3047579599851755E-2</v>
      </c>
      <c r="EO109" s="1">
        <v>6.2154699703540345E-3</v>
      </c>
      <c r="EP109" s="1">
        <v>8.5589792212514004E-3</v>
      </c>
      <c r="EQ109" s="1">
        <v>-6.787693901789793E-3</v>
      </c>
      <c r="ER109" s="1">
        <v>8.2356486518959104E-3</v>
      </c>
      <c r="ES109" s="1">
        <v>2.4493202054110833E-2</v>
      </c>
      <c r="ET109" s="1">
        <v>1.8322403550853184E-2</v>
      </c>
      <c r="EU109" s="1">
        <v>-1.2818929971357418E-2</v>
      </c>
      <c r="EV109" s="10">
        <v>1.0579413642181762E-2</v>
      </c>
    </row>
    <row r="110" spans="1:152" x14ac:dyDescent="0.25">
      <c r="A110" s="21">
        <f t="shared" ca="1" si="1"/>
        <v>4.5152569384240775E-2</v>
      </c>
      <c r="B110" s="5">
        <v>109</v>
      </c>
      <c r="C110" s="9">
        <v>4.2957851890693816E-4</v>
      </c>
      <c r="D110" s="1">
        <v>1.4566283020502023E-2</v>
      </c>
      <c r="E110" s="1">
        <v>3.515402351552864E-3</v>
      </c>
      <c r="F110" s="1">
        <v>5.1864149229480447E-3</v>
      </c>
      <c r="G110" s="1">
        <v>-5.0958618155676708E-3</v>
      </c>
      <c r="H110" s="1">
        <v>-1.3436992241138385E-2</v>
      </c>
      <c r="I110" s="1">
        <v>-8.2359177323190254E-3</v>
      </c>
      <c r="J110" s="1">
        <v>2.1005910903021188E-3</v>
      </c>
      <c r="K110" s="1">
        <v>8.5284400657384615E-3</v>
      </c>
      <c r="L110" s="1">
        <v>1.3595709864029526E-2</v>
      </c>
      <c r="M110" s="1">
        <v>-9.8523274234379316E-4</v>
      </c>
      <c r="N110" s="1">
        <v>-1.7538366727772522E-3</v>
      </c>
      <c r="O110" s="1">
        <v>1.5266722435424707E-2</v>
      </c>
      <c r="P110" s="1">
        <v>5.6306530277262824E-3</v>
      </c>
      <c r="Q110" s="1">
        <v>-4.0710565749897329E-3</v>
      </c>
      <c r="R110" s="1">
        <v>-2.5646482861193799E-2</v>
      </c>
      <c r="S110" s="1">
        <v>-1.3436992241138385E-2</v>
      </c>
      <c r="T110" s="1">
        <v>-2.1980747775554657E-3</v>
      </c>
      <c r="U110" s="1">
        <v>-1.4294708471220344E-3</v>
      </c>
      <c r="V110" s="1">
        <v>-1.2992754136360146E-2</v>
      </c>
      <c r="W110" s="1">
        <v>9.8094466164608887E-3</v>
      </c>
      <c r="X110" s="1">
        <v>-1.2022180979887654E-2</v>
      </c>
      <c r="Y110" s="1">
        <v>-1.2804717341726413E-2</v>
      </c>
      <c r="Z110" s="1">
        <v>-2.5692846461047858E-4</v>
      </c>
      <c r="AA110" s="1">
        <v>-1.7538366727772522E-3</v>
      </c>
      <c r="AB110" s="1">
        <v>1.6493496902041681E-2</v>
      </c>
      <c r="AC110" s="1">
        <v>-3.1547155026226854E-3</v>
      </c>
      <c r="AD110" s="1">
        <v>2.3567924004465959E-3</v>
      </c>
      <c r="AE110" s="1">
        <v>5.9550188533814899E-3</v>
      </c>
      <c r="AF110" s="1">
        <v>3.515402351552864E-3</v>
      </c>
      <c r="AG110" s="1">
        <v>9.0408426860274158E-3</v>
      </c>
      <c r="AH110" s="1">
        <v>4.5541400235360845E-3</v>
      </c>
      <c r="AI110" s="1">
        <v>-1.660491302070034E-2</v>
      </c>
      <c r="AJ110" s="1">
        <v>-1.7049151125478577E-2</v>
      </c>
      <c r="AK110" s="1">
        <v>1.0968056567567129E-2</v>
      </c>
      <c r="AL110" s="1">
        <v>9.2970439961718929E-3</v>
      </c>
      <c r="AM110" s="1">
        <v>8.1384340450656803E-3</v>
      </c>
      <c r="AN110" s="1">
        <v>-4.3954224006449265E-3</v>
      </c>
      <c r="AO110" s="1">
        <v>4.9302136128035676E-3</v>
      </c>
      <c r="AP110" s="1">
        <v>4.0278049718418321E-3</v>
      </c>
      <c r="AQ110" s="1">
        <v>-4.125288659095179E-3</v>
      </c>
      <c r="AR110" s="1">
        <v>2.9417359368425107E-2</v>
      </c>
      <c r="AS110" s="1">
        <v>-2.2662392930662204E-3</v>
      </c>
      <c r="AT110" s="1">
        <v>-1.200824854848238E-2</v>
      </c>
      <c r="AU110" s="1">
        <v>-1.5620407432822548E-2</v>
      </c>
      <c r="AV110" s="1">
        <v>1.0011415842499906E-2</v>
      </c>
      <c r="AW110" s="1">
        <v>-1.0365100839897745E-2</v>
      </c>
      <c r="AX110" s="1">
        <v>1.5881884700131507E-3</v>
      </c>
      <c r="AY110" s="1">
        <v>-2.9124466238834787E-3</v>
      </c>
      <c r="AZ110" s="1">
        <v>5.6988175432370128E-3</v>
      </c>
      <c r="BA110" s="1">
        <v>3.088718512580052E-3</v>
      </c>
      <c r="BB110" s="1">
        <v>-1.1102218073120465E-2</v>
      </c>
      <c r="BC110" s="1">
        <v>2.1320777875128566E-3</v>
      </c>
      <c r="BD110" s="1">
        <v>9.1922016623611838E-3</v>
      </c>
      <c r="BE110" s="1">
        <v>5.2179016201587686E-3</v>
      </c>
      <c r="BF110" s="1">
        <v>-4.9445028392339149E-3</v>
      </c>
      <c r="BG110" s="1">
        <v>-1.9255311704057462E-2</v>
      </c>
      <c r="BH110" s="1">
        <v>1.9136518095753813E-3</v>
      </c>
      <c r="BI110" s="1">
        <v>8.8021956416883609E-3</v>
      </c>
      <c r="BJ110" s="1">
        <v>-1.3609999090459887E-2</v>
      </c>
      <c r="BK110" s="1">
        <v>1.8233771502854601E-2</v>
      </c>
      <c r="BL110" s="1">
        <v>-1.3541834574949133E-2</v>
      </c>
      <c r="BM110" s="1">
        <v>3.0309457412381696E-2</v>
      </c>
      <c r="BN110" s="1">
        <v>-3.4615270624724637E-3</v>
      </c>
      <c r="BO110" s="1">
        <v>-1.0469943173708522E-2</v>
      </c>
      <c r="BP110" s="1">
        <v>9.0530332089586163E-4</v>
      </c>
      <c r="BQ110" s="1">
        <v>-1.9323476219568217E-2</v>
      </c>
      <c r="BR110" s="1">
        <v>8.4638973846278553E-3</v>
      </c>
      <c r="BS110" s="1">
        <v>2.1025618693149062E-2</v>
      </c>
      <c r="BT110" s="1">
        <v>9.1782692309558406E-3</v>
      </c>
      <c r="BU110" s="1">
        <v>-2.8621247370206125E-2</v>
      </c>
      <c r="BV110" s="1">
        <v>2.7643526869248272E-3</v>
      </c>
      <c r="BW110" s="1">
        <v>1.2158153215884066E-2</v>
      </c>
      <c r="BX110" s="1">
        <v>5.3920059833872311E-3</v>
      </c>
      <c r="BY110" s="1">
        <v>4.9477678786090176E-3</v>
      </c>
      <c r="BZ110" s="1">
        <v>2.5763158922910701E-3</v>
      </c>
      <c r="CA110" s="1">
        <v>1.3627196561240229E-2</v>
      </c>
      <c r="CB110" s="1">
        <v>-3.3794301155564491E-3</v>
      </c>
      <c r="CC110" s="1">
        <v>-8.0163942404745531E-3</v>
      </c>
      <c r="CD110" s="1">
        <v>1.0134909956023064E-2</v>
      </c>
      <c r="CE110" s="1">
        <v>1.0849281802351091E-2</v>
      </c>
      <c r="CF110" s="1">
        <v>1.3476935098813494E-2</v>
      </c>
      <c r="CG110" s="1">
        <v>3.2085907917030546E-3</v>
      </c>
      <c r="CH110" s="1">
        <v>-3.4475946310671829E-3</v>
      </c>
      <c r="CI110" s="1">
        <v>-2.317790398264756E-2</v>
      </c>
      <c r="CJ110" s="1">
        <v>-2.8635179801611413E-2</v>
      </c>
      <c r="CK110" s="1">
        <v>-1.7223499755665422E-3</v>
      </c>
      <c r="CL110" s="1">
        <v>2.4609912714678668E-2</v>
      </c>
      <c r="CM110" s="1">
        <v>-1.4068169626643416E-2</v>
      </c>
      <c r="CN110" s="1">
        <v>1.995748756491382E-3</v>
      </c>
      <c r="CO110" s="1">
        <v>1.0251756000188919E-3</v>
      </c>
      <c r="CP110" s="1">
        <v>-7.0597535154073576E-3</v>
      </c>
      <c r="CQ110" s="1">
        <v>6.8068172446379485E-3</v>
      </c>
      <c r="CR110" s="1">
        <v>7.439092144049933E-3</v>
      </c>
      <c r="CS110" s="1">
        <v>-3.2734902678387481E-3</v>
      </c>
      <c r="CT110" s="1">
        <v>-9.513302448641299E-3</v>
      </c>
      <c r="CU110" s="1">
        <v>-8.5427292921688089E-3</v>
      </c>
      <c r="CV110" s="1">
        <v>1.0933401155296188E-3</v>
      </c>
      <c r="CW110" s="1">
        <v>-4.5780017674255935E-4</v>
      </c>
      <c r="CX110" s="1">
        <v>-4.9445028392339149E-3</v>
      </c>
      <c r="CY110" s="1">
        <v>-9.7356708406338976E-3</v>
      </c>
      <c r="CZ110" s="1">
        <v>1.798353824805142E-2</v>
      </c>
      <c r="DA110" s="1">
        <v>2.6987332756337856E-2</v>
      </c>
      <c r="DB110" s="1">
        <v>2.3050808046342471E-2</v>
      </c>
      <c r="DC110" s="1">
        <v>1.2796396170637339E-2</v>
      </c>
      <c r="DD110" s="1">
        <v>3.6623402164036312E-2</v>
      </c>
      <c r="DE110" s="1">
        <v>1.3090372812988839E-2</v>
      </c>
      <c r="DF110" s="1">
        <v>4.2322946861739354E-2</v>
      </c>
      <c r="DG110" s="1">
        <v>4.5152569384240775E-2</v>
      </c>
      <c r="DH110" s="1">
        <v>-3.1854252655813819E-3</v>
      </c>
      <c r="DI110" s="1">
        <v>1.0855249857692359E-2</v>
      </c>
      <c r="DJ110" s="1">
        <v>2.9546821537289561E-2</v>
      </c>
      <c r="DK110" s="1">
        <v>2.12056911117188E-2</v>
      </c>
      <c r="DL110" s="1">
        <v>2.0625123975919119E-2</v>
      </c>
      <c r="DM110" s="1">
        <v>1.2470453128045345E-3</v>
      </c>
      <c r="DN110" s="1">
        <v>1.0450760867655035E-3</v>
      </c>
      <c r="DO110" s="1">
        <v>2.3307009356486948E-2</v>
      </c>
      <c r="DP110" s="1">
        <v>7.1371511256344555E-3</v>
      </c>
      <c r="DQ110" s="1">
        <v>4.7688215264390765E-2</v>
      </c>
      <c r="DR110" s="1">
        <v>5.0339711461654862E-2</v>
      </c>
      <c r="DS110" s="1">
        <v>1.0681145494463931E-2</v>
      </c>
      <c r="DT110" s="1">
        <v>7.9032307355747372E-3</v>
      </c>
      <c r="DU110" s="1">
        <v>4.8374722247908189E-2</v>
      </c>
      <c r="DV110" s="1">
        <v>3.0247260952212245E-2</v>
      </c>
      <c r="DW110" s="1">
        <v>8.4837978713744461E-3</v>
      </c>
      <c r="DX110" s="1">
        <v>2.9601053621394986E-2</v>
      </c>
      <c r="DY110" s="1">
        <v>2.4721820617737679E-2</v>
      </c>
      <c r="DZ110" s="1">
        <v>1.5598153830328206E-2</v>
      </c>
      <c r="EA110" s="1">
        <v>2.0693288491429873E-2</v>
      </c>
      <c r="EB110" s="1">
        <v>4.2052813120189575E-2</v>
      </c>
      <c r="EC110" s="1">
        <v>4.5220733899751536E-2</v>
      </c>
      <c r="ED110" s="1">
        <v>1.6246885481638634E-2</v>
      </c>
      <c r="EE110" s="1">
        <v>1.8065635194967469E-2</v>
      </c>
      <c r="EF110" s="1">
        <v>3.4531994388664569E-2</v>
      </c>
      <c r="EG110" s="1">
        <v>4.0501672827917376E-2</v>
      </c>
      <c r="EH110" s="1">
        <v>3.3295309452651203E-2</v>
      </c>
      <c r="EI110" s="1">
        <v>-1.0706243997106388E-2</v>
      </c>
      <c r="EJ110" s="1">
        <v>1.7781569022012396E-2</v>
      </c>
      <c r="EK110" s="1">
        <v>1.367093994878852E-2</v>
      </c>
      <c r="EL110" s="1">
        <v>1.9534678540323619E-2</v>
      </c>
      <c r="EM110" s="1">
        <v>7.7972908878570224E-3</v>
      </c>
      <c r="EN110" s="1">
        <v>1.4279371947398825E-2</v>
      </c>
      <c r="EO110" s="1">
        <v>1.798353824805142E-2</v>
      </c>
      <c r="EP110" s="1">
        <v>8.7539316129242178E-3</v>
      </c>
      <c r="EQ110" s="1">
        <v>-2.0268153144751555E-3</v>
      </c>
      <c r="ER110" s="1">
        <v>1.402317063725432E-2</v>
      </c>
      <c r="ES110" s="1">
        <v>3.4816060561619636E-2</v>
      </c>
      <c r="ET110" s="1">
        <v>1.8051702763562147E-2</v>
      </c>
      <c r="EU110" s="1">
        <v>-1.0005804582183669E-2</v>
      </c>
      <c r="EV110" s="10">
        <v>1.1743726067248834E-2</v>
      </c>
    </row>
    <row r="111" spans="1:152" x14ac:dyDescent="0.25">
      <c r="A111" s="21">
        <f t="shared" ca="1" si="1"/>
        <v>6.1448150940713139E-2</v>
      </c>
      <c r="B111" s="5">
        <v>110</v>
      </c>
      <c r="C111" s="9">
        <v>-1.4538339196234346E-3</v>
      </c>
      <c r="D111" s="1">
        <v>-1.1144996909839E-2</v>
      </c>
      <c r="E111" s="1">
        <v>-7.2560696179745365E-3</v>
      </c>
      <c r="F111" s="1">
        <v>-9.1916317669223369E-3</v>
      </c>
      <c r="G111" s="1">
        <v>4.9062972630881108E-4</v>
      </c>
      <c r="H111" s="1">
        <v>1.8668776303778695E-2</v>
      </c>
      <c r="I111" s="1">
        <v>2.8163623649570396E-3</v>
      </c>
      <c r="J111" s="1">
        <v>-3.3893960685712071E-3</v>
      </c>
      <c r="K111" s="1">
        <v>-1.306275606481791E-2</v>
      </c>
      <c r="L111" s="1">
        <v>-1.5392939451958396E-2</v>
      </c>
      <c r="M111" s="1">
        <v>2.4128396297799226E-3</v>
      </c>
      <c r="N111" s="1">
        <v>-3.3804945715867757E-3</v>
      </c>
      <c r="O111" s="1">
        <v>-1.7328501600906168E-2</v>
      </c>
      <c r="P111" s="1">
        <v>-1.7306247858445076E-2</v>
      </c>
      <c r="Q111" s="1">
        <v>8.2150753281310523E-3</v>
      </c>
      <c r="R111" s="1">
        <v>2.8355488545502044E-2</v>
      </c>
      <c r="S111" s="1">
        <v>1.8668776303778695E-2</v>
      </c>
      <c r="T111" s="1">
        <v>4.7341215199359493E-3</v>
      </c>
      <c r="U111" s="1">
        <v>1.0527455721302634E-2</v>
      </c>
      <c r="V111" s="1">
        <v>1.0554160212255956E-2</v>
      </c>
      <c r="W111" s="1">
        <v>-3.4071990625400977E-3</v>
      </c>
      <c r="X111" s="1">
        <v>1.4802102754375365E-2</v>
      </c>
      <c r="Y111" s="1">
        <v>5.0843272027767394E-4</v>
      </c>
      <c r="Z111" s="1">
        <v>1.3230006604174727E-2</v>
      </c>
      <c r="AA111" s="1">
        <v>-3.3804945715867757E-3</v>
      </c>
      <c r="AB111" s="1">
        <v>-1.1149447658331202E-2</v>
      </c>
      <c r="AC111" s="1">
        <v>8.9865148105475745E-3</v>
      </c>
      <c r="AD111" s="1">
        <v>-1.4582846681156364E-3</v>
      </c>
      <c r="AE111" s="1">
        <v>-3.3982975655556386E-3</v>
      </c>
      <c r="AF111" s="1">
        <v>-7.2560696179745365E-3</v>
      </c>
      <c r="AG111" s="1">
        <v>-9.2005332639067683E-3</v>
      </c>
      <c r="AH111" s="1">
        <v>8.9687118165786839E-3</v>
      </c>
      <c r="AI111" s="1">
        <v>3.9938372769649649E-3</v>
      </c>
      <c r="AJ111" s="1">
        <v>1.2108453368487718E-2</v>
      </c>
      <c r="AK111" s="1">
        <v>-9.2049840123989979E-3</v>
      </c>
      <c r="AL111" s="1">
        <v>-7.2694218634511976E-3</v>
      </c>
      <c r="AM111" s="1">
        <v>-1.4716369135922974E-3</v>
      </c>
      <c r="AN111" s="1">
        <v>-5.6928749647583848E-3</v>
      </c>
      <c r="AO111" s="1">
        <v>-1.1122743167377908E-2</v>
      </c>
      <c r="AP111" s="1">
        <v>-3.3938468170634367E-3</v>
      </c>
      <c r="AQ111" s="1">
        <v>4.7385722684281789E-3</v>
      </c>
      <c r="AR111" s="1">
        <v>-1.8519328758390727E-2</v>
      </c>
      <c r="AS111" s="1">
        <v>-7.2427173724979033E-3</v>
      </c>
      <c r="AT111" s="1">
        <v>2.3302438587106351E-2</v>
      </c>
      <c r="AU111" s="1">
        <v>1.6742115651815354E-2</v>
      </c>
      <c r="AV111" s="1">
        <v>-4.9525907217873866E-3</v>
      </c>
      <c r="AW111" s="1">
        <v>4.3662047726965719E-3</v>
      </c>
      <c r="AX111" s="1">
        <v>-7.2516188694823347E-3</v>
      </c>
      <c r="AY111" s="1">
        <v>2.4172903782721522E-3</v>
      </c>
      <c r="AZ111" s="1">
        <v>-5.3294089660112093E-3</v>
      </c>
      <c r="BA111" s="1">
        <v>1.2873786520308489E-2</v>
      </c>
      <c r="BB111" s="1">
        <v>1.9088446450821209E-2</v>
      </c>
      <c r="BC111" s="1">
        <v>1.7126179810920114E-2</v>
      </c>
      <c r="BD111" s="1">
        <v>-1.0707523768827595E-2</v>
      </c>
      <c r="BE111" s="1">
        <v>1.132394411256897E-2</v>
      </c>
      <c r="BF111" s="1">
        <v>-1.0163607786120576E-3</v>
      </c>
      <c r="BG111" s="1">
        <v>2.7220865536312824E-2</v>
      </c>
      <c r="BH111" s="1">
        <v>-2.7304672699112464E-2</v>
      </c>
      <c r="BI111" s="1">
        <v>8.8359538239798918E-4</v>
      </c>
      <c r="BJ111" s="1">
        <v>3.2538355059684582E-3</v>
      </c>
      <c r="BK111" s="1">
        <v>-3.5069175037364675E-2</v>
      </c>
      <c r="BL111" s="1">
        <v>1.5230674398402297E-2</v>
      </c>
      <c r="BM111" s="1">
        <v>-3.1233656727406883E-2</v>
      </c>
      <c r="BN111" s="1">
        <v>7.0938045644184655E-3</v>
      </c>
      <c r="BO111" s="1">
        <v>9.2810286732017411E-4</v>
      </c>
      <c r="BP111" s="1">
        <v>1.0947125868345148E-2</v>
      </c>
      <c r="BQ111" s="1">
        <v>1.5244026643878958E-2</v>
      </c>
      <c r="BR111" s="1">
        <v>-2.1524690743222413E-2</v>
      </c>
      <c r="BS111" s="1">
        <v>-3.0278102659436756E-4</v>
      </c>
      <c r="BT111" s="1">
        <v>-1.9207859601558588E-2</v>
      </c>
      <c r="BU111" s="1">
        <v>3.7674566511960467E-2</v>
      </c>
      <c r="BV111" s="1">
        <v>-1.0341637725809205E-3</v>
      </c>
      <c r="BW111" s="1">
        <v>5.5128069172334371E-3</v>
      </c>
      <c r="BX111" s="1">
        <v>-7.2221192121403044E-3</v>
      </c>
      <c r="BY111" s="1">
        <v>8.9249687938242062E-4</v>
      </c>
      <c r="BZ111" s="1">
        <v>9.0115637193973752E-3</v>
      </c>
      <c r="CA111" s="1">
        <v>5.1226364275329395E-3</v>
      </c>
      <c r="CB111" s="1">
        <v>2.7570979289583325E-2</v>
      </c>
      <c r="CC111" s="1">
        <v>1.3286210752470065E-2</v>
      </c>
      <c r="CD111" s="1">
        <v>-2.3460252892170214E-2</v>
      </c>
      <c r="CE111" s="1">
        <v>-2.1143421750506361E-2</v>
      </c>
      <c r="CF111" s="1">
        <v>-2.7331377190065759E-2</v>
      </c>
      <c r="CG111" s="1">
        <v>-9.1487798641036316E-3</v>
      </c>
      <c r="CH111" s="1">
        <v>1.5594140397149472E-2</v>
      </c>
      <c r="CI111" s="1">
        <v>1.5252928140863389E-2</v>
      </c>
      <c r="CJ111" s="1">
        <v>2.917423067922946E-2</v>
      </c>
      <c r="CK111" s="1">
        <v>1.7135081307904546E-2</v>
      </c>
      <c r="CL111" s="1">
        <v>-1.0743129756765349E-2</v>
      </c>
      <c r="CM111" s="1">
        <v>2.8681157647601763E-3</v>
      </c>
      <c r="CN111" s="1">
        <v>-6.8274979739475911E-3</v>
      </c>
      <c r="CO111" s="1">
        <v>-1.1075440516066973E-2</v>
      </c>
      <c r="CP111" s="1">
        <v>9.0338174618584677E-3</v>
      </c>
      <c r="CQ111" s="1">
        <v>-1.1088792761543634E-2</v>
      </c>
      <c r="CR111" s="1">
        <v>-2.9249136345044668E-2</v>
      </c>
      <c r="CS111" s="1">
        <v>-2.9519229275598163E-3</v>
      </c>
      <c r="CT111" s="1">
        <v>-3.3242904232914372E-3</v>
      </c>
      <c r="CU111" s="1">
        <v>9.2365211882794451E-4</v>
      </c>
      <c r="CV111" s="1">
        <v>9.0139837636685205E-4</v>
      </c>
      <c r="CW111" s="1">
        <v>-1.9185605859097496E-2</v>
      </c>
      <c r="CX111" s="1">
        <v>-1.0163607786120576E-3</v>
      </c>
      <c r="CY111" s="1">
        <v>5.5668168984823102E-2</v>
      </c>
      <c r="CZ111" s="1">
        <v>6.9226127052878644E-3</v>
      </c>
      <c r="DA111" s="1">
        <v>2.5060702546327793E-2</v>
      </c>
      <c r="DB111" s="1">
        <v>4.5924293181473785E-3</v>
      </c>
      <c r="DC111" s="1">
        <v>3.1275362476840499E-2</v>
      </c>
      <c r="DD111" s="1">
        <v>2.5038448803866672E-2</v>
      </c>
      <c r="DE111" s="1">
        <v>-9.2932672322809523E-3</v>
      </c>
      <c r="DF111" s="1">
        <v>4.5479218332251659E-3</v>
      </c>
      <c r="DG111" s="1">
        <v>-3.1854252655815068E-3</v>
      </c>
      <c r="DH111" s="1">
        <v>6.1448150940713139E-2</v>
      </c>
      <c r="DI111" s="1">
        <v>2.2779477392601707E-2</v>
      </c>
      <c r="DJ111" s="1">
        <v>6.8959082143345424E-3</v>
      </c>
      <c r="DK111" s="1">
        <v>2.5074054791804454E-2</v>
      </c>
      <c r="DL111" s="1">
        <v>9.2349930984594597E-3</v>
      </c>
      <c r="DM111" s="1">
        <v>3.9802402800524814E-2</v>
      </c>
      <c r="DN111" s="1">
        <v>4.1347794459772089E-2</v>
      </c>
      <c r="DO111" s="1">
        <v>6.5235407186029215E-3</v>
      </c>
      <c r="DP111" s="1">
        <v>4.6742056674453886E-2</v>
      </c>
      <c r="DQ111" s="1">
        <v>2.9649857344733244E-2</v>
      </c>
      <c r="DR111" s="1">
        <v>-2.7538175037134155E-2</v>
      </c>
      <c r="DS111" s="1">
        <v>4.1325540717310996E-2</v>
      </c>
      <c r="DT111" s="1">
        <v>1.5059482539271682E-2</v>
      </c>
      <c r="DU111" s="1">
        <v>1.4966016820935082E-2</v>
      </c>
      <c r="DV111" s="1">
        <v>7.1240352326738809E-4</v>
      </c>
      <c r="DW111" s="1">
        <v>3.0898544232616648E-2</v>
      </c>
      <c r="DX111" s="1">
        <v>1.0372411274037402E-2</v>
      </c>
      <c r="DY111" s="1">
        <v>2.6568671691995782E-3</v>
      </c>
      <c r="DZ111" s="1">
        <v>6.5413437125718121E-3</v>
      </c>
      <c r="EA111" s="1">
        <v>2.1211831990893312E-2</v>
      </c>
      <c r="EB111" s="1">
        <v>-5.8835253999613701E-3</v>
      </c>
      <c r="EC111" s="1">
        <v>8.7914136268523457E-3</v>
      </c>
      <c r="ED111" s="1">
        <v>3.4357244298350659E-2</v>
      </c>
      <c r="EE111" s="1">
        <v>2.7399787430452724E-2</v>
      </c>
      <c r="EF111" s="1">
        <v>-1.5911449897970789E-2</v>
      </c>
      <c r="EG111" s="1">
        <v>-2.5970529635425746E-2</v>
      </c>
      <c r="EH111" s="1">
        <v>3.7409908934493238E-2</v>
      </c>
      <c r="EI111" s="1">
        <v>5.142022644270372E-2</v>
      </c>
      <c r="EJ111" s="1">
        <v>8.4680043645351533E-3</v>
      </c>
      <c r="EK111" s="1">
        <v>6.545794461064014E-3</v>
      </c>
      <c r="EL111" s="1">
        <v>2.7009616940752226E-2</v>
      </c>
      <c r="EM111" s="1">
        <v>4.5582384756414837E-2</v>
      </c>
      <c r="EN111" s="1">
        <v>3.9385527819870994E-2</v>
      </c>
      <c r="EO111" s="1">
        <v>6.9226127052878644E-3</v>
      </c>
      <c r="EP111" s="1">
        <v>4.1329991465803226E-2</v>
      </c>
      <c r="EQ111" s="1">
        <v>5.5650365990854211E-2</v>
      </c>
      <c r="ER111" s="1">
        <v>3.7454416419415423E-2</v>
      </c>
      <c r="ES111" s="1">
        <v>3.0203331679467676E-3</v>
      </c>
      <c r="ET111" s="1">
        <v>1.8899451597721703E-2</v>
      </c>
      <c r="EU111" s="1">
        <v>4.5236721751636511E-2</v>
      </c>
      <c r="EV111" s="10">
        <v>6.5502452095562436E-3</v>
      </c>
    </row>
    <row r="112" spans="1:152" x14ac:dyDescent="0.25">
      <c r="A112" s="21">
        <f t="shared" ca="1" si="1"/>
        <v>2.6742899132122994E-2</v>
      </c>
      <c r="B112" s="5">
        <v>111</v>
      </c>
      <c r="C112" s="9">
        <v>1.6818536139729251E-3</v>
      </c>
      <c r="D112" s="1">
        <v>-8.9311131358869728E-3</v>
      </c>
      <c r="E112" s="1">
        <v>-2.2677024610732038E-3</v>
      </c>
      <c r="F112" s="1">
        <v>-3.872104959287373E-3</v>
      </c>
      <c r="G112" s="1">
        <v>5.0135589513797957E-3</v>
      </c>
      <c r="H112" s="1">
        <v>5.8470840369903299E-3</v>
      </c>
      <c r="I112" s="1">
        <v>1.9740412994263962E-3</v>
      </c>
      <c r="J112" s="1">
        <v>7.7451115758755962E-5</v>
      </c>
      <c r="K112" s="1">
        <v>-7.0809099557156974E-3</v>
      </c>
      <c r="L112" s="1">
        <v>-4.9050437233586486E-3</v>
      </c>
      <c r="M112" s="1">
        <v>4.0270071908048849E-3</v>
      </c>
      <c r="N112" s="1">
        <v>1.8047539549514574E-3</v>
      </c>
      <c r="O112" s="1">
        <v>-6.50944622157279E-3</v>
      </c>
      <c r="P112" s="1">
        <v>-2.1911891235910086E-3</v>
      </c>
      <c r="Q112" s="1">
        <v>7.9765632658510138E-3</v>
      </c>
      <c r="R112" s="1">
        <v>1.5596399367253849E-2</v>
      </c>
      <c r="S112" s="1">
        <v>5.8470840369903299E-3</v>
      </c>
      <c r="T112" s="1">
        <v>1.2383811925513466E-4</v>
      </c>
      <c r="U112" s="1">
        <v>2.3460913551085344E-3</v>
      </c>
      <c r="V112" s="1">
        <v>7.5279998726866942E-3</v>
      </c>
      <c r="W112" s="1">
        <v>-3.3771545626266747E-3</v>
      </c>
      <c r="X112" s="1">
        <v>3.5019304601583701E-3</v>
      </c>
      <c r="Y112" s="1">
        <v>8.4681646297652263E-3</v>
      </c>
      <c r="Z112" s="1">
        <v>-7.9283007058014998E-3</v>
      </c>
      <c r="AA112" s="1">
        <v>1.8047539549514574E-3</v>
      </c>
      <c r="AB112" s="1">
        <v>-9.7947645554833235E-3</v>
      </c>
      <c r="AC112" s="1">
        <v>-3.0385798736768388E-3</v>
      </c>
      <c r="AD112" s="1">
        <v>8.1820219437654662E-4</v>
      </c>
      <c r="AE112" s="1">
        <v>-1.6498517234339732E-3</v>
      </c>
      <c r="AF112" s="1">
        <v>-2.2677024610732038E-3</v>
      </c>
      <c r="AG112" s="1">
        <v>-5.5994077984800744E-3</v>
      </c>
      <c r="AH112" s="1">
        <v>-6.4931855520622694E-3</v>
      </c>
      <c r="AI112" s="1">
        <v>1.718454119595747E-2</v>
      </c>
      <c r="AJ112" s="1">
        <v>1.550362536026112E-2</v>
      </c>
      <c r="AK112" s="1">
        <v>-6.4630592180764529E-3</v>
      </c>
      <c r="AL112" s="1">
        <v>-4.8586567198622838E-3</v>
      </c>
      <c r="AM112" s="1">
        <v>-1.7727520644125194E-3</v>
      </c>
      <c r="AN112" s="1">
        <v>7.4352258656939507E-3</v>
      </c>
      <c r="AO112" s="1">
        <v>-4.6128560379051775E-3</v>
      </c>
      <c r="AP112" s="1">
        <v>-7.8620030383759476E-4</v>
      </c>
      <c r="AQ112" s="1">
        <v>9.8748953885148538E-4</v>
      </c>
      <c r="AR112" s="1">
        <v>-2.4310900376892951E-2</v>
      </c>
      <c r="AS112" s="1">
        <v>3.2325179771586221E-4</v>
      </c>
      <c r="AT112" s="1">
        <v>-3.6865569453018998E-3</v>
      </c>
      <c r="AU112" s="1">
        <v>5.9699843779688899E-3</v>
      </c>
      <c r="AV112" s="1">
        <v>-9.6254772110083847E-3</v>
      </c>
      <c r="AW112" s="1">
        <v>9.0860153674044847E-3</v>
      </c>
      <c r="AX112" s="1">
        <v>-1.4040510414768531E-3</v>
      </c>
      <c r="AY112" s="1">
        <v>4.8906586104012634E-3</v>
      </c>
      <c r="AZ112" s="1">
        <v>-2.3906028020517639E-3</v>
      </c>
      <c r="BA112" s="1">
        <v>2.7044927598857127E-4</v>
      </c>
      <c r="BB112" s="1">
        <v>3.8943422988489129E-3</v>
      </c>
      <c r="BC112" s="1">
        <v>-2.8919687169433952E-3</v>
      </c>
      <c r="BD112" s="1">
        <v>-7.4292491956429556E-3</v>
      </c>
      <c r="BE112" s="1">
        <v>-6.8415247919895172E-3</v>
      </c>
      <c r="BF112" s="1">
        <v>3.1837175542169249E-3</v>
      </c>
      <c r="BG112" s="1">
        <v>5.6680321415379861E-3</v>
      </c>
      <c r="BH112" s="1">
        <v>4.894759723899092E-3</v>
      </c>
      <c r="BI112" s="1">
        <v>-2.1210913043397638E-3</v>
      </c>
      <c r="BJ112" s="1">
        <v>3.4759052396704099E-3</v>
      </c>
      <c r="BK112" s="1">
        <v>-5.8411073669393312E-3</v>
      </c>
      <c r="BL112" s="1">
        <v>3.2764915612096546E-3</v>
      </c>
      <c r="BM112" s="1">
        <v>-9.5415137272818612E-3</v>
      </c>
      <c r="BN112" s="1">
        <v>6.3915029892423064E-4</v>
      </c>
      <c r="BO112" s="1">
        <v>6.5154228916238094E-3</v>
      </c>
      <c r="BP112" s="1">
        <v>3.9334961696711745E-4</v>
      </c>
      <c r="BQ112" s="1">
        <v>5.8674458199987345E-3</v>
      </c>
      <c r="BR112" s="1">
        <v>4.5260587009634534E-3</v>
      </c>
      <c r="BS112" s="1">
        <v>-1.9058894040063556E-2</v>
      </c>
      <c r="BT112" s="1">
        <v>-2.4076179018267529E-4</v>
      </c>
      <c r="BU112" s="1">
        <v>3.5385529126773091E-3</v>
      </c>
      <c r="BV112" s="1">
        <v>-2.7088812416849531E-4</v>
      </c>
      <c r="BW112" s="1">
        <v>-1.2518383706228355E-2</v>
      </c>
      <c r="BX112" s="1">
        <v>1.2871273705492986E-3</v>
      </c>
      <c r="BY112" s="1">
        <v>-3.9378846514705537E-4</v>
      </c>
      <c r="BZ112" s="1">
        <v>-1.2110528812470378E-3</v>
      </c>
      <c r="CA112" s="1">
        <v>-7.8744635560607928E-3</v>
      </c>
      <c r="CB112" s="1">
        <v>-6.7487507849967911E-3</v>
      </c>
      <c r="CC112" s="1">
        <v>-5.5213776197216013E-5</v>
      </c>
      <c r="CD112" s="1">
        <v>2.9216562027492843E-3</v>
      </c>
      <c r="CE112" s="1">
        <v>-1.8451642883968444E-3</v>
      </c>
      <c r="CF112" s="1">
        <v>-2.8714879367904705E-4</v>
      </c>
      <c r="CG112" s="1">
        <v>1.4100277115278587E-3</v>
      </c>
      <c r="CH112" s="1">
        <v>-6.5493371065360392E-3</v>
      </c>
      <c r="CI112" s="1">
        <v>7.5947486591914429E-3</v>
      </c>
      <c r="CJ112" s="1">
        <v>1.0727040318137572E-2</v>
      </c>
      <c r="CK112" s="1">
        <v>-1.1646658777506799E-3</v>
      </c>
      <c r="CL112" s="1">
        <v>-1.4338460552413803E-2</v>
      </c>
      <c r="CM112" s="1">
        <v>8.9834768094343292E-3</v>
      </c>
      <c r="CN112" s="1">
        <v>-2.4931413600219159E-3</v>
      </c>
      <c r="CO112" s="1">
        <v>1.5329280525064048E-3</v>
      </c>
      <c r="CP112" s="1">
        <v>3.1072042167347505E-3</v>
      </c>
      <c r="CQ112" s="1">
        <v>-1.0580262062826577E-3</v>
      </c>
      <c r="CR112" s="1">
        <v>1.5630543864922214E-3</v>
      </c>
      <c r="CS112" s="1">
        <v>1.5793150560027835E-3</v>
      </c>
      <c r="CT112" s="1">
        <v>9.6778408845557551E-3</v>
      </c>
      <c r="CU112" s="1">
        <v>5.6517714720274448E-3</v>
      </c>
      <c r="CV112" s="1">
        <v>1.3335143740456634E-3</v>
      </c>
      <c r="CW112" s="1">
        <v>4.077495307799113E-3</v>
      </c>
      <c r="CX112" s="1">
        <v>3.1837175542169249E-3</v>
      </c>
      <c r="CY112" s="1">
        <v>2.3148178415537235E-2</v>
      </c>
      <c r="CZ112" s="1">
        <v>2.2006204974962702E-2</v>
      </c>
      <c r="DA112" s="1">
        <v>1.5066867284206018E-2</v>
      </c>
      <c r="DB112" s="1">
        <v>2.4182071207319741E-2</v>
      </c>
      <c r="DC112" s="1">
        <v>1.8690760307066359E-2</v>
      </c>
      <c r="DD112" s="1">
        <v>1.0748610186224229E-2</v>
      </c>
      <c r="DE112" s="1">
        <v>2.7958990905144452E-2</v>
      </c>
      <c r="DF112" s="1">
        <v>1.5545557011356164E-2</v>
      </c>
      <c r="DG112" s="1">
        <v>1.0855249857692231E-2</v>
      </c>
      <c r="DH112" s="1">
        <v>2.2779477392601589E-2</v>
      </c>
      <c r="DI112" s="1">
        <v>2.6742899132122994E-2</v>
      </c>
      <c r="DJ112" s="1">
        <v>1.6824296457384556E-2</v>
      </c>
      <c r="DK112" s="1">
        <v>1.7657821542995084E-2</v>
      </c>
      <c r="DL112" s="1">
        <v>1.6375733064220209E-2</v>
      </c>
      <c r="DM112" s="1">
        <v>1.6684181419184228E-2</v>
      </c>
      <c r="DN112" s="1">
        <v>2.2932504067565959E-2</v>
      </c>
      <c r="DO112" s="1">
        <v>2.4922822285937545E-2</v>
      </c>
      <c r="DP112" s="1">
        <v>2.8071374614394212E-2</v>
      </c>
      <c r="DQ112" s="1">
        <v>-3.1032878940497888E-3</v>
      </c>
      <c r="DR112" s="1">
        <v>1.417069452558857E-2</v>
      </c>
      <c r="DS112" s="1">
        <v>1.8614246969584171E-2</v>
      </c>
      <c r="DT112" s="1">
        <v>2.4643546237248126E-2</v>
      </c>
      <c r="DU112" s="1">
        <v>6.5068664257246223E-3</v>
      </c>
      <c r="DV112" s="1">
        <v>1.9245963371698715E-2</v>
      </c>
      <c r="DW112" s="1">
        <v>2.592563471602298E-2</v>
      </c>
      <c r="DX112" s="1">
        <v>2.3813370184384081E-2</v>
      </c>
      <c r="DY112" s="1">
        <v>2.2577668709105572E-2</v>
      </c>
      <c r="DZ112" s="1">
        <v>2.8377427964322976E-2</v>
      </c>
      <c r="EA112" s="1">
        <v>1.6176319385759468E-2</v>
      </c>
      <c r="EB112" s="1">
        <v>2.1993293338198633E-2</v>
      </c>
      <c r="EC112" s="1">
        <v>1.0655836179231486E-2</v>
      </c>
      <c r="ED112" s="1">
        <v>2.9460102764637092E-2</v>
      </c>
      <c r="EE112" s="1">
        <v>1.461830389104167E-2</v>
      </c>
      <c r="EF112" s="1">
        <v>2.6388063773662609E-2</v>
      </c>
      <c r="EG112" s="1">
        <v>2.4737274271952096E-2</v>
      </c>
      <c r="EH112" s="1">
        <v>6.7689277771922768E-3</v>
      </c>
      <c r="EI112" s="1">
        <v>2.7174247828065552E-2</v>
      </c>
      <c r="EJ112" s="1">
        <v>2.8254527623344416E-2</v>
      </c>
      <c r="EK112" s="1">
        <v>2.9241079383919327E-2</v>
      </c>
      <c r="EL112" s="1">
        <v>1.9262224041209239E-2</v>
      </c>
      <c r="EM112" s="1">
        <v>1.6315480396248569E-2</v>
      </c>
      <c r="EN112" s="1">
        <v>1.6146193051773651E-2</v>
      </c>
      <c r="EO112" s="1">
        <v>2.2006204974962702E-2</v>
      </c>
      <c r="EP112" s="1">
        <v>1.9477898389180535E-2</v>
      </c>
      <c r="EQ112" s="1">
        <v>1.9693572737151797E-2</v>
      </c>
      <c r="ER112" s="1">
        <v>1.5405441973155846E-2</v>
      </c>
      <c r="ES112" s="1">
        <v>1.2751840041359874E-2</v>
      </c>
      <c r="ET112" s="1">
        <v>2.1806791296501954E-2</v>
      </c>
      <c r="EU112" s="1">
        <v>2.95959147423797E-2</v>
      </c>
      <c r="EV112" s="10">
        <v>3.0104730803515677E-2</v>
      </c>
    </row>
    <row r="113" spans="1:152" x14ac:dyDescent="0.25">
      <c r="A113" s="21">
        <f t="shared" ca="1" si="1"/>
        <v>2.5005256094847109E-2</v>
      </c>
      <c r="B113" s="5">
        <v>112</v>
      </c>
      <c r="C113" s="9">
        <v>-3.8202790712581897E-4</v>
      </c>
      <c r="D113" s="1">
        <v>6.5392858413261465E-3</v>
      </c>
      <c r="E113" s="1">
        <v>3.2573662878937898E-3</v>
      </c>
      <c r="F113" s="1">
        <v>4.5316160260017169E-3</v>
      </c>
      <c r="G113" s="1">
        <v>-2.0229876838420008E-3</v>
      </c>
      <c r="H113" s="1">
        <v>-7.8149636182739367E-3</v>
      </c>
      <c r="I113" s="1">
        <v>-9.1748911594058402E-4</v>
      </c>
      <c r="J113" s="1">
        <v>8.9222183098208729E-4</v>
      </c>
      <c r="K113" s="1">
        <v>7.0801155022175433E-3</v>
      </c>
      <c r="L113" s="1">
        <v>6.1579719536202573E-3</v>
      </c>
      <c r="M113" s="1">
        <v>-2.7471723640375284E-3</v>
      </c>
      <c r="N113" s="1">
        <v>5.2551179237383949E-4</v>
      </c>
      <c r="O113" s="1">
        <v>7.4322216917281775E-3</v>
      </c>
      <c r="P113" s="1">
        <v>6.5154465952075163E-3</v>
      </c>
      <c r="Q113" s="1">
        <v>-6.3865665590571372E-3</v>
      </c>
      <c r="R113" s="1">
        <v>-1.4552922347421771E-2</v>
      </c>
      <c r="S113" s="1">
        <v>-7.8149636182739367E-3</v>
      </c>
      <c r="T113" s="1">
        <v>-1.4583187768319808E-3</v>
      </c>
      <c r="U113" s="1">
        <v>-4.7310029332433279E-3</v>
      </c>
      <c r="V113" s="1">
        <v>-5.8311330490681129E-3</v>
      </c>
      <c r="W113" s="1">
        <v>1.6256419081986107E-3</v>
      </c>
      <c r="X113" s="1">
        <v>-5.4498191613622342E-3</v>
      </c>
      <c r="Y113" s="1">
        <v>-2.7564077610585103E-3</v>
      </c>
      <c r="Z113" s="1">
        <v>-6.9569100142020251E-4</v>
      </c>
      <c r="AA113" s="1">
        <v>5.2551179237383949E-4</v>
      </c>
      <c r="AB113" s="1">
        <v>6.7226408606302704E-3</v>
      </c>
      <c r="AC113" s="1">
        <v>-1.2603599084302329E-3</v>
      </c>
      <c r="AD113" s="1">
        <v>-1.9867288782169507E-4</v>
      </c>
      <c r="AE113" s="1">
        <v>1.258931869590349E-3</v>
      </c>
      <c r="AF113" s="1">
        <v>3.2573662878937898E-3</v>
      </c>
      <c r="AG113" s="1">
        <v>4.8983260646099785E-3</v>
      </c>
      <c r="AH113" s="1">
        <v>-5.2693983121370955E-4</v>
      </c>
      <c r="AI113" s="1">
        <v>-7.8680105625878009E-3</v>
      </c>
      <c r="AJ113" s="1">
        <v>-9.8518411317936178E-3</v>
      </c>
      <c r="AK113" s="1">
        <v>5.0816810839141024E-3</v>
      </c>
      <c r="AL113" s="1">
        <v>3.8074313458061754E-3</v>
      </c>
      <c r="AM113" s="1">
        <v>3.5139217009070439E-4</v>
      </c>
      <c r="AN113" s="1">
        <v>-1.1300518334399663E-3</v>
      </c>
      <c r="AO113" s="1">
        <v>5.6225107448054992E-3</v>
      </c>
      <c r="AP113" s="1">
        <v>1.0755768502862251E-3</v>
      </c>
      <c r="AQ113" s="1">
        <v>-1.6416737961361186E-3</v>
      </c>
      <c r="AR113" s="1">
        <v>1.4932808196287783E-2</v>
      </c>
      <c r="AS113" s="1">
        <v>2.7073012299814042E-3</v>
      </c>
      <c r="AT113" s="1">
        <v>-4.8705464052545937E-3</v>
      </c>
      <c r="AU113" s="1">
        <v>-6.9074239187742713E-3</v>
      </c>
      <c r="AV113" s="1">
        <v>5.2796399523158608E-3</v>
      </c>
      <c r="AW113" s="1">
        <v>-4.7548421793619511E-3</v>
      </c>
      <c r="AX113" s="1">
        <v>3.0740112685896659E-3</v>
      </c>
      <c r="AY113" s="1">
        <v>-2.9305273833416523E-3</v>
      </c>
      <c r="AZ113" s="1">
        <v>2.3498265883941383E-3</v>
      </c>
      <c r="BA113" s="1">
        <v>-5.113258295058272E-3</v>
      </c>
      <c r="BB113" s="1">
        <v>-7.2896792805892188E-3</v>
      </c>
      <c r="BC113" s="1">
        <v>-4.9152994266565206E-3</v>
      </c>
      <c r="BD113" s="1">
        <v>6.3311501017943445E-3</v>
      </c>
      <c r="BE113" s="1">
        <v>-1.2759052316369049E-3</v>
      </c>
      <c r="BF113" s="1">
        <v>-5.90163646657621E-4</v>
      </c>
      <c r="BG113" s="1">
        <v>-1.0006929927011552E-2</v>
      </c>
      <c r="BH113" s="1">
        <v>7.002287837675987E-3</v>
      </c>
      <c r="BI113" s="1">
        <v>-3.9757323033250136E-4</v>
      </c>
      <c r="BJ113" s="1">
        <v>-1.1256248554723999E-3</v>
      </c>
      <c r="BK113" s="1">
        <v>1.3016061886628294E-2</v>
      </c>
      <c r="BL113" s="1">
        <v>-5.2912448622857711E-3</v>
      </c>
      <c r="BM113" s="1">
        <v>1.1934402564845507E-2</v>
      </c>
      <c r="BN113" s="1">
        <v>-2.3906391965593174E-3</v>
      </c>
      <c r="BO113" s="1">
        <v>-2.2311234233738098E-3</v>
      </c>
      <c r="BP113" s="1">
        <v>-4.2057185955586204E-3</v>
      </c>
      <c r="BQ113" s="1">
        <v>-5.8413099201981705E-3</v>
      </c>
      <c r="BR113" s="1">
        <v>4.2796687391770186E-3</v>
      </c>
      <c r="BS113" s="1">
        <v>6.9196582549229738E-3</v>
      </c>
      <c r="BT113" s="1">
        <v>5.7518773456866901E-3</v>
      </c>
      <c r="BU113" s="1">
        <v>-1.1435326986228345E-2</v>
      </c>
      <c r="BV113" s="1">
        <v>1.4325643055888848E-4</v>
      </c>
      <c r="BW113" s="1">
        <v>2.7301990019909655E-3</v>
      </c>
      <c r="BX113" s="1">
        <v>1.2195473002650503E-3</v>
      </c>
      <c r="BY113" s="1">
        <v>-7.6428326894076304E-4</v>
      </c>
      <c r="BZ113" s="1">
        <v>-2.9314688574507003E-3</v>
      </c>
      <c r="CA113" s="1">
        <v>3.504506959816564E-4</v>
      </c>
      <c r="CB113" s="1">
        <v>-5.976986447265055E-3</v>
      </c>
      <c r="CC113" s="1">
        <v>-3.6502850855696031E-3</v>
      </c>
      <c r="CD113" s="1">
        <v>5.5539184772849456E-3</v>
      </c>
      <c r="CE113" s="1">
        <v>7.0261270837946102E-3</v>
      </c>
      <c r="CF113" s="1">
        <v>8.102417953500772E-3</v>
      </c>
      <c r="CG113" s="1">
        <v>2.1270869997647018E-3</v>
      </c>
      <c r="CH113" s="1">
        <v>-1.8113664404516734E-3</v>
      </c>
      <c r="CI113" s="1">
        <v>-6.2080199588064322E-3</v>
      </c>
      <c r="CJ113" s="1">
        <v>-1.2014599742335989E-2</v>
      </c>
      <c r="CK113" s="1">
        <v>-5.2820094652647823E-3</v>
      </c>
      <c r="CL113" s="1">
        <v>7.7979902562273773E-3</v>
      </c>
      <c r="CM113" s="1">
        <v>-3.6887281807858538E-3</v>
      </c>
      <c r="CN113" s="1">
        <v>3.4159405869702494E-3</v>
      </c>
      <c r="CO113" s="1">
        <v>3.0346266992643672E-3</v>
      </c>
      <c r="CP113" s="1">
        <v>-3.8482439539713614E-3</v>
      </c>
      <c r="CQ113" s="1">
        <v>3.5846917571767528E-3</v>
      </c>
      <c r="CR113" s="1">
        <v>8.6432476143921619E-3</v>
      </c>
      <c r="CS113" s="1">
        <v>6.8408609145027832E-4</v>
      </c>
      <c r="CT113" s="1">
        <v>-2.4290822917755542E-3</v>
      </c>
      <c r="CU113" s="1">
        <v>-2.047768404069672E-3</v>
      </c>
      <c r="CV113" s="1">
        <v>-1.1309933075490247E-3</v>
      </c>
      <c r="CW113" s="1">
        <v>4.8351022491660428E-3</v>
      </c>
      <c r="CX113" s="1">
        <v>-5.90163646657621E-4</v>
      </c>
      <c r="CY113" s="1">
        <v>9.6185273128337537E-3</v>
      </c>
      <c r="CZ113" s="1">
        <v>2.3905125979022324E-2</v>
      </c>
      <c r="DA113" s="1">
        <v>1.9763345218327569E-2</v>
      </c>
      <c r="DB113" s="1">
        <v>2.2982982430425042E-2</v>
      </c>
      <c r="DC113" s="1">
        <v>1.7586924232796623E-2</v>
      </c>
      <c r="DD113" s="1">
        <v>2.0680120314848217E-2</v>
      </c>
      <c r="DE113" s="1">
        <v>2.7322722059521569E-2</v>
      </c>
      <c r="DF113" s="1">
        <v>2.481653262346635E-2</v>
      </c>
      <c r="DG113" s="1">
        <v>2.9546821537289748E-2</v>
      </c>
      <c r="DH113" s="1">
        <v>6.8959082143347852E-3</v>
      </c>
      <c r="DI113" s="1">
        <v>1.6824296457384848E-2</v>
      </c>
      <c r="DJ113" s="1">
        <v>2.5005256094847109E-2</v>
      </c>
      <c r="DK113" s="1">
        <v>1.9213280160415184E-2</v>
      </c>
      <c r="DL113" s="1">
        <v>2.5560689604836137E-2</v>
      </c>
      <c r="DM113" s="1">
        <v>1.7066066873079492E-2</v>
      </c>
      <c r="DN113" s="1">
        <v>1.3412068828962249E-2</v>
      </c>
      <c r="DO113" s="1">
        <v>2.1892087711621259E-2</v>
      </c>
      <c r="DP113" s="1">
        <v>8.1263464051498334E-3</v>
      </c>
      <c r="DQ113" s="1">
        <v>2.4541312624388221E-2</v>
      </c>
      <c r="DR113" s="1">
        <v>3.586502328351545E-2</v>
      </c>
      <c r="DS113" s="1">
        <v>1.4328843925482896E-2</v>
      </c>
      <c r="DT113" s="1">
        <v>2.1004520313295867E-2</v>
      </c>
      <c r="DU113" s="1">
        <v>2.4854975718682608E-2</v>
      </c>
      <c r="DV113" s="1">
        <v>2.589819194524913E-2</v>
      </c>
      <c r="DW113" s="1">
        <v>1.4657110868874914E-2</v>
      </c>
      <c r="DX113" s="1">
        <v>2.0260363331926073E-2</v>
      </c>
      <c r="DY113" s="1">
        <v>2.4257232168532969E-2</v>
      </c>
      <c r="DZ113" s="1">
        <v>2.1158667634404736E-2</v>
      </c>
      <c r="EA113" s="1">
        <v>2.1395069598022756E-2</v>
      </c>
      <c r="EB113" s="1">
        <v>2.5328154586162489E-2</v>
      </c>
      <c r="EC113" s="1">
        <v>2.5381201530476367E-2</v>
      </c>
      <c r="ED113" s="1">
        <v>1.0645638183170415E-2</v>
      </c>
      <c r="EE113" s="1">
        <v>2.0318778728316594E-2</v>
      </c>
      <c r="EF113" s="1">
        <v>2.7669459796955571E-2</v>
      </c>
      <c r="EG113" s="1">
        <v>3.129425014287756E-2</v>
      </c>
      <c r="EH113" s="1">
        <v>1.8710893594740038E-2</v>
      </c>
      <c r="EI113" s="1">
        <v>9.2372134251278611E-3</v>
      </c>
      <c r="EJ113" s="1">
        <v>2.0251127934905092E-2</v>
      </c>
      <c r="EK113" s="1">
        <v>2.0975312615100612E-2</v>
      </c>
      <c r="EL113" s="1">
        <v>1.7939030422307264E-2</v>
      </c>
      <c r="EM113" s="1">
        <v>1.4343447774580523E-2</v>
      </c>
      <c r="EN113" s="1">
        <v>1.5786448682894947E-2</v>
      </c>
      <c r="EO113" s="1">
        <v>2.3905125979022324E-2</v>
      </c>
      <c r="EP113" s="1">
        <v>1.4145488906178772E-2</v>
      </c>
      <c r="EQ113" s="1">
        <v>1.0351947390050277E-2</v>
      </c>
      <c r="ER113" s="1">
        <v>1.6877343401698729E-2</v>
      </c>
      <c r="ES113" s="1">
        <v>2.7737110590367067E-2</v>
      </c>
      <c r="ET113" s="1">
        <v>1.9739505972208943E-2</v>
      </c>
      <c r="EU113" s="1">
        <v>1.0130149275529899E-2</v>
      </c>
      <c r="EV113" s="10">
        <v>2.0791957595796488E-2</v>
      </c>
    </row>
    <row r="114" spans="1:152" x14ac:dyDescent="0.25">
      <c r="A114" s="21">
        <f t="shared" ca="1" si="1"/>
        <v>2.1978080267460221E-2</v>
      </c>
      <c r="B114" s="5">
        <v>113</v>
      </c>
      <c r="C114" s="9">
        <v>-4.4270455614359855E-4</v>
      </c>
      <c r="D114" s="1">
        <v>1.6682715254201924E-3</v>
      </c>
      <c r="E114" s="1">
        <v>-8.7965689002765871E-4</v>
      </c>
      <c r="F114" s="1">
        <v>-8.2250552717683112E-4</v>
      </c>
      <c r="G114" s="1">
        <v>-1.7166687638675224E-3</v>
      </c>
      <c r="H114" s="1">
        <v>1.0481313431777266E-3</v>
      </c>
      <c r="I114" s="1">
        <v>-1.655254996458369E-3</v>
      </c>
      <c r="J114" s="1">
        <v>-3.8555319329276749E-4</v>
      </c>
      <c r="K114" s="1">
        <v>-7.0820280147516901E-4</v>
      </c>
      <c r="L114" s="1">
        <v>-1.6121014644777769E-4</v>
      </c>
      <c r="M114" s="1">
        <v>5.1399140591292664E-5</v>
      </c>
      <c r="N114" s="1">
        <v>-1.6023660381658637E-3</v>
      </c>
      <c r="O114" s="1">
        <v>-1.040587835969501E-4</v>
      </c>
      <c r="P114" s="1">
        <v>-3.1460908957796907E-3</v>
      </c>
      <c r="Q114" s="1">
        <v>4.8835147447534935E-4</v>
      </c>
      <c r="R114" s="1">
        <v>-4.54438315949518E-4</v>
      </c>
      <c r="S114" s="1">
        <v>1.0481313431777266E-3</v>
      </c>
      <c r="T114" s="1">
        <v>7.2121933043699238E-4</v>
      </c>
      <c r="U114" s="1">
        <v>2.3749845091941522E-3</v>
      </c>
      <c r="V114" s="1">
        <v>-1.2754540254251365E-3</v>
      </c>
      <c r="W114" s="1">
        <v>2.048072496453425E-3</v>
      </c>
      <c r="X114" s="1">
        <v>5.5402764644283189E-4</v>
      </c>
      <c r="Y114" s="1">
        <v>-4.1502944536137149E-3</v>
      </c>
      <c r="Z114" s="1">
        <v>4.3801826741729326E-3</v>
      </c>
      <c r="AA114" s="1">
        <v>-1.6023660381658637E-3</v>
      </c>
      <c r="AB114" s="1">
        <v>2.2766779478567388E-3</v>
      </c>
      <c r="AC114" s="1">
        <v>1.9422945798684178E-3</v>
      </c>
      <c r="AD114" s="1">
        <v>1.6570186629295477E-4</v>
      </c>
      <c r="AE114" s="1">
        <v>8.3125965158033222E-4</v>
      </c>
      <c r="AF114" s="1">
        <v>-8.7965689002765871E-4</v>
      </c>
      <c r="AG114" s="1">
        <v>3.9430731769626512E-4</v>
      </c>
      <c r="AH114" s="1">
        <v>4.3759202696146103E-3</v>
      </c>
      <c r="AI114" s="1">
        <v>-4.9915687320118973E-3</v>
      </c>
      <c r="AJ114" s="1">
        <v>-2.6679833634090412E-3</v>
      </c>
      <c r="AK114" s="1">
        <v>1.002713740132815E-3</v>
      </c>
      <c r="AL114" s="1">
        <v>9.4556237728198392E-4</v>
      </c>
      <c r="AM114" s="1">
        <v>1.9909211336025974E-3</v>
      </c>
      <c r="AN114" s="1">
        <v>-3.4889990728846632E-3</v>
      </c>
      <c r="AO114" s="1">
        <v>-1.3737605867625464E-3</v>
      </c>
      <c r="AP114" s="1">
        <v>2.2285322914377889E-4</v>
      </c>
      <c r="AQ114" s="1">
        <v>1.1281290800044599E-4</v>
      </c>
      <c r="AR114" s="1">
        <v>5.0574742192662295E-3</v>
      </c>
      <c r="AS114" s="1">
        <v>-2.7048761573373013E-3</v>
      </c>
      <c r="AT114" s="1">
        <v>3.6045845677422222E-3</v>
      </c>
      <c r="AU114" s="1">
        <v>-1.1153013884454208E-4</v>
      </c>
      <c r="AV114" s="1">
        <v>2.2237889895642335E-3</v>
      </c>
      <c r="AW114" s="1">
        <v>-2.4393779120057274E-3</v>
      </c>
      <c r="AX114" s="1">
        <v>-1.4880633124642086E-3</v>
      </c>
      <c r="AY114" s="1">
        <v>-5.5700728184525719E-4</v>
      </c>
      <c r="AZ114" s="1">
        <v>2.8000459199460995E-4</v>
      </c>
      <c r="BA114" s="1">
        <v>4.4728495340586767E-3</v>
      </c>
      <c r="BB114" s="1">
        <v>1.9863348860199859E-3</v>
      </c>
      <c r="BC114" s="1">
        <v>5.6939247834901056E-3</v>
      </c>
      <c r="BD114" s="1">
        <v>1.728493785162679E-4</v>
      </c>
      <c r="BE114" s="1">
        <v>5.2569724496060385E-3</v>
      </c>
      <c r="BF114" s="1">
        <v>-1.9381267030475231E-3</v>
      </c>
      <c r="BG114" s="1">
        <v>1.8762945648766564E-3</v>
      </c>
      <c r="BH114" s="1">
        <v>-7.6349186011321762E-3</v>
      </c>
      <c r="BI114" s="1">
        <v>2.8719733135940274E-3</v>
      </c>
      <c r="BJ114" s="1">
        <v>-3.1506771433622953E-3</v>
      </c>
      <c r="BK114" s="1">
        <v>-4.3642810375461236E-3</v>
      </c>
      <c r="BL114" s="1">
        <v>2.7541834441200536E-4</v>
      </c>
      <c r="BM114" s="1">
        <v>3.8866761624459928E-4</v>
      </c>
      <c r="BN114" s="1">
        <v>9.9386508799187423E-4</v>
      </c>
      <c r="BO114" s="1">
        <v>-3.2120909107714504E-3</v>
      </c>
      <c r="BP114" s="1">
        <v>3.3131880520364115E-3</v>
      </c>
      <c r="BQ114" s="1">
        <v>-1.5498009228976442E-3</v>
      </c>
      <c r="BR114" s="1">
        <v>-4.1559341550653842E-3</v>
      </c>
      <c r="BS114" s="1">
        <v>7.4250998940206606E-3</v>
      </c>
      <c r="BT114" s="1">
        <v>-2.8777075427831294E-3</v>
      </c>
      <c r="BU114" s="1">
        <v>2.4360744335790267E-3</v>
      </c>
      <c r="BV114" s="1">
        <v>4.9549898669866248E-4</v>
      </c>
      <c r="BW114" s="1">
        <v>6.0368329605950746E-3</v>
      </c>
      <c r="BX114" s="1">
        <v>-6.6842489988193192E-4</v>
      </c>
      <c r="BY114" s="1">
        <v>1.6551604687209346E-3</v>
      </c>
      <c r="BZ114" s="1">
        <v>3.3703394148872391E-3</v>
      </c>
      <c r="CA114" s="1">
        <v>5.9182678303350868E-3</v>
      </c>
      <c r="CB114" s="1">
        <v>7.4705174970655687E-3</v>
      </c>
      <c r="CC114" s="1">
        <v>1.5493825521359257E-3</v>
      </c>
      <c r="CD114" s="1">
        <v>-4.0987827922145496E-3</v>
      </c>
      <c r="CE114" s="1">
        <v>-2.8205561799322949E-3</v>
      </c>
      <c r="CF114" s="1">
        <v>-3.9844800665128875E-3</v>
      </c>
      <c r="CG114" s="1">
        <v>-1.8280863819042006E-3</v>
      </c>
      <c r="CH114" s="1">
        <v>4.0444220092912715E-3</v>
      </c>
      <c r="CI114" s="1">
        <v>-2.766613767770737E-3</v>
      </c>
      <c r="CJ114" s="1">
        <v>-6.1448248772036362E-4</v>
      </c>
      <c r="CK114" s="1">
        <v>4.4771119386170059E-3</v>
      </c>
      <c r="CL114" s="1">
        <v>5.0401007580086459E-3</v>
      </c>
      <c r="CM114" s="1">
        <v>-3.8776486960588278E-3</v>
      </c>
      <c r="CN114" s="1">
        <v>-1.158266192058487E-3</v>
      </c>
      <c r="CO114" s="1">
        <v>-2.9877478639264588E-3</v>
      </c>
      <c r="CP114" s="1">
        <v>3.2830730270449679E-4</v>
      </c>
      <c r="CQ114" s="1">
        <v>-1.1625285966168231E-3</v>
      </c>
      <c r="CR114" s="1">
        <v>-6.3609543934082524E-3</v>
      </c>
      <c r="CS114" s="1">
        <v>-1.8809753401966989E-3</v>
      </c>
      <c r="CT114" s="1">
        <v>-4.4331661602028723E-3</v>
      </c>
      <c r="CU114" s="1">
        <v>-2.6036844883349005E-3</v>
      </c>
      <c r="CV114" s="1">
        <v>4.3834762384784183E-4</v>
      </c>
      <c r="CW114" s="1">
        <v>-5.9197396549658683E-3</v>
      </c>
      <c r="CX114" s="1">
        <v>-1.9381267030475231E-3</v>
      </c>
      <c r="CY114" s="1">
        <v>2.1595070345737724E-2</v>
      </c>
      <c r="CZ114" s="1">
        <v>1.5562841625795684E-2</v>
      </c>
      <c r="DA114" s="1">
        <v>2.3803299534769864E-2</v>
      </c>
      <c r="DB114" s="1">
        <v>1.6109834280823083E-2</v>
      </c>
      <c r="DC114" s="1">
        <v>2.1316784886731169E-2</v>
      </c>
      <c r="DD114" s="1">
        <v>2.6845331646952606E-2</v>
      </c>
      <c r="DE114" s="1">
        <v>9.0904516212803321E-3</v>
      </c>
      <c r="DF114" s="1">
        <v>2.2193898505188561E-2</v>
      </c>
      <c r="DG114" s="1">
        <v>2.1205691111718782E-2</v>
      </c>
      <c r="DH114" s="1">
        <v>2.5074054791804527E-2</v>
      </c>
      <c r="DI114" s="1">
        <v>1.7657821542995229E-2</v>
      </c>
      <c r="DJ114" s="1">
        <v>1.9213280160414976E-2</v>
      </c>
      <c r="DK114" s="1">
        <v>2.1978080267460221E-2</v>
      </c>
      <c r="DL114" s="1">
        <v>1.744947466051449E-2</v>
      </c>
      <c r="DM114" s="1">
        <v>2.0716903273411271E-2</v>
      </c>
      <c r="DN114" s="1">
        <v>2.0541186780300463E-2</v>
      </c>
      <c r="DO114" s="1">
        <v>1.6661089340408799E-2</v>
      </c>
      <c r="DP114" s="1">
        <v>2.3293199673670734E-2</v>
      </c>
      <c r="DQ114" s="1">
        <v>3.2443816983699844E-2</v>
      </c>
      <c r="DR114" s="1">
        <v>1.54517478507833E-2</v>
      </c>
      <c r="DS114" s="1">
        <v>2.3583218892483205E-2</v>
      </c>
      <c r="DT114" s="1">
        <v>1.4844394882215811E-2</v>
      </c>
      <c r="DU114" s="1">
        <v>2.7620929753383316E-2</v>
      </c>
      <c r="DV114" s="1">
        <v>1.7440949851397835E-2</v>
      </c>
      <c r="DW114" s="1">
        <v>1.9373000489161549E-2</v>
      </c>
      <c r="DX114" s="1">
        <v>1.9588818726889886E-2</v>
      </c>
      <c r="DY114" s="1">
        <v>1.6166985643673918E-2</v>
      </c>
      <c r="DZ114" s="1">
        <v>1.4227463650662606E-2</v>
      </c>
      <c r="EA114" s="1">
        <v>2.0875570148288791E-2</v>
      </c>
      <c r="EB114" s="1">
        <v>1.8592086524303459E-2</v>
      </c>
      <c r="EC114" s="1">
        <v>2.4631786599493079E-2</v>
      </c>
      <c r="ED114" s="1">
        <v>2.2182164745382649E-2</v>
      </c>
      <c r="EE114" s="1">
        <v>2.2039494034869381E-2</v>
      </c>
      <c r="EF114" s="1">
        <v>1.3283620406368685E-2</v>
      </c>
      <c r="EG114" s="1">
        <v>1.2233999245489742E-2</v>
      </c>
      <c r="EH114" s="1">
        <v>2.9781585842550338E-2</v>
      </c>
      <c r="EI114" s="1">
        <v>1.9765588673869752E-2</v>
      </c>
      <c r="EJ114" s="1">
        <v>1.5387125132684878E-2</v>
      </c>
      <c r="EK114" s="1">
        <v>1.3619057228226063E-2</v>
      </c>
      <c r="EL114" s="1">
        <v>2.1920928904609401E-2</v>
      </c>
      <c r="EM114" s="1">
        <v>2.4195887719478074E-2</v>
      </c>
      <c r="EN114" s="1">
        <v>2.4248776677770582E-2</v>
      </c>
      <c r="EO114" s="1">
        <v>1.5562841625795684E-2</v>
      </c>
      <c r="EP114" s="1">
        <v>2.2974812470046648E-2</v>
      </c>
      <c r="EQ114" s="1">
        <v>2.4028696035483917E-2</v>
      </c>
      <c r="ER114" s="1">
        <v>2.369752161818486E-2</v>
      </c>
      <c r="ES114" s="1">
        <v>1.9935989308553181E-2</v>
      </c>
      <c r="ET114" s="1">
        <v>1.8988937113569984E-2</v>
      </c>
      <c r="EU114" s="1">
        <v>1.7993258364852618E-2</v>
      </c>
      <c r="EV114" s="10">
        <v>1.3010650805789521E-2</v>
      </c>
    </row>
    <row r="115" spans="1:152" x14ac:dyDescent="0.25">
      <c r="A115" s="21">
        <f t="shared" ca="1" si="1"/>
        <v>4.6654302017600159E-2</v>
      </c>
      <c r="B115" s="5">
        <v>114</v>
      </c>
      <c r="C115" s="9">
        <v>-4.7310262408533678E-3</v>
      </c>
      <c r="D115" s="1">
        <v>9.4605709940148407E-3</v>
      </c>
      <c r="E115" s="1">
        <v>9.3894959286791278E-3</v>
      </c>
      <c r="F115" s="1">
        <v>1.3429007624640967E-2</v>
      </c>
      <c r="G115" s="1">
        <v>-4.7665637735212242E-3</v>
      </c>
      <c r="H115" s="1">
        <v>-1.2877778717842729E-2</v>
      </c>
      <c r="I115" s="1">
        <v>1.0321087394301933E-2</v>
      </c>
      <c r="J115" s="1">
        <v>-6.9151454489151457E-4</v>
      </c>
      <c r="K115" s="1">
        <v>2.1508031016564632E-2</v>
      </c>
      <c r="L115" s="1">
        <v>4.4183927670944975E-3</v>
      </c>
      <c r="M115" s="1">
        <v>-1.4812036714424038E-2</v>
      </c>
      <c r="N115" s="1">
        <v>3.3124596184024553E-3</v>
      </c>
      <c r="O115" s="1">
        <v>8.4579044630563368E-3</v>
      </c>
      <c r="P115" s="1">
        <v>1.8467839871291296E-2</v>
      </c>
      <c r="Q115" s="1">
        <v>-2.8932558883956516E-2</v>
      </c>
      <c r="R115" s="1">
        <v>-2.9071363034357943E-2</v>
      </c>
      <c r="S115" s="1">
        <v>-1.2877778717842729E-2</v>
      </c>
      <c r="T115" s="1">
        <v>-1.7263726282478725E-3</v>
      </c>
      <c r="U115" s="1">
        <v>-1.9850868961074353E-2</v>
      </c>
      <c r="V115" s="1">
        <v>-7.838946471192404E-3</v>
      </c>
      <c r="W115" s="1">
        <v>-8.6994628714794804E-3</v>
      </c>
      <c r="X115" s="1">
        <v>-2.7967682442720711E-3</v>
      </c>
      <c r="Y115" s="1">
        <v>3.2413845530667278E-3</v>
      </c>
      <c r="Z115" s="1">
        <v>8.3579838255928296E-3</v>
      </c>
      <c r="AA115" s="1">
        <v>3.3124596184024553E-3</v>
      </c>
      <c r="AB115" s="1">
        <v>7.458583912367864E-3</v>
      </c>
      <c r="AC115" s="1">
        <v>5.3177926803194778E-3</v>
      </c>
      <c r="AD115" s="1">
        <v>-6.7330133225003592E-3</v>
      </c>
      <c r="AE115" s="1">
        <v>-4.6954887081854975E-3</v>
      </c>
      <c r="AF115" s="1">
        <v>9.3894959286791278E-3</v>
      </c>
      <c r="AG115" s="1">
        <v>9.4250334613469842E-3</v>
      </c>
      <c r="AH115" s="1">
        <v>-2.690155646268488E-3</v>
      </c>
      <c r="AI115" s="1">
        <v>-2.1962814620994912E-2</v>
      </c>
      <c r="AJ115" s="1">
        <v>-2.7001646867645251E-2</v>
      </c>
      <c r="AK115" s="1">
        <v>7.4230463796999937E-3</v>
      </c>
      <c r="AL115" s="1">
        <v>3.3835346837381682E-3</v>
      </c>
      <c r="AM115" s="1">
        <v>-1.2738974567441334E-2</v>
      </c>
      <c r="AN115" s="1">
        <v>-5.7692303044797402E-3</v>
      </c>
      <c r="AO115" s="1">
        <v>1.9470506402249784E-2</v>
      </c>
      <c r="AP115" s="1">
        <v>-2.693501626538506E-3</v>
      </c>
      <c r="AQ115" s="1">
        <v>2.7561445339911901E-4</v>
      </c>
      <c r="AR115" s="1">
        <v>3.4735845233412228E-2</v>
      </c>
      <c r="AS115" s="1">
        <v>1.5395457173620088E-2</v>
      </c>
      <c r="AT115" s="1">
        <v>9.289575291215605E-3</v>
      </c>
      <c r="AU115" s="1">
        <v>-4.8342928585869069E-3</v>
      </c>
      <c r="AV115" s="1">
        <v>1.4467211688267327E-2</v>
      </c>
      <c r="AW115" s="1">
        <v>-1.0843600083797898E-2</v>
      </c>
      <c r="AX115" s="1">
        <v>1.1391483010326119E-2</v>
      </c>
      <c r="AY115" s="1">
        <v>-1.2810049632777046E-2</v>
      </c>
      <c r="AZ115" s="1">
        <v>1.3460100694233333E-3</v>
      </c>
      <c r="BA115" s="1">
        <v>-2.7839054716949689E-2</v>
      </c>
      <c r="BB115" s="1">
        <v>-1.2822478614462243E-2</v>
      </c>
      <c r="BC115" s="1">
        <v>-2.0794889408382367E-2</v>
      </c>
      <c r="BD115" s="1">
        <v>1.7523819423983289E-2</v>
      </c>
      <c r="BE115" s="1">
        <v>-6.6743672388498571E-3</v>
      </c>
      <c r="BF115" s="1">
        <v>3.3322221891150736E-3</v>
      </c>
      <c r="BG115" s="1">
        <v>-9.8533625345246026E-3</v>
      </c>
      <c r="BH115" s="1">
        <v>1.8484256461733885E-2</v>
      </c>
      <c r="BI115" s="1">
        <v>-1.672318616002267E-2</v>
      </c>
      <c r="BJ115" s="1">
        <v>1.8384335824270362E-2</v>
      </c>
      <c r="BK115" s="1">
        <v>2.4632367837346292E-2</v>
      </c>
      <c r="BL115" s="1">
        <v>1.2625060224023821E-3</v>
      </c>
      <c r="BM115" s="1">
        <v>5.3744779224669526E-4</v>
      </c>
      <c r="BN115" s="1">
        <v>-3.7085971391822223E-3</v>
      </c>
      <c r="BO115" s="1">
        <v>3.296684656447231E-3</v>
      </c>
      <c r="BP115" s="1">
        <v>-1.9795568857693881E-2</v>
      </c>
      <c r="BQ115" s="1">
        <v>7.2684672673433703E-3</v>
      </c>
      <c r="BR115" s="1">
        <v>-5.6462011160335543E-3</v>
      </c>
      <c r="BS115" s="1">
        <v>1.1556741691980191E-2</v>
      </c>
      <c r="BT115" s="1">
        <v>5.4374758884956215E-3</v>
      </c>
      <c r="BU115" s="1">
        <v>6.2014176315891775E-3</v>
      </c>
      <c r="BV115" s="1">
        <v>-4.6757261374728645E-3</v>
      </c>
      <c r="BW115" s="1">
        <v>3.4421807673886626E-3</v>
      </c>
      <c r="BX115" s="1">
        <v>-7.6803797500783685E-3</v>
      </c>
      <c r="BY115" s="1">
        <v>-1.2719211996728687E-2</v>
      </c>
      <c r="BZ115" s="1">
        <v>-1.5756057161732027E-2</v>
      </c>
      <c r="CA115" s="1">
        <v>-1.5684982096396315E-2</v>
      </c>
      <c r="CB115" s="1">
        <v>-8.7440834055625485E-3</v>
      </c>
      <c r="CC115" s="1">
        <v>1.2980435550702524E-3</v>
      </c>
      <c r="CD115" s="1">
        <v>-1.6066894200717288E-3</v>
      </c>
      <c r="CE115" s="1">
        <v>9.4769875844574469E-3</v>
      </c>
      <c r="CF115" s="1">
        <v>6.4723339718519499E-3</v>
      </c>
      <c r="CG115" s="1">
        <v>3.6310610917743291E-4</v>
      </c>
      <c r="CH115" s="1">
        <v>8.3777463963054383E-3</v>
      </c>
      <c r="CI115" s="1">
        <v>1.1272441430637339E-2</v>
      </c>
      <c r="CJ115" s="1">
        <v>-5.8849259038984761E-3</v>
      </c>
      <c r="CK115" s="1">
        <v>-1.6790915245088384E-2</v>
      </c>
      <c r="CL115" s="1">
        <v>1.5079227708073711E-3</v>
      </c>
      <c r="CM115" s="1">
        <v>1.2591600421323831E-3</v>
      </c>
      <c r="CN115" s="1">
        <v>1.3448770195353593E-2</v>
      </c>
      <c r="CO115" s="1">
        <v>8.4065919684332413E-3</v>
      </c>
      <c r="CP115" s="1">
        <v>-5.7461217534970702E-3</v>
      </c>
      <c r="CQ115" s="1">
        <v>2.4006307234922808E-3</v>
      </c>
      <c r="CR115" s="1">
        <v>1.8519793994401755E-2</v>
      </c>
      <c r="CS115" s="1">
        <v>7.3717338850769198E-3</v>
      </c>
      <c r="CT115" s="1">
        <v>-3.7474806521201262E-3</v>
      </c>
      <c r="CU115" s="1">
        <v>1.2946975748002257E-3</v>
      </c>
      <c r="CV115" s="1">
        <v>-8.7152378334347178E-3</v>
      </c>
      <c r="CW115" s="1">
        <v>1.5447411296730565E-2</v>
      </c>
      <c r="CX115" s="1">
        <v>3.3322221891150736E-3</v>
      </c>
      <c r="CY115" s="1">
        <v>3.336545067622694E-2</v>
      </c>
      <c r="CZ115" s="1">
        <v>3.7572612094717989E-2</v>
      </c>
      <c r="DA115" s="1">
        <v>1.1443513415573592E-2</v>
      </c>
      <c r="DB115" s="1">
        <v>2.0482973845247852E-2</v>
      </c>
      <c r="DC115" s="1">
        <v>2.6460089518061003E-2</v>
      </c>
      <c r="DD115" s="1">
        <v>1.4335780073386484E-3</v>
      </c>
      <c r="DE115" s="1">
        <v>5.3656237832959586E-2</v>
      </c>
      <c r="DF115" s="1">
        <v>4.6310302877796555E-4</v>
      </c>
      <c r="DG115" s="1">
        <v>2.0625123975919271E-2</v>
      </c>
      <c r="DH115" s="1">
        <v>9.2349930984594736E-3</v>
      </c>
      <c r="DI115" s="1">
        <v>1.6375733064220313E-2</v>
      </c>
      <c r="DJ115" s="1">
        <v>2.5560689604836054E-2</v>
      </c>
      <c r="DK115" s="1">
        <v>1.7449474660514552E-2</v>
      </c>
      <c r="DL115" s="1">
        <v>4.6654302017600159E-2</v>
      </c>
      <c r="DM115" s="1">
        <v>5.0558355543430619E-2</v>
      </c>
      <c r="DN115" s="1">
        <v>2.7391680983683803E-2</v>
      </c>
      <c r="DO115" s="1">
        <v>1.4441475067639022E-2</v>
      </c>
      <c r="DP115" s="1">
        <v>-1.3863952376221636E-2</v>
      </c>
      <c r="DQ115" s="1">
        <v>1.3590996608162008E-2</v>
      </c>
      <c r="DR115" s="1">
        <v>3.1737646552576257E-2</v>
      </c>
      <c r="DS115" s="1">
        <v>1.7381745575448831E-2</v>
      </c>
      <c r="DT115" s="1">
        <v>4.2543715256302628E-2</v>
      </c>
      <c r="DU115" s="1">
        <v>5.0198654171583479E-4</v>
      </c>
      <c r="DV115" s="1">
        <v>2.4558023073877541E-2</v>
      </c>
      <c r="DW115" s="1">
        <v>1.3338887899217E-2</v>
      </c>
      <c r="DX115" s="1">
        <v>-3.6474837325196005E-3</v>
      </c>
      <c r="DY115" s="1">
        <v>2.4522485541209692E-2</v>
      </c>
      <c r="DZ115" s="1">
        <v>2.2449423394227001E-2</v>
      </c>
      <c r="EA115" s="1">
        <v>2.9532472215732214E-2</v>
      </c>
      <c r="EB115" s="1">
        <v>-5.5817417291008989E-3</v>
      </c>
      <c r="EC115" s="1">
        <v>3.5032941740512982E-3</v>
      </c>
      <c r="ED115" s="1">
        <v>-2.3877233764726613E-2</v>
      </c>
      <c r="EE115" s="1">
        <v>3.2537125828337704E-2</v>
      </c>
      <c r="EF115" s="1">
        <v>1.3506537621746209E-2</v>
      </c>
      <c r="EG115" s="1">
        <v>1.8580907401064398E-2</v>
      </c>
      <c r="EH115" s="1">
        <v>5.4408981509026233E-3</v>
      </c>
      <c r="EI115" s="1">
        <v>2.8323272449306588E-2</v>
      </c>
      <c r="EJ115" s="1">
        <v>1.4405937534971179E-2</v>
      </c>
      <c r="EK115" s="1">
        <v>2.4451410475873979E-2</v>
      </c>
      <c r="EL115" s="1">
        <v>1.3409962964552699E-2</v>
      </c>
      <c r="EM115" s="1">
        <v>2.6427897965663152E-2</v>
      </c>
      <c r="EN115" s="1">
        <v>1.9419270189763679E-2</v>
      </c>
      <c r="EO115" s="1">
        <v>3.7572612094717989E-2</v>
      </c>
      <c r="EP115" s="1">
        <v>1.9383732657095837E-2</v>
      </c>
      <c r="EQ115" s="1">
        <v>2.5357502349638975E-2</v>
      </c>
      <c r="ER115" s="1">
        <v>2.546076896737251E-2</v>
      </c>
      <c r="ES115" s="1">
        <v>3.1637725915112727E-2</v>
      </c>
      <c r="ET115" s="1">
        <v>2.0450782292850009E-2</v>
      </c>
      <c r="EU115" s="1">
        <v>2.732060591834809E-2</v>
      </c>
      <c r="EV115" s="10">
        <v>2.6453397557520957E-2</v>
      </c>
    </row>
    <row r="116" spans="1:152" x14ac:dyDescent="0.25">
      <c r="A116" s="21">
        <f t="shared" ca="1" si="1"/>
        <v>8.2898805403101877E-2</v>
      </c>
      <c r="B116" s="5">
        <v>115</v>
      </c>
      <c r="C116" s="9">
        <v>-8.3951995351036479E-3</v>
      </c>
      <c r="D116" s="1">
        <v>4.8585143076546877E-3</v>
      </c>
      <c r="E116" s="1">
        <v>7.8057074790661152E-3</v>
      </c>
      <c r="F116" s="1">
        <v>1.2224024256585281E-2</v>
      </c>
      <c r="G116" s="1">
        <v>-6.9216029493979481E-3</v>
      </c>
      <c r="H116" s="1">
        <v>-3.2707665490660232E-3</v>
      </c>
      <c r="I116" s="1">
        <v>1.7732815676116037E-2</v>
      </c>
      <c r="J116" s="1">
        <v>-3.9768827575845378E-3</v>
      </c>
      <c r="K116" s="1">
        <v>2.1060657811623501E-2</v>
      </c>
      <c r="L116" s="1">
        <v>-6.5397174955028753E-3</v>
      </c>
      <c r="M116" s="1">
        <v>-2.0177789771754356E-2</v>
      </c>
      <c r="N116" s="1">
        <v>1.9150306056403277E-3</v>
      </c>
      <c r="O116" s="1">
        <v>-2.1214007179837652E-3</v>
      </c>
      <c r="P116" s="1">
        <v>1.2608382690078385E-2</v>
      </c>
      <c r="Q116" s="1">
        <v>-3.6378696785924147E-2</v>
      </c>
      <c r="R116" s="1">
        <v>-1.9470437073436792E-2</v>
      </c>
      <c r="S116" s="1">
        <v>-3.2707665490660232E-3</v>
      </c>
      <c r="T116" s="1">
        <v>1.5306721721471961E-3</v>
      </c>
      <c r="U116" s="1">
        <v>-2.056214820524746E-2</v>
      </c>
      <c r="V116" s="1">
        <v>-2.8864081155729193E-3</v>
      </c>
      <c r="W116" s="1">
        <v>-1.5760709484034269E-2</v>
      </c>
      <c r="X116" s="1">
        <v>8.5118236875846576E-3</v>
      </c>
      <c r="Y116" s="1">
        <v>4.8622237770517829E-3</v>
      </c>
      <c r="Z116" s="1">
        <v>2.4327135778462294E-2</v>
      </c>
      <c r="AA116" s="1">
        <v>1.9150306056403277E-3</v>
      </c>
      <c r="AB116" s="1">
        <v>1.9125576260422272E-3</v>
      </c>
      <c r="AC116" s="1">
        <v>1.5874860656917178E-2</v>
      </c>
      <c r="AD116" s="1">
        <v>-1.1341156216716081E-2</v>
      </c>
      <c r="AE116" s="1">
        <v>-9.8687961208094033E-3</v>
      </c>
      <c r="AF116" s="1">
        <v>7.8057074790661152E-3</v>
      </c>
      <c r="AG116" s="1">
        <v>6.3321108933604153E-3</v>
      </c>
      <c r="AH116" s="1">
        <v>4.091033930467447E-3</v>
      </c>
      <c r="AI116" s="1">
        <v>-3.0101188499407128E-2</v>
      </c>
      <c r="AJ116" s="1">
        <v>-3.0485546932900259E-2</v>
      </c>
      <c r="AK116" s="1">
        <v>3.3861542117479826E-3</v>
      </c>
      <c r="AL116" s="1">
        <v>-1.0321625657711553E-3</v>
      </c>
      <c r="AM116" s="1">
        <v>-2.0179026261553379E-2</v>
      </c>
      <c r="AN116" s="1">
        <v>-1.3901517975036387E-2</v>
      </c>
      <c r="AO116" s="1">
        <v>1.958829771571681E-2</v>
      </c>
      <c r="AP116" s="1">
        <v>-6.9228394391969428E-3</v>
      </c>
      <c r="AQ116" s="1">
        <v>4.4766288537596011E-3</v>
      </c>
      <c r="AR116" s="1">
        <v>3.6874733412702115E-2</v>
      </c>
      <c r="AS116" s="1">
        <v>1.6643577523903413E-2</v>
      </c>
      <c r="AT116" s="1">
        <v>3.4254243975512161E-2</v>
      </c>
      <c r="AU116" s="1">
        <v>7.0394635916779524E-3</v>
      </c>
      <c r="AV116" s="1">
        <v>1.7730342696517937E-2</v>
      </c>
      <c r="AW116" s="1">
        <v>-1.2812279822823763E-2</v>
      </c>
      <c r="AX116" s="1">
        <v>1.0751664160678576E-2</v>
      </c>
      <c r="AY116" s="1">
        <v>-1.7231833090141924E-2</v>
      </c>
      <c r="AZ116" s="1">
        <v>-2.5045226616778604E-3</v>
      </c>
      <c r="BA116" s="1">
        <v>-3.0330982441389126E-2</v>
      </c>
      <c r="BB116" s="1">
        <v>-2.7293706444637134E-3</v>
      </c>
      <c r="BC116" s="1">
        <v>-1.5986793956619144E-2</v>
      </c>
      <c r="BD116" s="1">
        <v>1.7183736938706701E-2</v>
      </c>
      <c r="BE116" s="1">
        <v>2.1411305755067445E-4</v>
      </c>
      <c r="BF116" s="1">
        <v>3.9300230959483651E-3</v>
      </c>
      <c r="BG116" s="1">
        <v>8.670097648492886E-3</v>
      </c>
      <c r="BH116" s="1">
        <v>3.6095018107220045E-3</v>
      </c>
      <c r="BI116" s="1">
        <v>-2.4055947134470179E-2</v>
      </c>
      <c r="BJ116" s="1">
        <v>3.005803830716805E-2</v>
      </c>
      <c r="BK116" s="1">
        <v>6.5529855127363645E-3</v>
      </c>
      <c r="BL116" s="1">
        <v>1.4945132955411833E-2</v>
      </c>
      <c r="BM116" s="1">
        <v>-2.5851301495201262E-2</v>
      </c>
      <c r="BN116" s="1">
        <v>5.9970798084280075E-4</v>
      </c>
      <c r="BO116" s="1">
        <v>5.4036196816540927E-3</v>
      </c>
      <c r="BP116" s="1">
        <v>-2.002075230064515E-2</v>
      </c>
      <c r="BQ116" s="1">
        <v>2.3783003000249103E-2</v>
      </c>
      <c r="BR116" s="1">
        <v>-2.7321188611509922E-2</v>
      </c>
      <c r="BS116" s="1">
        <v>1.7886143677828148E-2</v>
      </c>
      <c r="BT116" s="1">
        <v>-8.5586833492208164E-3</v>
      </c>
      <c r="BU116" s="1">
        <v>4.1778027885350982E-2</v>
      </c>
      <c r="BV116" s="1">
        <v>-7.8538036305013381E-3</v>
      </c>
      <c r="BW116" s="1">
        <v>1.05231067084956E-2</v>
      </c>
      <c r="BX116" s="1">
        <v>-1.7779675337752196E-2</v>
      </c>
      <c r="BY116" s="1">
        <v>-1.8164033771245341E-2</v>
      </c>
      <c r="BZ116" s="1">
        <v>-1.560243552312604E-2</v>
      </c>
      <c r="CA116" s="1">
        <v>-1.8549628694537496E-2</v>
      </c>
      <c r="CB116" s="1">
        <v>1.1229222917014142E-2</v>
      </c>
      <c r="CC116" s="1">
        <v>1.3471536369706105E-2</v>
      </c>
      <c r="CD116" s="1">
        <v>-2.2902871833990812E-2</v>
      </c>
      <c r="CE116" s="1">
        <v>-4.1403665717017063E-3</v>
      </c>
      <c r="CF116" s="1">
        <v>-1.4066238278952564E-2</v>
      </c>
      <c r="CG116" s="1">
        <v>-7.4694451970082204E-3</v>
      </c>
      <c r="CH116" s="1">
        <v>2.6342128268770387E-2</v>
      </c>
      <c r="CI116" s="1">
        <v>2.9674916363473969E-2</v>
      </c>
      <c r="CJ116" s="1">
        <v>1.6035607597423479E-2</v>
      </c>
      <c r="CK116" s="1">
        <v>-1.0094880593394279E-2</v>
      </c>
      <c r="CL116" s="1">
        <v>-6.3839165141927057E-3</v>
      </c>
      <c r="CM116" s="1">
        <v>3.9312595857473875E-3</v>
      </c>
      <c r="CN116" s="1">
        <v>1.423901674689329E-2</v>
      </c>
      <c r="CO116" s="1">
        <v>2.8407849437357552E-3</v>
      </c>
      <c r="CP116" s="1">
        <v>-8.7265211506390439E-4</v>
      </c>
      <c r="CQ116" s="1">
        <v>-5.9970851011015153E-3</v>
      </c>
      <c r="CR116" s="1">
        <v>2.1359052250162769E-3</v>
      </c>
      <c r="CS116" s="1">
        <v>8.3483398734675029E-3</v>
      </c>
      <c r="CT116" s="1">
        <v>-8.9405688031158753E-3</v>
      </c>
      <c r="CU116" s="1">
        <v>2.4576630000416599E-3</v>
      </c>
      <c r="CV116" s="1">
        <v>-1.2272120408020476E-2</v>
      </c>
      <c r="CW116" s="1">
        <v>6.1711000588413195E-3</v>
      </c>
      <c r="CX116" s="1">
        <v>3.9300230959483651E-3</v>
      </c>
      <c r="CY116" s="1">
        <v>7.0733093222757115E-2</v>
      </c>
      <c r="CZ116" s="1">
        <v>3.4741806962754307E-2</v>
      </c>
      <c r="DA116" s="1">
        <v>1.1879033228574393E-2</v>
      </c>
      <c r="DB116" s="1">
        <v>7.1414316556279167E-3</v>
      </c>
      <c r="DC116" s="1">
        <v>3.9480645025499833E-2</v>
      </c>
      <c r="DD116" s="1">
        <v>-2.8507501794877432E-3</v>
      </c>
      <c r="DE116" s="1">
        <v>4.4348393874577841E-2</v>
      </c>
      <c r="DF116" s="1">
        <v>-2.2318135160496327E-2</v>
      </c>
      <c r="DG116" s="1">
        <v>1.2470453128050063E-3</v>
      </c>
      <c r="DH116" s="1">
        <v>3.9802402800525188E-2</v>
      </c>
      <c r="DI116" s="1">
        <v>1.6684181419184707E-2</v>
      </c>
      <c r="DJ116" s="1">
        <v>1.7066066873079738E-2</v>
      </c>
      <c r="DK116" s="1">
        <v>2.0716903273411663E-2</v>
      </c>
      <c r="DL116" s="1">
        <v>5.0558355543430994E-2</v>
      </c>
      <c r="DM116" s="1">
        <v>8.2898805403101877E-2</v>
      </c>
      <c r="DN116" s="1">
        <v>4.9407753222549672E-2</v>
      </c>
      <c r="DO116" s="1">
        <v>-2.2284180350359839E-4</v>
      </c>
      <c r="DP116" s="1">
        <v>-7.6497159211028898E-3</v>
      </c>
      <c r="DQ116" s="1">
        <v>1.9944476937028305E-2</v>
      </c>
      <c r="DR116" s="1">
        <v>-3.4917927499404366E-3</v>
      </c>
      <c r="DS116" s="1">
        <v>3.4677969814487536E-2</v>
      </c>
      <c r="DT116" s="1">
        <v>4.9087231937323339E-2</v>
      </c>
      <c r="DU116" s="1">
        <v>-1.2777858376537637E-2</v>
      </c>
      <c r="DV116" s="1">
        <v>1.0086151847441327E-2</v>
      </c>
      <c r="DW116" s="1">
        <v>1.9245779667304008E-2</v>
      </c>
      <c r="DX116" s="1">
        <v>-2.378925876660401E-2</v>
      </c>
      <c r="DY116" s="1">
        <v>1.1559748433147055E-2</v>
      </c>
      <c r="DZ116" s="1">
        <v>1.1560984922946077E-2</v>
      </c>
      <c r="EA116" s="1">
        <v>3.5445450191674777E-2</v>
      </c>
      <c r="EB116" s="1">
        <v>-4.0696281989292288E-2</v>
      </c>
      <c r="EC116" s="1">
        <v>-1.3865860038951239E-2</v>
      </c>
      <c r="ED116" s="1">
        <v>-3.3393372698829471E-2</v>
      </c>
      <c r="EE116" s="1">
        <v>4.5371321898925621E-2</v>
      </c>
      <c r="EF116" s="1">
        <v>-2.1163823370217938E-2</v>
      </c>
      <c r="EG116" s="1">
        <v>-2.2253061522430534E-2</v>
      </c>
      <c r="EH116" s="1">
        <v>1.405503655340154E-2</v>
      </c>
      <c r="EI116" s="1">
        <v>5.9334861419599566E-2</v>
      </c>
      <c r="EJ116" s="1">
        <v>1.2507547822021015E-3</v>
      </c>
      <c r="EK116" s="1">
        <v>1.4506941604558538E-2</v>
      </c>
      <c r="EL116" s="1">
        <v>1.6298586495892553E-2</v>
      </c>
      <c r="EM116" s="1">
        <v>5.1968114980869951E-2</v>
      </c>
      <c r="EN116" s="1">
        <v>3.6150329910394241E-2</v>
      </c>
      <c r="EO116" s="1">
        <v>3.4741806962754307E-2</v>
      </c>
      <c r="EP116" s="1">
        <v>3.7623926496099969E-2</v>
      </c>
      <c r="EQ116" s="1">
        <v>5.8949266496307412E-2</v>
      </c>
      <c r="ER116" s="1">
        <v>4.3514603369525812E-2</v>
      </c>
      <c r="ES116" s="1">
        <v>2.2956743746505553E-2</v>
      </c>
      <c r="ET116" s="1">
        <v>1.9628901610998117E-2</v>
      </c>
      <c r="EU116" s="1">
        <v>5.2354946393961127E-2</v>
      </c>
      <c r="EV116" s="10">
        <v>1.7452898286170943E-2</v>
      </c>
    </row>
    <row r="117" spans="1:152" x14ac:dyDescent="0.25">
      <c r="A117" s="21">
        <f t="shared" ca="1" si="1"/>
        <v>3.9533110194161253E-2</v>
      </c>
      <c r="B117" s="5">
        <v>116</v>
      </c>
      <c r="C117" s="9">
        <v>-2.9448372966125042E-3</v>
      </c>
      <c r="D117" s="1">
        <v>-5.840341863552298E-3</v>
      </c>
      <c r="E117" s="1">
        <v>-9.8279793019920292E-5</v>
      </c>
      <c r="F117" s="1">
        <v>3.0487506011137033E-4</v>
      </c>
      <c r="G117" s="1">
        <v>-7.3806261346329172E-5</v>
      </c>
      <c r="H117" s="1">
        <v>7.0553116899920165E-3</v>
      </c>
      <c r="I117" s="1">
        <v>8.9945270607791894E-3</v>
      </c>
      <c r="J117" s="1">
        <v>-2.5416824434812274E-3</v>
      </c>
      <c r="K117" s="1">
        <v>1.1111847663739377E-3</v>
      </c>
      <c r="L117" s="1">
        <v>-9.5942414999503206E-3</v>
      </c>
      <c r="M117" s="1">
        <v>-5.3882399470738251E-3</v>
      </c>
      <c r="N117" s="1">
        <v>7.3250344491625208E-4</v>
      </c>
      <c r="O117" s="1">
        <v>-9.1910866468190161E-3</v>
      </c>
      <c r="P117" s="1">
        <v>-1.0056219258253452E-3</v>
      </c>
      <c r="Q117" s="1">
        <v>-8.234797450666409E-3</v>
      </c>
      <c r="R117" s="1">
        <v>8.3137233127330637E-3</v>
      </c>
      <c r="S117" s="1">
        <v>7.0553116899920165E-3</v>
      </c>
      <c r="T117" s="1">
        <v>2.0430004308529676E-3</v>
      </c>
      <c r="U117" s="1">
        <v>-4.0777429611371097E-3</v>
      </c>
      <c r="V117" s="1">
        <v>5.7448147040553149E-3</v>
      </c>
      <c r="W117" s="1">
        <v>-9.0900542202761725E-3</v>
      </c>
      <c r="X117" s="1">
        <v>9.4987143404533375E-3</v>
      </c>
      <c r="Y117" s="1">
        <v>6.4745655154486159E-3</v>
      </c>
      <c r="Z117" s="1">
        <v>9.5507997036490128E-3</v>
      </c>
      <c r="AA117" s="1">
        <v>7.3250344491625208E-4</v>
      </c>
      <c r="AB117" s="1">
        <v>-7.4774348077510239E-3</v>
      </c>
      <c r="AC117" s="1">
        <v>7.433993011449716E-3</v>
      </c>
      <c r="AD117" s="1">
        <v>-4.5819302408112578E-3</v>
      </c>
      <c r="AE117" s="1">
        <v>-5.8158683318787069E-3</v>
      </c>
      <c r="AF117" s="1">
        <v>-9.8279793019920292E-5</v>
      </c>
      <c r="AG117" s="1">
        <v>-2.9693108282860953E-3</v>
      </c>
      <c r="AH117" s="1">
        <v>8.8562123465477094E-4</v>
      </c>
      <c r="AI117" s="1">
        <v>-2.1661394218720417E-3</v>
      </c>
      <c r="AJ117" s="1">
        <v>-8.5564243593530542E-4</v>
      </c>
      <c r="AK117" s="1">
        <v>-4.6064037724848489E-3</v>
      </c>
      <c r="AL117" s="1">
        <v>-5.0095586256161256E-3</v>
      </c>
      <c r="AM117" s="1">
        <v>-9.4932090734074492E-3</v>
      </c>
      <c r="AN117" s="1">
        <v>-3.424551044613075E-3</v>
      </c>
      <c r="AO117" s="1">
        <v>2.3451228574413868E-3</v>
      </c>
      <c r="AP117" s="1">
        <v>-4.1787753876799533E-3</v>
      </c>
      <c r="AQ117" s="1">
        <v>3.6800933750516934E-3</v>
      </c>
      <c r="AR117" s="1">
        <v>-2.941698996764025E-3</v>
      </c>
      <c r="AS117" s="1">
        <v>4.8129990395762851E-3</v>
      </c>
      <c r="AT117" s="1">
        <v>1.8643606557448109E-2</v>
      </c>
      <c r="AU117" s="1">
        <v>1.0732652431520787E-2</v>
      </c>
      <c r="AV117" s="1">
        <v>7.8458880811192733E-4</v>
      </c>
      <c r="AW117" s="1">
        <v>7.569769765898432E-4</v>
      </c>
      <c r="AX117" s="1">
        <v>1.5388131511788194E-3</v>
      </c>
      <c r="AY117" s="1">
        <v>-3.7511470028750854E-3</v>
      </c>
      <c r="AZ117" s="1">
        <v>-3.7756205345486765E-3</v>
      </c>
      <c r="BA117" s="1">
        <v>-8.4217352163601517E-3</v>
      </c>
      <c r="BB117" s="1">
        <v>6.3886601762977308E-3</v>
      </c>
      <c r="BC117" s="1">
        <v>-3.0307426357634032E-3</v>
      </c>
      <c r="BD117" s="1">
        <v>4.1378399548375189E-5</v>
      </c>
      <c r="BE117" s="1">
        <v>-1.8418513217080545E-4</v>
      </c>
      <c r="BF117" s="1">
        <v>2.9368829664881413E-3</v>
      </c>
      <c r="BG117" s="1">
        <v>1.4247528939029391E-2</v>
      </c>
      <c r="BH117" s="1">
        <v>-3.865639026588194E-3</v>
      </c>
      <c r="BI117" s="1">
        <v>-1.0563015440233026E-2</v>
      </c>
      <c r="BJ117" s="1">
        <v>1.4876247323879835E-2</v>
      </c>
      <c r="BK117" s="1">
        <v>-1.0438484335056716E-2</v>
      </c>
      <c r="BL117" s="1">
        <v>1.2106248715156503E-2</v>
      </c>
      <c r="BM117" s="1">
        <v>-2.4341537594909174E-2</v>
      </c>
      <c r="BN117" s="1">
        <v>2.6102870082261309E-3</v>
      </c>
      <c r="BO117" s="1">
        <v>5.8079140017543301E-3</v>
      </c>
      <c r="BP117" s="1">
        <v>-4.7443944748313954E-3</v>
      </c>
      <c r="BQ117" s="1">
        <v>1.7017527547752723E-2</v>
      </c>
      <c r="BR117" s="1">
        <v>-1.4897661251174449E-2</v>
      </c>
      <c r="BS117" s="1">
        <v>-2.6765348459792948E-3</v>
      </c>
      <c r="BT117" s="1">
        <v>-9.1035138174464028E-3</v>
      </c>
      <c r="BU117" s="1">
        <v>2.9537638079687817E-2</v>
      </c>
      <c r="BV117" s="1">
        <v>-3.6114888103067899E-3</v>
      </c>
      <c r="BW117" s="1">
        <v>-6.1181351697567332E-4</v>
      </c>
      <c r="BX117" s="1">
        <v>-8.5993265377722616E-3</v>
      </c>
      <c r="BY117" s="1">
        <v>-7.28882955183556E-3</v>
      </c>
      <c r="BZ117" s="1">
        <v>-4.3412396217001048E-3</v>
      </c>
      <c r="CA117" s="1">
        <v>-1.0083301692232469E-2</v>
      </c>
      <c r="CB117" s="1">
        <v>8.9851806164975706E-3</v>
      </c>
      <c r="CC117" s="1">
        <v>9.2352176798903285E-3</v>
      </c>
      <c r="CD117" s="1">
        <v>-1.4494506398043172E-2</v>
      </c>
      <c r="CE117" s="1">
        <v>-8.7003589643151122E-3</v>
      </c>
      <c r="CF117" s="1">
        <v>-1.3688196691780591E-2</v>
      </c>
      <c r="CG117" s="1">
        <v>-4.9219857962435054E-3</v>
      </c>
      <c r="CH117" s="1">
        <v>1.1755179225220902E-2</v>
      </c>
      <c r="CI117" s="1">
        <v>2.0291713436150188E-2</v>
      </c>
      <c r="CJ117" s="1">
        <v>2.0392745862693046E-2</v>
      </c>
      <c r="CK117" s="1">
        <v>2.4344325263407629E-4</v>
      </c>
      <c r="CL117" s="1">
        <v>-1.3055365154041515E-2</v>
      </c>
      <c r="CM117" s="1">
        <v>7.0418520928217793E-3</v>
      </c>
      <c r="CN117" s="1">
        <v>2.5092545816832734E-3</v>
      </c>
      <c r="CO117" s="1">
        <v>-1.2446450547147492E-3</v>
      </c>
      <c r="CP117" s="1">
        <v>3.84422509929358E-3</v>
      </c>
      <c r="CQ117" s="1">
        <v>-6.1559238873109545E-3</v>
      </c>
      <c r="CR117" s="1">
        <v>-6.736670061854369E-3</v>
      </c>
      <c r="CS117" s="1">
        <v>3.3400378196194319E-3</v>
      </c>
      <c r="CT117" s="1">
        <v>4.1692142115756781E-4</v>
      </c>
      <c r="CU117" s="1">
        <v>4.1708210575555904E-3</v>
      </c>
      <c r="CV117" s="1">
        <v>-4.0146436634380944E-3</v>
      </c>
      <c r="CW117" s="1">
        <v>-9.1804909645271798E-4</v>
      </c>
      <c r="CX117" s="1">
        <v>2.9368829664881413E-3</v>
      </c>
      <c r="CY117" s="1">
        <v>5.2379816684358399E-2</v>
      </c>
      <c r="CZ117" s="1">
        <v>2.3234626494154559E-2</v>
      </c>
      <c r="DA117" s="1">
        <v>1.5629907947704302E-2</v>
      </c>
      <c r="DB117" s="1">
        <v>1.2529200227830301E-2</v>
      </c>
      <c r="DC117" s="1">
        <v>3.0440303340362171E-2</v>
      </c>
      <c r="DD117" s="1">
        <v>7.4444432267106175E-3</v>
      </c>
      <c r="DE117" s="1">
        <v>2.5524911354877319E-2</v>
      </c>
      <c r="DF117" s="1">
        <v>-3.8417292141570691E-3</v>
      </c>
      <c r="DG117" s="1">
        <v>1.045076086765559E-3</v>
      </c>
      <c r="DH117" s="1">
        <v>4.1347794459772103E-2</v>
      </c>
      <c r="DI117" s="1">
        <v>2.2932504067566112E-2</v>
      </c>
      <c r="DJ117" s="1">
        <v>1.3412068828962134E-2</v>
      </c>
      <c r="DK117" s="1">
        <v>2.0541186780300494E-2</v>
      </c>
      <c r="DL117" s="1">
        <v>2.7391680983683858E-2</v>
      </c>
      <c r="DM117" s="1">
        <v>4.9407753222549367E-2</v>
      </c>
      <c r="DN117" s="1">
        <v>3.9533110194161253E-2</v>
      </c>
      <c r="DO117" s="1">
        <v>1.048895243050027E-2</v>
      </c>
      <c r="DP117" s="1">
        <v>2.0666692738516942E-2</v>
      </c>
      <c r="DQ117" s="1">
        <v>1.0847273373172997E-2</v>
      </c>
      <c r="DR117" s="1">
        <v>-6.1606007594420531E-3</v>
      </c>
      <c r="DS117" s="1">
        <v>3.1347645473167568E-2</v>
      </c>
      <c r="DT117" s="1">
        <v>3.2730588201084945E-2</v>
      </c>
      <c r="DU117" s="1">
        <v>-1.648363627088506E-3</v>
      </c>
      <c r="DV117" s="1">
        <v>1.0061324045695402E-2</v>
      </c>
      <c r="DW117" s="1">
        <v>2.5880093997701567E-2</v>
      </c>
      <c r="DX117" s="1">
        <v>1.4971780032440041E-3</v>
      </c>
      <c r="DY117" s="1">
        <v>1.2932355080961577E-2</v>
      </c>
      <c r="DZ117" s="1">
        <v>1.7037324207295229E-2</v>
      </c>
      <c r="EA117" s="1">
        <v>2.4621682374960527E-2</v>
      </c>
      <c r="EB117" s="1">
        <v>-1.0946373633821838E-2</v>
      </c>
      <c r="EC117" s="1">
        <v>-1.7249225219577724E-3</v>
      </c>
      <c r="ED117" s="1">
        <v>7.4168313951885056E-3</v>
      </c>
      <c r="EE117" s="1">
        <v>2.9609520102426012E-2</v>
      </c>
      <c r="EF117" s="1">
        <v>-3.6682510456335637E-3</v>
      </c>
      <c r="EG117" s="1">
        <v>-7.8497790668364542E-3</v>
      </c>
      <c r="EH117" s="1">
        <v>1.5783025737442793E-2</v>
      </c>
      <c r="EI117" s="1">
        <v>4.8625917047960376E-2</v>
      </c>
      <c r="EJ117" s="1">
        <v>1.3359983465766459E-2</v>
      </c>
      <c r="EK117" s="1">
        <v>1.8674417151493955E-2</v>
      </c>
      <c r="EL117" s="1">
        <v>2.0138031927169189E-2</v>
      </c>
      <c r="EM117" s="1">
        <v>3.8375730997963084E-2</v>
      </c>
      <c r="EN117" s="1">
        <v>3.0113707382100119E-2</v>
      </c>
      <c r="EO117" s="1">
        <v>2.3234626494154559E-2</v>
      </c>
      <c r="EP117" s="1">
        <v>3.2984738417366322E-2</v>
      </c>
      <c r="EQ117" s="1">
        <v>4.5831444907563454E-2</v>
      </c>
      <c r="ER117" s="1">
        <v>3.2153955179430149E-2</v>
      </c>
      <c r="ES117" s="1">
        <v>1.2581285591025976E-2</v>
      </c>
      <c r="ET117" s="1">
        <v>2.0464627885431214E-2</v>
      </c>
      <c r="EU117" s="1">
        <v>4.5275172264693617E-2</v>
      </c>
      <c r="EV117" s="10">
        <v>2.0311510095692681E-2</v>
      </c>
    </row>
    <row r="118" spans="1:152" x14ac:dyDescent="0.25">
      <c r="A118" s="21">
        <f t="shared" ca="1" si="1"/>
        <v>3.1419407316464962E-2</v>
      </c>
      <c r="B118" s="5">
        <v>117</v>
      </c>
      <c r="C118" s="9">
        <v>3.2942102889977065E-3</v>
      </c>
      <c r="D118" s="1">
        <v>-4.4937395503615862E-3</v>
      </c>
      <c r="E118" s="1">
        <v>-1.1514459301847635E-3</v>
      </c>
      <c r="F118" s="1">
        <v>-2.6603686799638177E-3</v>
      </c>
      <c r="G118" s="1">
        <v>4.9653570990861318E-3</v>
      </c>
      <c r="H118" s="1">
        <v>-2.6564127212613808E-4</v>
      </c>
      <c r="I118" s="1">
        <v>-2.7285916353599893E-3</v>
      </c>
      <c r="J118" s="1">
        <v>1.7852875392186662E-3</v>
      </c>
      <c r="K118" s="1">
        <v>-5.6782141795219121E-3</v>
      </c>
      <c r="L118" s="1">
        <v>1.9346225247695165E-3</v>
      </c>
      <c r="M118" s="1">
        <v>6.2309437584011362E-3</v>
      </c>
      <c r="N118" s="1">
        <v>1.9475115995280234E-3</v>
      </c>
      <c r="O118" s="1">
        <v>4.256997749904623E-4</v>
      </c>
      <c r="P118" s="1">
        <v>8.312599257638692E-4</v>
      </c>
      <c r="Q118" s="1">
        <v>1.0676599977583606E-2</v>
      </c>
      <c r="R118" s="1">
        <v>7.4411965370784761E-3</v>
      </c>
      <c r="S118" s="1">
        <v>-2.6564127212613808E-4</v>
      </c>
      <c r="T118" s="1">
        <v>-1.5441170061996634E-3</v>
      </c>
      <c r="U118" s="1">
        <v>2.7393151526734494E-3</v>
      </c>
      <c r="V118" s="1">
        <v>3.2259873336015488E-3</v>
      </c>
      <c r="W118" s="1">
        <v>1.4608394185999518E-3</v>
      </c>
      <c r="X118" s="1">
        <v>-3.2023747415295678E-3</v>
      </c>
      <c r="Y118" s="1">
        <v>5.2898052197048462E-3</v>
      </c>
      <c r="Z118" s="1">
        <v>-1.4400841156461869E-2</v>
      </c>
      <c r="AA118" s="1">
        <v>1.9475115995280234E-3</v>
      </c>
      <c r="AB118" s="1">
        <v>-4.5748515805162648E-3</v>
      </c>
      <c r="AC118" s="1">
        <v>-7.8913670511760736E-3</v>
      </c>
      <c r="AD118" s="1">
        <v>3.2130982588430279E-3</v>
      </c>
      <c r="AE118" s="1">
        <v>1.623063478909309E-3</v>
      </c>
      <c r="AF118" s="1">
        <v>-1.1514459301847635E-3</v>
      </c>
      <c r="AG118" s="1">
        <v>-2.8225927402731749E-3</v>
      </c>
      <c r="AH118" s="1">
        <v>-8.215815171794788E-3</v>
      </c>
      <c r="AI118" s="1">
        <v>1.7591634233642767E-2</v>
      </c>
      <c r="AJ118" s="1">
        <v>1.4100005627915108E-2</v>
      </c>
      <c r="AK118" s="1">
        <v>-2.9037047704278535E-3</v>
      </c>
      <c r="AL118" s="1">
        <v>-1.3947820206487993E-3</v>
      </c>
      <c r="AM118" s="1">
        <v>2.9697621683789921E-3</v>
      </c>
      <c r="AN118" s="1">
        <v>9.8847964244381803E-3</v>
      </c>
      <c r="AO118" s="1">
        <v>-4.0881793995881793E-3</v>
      </c>
      <c r="AP118" s="1">
        <v>1.7041755090639876E-3</v>
      </c>
      <c r="AQ118" s="1">
        <v>-1.4630049760449848E-3</v>
      </c>
      <c r="AR118" s="1">
        <v>-2.0137862184476357E-2</v>
      </c>
      <c r="AS118" s="1">
        <v>-9.081098397207138E-4</v>
      </c>
      <c r="AT118" s="1">
        <v>-1.5977986861637095E-2</v>
      </c>
      <c r="AU118" s="1">
        <v>-1.6123399615958212E-3</v>
      </c>
      <c r="AV118" s="1">
        <v>-9.2509548154042776E-3</v>
      </c>
      <c r="AW118" s="1">
        <v>8.0643146287989187E-3</v>
      </c>
      <c r="AX118" s="1">
        <v>-1.0703339000300849E-3</v>
      </c>
      <c r="AY118" s="1">
        <v>6.3120557885558148E-3</v>
      </c>
      <c r="AZ118" s="1">
        <v>1.9525275928491959E-4</v>
      </c>
      <c r="BA118" s="1">
        <v>2.3937553544230994E-3</v>
      </c>
      <c r="BB118" s="1">
        <v>-1.957899759846185E-3</v>
      </c>
      <c r="BC118" s="1">
        <v>-3.9534946905533247E-3</v>
      </c>
      <c r="BD118" s="1">
        <v>-5.8615499174629326E-3</v>
      </c>
      <c r="BE118" s="1">
        <v>-8.3991509097357947E-3</v>
      </c>
      <c r="BF118" s="1">
        <v>1.926399921896374E-3</v>
      </c>
      <c r="BG118" s="1">
        <v>-5.1250802449551436E-3</v>
      </c>
      <c r="BH118" s="1">
        <v>1.0730138928990995E-2</v>
      </c>
      <c r="BI118" s="1">
        <v>2.7864264304379854E-3</v>
      </c>
      <c r="BJ118" s="1">
        <v>-4.0964020024613079E-3</v>
      </c>
      <c r="BK118" s="1">
        <v>4.2888877791013996E-3</v>
      </c>
      <c r="BL118" s="1">
        <v>-4.7324091689402575E-3</v>
      </c>
      <c r="BM118" s="1">
        <v>6.6578370374220652E-3</v>
      </c>
      <c r="BN118" s="1">
        <v>-1.6463407139859776E-3</v>
      </c>
      <c r="BO118" s="1">
        <v>3.5975467319847854E-3</v>
      </c>
      <c r="BP118" s="1">
        <v>1.0470566649534024E-3</v>
      </c>
      <c r="BQ118" s="1">
        <v>-4.4890730784762217E-3</v>
      </c>
      <c r="BR118" s="1">
        <v>1.4770234997400072E-2</v>
      </c>
      <c r="BS118" s="1">
        <v>-1.7696023498874142E-2</v>
      </c>
      <c r="BT118" s="1">
        <v>6.9140622026445872E-3</v>
      </c>
      <c r="BU118" s="1">
        <v>-1.6067321494664902E-2</v>
      </c>
      <c r="BV118" s="1">
        <v>1.6019518012776596E-3</v>
      </c>
      <c r="BW118" s="1">
        <v>-1.3007031189227636E-2</v>
      </c>
      <c r="BX118" s="1">
        <v>6.4402790964750295E-3</v>
      </c>
      <c r="BY118" s="1">
        <v>2.9486504907473565E-3</v>
      </c>
      <c r="BZ118" s="1">
        <v>-4.6186608482565172E-4</v>
      </c>
      <c r="CA118" s="1">
        <v>-3.8041597050024745E-3</v>
      </c>
      <c r="CB118" s="1">
        <v>-1.505796000057244E-2</v>
      </c>
      <c r="CC118" s="1">
        <v>-6.4035559790286689E-3</v>
      </c>
      <c r="CD118" s="1">
        <v>1.3261312247621032E-2</v>
      </c>
      <c r="CE118" s="1">
        <v>5.4051394528655469E-3</v>
      </c>
      <c r="CF118" s="1">
        <v>1.0243466748062924E-2</v>
      </c>
      <c r="CG118" s="1">
        <v>5.0935804070053325E-3</v>
      </c>
      <c r="CH118" s="1">
        <v>-1.4421952834093504E-2</v>
      </c>
      <c r="CI118" s="1">
        <v>-4.3268490181668506E-3</v>
      </c>
      <c r="CJ118" s="1">
        <v>-3.2917093745573889E-3</v>
      </c>
      <c r="CK118" s="1">
        <v>-3.7912706302439675E-3</v>
      </c>
      <c r="CL118" s="1">
        <v>-6.5104461587003615E-3</v>
      </c>
      <c r="CM118" s="1">
        <v>5.1875815119185181E-3</v>
      </c>
      <c r="CN118" s="1">
        <v>-2.6814803575954671E-3</v>
      </c>
      <c r="CO118" s="1">
        <v>3.7468817175356495E-3</v>
      </c>
      <c r="CP118" s="1">
        <v>-5.6305934052244822E-5</v>
      </c>
      <c r="CQ118" s="1">
        <v>3.5035456270716137E-3</v>
      </c>
      <c r="CR118" s="1">
        <v>9.0589921189025979E-3</v>
      </c>
      <c r="CS118" s="1">
        <v>4.1747717211731983E-4</v>
      </c>
      <c r="CT118" s="1">
        <v>9.9447967769612095E-3</v>
      </c>
      <c r="CU118" s="1">
        <v>3.5164347018301068E-3</v>
      </c>
      <c r="CV118" s="1">
        <v>3.1108745510567137E-3</v>
      </c>
      <c r="CW118" s="1">
        <v>7.319622353418008E-3</v>
      </c>
      <c r="CX118" s="1">
        <v>1.926399921896374E-3</v>
      </c>
      <c r="CY118" s="1">
        <v>2.4834446501939278E-3</v>
      </c>
      <c r="CZ118" s="1">
        <v>2.2378759892549144E-2</v>
      </c>
      <c r="DA118" s="1">
        <v>1.6417753249944766E-2</v>
      </c>
      <c r="DB118" s="1">
        <v>2.9991596596840586E-2</v>
      </c>
      <c r="DC118" s="1">
        <v>1.2066098135675468E-2</v>
      </c>
      <c r="DD118" s="1">
        <v>1.601219309917136E-2</v>
      </c>
      <c r="DE118" s="1">
        <v>2.9605353194468553E-2</v>
      </c>
      <c r="DF118" s="1">
        <v>2.9180476295293786E-2</v>
      </c>
      <c r="DG118" s="1">
        <v>2.3307009356486941E-2</v>
      </c>
      <c r="DH118" s="1">
        <v>6.5235407186030048E-3</v>
      </c>
      <c r="DI118" s="1">
        <v>2.4922822285937687E-2</v>
      </c>
      <c r="DJ118" s="1">
        <v>2.1892087711621072E-2</v>
      </c>
      <c r="DK118" s="1">
        <v>1.6661089340408802E-2</v>
      </c>
      <c r="DL118" s="1">
        <v>1.4441475067638987E-2</v>
      </c>
      <c r="DM118" s="1">
        <v>-2.2284180350397309E-4</v>
      </c>
      <c r="DN118" s="1">
        <v>1.048895243050027E-2</v>
      </c>
      <c r="DO118" s="1">
        <v>3.1419407316464962E-2</v>
      </c>
      <c r="DP118" s="1">
        <v>2.3813032013289145E-2</v>
      </c>
      <c r="DQ118" s="1">
        <v>-1.0571264111296219E-4</v>
      </c>
      <c r="DR118" s="1">
        <v>3.3619671113360616E-2</v>
      </c>
      <c r="DS118" s="1">
        <v>1.0083392279726863E-2</v>
      </c>
      <c r="DT118" s="1">
        <v>1.9292691437594864E-2</v>
      </c>
      <c r="DU118" s="1">
        <v>1.7589338804346585E-2</v>
      </c>
      <c r="DV118" s="1">
        <v>2.6811527036973121E-2</v>
      </c>
      <c r="DW118" s="1">
        <v>2.1512305710364665E-2</v>
      </c>
      <c r="DX118" s="1">
        <v>3.4031692665249663E-2</v>
      </c>
      <c r="DY118" s="1">
        <v>2.8482673847061532E-2</v>
      </c>
      <c r="DZ118" s="1">
        <v>3.1743855437083676E-2</v>
      </c>
      <c r="EA118" s="1">
        <v>1.3805467901160065E-2</v>
      </c>
      <c r="EB118" s="1">
        <v>4.0528277695776938E-2</v>
      </c>
      <c r="EC118" s="1">
        <v>2.2671002190008005E-2</v>
      </c>
      <c r="ED118" s="1">
        <v>3.3327462543374542E-2</v>
      </c>
      <c r="EE118" s="1">
        <v>8.9671406059626813E-3</v>
      </c>
      <c r="EF118" s="1">
        <v>4.2916543702498963E-2</v>
      </c>
      <c r="EG118" s="1">
        <v>4.4737025498138239E-2</v>
      </c>
      <c r="EH118" s="1">
        <v>6.254426478621955E-3</v>
      </c>
      <c r="EI118" s="1">
        <v>8.9118067253250166E-3</v>
      </c>
      <c r="EJ118" s="1">
        <v>3.3090554126553373E-2</v>
      </c>
      <c r="EK118" s="1">
        <v>3.1824967467238355E-2</v>
      </c>
      <c r="EL118" s="1">
        <v>1.8170012090187856E-2</v>
      </c>
      <c r="EM118" s="1">
        <v>3.8172542649051039E-3</v>
      </c>
      <c r="EN118" s="1">
        <v>8.4933574997931305E-3</v>
      </c>
      <c r="EO118" s="1">
        <v>2.2378759892549144E-2</v>
      </c>
      <c r="EP118" s="1">
        <v>1.0164504309881542E-2</v>
      </c>
      <c r="EQ118" s="1">
        <v>2.1589965295751856E-3</v>
      </c>
      <c r="ER118" s="1">
        <v>7.0655467801687549E-3</v>
      </c>
      <c r="ES118" s="1">
        <v>1.8793130181908285E-2</v>
      </c>
      <c r="ET118" s="1">
        <v>2.1742752726070222E-2</v>
      </c>
      <c r="EU118" s="1">
        <v>1.3831246050677079E-2</v>
      </c>
      <c r="EV118" s="10">
        <v>3.1906079497393033E-2</v>
      </c>
    </row>
    <row r="119" spans="1:152" x14ac:dyDescent="0.25">
      <c r="A119" s="21">
        <f t="shared" ca="1" si="1"/>
        <v>6.9078910348903941E-2</v>
      </c>
      <c r="B119" s="5">
        <v>118</v>
      </c>
      <c r="C119" s="9">
        <v>5.386440977531437E-3</v>
      </c>
      <c r="D119" s="1">
        <v>-1.8174289446382382E-2</v>
      </c>
      <c r="E119" s="1">
        <v>-1.3569391952198123E-2</v>
      </c>
      <c r="F119" s="1">
        <v>-1.9314265467419763E-2</v>
      </c>
      <c r="G119" s="1">
        <v>7.6888897246236015E-3</v>
      </c>
      <c r="H119" s="1">
        <v>2.2855742993144718E-2</v>
      </c>
      <c r="I119" s="1">
        <v>-9.1377719045533934E-3</v>
      </c>
      <c r="J119" s="1">
        <v>-3.5843253769017591E-4</v>
      </c>
      <c r="K119" s="1">
        <v>-3.0804012497862989E-2</v>
      </c>
      <c r="L119" s="1">
        <v>-1.225613848462128E-2</v>
      </c>
      <c r="M119" s="1">
        <v>1.8597400392039456E-2</v>
      </c>
      <c r="N119" s="1">
        <v>-3.800857305819666E-3</v>
      </c>
      <c r="O119" s="1">
        <v>-1.8001011999842907E-2</v>
      </c>
      <c r="P119" s="1">
        <v>-2.6607073920166639E-2</v>
      </c>
      <c r="Q119" s="1">
        <v>3.755323332176902E-2</v>
      </c>
      <c r="R119" s="1">
        <v>4.813768580112332E-2</v>
      </c>
      <c r="S119" s="1">
        <v>2.2855742993144718E-2</v>
      </c>
      <c r="T119" s="1">
        <v>3.4919511469272135E-3</v>
      </c>
      <c r="U119" s="1">
        <v>2.5890208844786308E-2</v>
      </c>
      <c r="V119" s="1">
        <v>1.5562934540397838E-2</v>
      </c>
      <c r="W119" s="1">
        <v>6.5264169985688042E-3</v>
      </c>
      <c r="X119" s="1">
        <v>9.6447835786367606E-3</v>
      </c>
      <c r="Y119" s="1">
        <v>8.0404018836460756E-4</v>
      </c>
      <c r="Z119" s="1">
        <v>-8.344350776594997E-3</v>
      </c>
      <c r="AA119" s="1">
        <v>-3.800857305819666E-3</v>
      </c>
      <c r="AB119" s="1">
        <v>-1.6453077062317644E-2</v>
      </c>
      <c r="AC119" s="1">
        <v>-4.1474121988986298E-3</v>
      </c>
      <c r="AD119" s="1">
        <v>7.107653361596189E-3</v>
      </c>
      <c r="AE119" s="1">
        <v>3.0839922304393141E-3</v>
      </c>
      <c r="AF119" s="1">
        <v>-1.3569391952198123E-2</v>
      </c>
      <c r="AG119" s="1">
        <v>-1.5871840699290259E-2</v>
      </c>
      <c r="AH119" s="1">
        <v>2.7374373373603503E-3</v>
      </c>
      <c r="AI119" s="1">
        <v>3.3144109979141648E-2</v>
      </c>
      <c r="AJ119" s="1">
        <v>4.0436918431888541E-2</v>
      </c>
      <c r="AK119" s="1">
        <v>-1.4150628315225507E-2</v>
      </c>
      <c r="AL119" s="1">
        <v>-8.4057548000038979E-3</v>
      </c>
      <c r="AM119" s="1">
        <v>1.2271290513790417E-2</v>
      </c>
      <c r="AN119" s="1">
        <v>7.8621671711630939E-3</v>
      </c>
      <c r="AO119" s="1">
        <v>-2.6780351366706114E-2</v>
      </c>
      <c r="AP119" s="1">
        <v>1.3627798463745622E-3</v>
      </c>
      <c r="AQ119" s="1">
        <v>1.7707387628624754E-3</v>
      </c>
      <c r="AR119" s="1">
        <v>-5.5119256731343713E-2</v>
      </c>
      <c r="AS119" s="1">
        <v>-1.8733029104392365E-2</v>
      </c>
      <c r="AT119" s="1">
        <v>-3.9127307289502158E-3</v>
      </c>
      <c r="AU119" s="1">
        <v>1.3668444709793608E-2</v>
      </c>
      <c r="AV119" s="1">
        <v>-2.1789991661051365E-2</v>
      </c>
      <c r="AW119" s="1">
        <v>1.7457424371002062E-2</v>
      </c>
      <c r="AX119" s="1">
        <v>-1.5290604336262888E-2</v>
      </c>
      <c r="AY119" s="1">
        <v>1.6876188007974705E-2</v>
      </c>
      <c r="AZ119" s="1">
        <v>-4.3820936688470508E-3</v>
      </c>
      <c r="BA119" s="1">
        <v>3.4213520155775827E-2</v>
      </c>
      <c r="BB119" s="1">
        <v>2.199175602078314E-2</v>
      </c>
      <c r="BC119" s="1">
        <v>2.6574156809949984E-2</v>
      </c>
      <c r="BD119" s="1">
        <v>-2.5923125955002974E-2</v>
      </c>
      <c r="BE119" s="1">
        <v>7.618323880220379E-3</v>
      </c>
      <c r="BF119" s="1">
        <v>-2.3623955310891238E-3</v>
      </c>
      <c r="BG119" s="1">
        <v>2.2399714937271005E-2</v>
      </c>
      <c r="BH119" s="1">
        <v>-2.6543269636421868E-2</v>
      </c>
      <c r="BI119" s="1">
        <v>1.7152177056650449E-2</v>
      </c>
      <c r="BJ119" s="1">
        <v>-1.688660841317393E-2</v>
      </c>
      <c r="BK119" s="1">
        <v>-4.0916701776984615E-2</v>
      </c>
      <c r="BL119" s="1">
        <v>5.3383718381456585E-3</v>
      </c>
      <c r="BM119" s="1">
        <v>-1.5657255674023429E-2</v>
      </c>
      <c r="BN119" s="1">
        <v>6.6516253057225042E-3</v>
      </c>
      <c r="BO119" s="1">
        <v>-5.9946783997000958E-5</v>
      </c>
      <c r="BP119" s="1">
        <v>2.5026221872424724E-2</v>
      </c>
      <c r="BQ119" s="1">
        <v>1.747346859514165E-4</v>
      </c>
      <c r="BR119" s="1">
        <v>1.0186252136314411E-3</v>
      </c>
      <c r="BS119" s="1">
        <v>-2.168728005891507E-2</v>
      </c>
      <c r="BT119" s="1">
        <v>-1.2365611647416029E-2</v>
      </c>
      <c r="BU119" s="1">
        <v>7.7022246086467169E-3</v>
      </c>
      <c r="BV119" s="1">
        <v>4.5224540051698563E-3</v>
      </c>
      <c r="BW119" s="1">
        <v>-7.8950842813797217E-3</v>
      </c>
      <c r="BX119" s="1">
        <v>6.4169438357740867E-3</v>
      </c>
      <c r="BY119" s="1">
        <v>1.3709752288520973E-2</v>
      </c>
      <c r="BZ119" s="1">
        <v>1.9281348357203097E-2</v>
      </c>
      <c r="CA119" s="1">
        <v>1.4676450863018838E-2</v>
      </c>
      <c r="CB119" s="1">
        <v>1.5319091249455165E-2</v>
      </c>
      <c r="CC119" s="1">
        <v>3.0359230910535218E-3</v>
      </c>
      <c r="CD119" s="1">
        <v>-4.7262483015901718E-3</v>
      </c>
      <c r="CE119" s="1">
        <v>-1.8110485162637642E-2</v>
      </c>
      <c r="CF119" s="1">
        <v>-1.6215995332033412E-2</v>
      </c>
      <c r="CG119" s="1">
        <v>-2.7703544475770163E-3</v>
      </c>
      <c r="CH119" s="1">
        <v>-6.9058890018644445E-3</v>
      </c>
      <c r="CI119" s="1">
        <v>-3.2676900821780597E-3</v>
      </c>
      <c r="CJ119" s="1">
        <v>2.1259738916233638E-2</v>
      </c>
      <c r="CK119" s="1">
        <v>2.3131732041820494E-2</v>
      </c>
      <c r="CL119" s="1">
        <v>-1.2153426882485014E-2</v>
      </c>
      <c r="CM119" s="1">
        <v>3.9637143471598739E-3</v>
      </c>
      <c r="CN119" s="1">
        <v>-1.7875803692689225E-2</v>
      </c>
      <c r="CO119" s="1">
        <v>-1.1957652730928119E-2</v>
      </c>
      <c r="CP119" s="1">
        <v>1.0675286436879379E-2</v>
      </c>
      <c r="CQ119" s="1">
        <v>-6.7940155787338911E-3</v>
      </c>
      <c r="CR119" s="1">
        <v>-2.8845718383514005E-2</v>
      </c>
      <c r="CS119" s="1">
        <v>-8.1072690463107368E-3</v>
      </c>
      <c r="CT119" s="1">
        <v>7.5794165618288563E-3</v>
      </c>
      <c r="CU119" s="1">
        <v>1.661265600067751E-3</v>
      </c>
      <c r="CV119" s="1">
        <v>1.0267327520391483E-2</v>
      </c>
      <c r="CW119" s="1">
        <v>-2.0971673567739747E-2</v>
      </c>
      <c r="CX119" s="1">
        <v>-2.3623955310891238E-3</v>
      </c>
      <c r="CY119" s="1">
        <v>1.9180161824400452E-2</v>
      </c>
      <c r="CZ119" s="1">
        <v>-2.2009278992391121E-3</v>
      </c>
      <c r="DA119" s="1">
        <v>2.8456836825864716E-2</v>
      </c>
      <c r="DB119" s="1">
        <v>1.6346946114002579E-2</v>
      </c>
      <c r="DC119" s="1">
        <v>1.6235072690872029E-2</v>
      </c>
      <c r="DD119" s="1">
        <v>3.7062898746188448E-2</v>
      </c>
      <c r="DE119" s="1">
        <v>-2.1950181956927085E-2</v>
      </c>
      <c r="DF119" s="1">
        <v>3.355906995465003E-2</v>
      </c>
      <c r="DG119" s="1">
        <v>7.1371511256340739E-3</v>
      </c>
      <c r="DH119" s="1">
        <v>4.6742056674453802E-2</v>
      </c>
      <c r="DI119" s="1">
        <v>2.807137461439424E-2</v>
      </c>
      <c r="DJ119" s="1">
        <v>8.126346405149372E-3</v>
      </c>
      <c r="DK119" s="1">
        <v>2.3293199673670488E-2</v>
      </c>
      <c r="DL119" s="1">
        <v>-1.386395237622183E-2</v>
      </c>
      <c r="DM119" s="1">
        <v>-7.6497159211033963E-3</v>
      </c>
      <c r="DN119" s="1">
        <v>2.0666692738516818E-2</v>
      </c>
      <c r="DO119" s="1">
        <v>2.3813032013288944E-2</v>
      </c>
      <c r="DP119" s="1">
        <v>6.9078910348903941E-2</v>
      </c>
      <c r="DQ119" s="1">
        <v>1.8900486944417261E-2</v>
      </c>
      <c r="DR119" s="1">
        <v>-1.1298849464477068E-2</v>
      </c>
      <c r="DS119" s="1">
        <v>2.9272754658840536E-2</v>
      </c>
      <c r="DT119" s="1">
        <v>-3.5141813668159716E-3</v>
      </c>
      <c r="DU119" s="1">
        <v>3.2631278698543681E-2</v>
      </c>
      <c r="DV119" s="1">
        <v>8.2996238516888435E-3</v>
      </c>
      <c r="DW119" s="1">
        <v>3.3642970683076347E-2</v>
      </c>
      <c r="DX119" s="1">
        <v>4.3908840964055902E-2</v>
      </c>
      <c r="DY119" s="1">
        <v>1.0602072598780966E-2</v>
      </c>
      <c r="DZ119" s="1">
        <v>1.6928182477029964E-2</v>
      </c>
      <c r="EA119" s="1">
        <v>8.3610278750977721E-3</v>
      </c>
      <c r="EB119" s="1">
        <v>3.9650498362950613E-2</v>
      </c>
      <c r="EC119" s="1">
        <v>2.9362131376953683E-2</v>
      </c>
      <c r="ED119" s="1">
        <v>7.6310314778241878E-2</v>
      </c>
      <c r="EE119" s="1">
        <v>6.4665380444935416E-3</v>
      </c>
      <c r="EF119" s="1">
        <v>1.8006754474658396E-2</v>
      </c>
      <c r="EG119" s="1">
        <v>8.4114972748194003E-3</v>
      </c>
      <c r="EH119" s="1">
        <v>3.4995131469044746E-2</v>
      </c>
      <c r="EI119" s="1">
        <v>2.5098312786161557E-2</v>
      </c>
      <c r="EJ119" s="1">
        <v>2.6115480760381081E-2</v>
      </c>
      <c r="EK119" s="1">
        <v>1.5206970092965212E-2</v>
      </c>
      <c r="EL119" s="1">
        <v>2.9038073188892115E-2</v>
      </c>
      <c r="EM119" s="1">
        <v>1.991217892894994E-2</v>
      </c>
      <c r="EN119" s="1">
        <v>2.5249093527683661E-2</v>
      </c>
      <c r="EO119" s="1">
        <v>-2.2009278992391121E-3</v>
      </c>
      <c r="EP119" s="1">
        <v>2.7551542274775784E-2</v>
      </c>
      <c r="EQ119" s="1">
        <v>2.6065011360659432E-2</v>
      </c>
      <c r="ER119" s="1">
        <v>1.7783007628397296E-2</v>
      </c>
      <c r="ES119" s="1">
        <v>-1.6421882412291297E-3</v>
      </c>
      <c r="ET119" s="1">
        <v>2.002405235208049E-2</v>
      </c>
      <c r="EU119" s="1">
        <v>2.5271590232701049E-2</v>
      </c>
      <c r="EV119" s="10">
        <v>1.3485757708900474E-2</v>
      </c>
    </row>
    <row r="120" spans="1:152" x14ac:dyDescent="0.25">
      <c r="A120" s="21">
        <f t="shared" ca="1" si="1"/>
        <v>0.11748725300739113</v>
      </c>
      <c r="B120" s="5">
        <v>119</v>
      </c>
      <c r="C120" s="9">
        <v>-4.0244888472944773E-3</v>
      </c>
      <c r="D120" s="1">
        <v>2.5170470700618952E-2</v>
      </c>
      <c r="E120" s="1">
        <v>4.7320903114039803E-4</v>
      </c>
      <c r="F120" s="1">
        <v>3.5223556870845052E-3</v>
      </c>
      <c r="G120" s="1">
        <v>-1.6373119682033727E-2</v>
      </c>
      <c r="H120" s="1">
        <v>-8.4706153227218361E-3</v>
      </c>
      <c r="I120" s="1">
        <v>-1.3374209430067174E-2</v>
      </c>
      <c r="J120" s="1">
        <v>-9.7534219135028688E-4</v>
      </c>
      <c r="K120" s="1">
        <v>9.6206489989728583E-3</v>
      </c>
      <c r="L120" s="1">
        <v>1.1271480836403863E-2</v>
      </c>
      <c r="M120" s="1">
        <v>-5.4730400697851622E-3</v>
      </c>
      <c r="N120" s="1">
        <v>-1.0274826370145429E-2</v>
      </c>
      <c r="O120" s="1">
        <v>1.4320627492347998E-2</v>
      </c>
      <c r="P120" s="1">
        <v>-8.9280829546398155E-3</v>
      </c>
      <c r="Q120" s="1">
        <v>-9.9707379482200098E-3</v>
      </c>
      <c r="R120" s="1">
        <v>-3.3015832781237625E-2</v>
      </c>
      <c r="S120" s="1">
        <v>-8.4706153227218361E-3</v>
      </c>
      <c r="T120" s="1">
        <v>2.1756122715789195E-3</v>
      </c>
      <c r="U120" s="1">
        <v>6.9773985719392695E-3</v>
      </c>
      <c r="V120" s="1">
        <v>-2.0921053964446157E-2</v>
      </c>
      <c r="W120" s="1">
        <v>1.762362616623997E-2</v>
      </c>
      <c r="X120" s="1">
        <v>-7.0220641002310957E-3</v>
      </c>
      <c r="Y120" s="1">
        <v>-3.4972088039624011E-2</v>
      </c>
      <c r="Z120" s="1">
        <v>2.9973592000009097E-2</v>
      </c>
      <c r="AA120" s="1">
        <v>-1.0274826370145429E-2</v>
      </c>
      <c r="AB120" s="1">
        <v>2.9820212790016509E-2</v>
      </c>
      <c r="AC120" s="1">
        <v>1.1424860046396479E-2</v>
      </c>
      <c r="AD120" s="1">
        <v>6.2525324210310762E-4</v>
      </c>
      <c r="AE120" s="1">
        <v>8.3241419874448552E-3</v>
      </c>
      <c r="AF120" s="1">
        <v>4.7320903114039803E-4</v>
      </c>
      <c r="AG120" s="1">
        <v>1.2821839865879647E-2</v>
      </c>
      <c r="AH120" s="1">
        <v>3.0023828403986735E-2</v>
      </c>
      <c r="AI120" s="1">
        <v>-5.1768180348820469E-2</v>
      </c>
      <c r="AJ120" s="1">
        <v>-3.9317741707096177E-2</v>
      </c>
      <c r="AK120" s="1">
        <v>1.7471581955277232E-2</v>
      </c>
      <c r="AL120" s="1">
        <v>1.4422435299333097E-2</v>
      </c>
      <c r="AM120" s="1">
        <v>1.4574479510295779E-2</v>
      </c>
      <c r="AN120" s="1">
        <v>-2.7222962890304653E-2</v>
      </c>
      <c r="AO120" s="1">
        <v>1.9217602536311384E-3</v>
      </c>
      <c r="AP120" s="1">
        <v>3.6743998980472703E-3</v>
      </c>
      <c r="AQ120" s="1">
        <v>-2.4741298178186377E-3</v>
      </c>
      <c r="AR120" s="1">
        <v>6.6663824679294048E-2</v>
      </c>
      <c r="AS120" s="1">
        <v>-1.3476017237052274E-2</v>
      </c>
      <c r="AT120" s="1">
        <v>1.6126173538801469E-2</v>
      </c>
      <c r="AU120" s="1">
        <v>-1.4720952845572788E-2</v>
      </c>
      <c r="AV120" s="1">
        <v>2.6720829730094764E-2</v>
      </c>
      <c r="AW120" s="1">
        <v>-2.7121155083319554E-2</v>
      </c>
      <c r="AX120" s="1">
        <v>-4.1765330582571869E-3</v>
      </c>
      <c r="AY120" s="1">
        <v>-1.0122782159182719E-2</v>
      </c>
      <c r="AZ120" s="1">
        <v>6.7235465539914052E-3</v>
      </c>
      <c r="BA120" s="1">
        <v>2.0956109054186614E-2</v>
      </c>
      <c r="BB120" s="1">
        <v>-7.422423633253461E-4</v>
      </c>
      <c r="BC120" s="1">
        <v>3.0205356829004187E-2</v>
      </c>
      <c r="BD120" s="1">
        <v>1.4299875302425144E-2</v>
      </c>
      <c r="BE120" s="1">
        <v>3.4703054707439035E-2</v>
      </c>
      <c r="BF120" s="1">
        <v>-1.489508424548823E-2</v>
      </c>
      <c r="BG120" s="1">
        <v>-6.890772079191268E-3</v>
      </c>
      <c r="BH120" s="1">
        <v>-3.9897769335922068E-2</v>
      </c>
      <c r="BI120" s="1">
        <v>1.9253705813748148E-2</v>
      </c>
      <c r="BJ120" s="1">
        <v>-2.424480482826101E-2</v>
      </c>
      <c r="BK120" s="1">
        <v>-4.4524722651576865E-3</v>
      </c>
      <c r="BL120" s="1">
        <v>-8.5931753196297755E-3</v>
      </c>
      <c r="BM120" s="1">
        <v>2.6647171138134557E-2</v>
      </c>
      <c r="BN120" s="1">
        <v>2.2050964856336758E-3</v>
      </c>
      <c r="BO120" s="1">
        <v>-2.7243715080227535E-2</v>
      </c>
      <c r="BP120" s="1">
        <v>1.4705771531335635E-2</v>
      </c>
      <c r="BQ120" s="1">
        <v>-2.2542401587822503E-2</v>
      </c>
      <c r="BR120" s="1">
        <v>-2.1146756767369101E-2</v>
      </c>
      <c r="BS120" s="1">
        <v>6.6947160911296544E-2</v>
      </c>
      <c r="BT120" s="1">
        <v>-8.8483623366074488E-3</v>
      </c>
      <c r="BU120" s="1">
        <v>-5.3906494536930666E-3</v>
      </c>
      <c r="BV120" s="1">
        <v>3.7038841121019989E-3</v>
      </c>
      <c r="BW120" s="1">
        <v>4.8500236764668997E-2</v>
      </c>
      <c r="BX120" s="1">
        <v>-2.4962170067713702E-3</v>
      </c>
      <c r="BY120" s="1">
        <v>9.9542216349530338E-3</v>
      </c>
      <c r="BZ120" s="1">
        <v>1.7754918187279797E-2</v>
      </c>
      <c r="CA120" s="1">
        <v>4.2452179856758324E-2</v>
      </c>
      <c r="CB120" s="1">
        <v>4.1004963633297489E-2</v>
      </c>
      <c r="CC120" s="1">
        <v>3.7554555151095015E-3</v>
      </c>
      <c r="CD120" s="1">
        <v>-1.8097610111424939E-2</v>
      </c>
      <c r="CE120" s="1">
        <v>-5.7992156806633138E-3</v>
      </c>
      <c r="CF120" s="1">
        <v>-1.1999316799536697E-2</v>
      </c>
      <c r="CG120" s="1">
        <v>-8.7465545296223496E-3</v>
      </c>
      <c r="CH120" s="1">
        <v>2.5353334124666269E-2</v>
      </c>
      <c r="CI120" s="1">
        <v>-3.1841885766617617E-2</v>
      </c>
      <c r="CJ120" s="1">
        <v>-2.8538887092725632E-2</v>
      </c>
      <c r="CK120" s="1">
        <v>2.0905872650209018E-2</v>
      </c>
      <c r="CL120" s="1">
        <v>5.1497812017605657E-2</v>
      </c>
      <c r="CM120" s="1">
        <v>-3.4942603825569254E-2</v>
      </c>
      <c r="CN120" s="1">
        <v>-1.0979021882582679E-3</v>
      </c>
      <c r="CO120" s="1">
        <v>-1.4996892052473357E-2</v>
      </c>
      <c r="CP120" s="1">
        <v>-5.4937922597080441E-3</v>
      </c>
      <c r="CQ120" s="1">
        <v>-1.0476657842806297E-3</v>
      </c>
      <c r="CR120" s="1">
        <v>-2.7549138501182791E-2</v>
      </c>
      <c r="CS120" s="1">
        <v>-1.184593758954415E-2</v>
      </c>
      <c r="CT120" s="1">
        <v>-3.6492962855045011E-2</v>
      </c>
      <c r="CU120" s="1">
        <v>-2.2593972990829922E-2</v>
      </c>
      <c r="CV120" s="1">
        <v>6.5473745615786394E-4</v>
      </c>
      <c r="CW120" s="1">
        <v>-3.2097072783595262E-2</v>
      </c>
      <c r="CX120" s="1">
        <v>-1.489508424548823E-2</v>
      </c>
      <c r="CY120" s="1">
        <v>1.089884477618E-2</v>
      </c>
      <c r="CZ120" s="1">
        <v>-3.3571399119978335E-3</v>
      </c>
      <c r="DA120" s="1">
        <v>4.6393043251892113E-2</v>
      </c>
      <c r="DB120" s="1">
        <v>-1.7063080745668008E-3</v>
      </c>
      <c r="DC120" s="1">
        <v>2.4694691834380167E-2</v>
      </c>
      <c r="DD120" s="1">
        <v>6.9641753698879955E-2</v>
      </c>
      <c r="DE120" s="1">
        <v>-4.220724346363923E-2</v>
      </c>
      <c r="DF120" s="1">
        <v>4.4791112819408882E-2</v>
      </c>
      <c r="DG120" s="1">
        <v>4.7688215264390307E-2</v>
      </c>
      <c r="DH120" s="1">
        <v>2.9649857344732994E-2</v>
      </c>
      <c r="DI120" s="1">
        <v>-3.1032878940500108E-3</v>
      </c>
      <c r="DJ120" s="1">
        <v>2.4541312624387565E-2</v>
      </c>
      <c r="DK120" s="1">
        <v>3.2443816983699442E-2</v>
      </c>
      <c r="DL120" s="1">
        <v>1.3590996608161432E-2</v>
      </c>
      <c r="DM120" s="1">
        <v>1.9944476937027361E-2</v>
      </c>
      <c r="DN120" s="1">
        <v>1.0847273373172539E-2</v>
      </c>
      <c r="DO120" s="1">
        <v>-1.0571264111335077E-4</v>
      </c>
      <c r="DP120" s="1">
        <v>1.8900486944417344E-2</v>
      </c>
      <c r="DQ120" s="1">
        <v>0.11748725300739113</v>
      </c>
      <c r="DR120" s="1">
        <v>1.9636383518012335E-2</v>
      </c>
      <c r="DS120" s="1">
        <v>3.409598382016038E-2</v>
      </c>
      <c r="DT120" s="1">
        <v>-1.4155411717261313E-2</v>
      </c>
      <c r="DU120" s="1">
        <v>8.348917216008761E-2</v>
      </c>
      <c r="DV120" s="1">
        <v>1.3691469416116583E-2</v>
      </c>
      <c r="DW120" s="1">
        <v>4.6974086582767804E-3</v>
      </c>
      <c r="DX120" s="1">
        <v>1.7044704493986193E-2</v>
      </c>
      <c r="DY120" s="1">
        <v>1.3428385813773341E-3</v>
      </c>
      <c r="DZ120" s="1">
        <v>-1.8704680998703635E-2</v>
      </c>
      <c r="EA120" s="1">
        <v>2.9242626116792625E-2</v>
      </c>
      <c r="EB120" s="1">
        <v>2.0042279746922867E-2</v>
      </c>
      <c r="EC120" s="1">
        <v>6.33398447730215E-2</v>
      </c>
      <c r="ED120" s="1">
        <v>1.5799768885465693E-2</v>
      </c>
      <c r="EE120" s="1">
        <v>3.5442727235666022E-2</v>
      </c>
      <c r="EF120" s="1">
        <v>-1.260772268584523E-2</v>
      </c>
      <c r="EG120" s="1">
        <v>-1.2709530492830315E-2</v>
      </c>
      <c r="EH120" s="1">
        <v>8.6691698026024305E-2</v>
      </c>
      <c r="EI120" s="1">
        <v>-3.0001450880350611E-3</v>
      </c>
      <c r="EJ120" s="1">
        <v>-1.2454343475852628E-2</v>
      </c>
      <c r="EK120" s="1">
        <v>-2.3354423088101192E-2</v>
      </c>
      <c r="EL120" s="1">
        <v>2.9394670327755335E-2</v>
      </c>
      <c r="EM120" s="1">
        <v>3.8695489505580299E-2</v>
      </c>
      <c r="EN120" s="1">
        <v>4.1794872565502073E-2</v>
      </c>
      <c r="EO120" s="1">
        <v>-3.3571399119978335E-3</v>
      </c>
      <c r="EP120" s="1">
        <v>2.9446241730762768E-2</v>
      </c>
      <c r="EQ120" s="1">
        <v>2.9497813133770284E-2</v>
      </c>
      <c r="ER120" s="1">
        <v>4.0194277132048623E-2</v>
      </c>
      <c r="ES120" s="1">
        <v>3.5289348025673392E-2</v>
      </c>
      <c r="ET120" s="1">
        <v>1.2294489596633401E-2</v>
      </c>
      <c r="EU120" s="1">
        <v>-1.3849988296306015E-2</v>
      </c>
      <c r="EV120" s="10">
        <v>-2.8004165177498749E-2</v>
      </c>
    </row>
    <row r="121" spans="1:152" x14ac:dyDescent="0.25">
      <c r="A121" s="21">
        <f t="shared" ca="1" si="1"/>
        <v>7.5727275304019154E-2</v>
      </c>
      <c r="B121" s="5">
        <v>120</v>
      </c>
      <c r="C121" s="9">
        <v>1.291005416916291E-3</v>
      </c>
      <c r="D121" s="1">
        <v>1.5847673742757057E-2</v>
      </c>
      <c r="E121" s="1">
        <v>8.5106459967032588E-3</v>
      </c>
      <c r="F121" s="1">
        <v>1.1097473858503376E-2</v>
      </c>
      <c r="G121" s="1">
        <v>-2.3775084561105941E-3</v>
      </c>
      <c r="H121" s="1">
        <v>-2.2790783888842522E-2</v>
      </c>
      <c r="I121" s="1">
        <v>-4.8823561702096008E-3</v>
      </c>
      <c r="J121" s="1">
        <v>3.8778332787164083E-3</v>
      </c>
      <c r="K121" s="1">
        <v>1.6271129582103611E-2</v>
      </c>
      <c r="L121" s="1">
        <v>1.9316820301816057E-2</v>
      </c>
      <c r="M121" s="1">
        <v>-3.3418073010705596E-3</v>
      </c>
      <c r="N121" s="1">
        <v>2.7961472674896404E-3</v>
      </c>
      <c r="O121" s="1">
        <v>2.1903648163616146E-2</v>
      </c>
      <c r="P121" s="1">
        <v>1.9199433135549254E-2</v>
      </c>
      <c r="Q121" s="1">
        <v>-1.0561447880857527E-2</v>
      </c>
      <c r="R121" s="1">
        <v>-3.6806609209069904E-2</v>
      </c>
      <c r="S121" s="1">
        <v>-2.2790783888842522E-2</v>
      </c>
      <c r="T121" s="1">
        <v>-5.3058120095561823E-3</v>
      </c>
      <c r="U121" s="1">
        <v>-1.1443766578116368E-2</v>
      </c>
      <c r="V121" s="1">
        <v>-1.4688824611796672E-2</v>
      </c>
      <c r="W121" s="1">
        <v>6.041205301169944E-3</v>
      </c>
      <c r="X121" s="1">
        <v>-1.8157971170855672E-2</v>
      </c>
      <c r="Y121" s="1">
        <v>-4.5408804785641299E-3</v>
      </c>
      <c r="Z121" s="1">
        <v>-1.2244105127674126E-2</v>
      </c>
      <c r="AA121" s="1">
        <v>2.7961472674896404E-3</v>
      </c>
      <c r="AB121" s="1">
        <v>1.6388516748370413E-2</v>
      </c>
      <c r="AC121" s="1">
        <v>-9.3158015742285522E-3</v>
      </c>
      <c r="AD121" s="1">
        <v>1.8318484225296749E-3</v>
      </c>
      <c r="AE121" s="1">
        <v>4.9595192899431761E-3</v>
      </c>
      <c r="AF121" s="1">
        <v>8.5106459967032588E-3</v>
      </c>
      <c r="AG121" s="1">
        <v>1.2179159869730144E-2</v>
      </c>
      <c r="AH121" s="1">
        <v>-7.1524295517750164E-3</v>
      </c>
      <c r="AI121" s="1">
        <v>-1.0337359355478845E-2</v>
      </c>
      <c r="AJ121" s="1">
        <v>-1.8439318632524682E-2</v>
      </c>
      <c r="AK121" s="1">
        <v>1.2720002875343556E-2</v>
      </c>
      <c r="AL121" s="1">
        <v>1.0133175013543411E-2</v>
      </c>
      <c r="AM121" s="1">
        <v>3.4543774393698268E-3</v>
      </c>
      <c r="AN121" s="1">
        <v>3.6784659647485091E-3</v>
      </c>
      <c r="AO121" s="1">
        <v>1.3143458714690109E-2</v>
      </c>
      <c r="AP121" s="1">
        <v>4.41867628432982E-3</v>
      </c>
      <c r="AQ121" s="1">
        <v>-5.8466550151695662E-3</v>
      </c>
      <c r="AR121" s="1">
        <v>2.8981180365725556E-2</v>
      </c>
      <c r="AS121" s="1">
        <v>6.888116979863107E-3</v>
      </c>
      <c r="AT121" s="1">
        <v>-2.5637107294587014E-2</v>
      </c>
      <c r="AU121" s="1">
        <v>-2.1285642038269159E-2</v>
      </c>
      <c r="AV121" s="1">
        <v>8.7100133106711719E-3</v>
      </c>
      <c r="AW121" s="1">
        <v>-8.0920071853241987E-3</v>
      </c>
      <c r="AX121" s="1">
        <v>7.9698029910898749E-3</v>
      </c>
      <c r="AY121" s="1">
        <v>-3.8826503066839435E-3</v>
      </c>
      <c r="AZ121" s="1">
        <v>7.0055041461299095E-3</v>
      </c>
      <c r="BA121" s="1">
        <v>-1.257606004574123E-2</v>
      </c>
      <c r="BB121" s="1">
        <v>-2.2417935505894021E-2</v>
      </c>
      <c r="BC121" s="1">
        <v>-1.6586049610413572E-2</v>
      </c>
      <c r="BD121" s="1">
        <v>1.4057150103252022E-2</v>
      </c>
      <c r="BE121" s="1">
        <v>-9.3664090306266046E-3</v>
      </c>
      <c r="BF121" s="1">
        <v>-4.995182225887157E-4</v>
      </c>
      <c r="BG121" s="1">
        <v>-3.2683266805393366E-2</v>
      </c>
      <c r="BH121" s="1">
        <v>2.7474873481575679E-2</v>
      </c>
      <c r="BI121" s="1">
        <v>1.2403979605182108E-3</v>
      </c>
      <c r="BJ121" s="1">
        <v>-6.6728798097146352E-3</v>
      </c>
      <c r="BK121" s="1">
        <v>4.0526399956843068E-2</v>
      </c>
      <c r="BL121" s="1">
        <v>-1.8866808799133911E-2</v>
      </c>
      <c r="BM121" s="1">
        <v>3.9679488278149877E-2</v>
      </c>
      <c r="BN121" s="1">
        <v>-8.0606344940211544E-3</v>
      </c>
      <c r="BO121" s="1">
        <v>-4.1680320956156286E-3</v>
      </c>
      <c r="BP121" s="1">
        <v>-1.1070918195167853E-2</v>
      </c>
      <c r="BQ121" s="1">
        <v>-2.048933781597409E-2</v>
      </c>
      <c r="BR121" s="1">
        <v>2.2959447929855603E-2</v>
      </c>
      <c r="BS121" s="1">
        <v>7.777087157014223E-3</v>
      </c>
      <c r="BT121" s="1">
        <v>2.1536286226983378E-2</v>
      </c>
      <c r="BU121" s="1">
        <v>-4.4912602813378402E-2</v>
      </c>
      <c r="BV121" s="1">
        <v>1.6638537998648201E-3</v>
      </c>
      <c r="BW121" s="1">
        <v>-1.0650824396128689E-3</v>
      </c>
      <c r="BX121" s="1">
        <v>8.2606712263373211E-3</v>
      </c>
      <c r="BY121" s="1">
        <v>1.5871194929144294E-4</v>
      </c>
      <c r="BZ121" s="1">
        <v>-8.4840903333677636E-3</v>
      </c>
      <c r="CA121" s="1">
        <v>-1.1470625873139656E-3</v>
      </c>
      <c r="CB121" s="1">
        <v>-2.7733699607171799E-2</v>
      </c>
      <c r="CC121" s="1">
        <v>-1.5198294926107053E-2</v>
      </c>
      <c r="CD121" s="1">
        <v>2.5546275791655748E-2</v>
      </c>
      <c r="CE121" s="1">
        <v>2.4123114088783496E-2</v>
      </c>
      <c r="CF121" s="1">
        <v>3.0719931515255983E-2</v>
      </c>
      <c r="CG121" s="1">
        <v>9.7658130769106427E-3</v>
      </c>
      <c r="CH121" s="1">
        <v>-1.5539770617752538E-2</v>
      </c>
      <c r="CI121" s="1">
        <v>-2.1571023827200858E-2</v>
      </c>
      <c r="CJ121" s="1">
        <v>-3.7433466689647046E-2</v>
      </c>
      <c r="CK121" s="1">
        <v>-1.766773562164034E-2</v>
      </c>
      <c r="CL121" s="1">
        <v>1.8383894148159094E-2</v>
      </c>
      <c r="CM121" s="1">
        <v>-7.2957029630291298E-3</v>
      </c>
      <c r="CN121" s="1">
        <v>7.80180836842502E-3</v>
      </c>
      <c r="CO121" s="1">
        <v>1.127095492748402E-2</v>
      </c>
      <c r="CP121" s="1">
        <v>-1.1188305361434656E-2</v>
      </c>
      <c r="CQ121" s="1">
        <v>1.2893483944324144E-2</v>
      </c>
      <c r="CR121" s="1">
        <v>3.1143387354602564E-2</v>
      </c>
      <c r="CS121" s="1">
        <v>2.0873096392113738E-3</v>
      </c>
      <c r="CT121" s="1">
        <v>-1.5804253094321707E-4</v>
      </c>
      <c r="CU121" s="1">
        <v>-3.6271890900022169E-3</v>
      </c>
      <c r="CV121" s="1">
        <v>-9.2297406193532494E-4</v>
      </c>
      <c r="CW121" s="1">
        <v>1.8832071198916459E-2</v>
      </c>
      <c r="CX121" s="1">
        <v>-4.995182225887157E-4</v>
      </c>
      <c r="CY121" s="1">
        <v>-2.3022749485414024E-2</v>
      </c>
      <c r="CZ121" s="1">
        <v>3.2619965249834959E-2</v>
      </c>
      <c r="DA121" s="1">
        <v>1.7074276867623472E-2</v>
      </c>
      <c r="DB121" s="1">
        <v>3.5665655969547364E-2</v>
      </c>
      <c r="DC121" s="1">
        <v>7.2324014074706955E-3</v>
      </c>
      <c r="DD121" s="1">
        <v>1.9778491895690364E-2</v>
      </c>
      <c r="DE121" s="1">
        <v>4.7201354787086494E-2</v>
      </c>
      <c r="DF121" s="1">
        <v>4.1074086025681203E-2</v>
      </c>
      <c r="DG121" s="1">
        <v>5.0339711461654904E-2</v>
      </c>
      <c r="DH121" s="1">
        <v>-2.7538175037134099E-2</v>
      </c>
      <c r="DI121" s="1">
        <v>1.417069452558864E-2</v>
      </c>
      <c r="DJ121" s="1">
        <v>3.5865023283515263E-2</v>
      </c>
      <c r="DK121" s="1">
        <v>1.5451747850783293E-2</v>
      </c>
      <c r="DL121" s="1">
        <v>3.1737646552576104E-2</v>
      </c>
      <c r="DM121" s="1">
        <v>-3.4917927499409362E-3</v>
      </c>
      <c r="DN121" s="1">
        <v>-6.1606007594421919E-3</v>
      </c>
      <c r="DO121" s="1">
        <v>3.361967111336063E-2</v>
      </c>
      <c r="DP121" s="1">
        <v>-1.1298849464476707E-2</v>
      </c>
      <c r="DQ121" s="1">
        <v>1.9636383518012834E-2</v>
      </c>
      <c r="DR121" s="1">
        <v>7.5727275304019154E-2</v>
      </c>
      <c r="DS121" s="1">
        <v>-3.4563857313752722E-3</v>
      </c>
      <c r="DT121" s="1">
        <v>2.1813790944722217E-2</v>
      </c>
      <c r="DU121" s="1">
        <v>3.3171494062603307E-2</v>
      </c>
      <c r="DV121" s="1">
        <v>4.1920997704374366E-2</v>
      </c>
      <c r="DW121" s="1">
        <v>5.527892242929433E-3</v>
      </c>
      <c r="DX121" s="1">
        <v>3.1150230417827288E-2</v>
      </c>
      <c r="DY121" s="1">
        <v>3.8252483831347481E-2</v>
      </c>
      <c r="DZ121" s="1">
        <v>3.1456299090907094E-2</v>
      </c>
      <c r="EA121" s="1">
        <v>1.9543717563156787E-2</v>
      </c>
      <c r="EB121" s="1">
        <v>5.0599207005599264E-2</v>
      </c>
      <c r="EC121" s="1">
        <v>3.8145782472235629E-2</v>
      </c>
      <c r="ED121" s="1">
        <v>2.9764713996949799E-3</v>
      </c>
      <c r="EE121" s="1">
        <v>1.2946900136684314E-2</v>
      </c>
      <c r="EF121" s="1">
        <v>5.8583779116378326E-2</v>
      </c>
      <c r="EG121" s="1">
        <v>7.0354252266451048E-2</v>
      </c>
      <c r="EH121" s="1">
        <v>7.1257000483588295E-3</v>
      </c>
      <c r="EI121" s="1">
        <v>-1.9553602926355024E-2</v>
      </c>
      <c r="EJ121" s="1">
        <v>2.9951157240333717E-2</v>
      </c>
      <c r="EK121" s="1">
        <v>3.0915456085293683E-2</v>
      </c>
      <c r="EL121" s="1">
        <v>1.2864919988983203E-2</v>
      </c>
      <c r="EM121" s="1">
        <v>-8.0072183016609844E-3</v>
      </c>
      <c r="EN121" s="1">
        <v>-3.2871486396174321E-4</v>
      </c>
      <c r="EO121" s="1">
        <v>3.2619965249834959E-2</v>
      </c>
      <c r="EP121" s="1">
        <v>-3.9972287369886561E-3</v>
      </c>
      <c r="EQ121" s="1">
        <v>-2.0859377462960488E-2</v>
      </c>
      <c r="ER121" s="1">
        <v>1.7172699922249901E-3</v>
      </c>
      <c r="ES121" s="1">
        <v>4.1579522012728909E-2</v>
      </c>
      <c r="ET121" s="1">
        <v>2.042603626041567E-2</v>
      </c>
      <c r="EU121" s="1">
        <v>-1.3497628505495962E-2</v>
      </c>
      <c r="EV121" s="10">
        <v>3.0374613079680327E-2</v>
      </c>
    </row>
    <row r="122" spans="1:152" x14ac:dyDescent="0.25">
      <c r="A122" s="21">
        <f t="shared" ca="1" si="1"/>
        <v>3.230568060963368E-2</v>
      </c>
      <c r="B122" s="5">
        <v>121</v>
      </c>
      <c r="C122" s="9">
        <v>-1.8326172148073472E-3</v>
      </c>
      <c r="D122" s="1">
        <v>-2.0012921092433938E-3</v>
      </c>
      <c r="E122" s="1">
        <v>-2.4703218278901429E-3</v>
      </c>
      <c r="F122" s="1">
        <v>-2.6190210231533256E-3</v>
      </c>
      <c r="G122" s="1">
        <v>-2.0671320741307286E-3</v>
      </c>
      <c r="H122" s="1">
        <v>7.1872428928697607E-3</v>
      </c>
      <c r="I122" s="1">
        <v>1.5605906577152162E-3</v>
      </c>
      <c r="J122" s="1">
        <v>-1.9813164100705161E-3</v>
      </c>
      <c r="K122" s="1">
        <v>-2.9164194136796495E-3</v>
      </c>
      <c r="L122" s="1">
        <v>-6.352535118232347E-3</v>
      </c>
      <c r="M122" s="1">
        <v>-1.3436117969877204E-3</v>
      </c>
      <c r="N122" s="1">
        <v>-2.3645304646570664E-3</v>
      </c>
      <c r="O122" s="1">
        <v>-6.5012343134955158E-3</v>
      </c>
      <c r="P122" s="1">
        <v>-7.4592694499618778E-3</v>
      </c>
      <c r="Q122" s="1">
        <v>-7.0590718390493856E-4</v>
      </c>
      <c r="R122" s="1">
        <v>7.5475248145990687E-3</v>
      </c>
      <c r="S122" s="1">
        <v>7.1872428928697607E-3</v>
      </c>
      <c r="T122" s="1">
        <v>2.4757179621514858E-3</v>
      </c>
      <c r="U122" s="1">
        <v>3.4966366298208179E-3</v>
      </c>
      <c r="V122" s="1">
        <v>2.3469944660611808E-3</v>
      </c>
      <c r="W122" s="1">
        <v>-1.2148883008974154E-3</v>
      </c>
      <c r="X122" s="1">
        <v>6.6982374750501339E-3</v>
      </c>
      <c r="Y122" s="1">
        <v>-2.8335601833038293E-3</v>
      </c>
      <c r="Z122" s="1">
        <v>1.1178203980129364E-2</v>
      </c>
      <c r="AA122" s="1">
        <v>-2.3645304646570664E-3</v>
      </c>
      <c r="AB122" s="1">
        <v>-1.8096850819501187E-3</v>
      </c>
      <c r="AC122" s="1">
        <v>6.6353539438471637E-3</v>
      </c>
      <c r="AD122" s="1">
        <v>-1.641010187514072E-3</v>
      </c>
      <c r="AE122" s="1">
        <v>-1.5981023554839657E-3</v>
      </c>
      <c r="AF122" s="1">
        <v>-2.4703218278901429E-3</v>
      </c>
      <c r="AG122" s="1">
        <v>-2.2358069685667753E-3</v>
      </c>
      <c r="AH122" s="1">
        <v>7.4017820530202644E-3</v>
      </c>
      <c r="AI122" s="1">
        <v>-6.2067923566535288E-3</v>
      </c>
      <c r="AJ122" s="1">
        <v>-1.3665439298449489E-3</v>
      </c>
      <c r="AK122" s="1">
        <v>-2.0441999412735001E-3</v>
      </c>
      <c r="AL122" s="1">
        <v>-1.8955007460103174E-3</v>
      </c>
      <c r="AM122" s="1">
        <v>-1.0661891056342465E-3</v>
      </c>
      <c r="AN122" s="1">
        <v>-6.5670742783828506E-3</v>
      </c>
      <c r="AO122" s="1">
        <v>-2.9593272457097558E-3</v>
      </c>
      <c r="AP122" s="1">
        <v>-1.7897093827772409E-3</v>
      </c>
      <c r="AQ122" s="1">
        <v>2.2841109348582106E-3</v>
      </c>
      <c r="AR122" s="1">
        <v>1.8409697827530408E-3</v>
      </c>
      <c r="AS122" s="1">
        <v>-3.0451429097699545E-3</v>
      </c>
      <c r="AT122" s="1">
        <v>1.5209116465734723E-2</v>
      </c>
      <c r="AU122" s="1">
        <v>6.6553296430200276E-3</v>
      </c>
      <c r="AV122" s="1">
        <v>2.1154360404221639E-3</v>
      </c>
      <c r="AW122" s="1">
        <v>-1.9613407108976522E-3</v>
      </c>
      <c r="AX122" s="1">
        <v>-2.661928855183418E-3</v>
      </c>
      <c r="AY122" s="1">
        <v>-1.5352188242809955E-3</v>
      </c>
      <c r="AZ122" s="1">
        <v>-1.9384085780404237E-3</v>
      </c>
      <c r="BA122" s="1">
        <v>5.0423631236201846E-3</v>
      </c>
      <c r="BB122" s="1">
        <v>8.2010561368193874E-3</v>
      </c>
      <c r="BC122" s="1">
        <v>9.2019991053158418E-3</v>
      </c>
      <c r="BD122" s="1">
        <v>-1.753906974466847E-3</v>
      </c>
      <c r="BE122" s="1">
        <v>8.5642944922330461E-3</v>
      </c>
      <c r="BF122" s="1">
        <v>-1.5852320800308142E-3</v>
      </c>
      <c r="BG122" s="1">
        <v>1.2274876454454853E-2</v>
      </c>
      <c r="BH122" s="1">
        <v>-1.587146250113311E-2</v>
      </c>
      <c r="BI122" s="1">
        <v>9.6323333578555992E-5</v>
      </c>
      <c r="BJ122" s="1">
        <v>1.807975792491763E-3</v>
      </c>
      <c r="BK122" s="1">
        <v>-1.5508224145719438E-2</v>
      </c>
      <c r="BL122" s="1">
        <v>7.3288366644132102E-3</v>
      </c>
      <c r="BM122" s="1">
        <v>-1.3677969536846898E-2</v>
      </c>
      <c r="BN122" s="1">
        <v>3.446623374071027E-3</v>
      </c>
      <c r="BO122" s="1">
        <v>-1.8197469393541818E-3</v>
      </c>
      <c r="BP122" s="1">
        <v>4.5104498737704515E-3</v>
      </c>
      <c r="BQ122" s="1">
        <v>6.7540155825333847E-3</v>
      </c>
      <c r="BR122" s="1">
        <v>-1.4275722751583952E-2</v>
      </c>
      <c r="BS122" s="1">
        <v>8.2469204025338444E-3</v>
      </c>
      <c r="BT122" s="1">
        <v>-1.0264785965151464E-2</v>
      </c>
      <c r="BU122" s="1">
        <v>2.0168026531229524E-2</v>
      </c>
      <c r="BV122" s="1">
        <v>-8.1880397085771356E-4</v>
      </c>
      <c r="BW122" s="1">
        <v>8.3098039337368146E-3</v>
      </c>
      <c r="BX122" s="1">
        <v>-5.1271391478165604E-3</v>
      </c>
      <c r="BY122" s="1">
        <v>-2.8689072100798046E-4</v>
      </c>
      <c r="BZ122" s="1">
        <v>4.3617506785072827E-3</v>
      </c>
      <c r="CA122" s="1">
        <v>4.8307803971540317E-3</v>
      </c>
      <c r="CB122" s="1">
        <v>1.7478363236677077E-2</v>
      </c>
      <c r="CC122" s="1">
        <v>7.5633515237365917E-3</v>
      </c>
      <c r="CD122" s="1">
        <v>-1.4424421946847135E-2</v>
      </c>
      <c r="CE122" s="1">
        <v>-1.0413485160414619E-2</v>
      </c>
      <c r="CF122" s="1">
        <v>-1.4721820337373459E-2</v>
      </c>
      <c r="CG122" s="1">
        <v>-5.6590523976662796E-3</v>
      </c>
      <c r="CH122" s="1">
        <v>1.1957502364755637E-2</v>
      </c>
      <c r="CI122" s="1">
        <v>6.3708015279468483E-3</v>
      </c>
      <c r="CJ122" s="1">
        <v>1.1657147540544935E-2</v>
      </c>
      <c r="CK122" s="1">
        <v>8.8187850507292914E-3</v>
      </c>
      <c r="CL122" s="1">
        <v>-2.2105075612065955E-4</v>
      </c>
      <c r="CM122" s="1">
        <v>-1.8626547713842881E-3</v>
      </c>
      <c r="CN122" s="1">
        <v>-1.8397226385270457E-3</v>
      </c>
      <c r="CO122" s="1">
        <v>-6.1909656475159988E-3</v>
      </c>
      <c r="CP122" s="1">
        <v>3.4037155420409207E-3</v>
      </c>
      <c r="CQ122" s="1">
        <v>-5.6161445656361872E-3</v>
      </c>
      <c r="CR122" s="1">
        <v>-1.5636947641809743E-2</v>
      </c>
      <c r="CS122" s="1">
        <v>-1.7339312752939831E-3</v>
      </c>
      <c r="CT122" s="1">
        <v>-5.9793829210498597E-3</v>
      </c>
      <c r="CU122" s="1">
        <v>-1.6281399120609066E-3</v>
      </c>
      <c r="CV122" s="1">
        <v>-6.701047755945308E-4</v>
      </c>
      <c r="CW122" s="1">
        <v>-1.1222821101617826E-2</v>
      </c>
      <c r="CX122" s="1">
        <v>-1.5852320800308142E-3</v>
      </c>
      <c r="CY122" s="1">
        <v>3.9729800967761617E-2</v>
      </c>
      <c r="CZ122" s="1">
        <v>1.3179201761722811E-2</v>
      </c>
      <c r="DA122" s="1">
        <v>2.4158039974362763E-2</v>
      </c>
      <c r="DB122" s="1">
        <v>9.7430860571701555E-3</v>
      </c>
      <c r="DC122" s="1">
        <v>2.7316732987561945E-2</v>
      </c>
      <c r="DD122" s="1">
        <v>2.5116075110829125E-2</v>
      </c>
      <c r="DE122" s="1">
        <v>2.9238838262258815E-3</v>
      </c>
      <c r="DF122" s="1">
        <v>1.1659156330102893E-2</v>
      </c>
      <c r="DG122" s="1">
        <v>1.068114549446364E-2</v>
      </c>
      <c r="DH122" s="1">
        <v>4.1325540717310774E-2</v>
      </c>
      <c r="DI122" s="1">
        <v>1.8614246969584067E-2</v>
      </c>
      <c r="DJ122" s="1">
        <v>1.4328843925482462E-2</v>
      </c>
      <c r="DK122" s="1">
        <v>2.3583218892482938E-2</v>
      </c>
      <c r="DL122" s="1">
        <v>1.7381745575448582E-2</v>
      </c>
      <c r="DM122" s="1">
        <v>3.4677969814486898E-2</v>
      </c>
      <c r="DN122" s="1">
        <v>3.1347645473167318E-2</v>
      </c>
      <c r="DO122" s="1">
        <v>1.0083392279726586E-2</v>
      </c>
      <c r="DP122" s="1">
        <v>2.9272754658840425E-2</v>
      </c>
      <c r="DQ122" s="1">
        <v>3.4095983820160464E-2</v>
      </c>
      <c r="DR122" s="1">
        <v>-3.4563857313754803E-3</v>
      </c>
      <c r="DS122" s="1">
        <v>3.230568060963368E-2</v>
      </c>
      <c r="DT122" s="1">
        <v>1.7061415052065002E-2</v>
      </c>
      <c r="DU122" s="1">
        <v>2.1085162625223752E-2</v>
      </c>
      <c r="DV122" s="1">
        <v>9.8289017212303542E-3</v>
      </c>
      <c r="DW122" s="1">
        <v>2.3262888369099358E-2</v>
      </c>
      <c r="DX122" s="1">
        <v>1.1338825806719313E-2</v>
      </c>
      <c r="DY122" s="1">
        <v>9.5943868619069728E-3</v>
      </c>
      <c r="DZ122" s="1">
        <v>9.3169641705534989E-3</v>
      </c>
      <c r="EA122" s="1">
        <v>2.290260644737005E-2</v>
      </c>
      <c r="EB122" s="1">
        <v>2.807971116861846E-3</v>
      </c>
      <c r="EC122" s="1">
        <v>1.6202006366385094E-2</v>
      </c>
      <c r="ED122" s="1">
        <v>2.1039298359509295E-2</v>
      </c>
      <c r="EE122" s="1">
        <v>2.7210941624328883E-2</v>
      </c>
      <c r="EF122" s="1">
        <v>-3.1390116416762648E-3</v>
      </c>
      <c r="EG122" s="1">
        <v>-7.7447452091614563E-3</v>
      </c>
      <c r="EH122" s="1">
        <v>3.3924352492040066E-2</v>
      </c>
      <c r="EI122" s="1">
        <v>3.5378557958772677E-2</v>
      </c>
      <c r="EJ122" s="1">
        <v>9.8488774204032181E-3</v>
      </c>
      <c r="EK122" s="1">
        <v>9.1253571432602237E-3</v>
      </c>
      <c r="EL122" s="1">
        <v>2.3731918087746107E-2</v>
      </c>
      <c r="EM122" s="1">
        <v>3.6273709564036055E-2</v>
      </c>
      <c r="EN122" s="1">
        <v>3.2348588441663773E-2</v>
      </c>
      <c r="EO122" s="1">
        <v>1.3179201761722811E-2</v>
      </c>
      <c r="EP122" s="1">
        <v>3.2114073582340405E-2</v>
      </c>
      <c r="EQ122" s="1">
        <v>4.0496229076934703E-2</v>
      </c>
      <c r="ER122" s="1">
        <v>3.2008282219107329E-2</v>
      </c>
      <c r="ES122" s="1">
        <v>1.4223052562249386E-2</v>
      </c>
      <c r="ET122" s="1">
        <v>1.8700062633644265E-2</v>
      </c>
      <c r="EU122" s="1">
        <v>3.0878615754520569E-2</v>
      </c>
      <c r="EV122" s="10">
        <v>8.9337501159669486E-3</v>
      </c>
    </row>
    <row r="123" spans="1:152" x14ac:dyDescent="0.25">
      <c r="A123" s="21">
        <f t="shared" ca="1" si="1"/>
        <v>4.8750624751553978E-2</v>
      </c>
      <c r="B123" s="5">
        <v>122</v>
      </c>
      <c r="C123" s="9">
        <v>-2.9677583755265066E-3</v>
      </c>
      <c r="D123" s="1">
        <v>-1.8218805583308101E-3</v>
      </c>
      <c r="E123" s="1">
        <v>6.4945052782419133E-3</v>
      </c>
      <c r="F123" s="1">
        <v>8.6039816195634181E-3</v>
      </c>
      <c r="G123" s="1">
        <v>1.1904345427598551E-3</v>
      </c>
      <c r="H123" s="1">
        <v>-4.9696908883201038E-3</v>
      </c>
      <c r="I123" s="1">
        <v>1.3328125596354948E-2</v>
      </c>
      <c r="J123" s="1">
        <v>-8.5828203420500182E-4</v>
      </c>
      <c r="K123" s="1">
        <v>1.28229343022064E-2</v>
      </c>
      <c r="L123" s="1">
        <v>-2.448591381192626E-3</v>
      </c>
      <c r="M123" s="1">
        <v>-1.0320545687973449E-2</v>
      </c>
      <c r="N123" s="1">
        <v>5.4093872254028647E-3</v>
      </c>
      <c r="O123" s="1">
        <v>-3.3911503987109348E-4</v>
      </c>
      <c r="P123" s="1">
        <v>1.5330058109148545E-2</v>
      </c>
      <c r="Q123" s="1">
        <v>-1.9782809341741869E-2</v>
      </c>
      <c r="R123" s="1">
        <v>-9.2494033353197266E-3</v>
      </c>
      <c r="S123" s="1">
        <v>-4.9696908883201038E-3</v>
      </c>
      <c r="T123" s="1">
        <v>-1.3166892641822622E-3</v>
      </c>
      <c r="U123" s="1">
        <v>-1.7046622177558549E-2</v>
      </c>
      <c r="V123" s="1">
        <v>1.7563856012650231E-3</v>
      </c>
      <c r="W123" s="1">
        <v>-1.3393620553420735E-2</v>
      </c>
      <c r="X123" s="1">
        <v>2.383096424126839E-3</v>
      </c>
      <c r="Y123" s="1">
        <v>1.372577306197556E-2</v>
      </c>
      <c r="Z123" s="1">
        <v>-6.3267618458630326E-5</v>
      </c>
      <c r="AA123" s="1">
        <v>5.4093872254028647E-3</v>
      </c>
      <c r="AB123" s="1">
        <v>-4.9557151881347156E-3</v>
      </c>
      <c r="AC123" s="1">
        <v>2.443856188483487E-3</v>
      </c>
      <c r="AD123" s="1">
        <v>-6.1015930053304399E-3</v>
      </c>
      <c r="AE123" s="1">
        <v>-7.1259512938128683E-3</v>
      </c>
      <c r="AF123" s="1">
        <v>6.4945052782419133E-3</v>
      </c>
      <c r="AG123" s="1">
        <v>2.3363123599555793E-3</v>
      </c>
      <c r="AH123" s="1">
        <v>-1.0091482330732246E-2</v>
      </c>
      <c r="AI123" s="1">
        <v>-1.6065123857801206E-3</v>
      </c>
      <c r="AJ123" s="1">
        <v>-8.3325888753652128E-3</v>
      </c>
      <c r="AK123" s="1">
        <v>-7.9752226984838165E-4</v>
      </c>
      <c r="AL123" s="1">
        <v>-2.9069986111698587E-3</v>
      </c>
      <c r="AM123" s="1">
        <v>-1.5503096894742212E-2</v>
      </c>
      <c r="AN123" s="1">
        <v>2.6732000612195161E-3</v>
      </c>
      <c r="AO123" s="1">
        <v>1.3847292590688828E-2</v>
      </c>
      <c r="AP123" s="1">
        <v>-3.9921166640089351E-3</v>
      </c>
      <c r="AQ123" s="1">
        <v>1.817145365621671E-3</v>
      </c>
      <c r="AR123" s="1">
        <v>5.1940190528521613E-3</v>
      </c>
      <c r="AS123" s="1">
        <v>1.5896009167653685E-2</v>
      </c>
      <c r="AT123" s="1">
        <v>6.7703526996544042E-3</v>
      </c>
      <c r="AU123" s="1">
        <v>3.4074547126092675E-3</v>
      </c>
      <c r="AV123" s="1">
        <v>2.9630231828173953E-3</v>
      </c>
      <c r="AW123" s="1">
        <v>1.0531648992077869E-4</v>
      </c>
      <c r="AX123" s="1">
        <v>9.6283399080458465E-3</v>
      </c>
      <c r="AY123" s="1">
        <v>-7.1867110581695162E-3</v>
      </c>
      <c r="AZ123" s="1">
        <v>-1.8826403226874303E-3</v>
      </c>
      <c r="BA123" s="1">
        <v>-2.7717468678244539E-2</v>
      </c>
      <c r="BB123" s="1">
        <v>-7.2633917880767229E-3</v>
      </c>
      <c r="BC123" s="1">
        <v>-2.395692322557879E-2</v>
      </c>
      <c r="BD123" s="1">
        <v>8.4197570611282968E-3</v>
      </c>
      <c r="BE123" s="1">
        <v>-1.4494659571810373E-2</v>
      </c>
      <c r="BF123" s="1">
        <v>7.2738792439325795E-3</v>
      </c>
      <c r="BG123" s="1">
        <v>-1.4541297584461169E-3</v>
      </c>
      <c r="BH123" s="1">
        <v>2.3293915794401543E-2</v>
      </c>
      <c r="BI123" s="1">
        <v>-1.9906274135820336E-2</v>
      </c>
      <c r="BJ123" s="1">
        <v>2.3569763215814041E-2</v>
      </c>
      <c r="BK123" s="1">
        <v>1.6062648010667924E-2</v>
      </c>
      <c r="BL123" s="1">
        <v>6.3570647839780586E-3</v>
      </c>
      <c r="BM123" s="1">
        <v>-1.3226981710406521E-2</v>
      </c>
      <c r="BN123" s="1">
        <v>-2.5860318754564529E-3</v>
      </c>
      <c r="BO123" s="1">
        <v>1.1432072162218941E-2</v>
      </c>
      <c r="BP123" s="1">
        <v>-1.9340323077315168E-2</v>
      </c>
      <c r="BQ123" s="1">
        <v>1.5758568673389858E-2</v>
      </c>
      <c r="BR123" s="1">
        <v>-1.8375210083865119E-3</v>
      </c>
      <c r="BS123" s="1">
        <v>-1.1239305413293137E-2</v>
      </c>
      <c r="BT123" s="1">
        <v>4.0325007856007386E-3</v>
      </c>
      <c r="BU123" s="1">
        <v>1.3358988694975649E-2</v>
      </c>
      <c r="BV123" s="1">
        <v>-5.2614592752831292E-3</v>
      </c>
      <c r="BW123" s="1">
        <v>-1.1300065177649789E-2</v>
      </c>
      <c r="BX123" s="1">
        <v>-6.9125283866273736E-3</v>
      </c>
      <c r="BY123" s="1">
        <v>-1.3638604876212497E-2</v>
      </c>
      <c r="BZ123" s="1">
        <v>-1.7230846735993663E-2</v>
      </c>
      <c r="CA123" s="1">
        <v>-2.554723257256639E-2</v>
      </c>
      <c r="CB123" s="1">
        <v>-1.5411474031764863E-2</v>
      </c>
      <c r="CC123" s="1">
        <v>2.198871865691697E-3</v>
      </c>
      <c r="CD123" s="1">
        <v>2.7195533293498941E-4</v>
      </c>
      <c r="CE123" s="1">
        <v>6.1419771269222434E-3</v>
      </c>
      <c r="CF123" s="1">
        <v>4.490908015577999E-3</v>
      </c>
      <c r="CG123" s="1">
        <v>1.4646172143019769E-3</v>
      </c>
      <c r="CH123" s="1">
        <v>1.8012244000710879E-3</v>
      </c>
      <c r="CI123" s="1">
        <v>2.2026237932997697E-2</v>
      </c>
      <c r="CJ123" s="1">
        <v>8.9717324194480835E-3</v>
      </c>
      <c r="CK123" s="1">
        <v>-1.7689253965970923E-2</v>
      </c>
      <c r="CL123" s="1">
        <v>-1.6650919977303138E-2</v>
      </c>
      <c r="CM123" s="1">
        <v>1.245643045070137E-2</v>
      </c>
      <c r="CN123" s="1">
        <v>1.0468473638093161E-2</v>
      </c>
      <c r="CO123" s="1">
        <v>9.8417628152313447E-3</v>
      </c>
      <c r="CP123" s="1">
        <v>-1.5616735869740245E-3</v>
      </c>
      <c r="CQ123" s="1">
        <v>4.4025892581954496E-4</v>
      </c>
      <c r="CR123" s="1">
        <v>1.9135722876115202E-2</v>
      </c>
      <c r="CS123" s="1">
        <v>9.3833555852540912E-3</v>
      </c>
      <c r="CT123" s="1">
        <v>7.6715267095531919E-3</v>
      </c>
      <c r="CU123" s="1">
        <v>8.2982375324150079E-3</v>
      </c>
      <c r="CV123" s="1">
        <v>-7.3709356166046305E-3</v>
      </c>
      <c r="CW123" s="1">
        <v>1.9701673934620377E-2</v>
      </c>
      <c r="CX123" s="1">
        <v>7.2738792439325795E-3</v>
      </c>
      <c r="CY123" s="1">
        <v>4.0190919342059837E-2</v>
      </c>
      <c r="CZ123" s="1">
        <v>3.9807528092119446E-2</v>
      </c>
      <c r="DA123" s="1">
        <v>5.4428909928041641E-3</v>
      </c>
      <c r="DB123" s="1">
        <v>2.4536002408720413E-2</v>
      </c>
      <c r="DC123" s="1">
        <v>2.5896967882971952E-2</v>
      </c>
      <c r="DD123" s="1">
        <v>-1.0226282156215474E-2</v>
      </c>
      <c r="DE123" s="1">
        <v>6.2661184960701444E-2</v>
      </c>
      <c r="DF123" s="1">
        <v>-6.802343889318864E-3</v>
      </c>
      <c r="DG123" s="1">
        <v>7.9032307355749939E-3</v>
      </c>
      <c r="DH123" s="1">
        <v>1.5059482539271751E-2</v>
      </c>
      <c r="DI123" s="1">
        <v>2.464354623724832E-2</v>
      </c>
      <c r="DJ123" s="1">
        <v>2.1004520313295871E-2</v>
      </c>
      <c r="DK123" s="1">
        <v>1.4844394882215936E-2</v>
      </c>
      <c r="DL123" s="1">
        <v>4.254371525630276E-2</v>
      </c>
      <c r="DM123" s="1">
        <v>4.9087231937323089E-2</v>
      </c>
      <c r="DN123" s="1">
        <v>3.2730588201084987E-2</v>
      </c>
      <c r="DO123" s="1">
        <v>1.9292691437594975E-2</v>
      </c>
      <c r="DP123" s="1">
        <v>-3.5141813668157634E-3</v>
      </c>
      <c r="DQ123" s="1">
        <v>-1.415541171726066E-2</v>
      </c>
      <c r="DR123" s="1">
        <v>2.1813790944722456E-2</v>
      </c>
      <c r="DS123" s="1">
        <v>1.7061415052065348E-2</v>
      </c>
      <c r="DT123" s="1">
        <v>4.8750624751553978E-2</v>
      </c>
      <c r="DU123" s="1">
        <v>-1.7059902474328537E-2</v>
      </c>
      <c r="DV123" s="1">
        <v>2.2487285831755559E-2</v>
      </c>
      <c r="DW123" s="1">
        <v>2.1051304377467155E-2</v>
      </c>
      <c r="DX123" s="1">
        <v>-5.9543439406767318E-4</v>
      </c>
      <c r="DY123" s="1">
        <v>2.6645478750041914E-2</v>
      </c>
      <c r="DZ123" s="1">
        <v>3.1828029956810708E-2</v>
      </c>
      <c r="EA123" s="1">
        <v>2.5331016824466781E-2</v>
      </c>
      <c r="EB123" s="1">
        <v>-5.9462891937210188E-3</v>
      </c>
      <c r="EC123" s="1">
        <v>-9.3094676962609813E-3</v>
      </c>
      <c r="ED123" s="1">
        <v>-1.3083988849112119E-2</v>
      </c>
      <c r="EE123" s="1">
        <v>2.6982085935811025E-2</v>
      </c>
      <c r="EF123" s="1">
        <v>1.8558436786205248E-2</v>
      </c>
      <c r="EG123" s="1">
        <v>2.1126320357504016E-2</v>
      </c>
      <c r="EH123" s="1">
        <v>-1.0057978563330947E-2</v>
      </c>
      <c r="EI123" s="1">
        <v>3.9564208519198021E-2</v>
      </c>
      <c r="EJ123" s="1">
        <v>2.3450884355881337E-2</v>
      </c>
      <c r="EK123" s="1">
        <v>3.4961864586614613E-2</v>
      </c>
      <c r="EL123" s="1">
        <v>1.2734918540894431E-2</v>
      </c>
      <c r="EM123" s="1">
        <v>2.3955795134535031E-2</v>
      </c>
      <c r="EN123" s="1">
        <v>1.603705676358292E-2</v>
      </c>
      <c r="EO123" s="1">
        <v>3.9807528092119446E-2</v>
      </c>
      <c r="EP123" s="1">
        <v>2.0195249681869282E-2</v>
      </c>
      <c r="EQ123" s="1">
        <v>2.7655580822844132E-2</v>
      </c>
      <c r="ER123" s="1">
        <v>2.1280367734708358E-2</v>
      </c>
      <c r="ES123" s="1">
        <v>2.2089638366134944E-2</v>
      </c>
      <c r="ET123" s="1">
        <v>2.2594829660283464E-2</v>
      </c>
      <c r="EU123" s="1">
        <v>4.104697403765771E-2</v>
      </c>
      <c r="EV123" s="10">
        <v>3.8095699216418547E-2</v>
      </c>
    </row>
    <row r="124" spans="1:152" x14ac:dyDescent="0.25">
      <c r="A124" s="21">
        <f t="shared" ca="1" si="1"/>
        <v>7.8420907785383964E-2</v>
      </c>
      <c r="B124" s="5">
        <v>123</v>
      </c>
      <c r="C124" s="9">
        <v>1.7035659680554247E-3</v>
      </c>
      <c r="D124" s="1">
        <v>1.4302128409766822E-2</v>
      </c>
      <c r="E124" s="1">
        <v>-3.4680712682128093E-3</v>
      </c>
      <c r="F124" s="1">
        <v>-3.6763819301480552E-3</v>
      </c>
      <c r="G124" s="1">
        <v>-7.1815338709343771E-3</v>
      </c>
      <c r="H124" s="1">
        <v>-4.4155798362333493E-3</v>
      </c>
      <c r="I124" s="1">
        <v>-1.7894407296513509E-2</v>
      </c>
      <c r="J124" s="1">
        <v>1.4952553061202065E-3</v>
      </c>
      <c r="K124" s="1">
        <v>-4.0930032540184916E-3</v>
      </c>
      <c r="L124" s="1">
        <v>1.1166575422023137E-2</v>
      </c>
      <c r="M124" s="1">
        <v>6.6668925423884404E-3</v>
      </c>
      <c r="N124" s="1">
        <v>-7.5981551948048412E-3</v>
      </c>
      <c r="O124" s="1">
        <v>1.0958264760087918E-2</v>
      </c>
      <c r="P124" s="1">
        <v>-1.1775261492224701E-2</v>
      </c>
      <c r="Q124" s="1">
        <v>1.1838529778656647E-2</v>
      </c>
      <c r="R124" s="1">
        <v>-1.2467437027482195E-2</v>
      </c>
      <c r="S124" s="1">
        <v>-4.4155798362333493E-3</v>
      </c>
      <c r="T124" s="1">
        <v>5.0072436727181119E-4</v>
      </c>
      <c r="U124" s="1">
        <v>1.4765772104465148E-2</v>
      </c>
      <c r="V124" s="1">
        <v>-1.2514459398310029E-2</v>
      </c>
      <c r="W124" s="1">
        <v>1.9682076307970302E-2</v>
      </c>
      <c r="X124" s="1">
        <v>-9.3789064105663927E-3</v>
      </c>
      <c r="Y124" s="1">
        <v>-2.5368354872784465E-2</v>
      </c>
      <c r="Z124" s="1">
        <v>6.7718303427591331E-3</v>
      </c>
      <c r="AA124" s="1">
        <v>-7.5981551948048412E-3</v>
      </c>
      <c r="AB124" s="1">
        <v>1.8848833660229346E-2</v>
      </c>
      <c r="AC124" s="1">
        <v>-9.104278954470274E-4</v>
      </c>
      <c r="AD124" s="1">
        <v>6.2502712185179762E-3</v>
      </c>
      <c r="AE124" s="1">
        <v>1.0588665807045254E-2</v>
      </c>
      <c r="AF124" s="1">
        <v>-3.4680712682128093E-3</v>
      </c>
      <c r="AG124" s="1">
        <v>5.4170285707769925E-3</v>
      </c>
      <c r="AH124" s="1">
        <v>1.7276393106403068E-2</v>
      </c>
      <c r="AI124" s="1">
        <v>-1.8577254711862098E-2</v>
      </c>
      <c r="AJ124" s="1">
        <v>-1.0478375149785453E-2</v>
      </c>
      <c r="AK124" s="1">
        <v>9.9637338212395163E-3</v>
      </c>
      <c r="AL124" s="1">
        <v>1.0172044483174762E-2</v>
      </c>
      <c r="AM124" s="1">
        <v>1.9890386969905548E-2</v>
      </c>
      <c r="AN124" s="1">
        <v>-1.052539752061328E-2</v>
      </c>
      <c r="AO124" s="1">
        <v>-8.4313978425457695E-3</v>
      </c>
      <c r="AP124" s="1">
        <v>6.0419605565827025E-3</v>
      </c>
      <c r="AQ124" s="1">
        <v>-4.0459808831906849E-3</v>
      </c>
      <c r="AR124" s="1">
        <v>2.5281227926824086E-2</v>
      </c>
      <c r="AS124" s="1">
        <v>-1.7108187019600346E-2</v>
      </c>
      <c r="AT124" s="1">
        <v>-7.6545056855415322E-3</v>
      </c>
      <c r="AU124" s="1">
        <v>-1.3717300999093643E-2</v>
      </c>
      <c r="AV124" s="1">
        <v>8.5525815585206846E-3</v>
      </c>
      <c r="AW124" s="1">
        <v>-1.1311617797526409E-2</v>
      </c>
      <c r="AX124" s="1">
        <v>-8.0147765186753331E-3</v>
      </c>
      <c r="AY124" s="1">
        <v>2.1201872919258888E-3</v>
      </c>
      <c r="AZ124" s="1">
        <v>5.8336498946474843E-3</v>
      </c>
      <c r="BA124" s="1">
        <v>2.8831744349673741E-2</v>
      </c>
      <c r="BB124" s="1">
        <v>3.4867124611498435E-4</v>
      </c>
      <c r="BC124" s="1">
        <v>2.7420592086954881E-2</v>
      </c>
      <c r="BD124" s="1">
        <v>8.7955849026511226E-4</v>
      </c>
      <c r="BE124" s="1">
        <v>2.2248954850686647E-2</v>
      </c>
      <c r="BF124" s="1">
        <v>-1.1719003951446257E-2</v>
      </c>
      <c r="BG124" s="1">
        <v>-9.7392701936584343E-3</v>
      </c>
      <c r="BH124" s="1">
        <v>-2.7130542798686472E-2</v>
      </c>
      <c r="BI124" s="1">
        <v>2.486294871418912E-2</v>
      </c>
      <c r="BJ124" s="1">
        <v>-3.1316977216015229E-2</v>
      </c>
      <c r="BK124" s="1">
        <v>-5.2302591941148224E-3</v>
      </c>
      <c r="BL124" s="1">
        <v>-1.3708065829142996E-2</v>
      </c>
      <c r="BM124" s="1">
        <v>3.1560004133455791E-2</v>
      </c>
      <c r="BN124" s="1">
        <v>9.265808610928912E-4</v>
      </c>
      <c r="BO124" s="1">
        <v>-2.0604103790436114E-2</v>
      </c>
      <c r="BP124" s="1">
        <v>1.9530023186813451E-2</v>
      </c>
      <c r="BQ124" s="1">
        <v>-2.7348181580530623E-2</v>
      </c>
      <c r="BR124" s="1">
        <v>7.7462068989432586E-4</v>
      </c>
      <c r="BS124" s="1">
        <v>3.4639206630462757E-2</v>
      </c>
      <c r="BT124" s="1">
        <v>-8.4484223475976908E-4</v>
      </c>
      <c r="BU124" s="1">
        <v>-2.599337980854843E-2</v>
      </c>
      <c r="BV124" s="1">
        <v>6.4678170504037825E-3</v>
      </c>
      <c r="BW124" s="1">
        <v>2.6170728115343433E-2</v>
      </c>
      <c r="BX124" s="1">
        <v>7.6706586511874012E-3</v>
      </c>
      <c r="BY124" s="1">
        <v>1.5769538213264076E-2</v>
      </c>
      <c r="BZ124" s="1">
        <v>1.9321712524878232E-2</v>
      </c>
      <c r="CA124" s="1">
        <v>3.7091912202857832E-2</v>
      </c>
      <c r="CB124" s="1">
        <v>2.0259892972989909E-2</v>
      </c>
      <c r="CC124" s="1">
        <v>-4.8229659901532496E-3</v>
      </c>
      <c r="CD124" s="1">
        <v>5.6631002795914931E-4</v>
      </c>
      <c r="CE124" s="1">
        <v>-1.0531528966949456E-3</v>
      </c>
      <c r="CF124" s="1">
        <v>1.496887040886713E-4</v>
      </c>
      <c r="CG124" s="1">
        <v>-1.6310625116729063E-3</v>
      </c>
      <c r="CH124" s="1">
        <v>2.6509815861176754E-3</v>
      </c>
      <c r="CI124" s="1">
        <v>-3.6441592081455615E-2</v>
      </c>
      <c r="CJ124" s="1">
        <v>-2.7717780533573284E-2</v>
      </c>
      <c r="CK124" s="1">
        <v>1.8327181586029834E-2</v>
      </c>
      <c r="CL124" s="1">
        <v>3.7253200493965244E-2</v>
      </c>
      <c r="CM124" s="1">
        <v>-2.4942498378963392E-2</v>
      </c>
      <c r="CN124" s="1">
        <v>-7.7972306867894713E-3</v>
      </c>
      <c r="CO124" s="1">
        <v>-1.093278367453313E-2</v>
      </c>
      <c r="CP124" s="1">
        <v>-3.4118137274343867E-3</v>
      </c>
      <c r="CQ124" s="1">
        <v>2.7073320768543855E-3</v>
      </c>
      <c r="CR124" s="1">
        <v>-1.8245442959696656E-2</v>
      </c>
      <c r="CS124" s="1">
        <v>-1.1927314613381573E-2</v>
      </c>
      <c r="CT124" s="1">
        <v>-1.9192951527717196E-2</v>
      </c>
      <c r="CU124" s="1">
        <v>-1.6057398539973535E-2</v>
      </c>
      <c r="CV124" s="1">
        <v>6.6761277123390285E-3</v>
      </c>
      <c r="CW124" s="1">
        <v>-2.357836848707236E-2</v>
      </c>
      <c r="CX124" s="1">
        <v>-1.1719003951446257E-2</v>
      </c>
      <c r="CY124" s="1">
        <v>-1.2939146667645812E-2</v>
      </c>
      <c r="CZ124" s="1">
        <v>-2.4252557840930521E-3</v>
      </c>
      <c r="DA124" s="1">
        <v>4.1261045504770652E-2</v>
      </c>
      <c r="DB124" s="1">
        <v>1.2834322891948639E-2</v>
      </c>
      <c r="DC124" s="1">
        <v>1.2777972401211944E-2</v>
      </c>
      <c r="DD124" s="1">
        <v>6.3994571757083271E-2</v>
      </c>
      <c r="DE124" s="1">
        <v>-3.2263130659633904E-2</v>
      </c>
      <c r="DF124" s="1">
        <v>5.8301375396573818E-2</v>
      </c>
      <c r="DG124" s="1">
        <v>4.8374722247907842E-2</v>
      </c>
      <c r="DH124" s="1">
        <v>1.4966016820935041E-2</v>
      </c>
      <c r="DI124" s="1">
        <v>6.5068664257245945E-3</v>
      </c>
      <c r="DJ124" s="1">
        <v>2.4854975718682091E-2</v>
      </c>
      <c r="DK124" s="1">
        <v>2.7620929753383133E-2</v>
      </c>
      <c r="DL124" s="1">
        <v>5.0198654171543233E-4</v>
      </c>
      <c r="DM124" s="1">
        <v>-1.2777858376538397E-2</v>
      </c>
      <c r="DN124" s="1">
        <v>-1.6483636270887767E-3</v>
      </c>
      <c r="DO124" s="1">
        <v>1.7589338804346408E-2</v>
      </c>
      <c r="DP124" s="1">
        <v>3.2631278698543924E-2</v>
      </c>
      <c r="DQ124" s="1">
        <v>8.3489172160087666E-2</v>
      </c>
      <c r="DR124" s="1">
        <v>3.3171494062602877E-2</v>
      </c>
      <c r="DS124" s="1">
        <v>2.1085162625223842E-2</v>
      </c>
      <c r="DT124" s="1">
        <v>-1.7059902474328981E-2</v>
      </c>
      <c r="DU124" s="1">
        <v>7.8420907785383964E-2</v>
      </c>
      <c r="DV124" s="1">
        <v>2.1511112069003181E-2</v>
      </c>
      <c r="DW124" s="1">
        <v>1.0059040737338747E-2</v>
      </c>
      <c r="DX124" s="1">
        <v>4.0739486380529488E-2</v>
      </c>
      <c r="DY124" s="1">
        <v>1.2626012230013393E-2</v>
      </c>
      <c r="DZ124" s="1">
        <v>-5.9748219750368689E-4</v>
      </c>
      <c r="EA124" s="1">
        <v>1.8110897928587593E-2</v>
      </c>
      <c r="EB124" s="1">
        <v>5.1821958759151313E-2</v>
      </c>
      <c r="EC124" s="1">
        <v>6.5983633634780062E-2</v>
      </c>
      <c r="ED124" s="1">
        <v>4.4130372401036205E-2</v>
      </c>
      <c r="EE124" s="1">
        <v>1.6908056327803976E-2</v>
      </c>
      <c r="EF124" s="1">
        <v>2.0781242282826767E-2</v>
      </c>
      <c r="EG124" s="1">
        <v>2.1567462559739892E-2</v>
      </c>
      <c r="EH124" s="1">
        <v>6.6135593805978554E-2</v>
      </c>
      <c r="EI124" s="1">
        <v>-1.6074699655389473E-2</v>
      </c>
      <c r="EJ124" s="1">
        <v>8.704238965356579E-3</v>
      </c>
      <c r="EK124" s="1">
        <v>-5.1441874479662107E-3</v>
      </c>
      <c r="EL124" s="1">
        <v>2.7829240415318351E-2</v>
      </c>
      <c r="EM124" s="1">
        <v>1.5127305112042456E-2</v>
      </c>
      <c r="EN124" s="1">
        <v>2.542355721375112E-2</v>
      </c>
      <c r="EO124" s="1">
        <v>-2.4252557840930521E-3</v>
      </c>
      <c r="EP124" s="1">
        <v>1.6538457374761319E-2</v>
      </c>
      <c r="EQ124" s="1">
        <v>5.2476743342042831E-3</v>
      </c>
      <c r="ER124" s="1">
        <v>2.0668541301353378E-2</v>
      </c>
      <c r="ES124" s="1">
        <v>2.8985059645274137E-2</v>
      </c>
      <c r="ET124" s="1">
        <v>1.5183655602779178E-2</v>
      </c>
      <c r="EU124" s="1">
        <v>-1.941856330506838E-2</v>
      </c>
      <c r="EV124" s="10">
        <v>-9.690892698428679E-3</v>
      </c>
    </row>
    <row r="125" spans="1:152" x14ac:dyDescent="0.25">
      <c r="A125" s="21">
        <f t="shared" ca="1" si="1"/>
        <v>2.9021717673774192E-2</v>
      </c>
      <c r="B125" s="5">
        <v>124</v>
      </c>
      <c r="C125" s="9">
        <v>8.6361037458790313E-4</v>
      </c>
      <c r="D125" s="1">
        <v>4.4852821493988337E-3</v>
      </c>
      <c r="E125" s="1">
        <v>3.1667699411747213E-3</v>
      </c>
      <c r="F125" s="1">
        <v>3.9189949750726705E-3</v>
      </c>
      <c r="G125" s="1">
        <v>2.0435427047583998E-4</v>
      </c>
      <c r="H125" s="1">
        <v>-8.2528878233752573E-3</v>
      </c>
      <c r="I125" s="1">
        <v>-1.2752679955744944E-3</v>
      </c>
      <c r="J125" s="1">
        <v>1.6158354084858662E-3</v>
      </c>
      <c r="K125" s="1">
        <v>5.4234450428685826E-3</v>
      </c>
      <c r="L125" s="1">
        <v>6.8565828440259741E-3</v>
      </c>
      <c r="M125" s="1">
        <v>-6.8732415810095204E-4</v>
      </c>
      <c r="N125" s="1">
        <v>1.708804338271766E-3</v>
      </c>
      <c r="O125" s="1">
        <v>7.6088078779239371E-3</v>
      </c>
      <c r="P125" s="1">
        <v>7.841230202388666E-3</v>
      </c>
      <c r="Q125" s="1">
        <v>-2.9904837246877564E-3</v>
      </c>
      <c r="R125" s="1">
        <v>-1.1921044063079145E-2</v>
      </c>
      <c r="S125" s="1">
        <v>-8.2528878233752573E-3</v>
      </c>
      <c r="T125" s="1">
        <v>-2.2134308890442433E-3</v>
      </c>
      <c r="U125" s="1">
        <v>-4.6095593854169475E-3</v>
      </c>
      <c r="V125" s="1">
        <v>-4.3306525960592618E-3</v>
      </c>
      <c r="W125" s="1">
        <v>1.4298975489140803E-3</v>
      </c>
      <c r="X125" s="1">
        <v>-6.7019532906864021E-3</v>
      </c>
      <c r="Y125" s="1">
        <v>3.9029213004762586E-4</v>
      </c>
      <c r="Z125" s="1">
        <v>-6.9560322782985101E-3</v>
      </c>
      <c r="AA125" s="1">
        <v>1.708804338271766E-3</v>
      </c>
      <c r="AB125" s="1">
        <v>4.4387976845058907E-3</v>
      </c>
      <c r="AC125" s="1">
        <v>-4.5382471187784268E-3</v>
      </c>
      <c r="AD125" s="1">
        <v>8.1712590969496013E-4</v>
      </c>
      <c r="AE125" s="1">
        <v>1.5228664786999663E-3</v>
      </c>
      <c r="AF125" s="1">
        <v>3.1667699411747213E-3</v>
      </c>
      <c r="AG125" s="1">
        <v>3.8260260452867845E-3</v>
      </c>
      <c r="AH125" s="1">
        <v>-4.7241849783502127E-3</v>
      </c>
      <c r="AI125" s="1">
        <v>-3.4027624070294415E-4</v>
      </c>
      <c r="AJ125" s="1">
        <v>-4.2625114680189258E-3</v>
      </c>
      <c r="AK125" s="1">
        <v>3.7795415803938276E-3</v>
      </c>
      <c r="AL125" s="1">
        <v>3.0273165464958784E-3</v>
      </c>
      <c r="AM125" s="1">
        <v>6.7767251501613113E-4</v>
      </c>
      <c r="AN125" s="1">
        <v>3.3278799990009295E-3</v>
      </c>
      <c r="AO125" s="1">
        <v>4.7177044738635765E-3</v>
      </c>
      <c r="AP125" s="1">
        <v>1.5693509435929232E-3</v>
      </c>
      <c r="AQ125" s="1">
        <v>-2.1669464241513003E-3</v>
      </c>
      <c r="AR125" s="1">
        <v>6.53436272837353E-3</v>
      </c>
      <c r="AS125" s="1">
        <v>3.3062233358535642E-3</v>
      </c>
      <c r="AT125" s="1">
        <v>-1.139807021504774E-2</v>
      </c>
      <c r="AU125" s="1">
        <v>-7.4076938596914083E-3</v>
      </c>
      <c r="AV125" s="1">
        <v>1.4547253506596441E-3</v>
      </c>
      <c r="AW125" s="1">
        <v>-1.2536113324271153E-3</v>
      </c>
      <c r="AX125" s="1">
        <v>3.2132544060676643E-3</v>
      </c>
      <c r="AY125" s="1">
        <v>-6.4083969320800904E-4</v>
      </c>
      <c r="AZ125" s="1">
        <v>2.3215759774908723E-3</v>
      </c>
      <c r="BA125" s="1">
        <v>-5.8062896882701553E-3</v>
      </c>
      <c r="BB125" s="1">
        <v>-8.6044241625446161E-3</v>
      </c>
      <c r="BC125" s="1">
        <v>-8.1311059180043527E-3</v>
      </c>
      <c r="BD125" s="1">
        <v>4.3196836698012747E-3</v>
      </c>
      <c r="BE125" s="1">
        <v>-5.8279463514175484E-3</v>
      </c>
      <c r="BF125" s="1">
        <v>6.9801189499033023E-4</v>
      </c>
      <c r="BG125" s="1">
        <v>-1.2340721530288826E-2</v>
      </c>
      <c r="BH125" s="1">
        <v>1.312397368105038E-2</v>
      </c>
      <c r="BI125" s="1">
        <v>-4.2608885805120456E-4</v>
      </c>
      <c r="BJ125" s="1">
        <v>-1.4408664751720812E-3</v>
      </c>
      <c r="BK125" s="1">
        <v>1.5900451492177461E-2</v>
      </c>
      <c r="BL125" s="1">
        <v>-6.9605207000698749E-3</v>
      </c>
      <c r="BM125" s="1">
        <v>1.4024125705237978E-2</v>
      </c>
      <c r="BN125" s="1">
        <v>-3.2707077972186083E-3</v>
      </c>
      <c r="BO125" s="1">
        <v>3.8755790878267082E-5</v>
      </c>
      <c r="BP125" s="1">
        <v>-4.9610957245863063E-3</v>
      </c>
      <c r="BQ125" s="1">
        <v>-6.821067305391032E-3</v>
      </c>
      <c r="BR125" s="1">
        <v>1.0588391789998833E-2</v>
      </c>
      <c r="BS125" s="1">
        <v>-1.4540495427086547E-3</v>
      </c>
      <c r="BT125" s="1">
        <v>9.0158005941625985E-3</v>
      </c>
      <c r="BU125" s="1">
        <v>-1.7603125628976327E-2</v>
      </c>
      <c r="BV125" s="1">
        <v>5.1207403541854435E-4</v>
      </c>
      <c r="BW125" s="1">
        <v>-3.6177557146166162E-3</v>
      </c>
      <c r="BX125" s="1">
        <v>3.5891152990506908E-3</v>
      </c>
      <c r="BY125" s="1">
        <v>-3.3311992826530468E-4</v>
      </c>
      <c r="BZ125" s="1">
        <v>-4.2088706906883572E-3</v>
      </c>
      <c r="CA125" s="1">
        <v>-2.8903584824642309E-3</v>
      </c>
      <c r="CB125" s="1">
        <v>-1.348647894647774E-2</v>
      </c>
      <c r="CC125" s="1">
        <v>-6.3012645959578117E-3</v>
      </c>
      <c r="CD125" s="1">
        <v>1.1340616823896782E-2</v>
      </c>
      <c r="CE125" s="1">
        <v>9.7680256280605615E-3</v>
      </c>
      <c r="CF125" s="1">
        <v>1.2845066891692708E-2</v>
      </c>
      <c r="CG125" s="1">
        <v>4.4343092627345398E-3</v>
      </c>
      <c r="CH125" s="1">
        <v>-7.9668247215799459E-3</v>
      </c>
      <c r="CI125" s="1">
        <v>-6.7280983756051321E-3</v>
      </c>
      <c r="CJ125" s="1">
        <v>-1.2907008704614989E-2</v>
      </c>
      <c r="CK125" s="1">
        <v>-8.0381369882184528E-3</v>
      </c>
      <c r="CL125" s="1">
        <v>3.9478079506576891E-3</v>
      </c>
      <c r="CM125" s="1">
        <v>-6.6698477812673906E-4</v>
      </c>
      <c r="CN125" s="1">
        <v>2.9082025317912485E-3</v>
      </c>
      <c r="CO125" s="1">
        <v>5.2795032264183889E-3</v>
      </c>
      <c r="CP125" s="1">
        <v>-3.9764483662236144E-3</v>
      </c>
      <c r="CQ125" s="1">
        <v>5.140049831739546E-3</v>
      </c>
      <c r="CR125" s="1">
        <v>1.3783229785162443E-2</v>
      </c>
      <c r="CS125" s="1">
        <v>1.4502369288882794E-3</v>
      </c>
      <c r="CT125" s="1">
        <v>2.3635720206124644E-3</v>
      </c>
      <c r="CU125" s="1">
        <v>-7.7286740146759181E-6</v>
      </c>
      <c r="CV125" s="1">
        <v>-2.4015099847941868E-4</v>
      </c>
      <c r="CW125" s="1">
        <v>9.2482229186273412E-3</v>
      </c>
      <c r="CX125" s="1">
        <v>6.9801189499033023E-4</v>
      </c>
      <c r="CY125" s="1">
        <v>3.2479854143191295E-3</v>
      </c>
      <c r="CZ125" s="1">
        <v>2.6177098734606788E-2</v>
      </c>
      <c r="DA125" s="1">
        <v>1.7301496456719162E-2</v>
      </c>
      <c r="DB125" s="1">
        <v>2.7610236535764179E-2</v>
      </c>
      <c r="DC125" s="1">
        <v>1.4503361982444687E-2</v>
      </c>
      <c r="DD125" s="1">
        <v>1.7069074132254419E-2</v>
      </c>
      <c r="DE125" s="1">
        <v>3.4161022583917622E-2</v>
      </c>
      <c r="DF125" s="1">
        <v>2.7145391886834708E-2</v>
      </c>
      <c r="DG125" s="1">
        <v>3.0247260952212418E-2</v>
      </c>
      <c r="DH125" s="1">
        <v>7.1240352326756851E-4</v>
      </c>
      <c r="DI125" s="1">
        <v>1.9245963371698968E-2</v>
      </c>
      <c r="DJ125" s="1">
        <v>2.5898191945249102E-2</v>
      </c>
      <c r="DK125" s="1">
        <v>1.7440949851398005E-2</v>
      </c>
      <c r="DL125" s="1">
        <v>2.4558023073877611E-2</v>
      </c>
      <c r="DM125" s="1">
        <v>1.0086151847441049E-2</v>
      </c>
      <c r="DN125" s="1">
        <v>1.0061324045695486E-2</v>
      </c>
      <c r="DO125" s="1">
        <v>2.6811527036973273E-2</v>
      </c>
      <c r="DP125" s="1">
        <v>8.2996238516892668E-3</v>
      </c>
      <c r="DQ125" s="1">
        <v>1.3691469416117208E-2</v>
      </c>
      <c r="DR125" s="1">
        <v>4.1920997704374519E-2</v>
      </c>
      <c r="DS125" s="1">
        <v>9.8289017212307428E-3</v>
      </c>
      <c r="DT125" s="1">
        <v>2.2487285831755521E-2</v>
      </c>
      <c r="DU125" s="1">
        <v>2.1511112069003635E-2</v>
      </c>
      <c r="DV125" s="1">
        <v>2.9021717673774192E-2</v>
      </c>
      <c r="DW125" s="1">
        <v>1.5370212609275929E-2</v>
      </c>
      <c r="DX125" s="1">
        <v>2.5074654644712632E-2</v>
      </c>
      <c r="DY125" s="1">
        <v>2.8362461569662129E-2</v>
      </c>
      <c r="DZ125" s="1">
        <v>2.6997464896545073E-2</v>
      </c>
      <c r="EA125" s="1">
        <v>1.9038368848979803E-2</v>
      </c>
      <c r="EB125" s="1">
        <v>3.2640218309986938E-2</v>
      </c>
      <c r="EC125" s="1">
        <v>2.4727606727314624E-2</v>
      </c>
      <c r="ED125" s="1">
        <v>1.436073744916766E-2</v>
      </c>
      <c r="EE125" s="1">
        <v>1.5961327585347657E-2</v>
      </c>
      <c r="EF125" s="1">
        <v>3.7547100895665625E-2</v>
      </c>
      <c r="EG125" s="1">
        <v>4.2128592227093684E-2</v>
      </c>
      <c r="EH125" s="1">
        <v>1.0868507140097183E-2</v>
      </c>
      <c r="EI125" s="1">
        <v>5.6192861089462698E-3</v>
      </c>
      <c r="EJ125" s="1">
        <v>2.6152270932861224E-2</v>
      </c>
      <c r="EK125" s="1">
        <v>2.7043949361438016E-2</v>
      </c>
      <c r="EL125" s="1">
        <v>1.6688724817500042E-2</v>
      </c>
      <c r="EM125" s="1">
        <v>7.5505699563895023E-3</v>
      </c>
      <c r="EN125" s="1">
        <v>1.0534642290235749E-2</v>
      </c>
      <c r="EO125" s="1">
        <v>2.6177098734606788E-2</v>
      </c>
      <c r="EP125" s="1">
        <v>9.8753861861236997E-3</v>
      </c>
      <c r="EQ125" s="1">
        <v>3.0620475547473436E-3</v>
      </c>
      <c r="ER125" s="1">
        <v>1.1333351789026655E-2</v>
      </c>
      <c r="ES125" s="1">
        <v>2.7356157548152071E-2</v>
      </c>
      <c r="ET125" s="1">
        <v>2.065744450970898E-2</v>
      </c>
      <c r="EU125" s="1">
        <v>8.7428118374713593E-3</v>
      </c>
      <c r="EV125" s="10">
        <v>2.7090433826330959E-2</v>
      </c>
    </row>
    <row r="126" spans="1:152" x14ac:dyDescent="0.25">
      <c r="A126" s="21">
        <f t="shared" ca="1" si="1"/>
        <v>2.7085416967411489E-2</v>
      </c>
      <c r="B126" s="5">
        <v>125</v>
      </c>
      <c r="C126" s="9">
        <v>1.3205633091829191E-3</v>
      </c>
      <c r="D126" s="1">
        <v>-9.6141800269257741E-3</v>
      </c>
      <c r="E126" s="1">
        <v>-3.7746475404651994E-3</v>
      </c>
      <c r="F126" s="1">
        <v>-5.6475315322547029E-3</v>
      </c>
      <c r="G126" s="1">
        <v>4.2403295524131995E-3</v>
      </c>
      <c r="H126" s="1">
        <v>8.9562191726999946E-3</v>
      </c>
      <c r="I126" s="1">
        <v>1.3517832055943077E-3</v>
      </c>
      <c r="J126" s="1">
        <v>-5.5232068260659128E-4</v>
      </c>
      <c r="K126" s="1">
        <v>-9.3932995158337168E-3</v>
      </c>
      <c r="L126" s="1">
        <v>-7.0281942947352238E-3</v>
      </c>
      <c r="M126" s="1">
        <v>4.5428901670415342E-3</v>
      </c>
      <c r="N126" s="1">
        <v>4.9456156883418562E-4</v>
      </c>
      <c r="O126" s="1">
        <v>-8.9010782865247273E-3</v>
      </c>
      <c r="P126" s="1">
        <v>-6.2838726579227747E-3</v>
      </c>
      <c r="Q126" s="1">
        <v>9.6381010166896527E-3</v>
      </c>
      <c r="R126" s="1">
        <v>1.9367521383088296E-2</v>
      </c>
      <c r="S126" s="1">
        <v>8.9562191726999946E-3</v>
      </c>
      <c r="T126" s="1">
        <v>1.1309026945022574E-3</v>
      </c>
      <c r="U126" s="1">
        <v>5.1792312927095852E-3</v>
      </c>
      <c r="V126" s="1">
        <v>8.3198780470319297E-3</v>
      </c>
      <c r="W126" s="1">
        <v>-2.646085185488152E-3</v>
      </c>
      <c r="X126" s="1">
        <v>5.7338923148413934E-3</v>
      </c>
      <c r="Y126" s="1">
        <v>6.3340940552947603E-3</v>
      </c>
      <c r="Z126" s="1">
        <v>-4.04106876987885E-3</v>
      </c>
      <c r="AA126" s="1">
        <v>4.9456156883418562E-4</v>
      </c>
      <c r="AB126" s="1">
        <v>-1.0137621152646159E-2</v>
      </c>
      <c r="AC126" s="1">
        <v>-9.3164191196790785E-4</v>
      </c>
      <c r="AD126" s="1">
        <v>7.9712218346252722E-4</v>
      </c>
      <c r="AE126" s="1">
        <v>-1.5992029340473682E-3</v>
      </c>
      <c r="AF126" s="1">
        <v>-3.7746475404651994E-3</v>
      </c>
      <c r="AG126" s="1">
        <v>-6.6944137836954867E-3</v>
      </c>
      <c r="AH126" s="1">
        <v>-3.0254064148494686E-3</v>
      </c>
      <c r="AI126" s="1">
        <v>1.5364733503202527E-2</v>
      </c>
      <c r="AJ126" s="1">
        <v>1.6001074628870605E-2</v>
      </c>
      <c r="AK126" s="1">
        <v>-7.2178549094158787E-3</v>
      </c>
      <c r="AL126" s="1">
        <v>-5.3449709176263682E-3</v>
      </c>
      <c r="AM126" s="1">
        <v>-7.7320119369864854E-4</v>
      </c>
      <c r="AN126" s="1">
        <v>4.9534312928142393E-3</v>
      </c>
      <c r="AO126" s="1">
        <v>-6.9969743983238214E-3</v>
      </c>
      <c r="AP126" s="1">
        <v>-1.0757618083269763E-3</v>
      </c>
      <c r="AQ126" s="1">
        <v>1.6543438202226424E-3</v>
      </c>
      <c r="AR126" s="1">
        <v>-2.4484351961294122E-2</v>
      </c>
      <c r="AS126" s="1">
        <v>-2.2043241633040306E-3</v>
      </c>
      <c r="AT126" s="1">
        <v>1.085361976180664E-3</v>
      </c>
      <c r="AU126" s="1">
        <v>8.1302174323512749E-3</v>
      </c>
      <c r="AV126" s="1">
        <v>-9.2803995158860439E-3</v>
      </c>
      <c r="AW126" s="1">
        <v>8.5095386617125915E-3</v>
      </c>
      <c r="AX126" s="1">
        <v>-3.2512064147448075E-3</v>
      </c>
      <c r="AY126" s="1">
        <v>5.0663312927619261E-3</v>
      </c>
      <c r="AZ126" s="1">
        <v>-2.9486458001164867E-3</v>
      </c>
      <c r="BA126" s="1">
        <v>4.594435572763695E-3</v>
      </c>
      <c r="BB126" s="1">
        <v>7.5454217124053743E-3</v>
      </c>
      <c r="BC126" s="1">
        <v>2.5318909662935263E-3</v>
      </c>
      <c r="BD126" s="1">
        <v>-8.9312129843388457E-3</v>
      </c>
      <c r="BE126" s="1">
        <v>-2.5633198833545923E-3</v>
      </c>
      <c r="BF126" s="1">
        <v>2.0035303517698388E-3</v>
      </c>
      <c r="BG126" s="1">
        <v>1.027552734095499E-2</v>
      </c>
      <c r="BH126" s="1">
        <v>-2.825259268464636E-3</v>
      </c>
      <c r="BI126" s="1">
        <v>-3.1111466220377221E-4</v>
      </c>
      <c r="BJ126" s="1">
        <v>2.0347502481812517E-3</v>
      </c>
      <c r="BK126" s="1">
        <v>-1.2934000864224589E-2</v>
      </c>
      <c r="BL126" s="1">
        <v>5.3699771059875362E-3</v>
      </c>
      <c r="BM126" s="1">
        <v>-1.3375761886408696E-2</v>
      </c>
      <c r="BN126" s="1">
        <v>2.1164303517175222E-3</v>
      </c>
      <c r="BO126" s="1">
        <v>4.9232965950001262E-3</v>
      </c>
      <c r="BP126" s="1">
        <v>3.7684338324149684E-3</v>
      </c>
      <c r="BQ126" s="1">
        <v>6.940300483148705E-3</v>
      </c>
      <c r="BR126" s="1">
        <v>-3.4725404741844934E-4</v>
      </c>
      <c r="BS126" s="1">
        <v>-1.5370947211252775E-2</v>
      </c>
      <c r="BT126" s="1">
        <v>-4.2826826456781215E-3</v>
      </c>
      <c r="BU126" s="1">
        <v>9.5936454969653487E-3</v>
      </c>
      <c r="BV126" s="1">
        <v>-9.0234151111714955E-5</v>
      </c>
      <c r="BW126" s="1">
        <v>-8.7054129844434877E-3</v>
      </c>
      <c r="BX126" s="1">
        <v>9.9426463568946799E-5</v>
      </c>
      <c r="BY126" s="1">
        <v>7.3576758923700469E-4</v>
      </c>
      <c r="BZ126" s="1">
        <v>1.8955498406254649E-3</v>
      </c>
      <c r="CA126" s="1">
        <v>-3.9439826458351028E-3</v>
      </c>
      <c r="CB126" s="1">
        <v>8.0312687086309814E-4</v>
      </c>
      <c r="CC126" s="1">
        <v>2.4502108627572489E-3</v>
      </c>
      <c r="CD126" s="1">
        <v>-2.2201380392079598E-3</v>
      </c>
      <c r="CE126" s="1">
        <v>-6.155566637467632E-3</v>
      </c>
      <c r="CF126" s="1">
        <v>-5.9659060227869737E-3</v>
      </c>
      <c r="CG126" s="1">
        <v>-7.2657527677976591E-4</v>
      </c>
      <c r="CH126" s="1">
        <v>-2.5320999869431864E-3</v>
      </c>
      <c r="CI126" s="1">
        <v>7.9871827345894819E-3</v>
      </c>
      <c r="CJ126" s="1">
        <v>1.424217583562605E-2</v>
      </c>
      <c r="CK126" s="1">
        <v>3.5787732177343101E-3</v>
      </c>
      <c r="CL126" s="1">
        <v>-1.311874199010196E-2</v>
      </c>
      <c r="CM126" s="1">
        <v>7.3196217125100216E-3</v>
      </c>
      <c r="CN126" s="1">
        <v>-4.1385627493190566E-3</v>
      </c>
      <c r="CO126" s="1">
        <v>-1.5525770171284994E-3</v>
      </c>
      <c r="CP126" s="1">
        <v>4.5127554692274176E-3</v>
      </c>
      <c r="CQ126" s="1">
        <v>-3.1229003942896613E-3</v>
      </c>
      <c r="CR126" s="1">
        <v>-5.7450255116949164E-3</v>
      </c>
      <c r="CS126" s="1">
        <v>1.3064635998034924E-4</v>
      </c>
      <c r="CT126" s="1">
        <v>6.9858412014702914E-3</v>
      </c>
      <c r="CU126" s="1">
        <v>4.3998554692797343E-3</v>
      </c>
      <c r="CV126" s="1">
        <v>1.7826498406777816E-3</v>
      </c>
      <c r="CW126" s="1">
        <v>-1.6654770170761689E-3</v>
      </c>
      <c r="CX126" s="1">
        <v>2.0035303517698388E-3</v>
      </c>
      <c r="CY126" s="1">
        <v>2.8420539011570413E-2</v>
      </c>
      <c r="CZ126" s="1">
        <v>1.7797757623196974E-2</v>
      </c>
      <c r="DA126" s="1">
        <v>1.7802677112000263E-2</v>
      </c>
      <c r="DB126" s="1">
        <v>2.0162862844295457E-2</v>
      </c>
      <c r="DC126" s="1">
        <v>2.0753663251641942E-2</v>
      </c>
      <c r="DD126" s="1">
        <v>1.518547148339831E-2</v>
      </c>
      <c r="DE126" s="1">
        <v>1.8095398749022003E-2</v>
      </c>
      <c r="DF126" s="1">
        <v>1.492845158709156E-2</v>
      </c>
      <c r="DG126" s="1">
        <v>8.4837978713743298E-3</v>
      </c>
      <c r="DH126" s="1">
        <v>3.0898544232616586E-2</v>
      </c>
      <c r="DI126" s="1">
        <v>2.5925634716023049E-2</v>
      </c>
      <c r="DJ126" s="1">
        <v>1.4657110868874629E-2</v>
      </c>
      <c r="DK126" s="1">
        <v>1.9373000489161431E-2</v>
      </c>
      <c r="DL126" s="1">
        <v>1.333888789921691E-2</v>
      </c>
      <c r="DM126" s="1">
        <v>1.9245779667303561E-2</v>
      </c>
      <c r="DN126" s="1">
        <v>2.5880093997701456E-2</v>
      </c>
      <c r="DO126" s="1">
        <v>2.1512305710364575E-2</v>
      </c>
      <c r="DP126" s="1">
        <v>3.3642970683076395E-2</v>
      </c>
      <c r="DQ126" s="1">
        <v>4.697408658277032E-3</v>
      </c>
      <c r="DR126" s="1">
        <v>5.5278922429293637E-3</v>
      </c>
      <c r="DS126" s="1">
        <v>2.3262888369099503E-2</v>
      </c>
      <c r="DT126" s="1">
        <v>2.1051304377466974E-2</v>
      </c>
      <c r="DU126" s="1">
        <v>1.0059040737338786E-2</v>
      </c>
      <c r="DV126" s="1">
        <v>1.5370212609275681E-2</v>
      </c>
      <c r="DW126" s="1">
        <v>2.7085416967411489E-2</v>
      </c>
      <c r="DX126" s="1">
        <v>2.2640868065341629E-2</v>
      </c>
      <c r="DY126" s="1">
        <v>1.8289978852505946E-2</v>
      </c>
      <c r="DZ126" s="1">
        <v>2.3606070213246136E-2</v>
      </c>
      <c r="EA126" s="1">
        <v>1.6674114757023194E-2</v>
      </c>
      <c r="EB126" s="1">
        <v>1.8227539059683159E-2</v>
      </c>
      <c r="EC126" s="1">
        <v>1.1819024729180613E-2</v>
      </c>
      <c r="ED126" s="1">
        <v>3.2975409660996928E-2</v>
      </c>
      <c r="EE126" s="1">
        <v>1.6484454142342536E-2</v>
      </c>
      <c r="EF126" s="1">
        <v>1.833551957082754E-2</v>
      </c>
      <c r="EG126" s="1">
        <v>1.4779412201929205E-2</v>
      </c>
      <c r="EH126" s="1">
        <v>1.42827091283166E-2</v>
      </c>
      <c r="EI126" s="1">
        <v>3.1006524743760967E-2</v>
      </c>
      <c r="EJ126" s="1">
        <v>2.4432071953594856E-2</v>
      </c>
      <c r="EK126" s="1">
        <v>2.4129511338966521E-2</v>
      </c>
      <c r="EL126" s="1">
        <v>2.1245884480950928E-2</v>
      </c>
      <c r="EM126" s="1">
        <v>2.1723784888349734E-2</v>
      </c>
      <c r="EN126" s="1">
        <v>2.0866563251589608E-2</v>
      </c>
      <c r="EO126" s="1">
        <v>1.7797757623196974E-2</v>
      </c>
      <c r="EP126" s="1">
        <v>2.3786329494819902E-2</v>
      </c>
      <c r="EQ126" s="1">
        <v>2.6326774508688852E-2</v>
      </c>
      <c r="ER126" s="1">
        <v>1.9517120385520496E-2</v>
      </c>
      <c r="ES126" s="1">
        <v>1.0387901759575231E-2</v>
      </c>
      <c r="ET126" s="1">
        <v>2.1132984481003259E-2</v>
      </c>
      <c r="EU126" s="1">
        <v>3.171962648416201E-2</v>
      </c>
      <c r="EV126" s="10">
        <v>2.4652952464686913E-2</v>
      </c>
    </row>
    <row r="127" spans="1:152" x14ac:dyDescent="0.25">
      <c r="A127" s="21">
        <f t="shared" ca="1" si="1"/>
        <v>5.115691885621336E-2</v>
      </c>
      <c r="B127" s="5">
        <v>126</v>
      </c>
      <c r="C127" s="9">
        <v>6.1751263246501847E-3</v>
      </c>
      <c r="D127" s="1">
        <v>-6.128830961985049E-3</v>
      </c>
      <c r="E127" s="1">
        <v>-6.7185708172772668E-3</v>
      </c>
      <c r="F127" s="1">
        <v>-1.0360360011021405E-2</v>
      </c>
      <c r="G127" s="1">
        <v>5.8802563970040828E-3</v>
      </c>
      <c r="H127" s="1">
        <v>5.208711791968107E-3</v>
      </c>
      <c r="I127" s="1">
        <v>-1.2122601985356127E-2</v>
      </c>
      <c r="J127" s="1">
        <v>2.5333371309060743E-3</v>
      </c>
      <c r="K127" s="1">
        <v>-1.7643938398509612E-2</v>
      </c>
      <c r="L127" s="1">
        <v>2.327249544545662E-3</v>
      </c>
      <c r="M127" s="1">
        <v>1.542703427283354E-2</v>
      </c>
      <c r="N127" s="1">
        <v>-1.4033219904841659E-3</v>
      </c>
      <c r="O127" s="1">
        <v>-1.3145396491984623E-3</v>
      </c>
      <c r="P127" s="1">
        <v>-1.1156187452674035E-2</v>
      </c>
      <c r="Q127" s="1">
        <v>2.8320731414760991E-2</v>
      </c>
      <c r="R127" s="1">
        <v>1.9480998639298475E-2</v>
      </c>
      <c r="S127" s="1">
        <v>5.208711791968107E-3</v>
      </c>
      <c r="T127" s="1">
        <v>-6.0749454883153586E-4</v>
      </c>
      <c r="U127" s="1">
        <v>1.622286171448617E-2</v>
      </c>
      <c r="V127" s="1">
        <v>4.412884350315463E-3</v>
      </c>
      <c r="W127" s="1">
        <v>1.0406655373686513E-2</v>
      </c>
      <c r="X127" s="1">
        <v>-4.0431961562152341E-3</v>
      </c>
      <c r="Y127" s="1">
        <v>-1.9930618457763977E-3</v>
      </c>
      <c r="Z127" s="1">
        <v>-1.7519655561892972E-2</v>
      </c>
      <c r="AA127" s="1">
        <v>-1.4033219904841659E-3</v>
      </c>
      <c r="AB127" s="1">
        <v>-4.1605014012899427E-3</v>
      </c>
      <c r="AC127" s="1">
        <v>-1.1031904616057353E-2</v>
      </c>
      <c r="AD127" s="1">
        <v>8.143455885345291E-3</v>
      </c>
      <c r="AE127" s="1">
        <v>6.4699962522962867E-3</v>
      </c>
      <c r="AF127" s="1">
        <v>-6.7185708172772668E-3</v>
      </c>
      <c r="AG127" s="1">
        <v>-6.4237008896311648E-3</v>
      </c>
      <c r="AH127" s="1">
        <v>-3.1585863732769004E-3</v>
      </c>
      <c r="AI127" s="1">
        <v>2.4966834557121009E-2</v>
      </c>
      <c r="AJ127" s="1">
        <v>2.5762661998773639E-2</v>
      </c>
      <c r="AK127" s="1">
        <v>-4.4553713289360447E-3</v>
      </c>
      <c r="AL127" s="1">
        <v>-8.1358213519193423E-4</v>
      </c>
      <c r="AM127" s="1">
        <v>1.4048444567430624E-2</v>
      </c>
      <c r="AN127" s="1">
        <v>1.0694547709790669E-2</v>
      </c>
      <c r="AO127" s="1">
        <v>-1.5970478765460608E-2</v>
      </c>
      <c r="AP127" s="1">
        <v>4.5016666916011666E-3</v>
      </c>
      <c r="AQ127" s="1">
        <v>-2.575824109526656E-3</v>
      </c>
      <c r="AR127" s="1">
        <v>-3.2498987509590252E-2</v>
      </c>
      <c r="AS127" s="1">
        <v>-1.2623559499362599E-2</v>
      </c>
      <c r="AT127" s="1">
        <v>-2.2923686729971804E-2</v>
      </c>
      <c r="AU127" s="1">
        <v>-2.3697365231662437E-3</v>
      </c>
      <c r="AV127" s="1">
        <v>-1.487978139616189E-2</v>
      </c>
      <c r="AW127" s="1">
        <v>1.119550522379717E-2</v>
      </c>
      <c r="AX127" s="1">
        <v>-8.6869003779724008E-3</v>
      </c>
      <c r="AY127" s="1">
        <v>1.3458704712138392E-2</v>
      </c>
      <c r="AZ127" s="1">
        <v>8.5987749785705614E-4</v>
      </c>
      <c r="BA127" s="1">
        <v>2.311976350153E-2</v>
      </c>
      <c r="BB127" s="1">
        <v>4.5271652638776139E-3</v>
      </c>
      <c r="BC127" s="1">
        <v>1.2695353434304196E-2</v>
      </c>
      <c r="BD127" s="1">
        <v>-1.4683695732856009E-2</v>
      </c>
      <c r="BE127" s="1">
        <v>-1.9834370762325526E-4</v>
      </c>
      <c r="BF127" s="1">
        <v>-2.3797384462207333E-3</v>
      </c>
      <c r="BG127" s="1">
        <v>-2.5503255372502087E-3</v>
      </c>
      <c r="BH127" s="1">
        <v>-4.4723508435325077E-3</v>
      </c>
      <c r="BI127" s="1">
        <v>1.7008687233084255E-2</v>
      </c>
      <c r="BJ127" s="1">
        <v>-2.0677466756227031E-2</v>
      </c>
      <c r="BK127" s="1">
        <v>-9.1978598150334184E-3</v>
      </c>
      <c r="BL127" s="1">
        <v>-8.6614018056959396E-3</v>
      </c>
      <c r="BM127" s="1">
        <v>1.3832355058015722E-2</v>
      </c>
      <c r="BN127" s="1">
        <v>3.8441855612697529E-4</v>
      </c>
      <c r="BO127" s="1">
        <v>-2.6746083738668908E-3</v>
      </c>
      <c r="BP127" s="1">
        <v>1.5541315186395677E-2</v>
      </c>
      <c r="BQ127" s="1">
        <v>-1.45663904877813E-2</v>
      </c>
      <c r="BR127" s="1">
        <v>1.8262994101870517E-2</v>
      </c>
      <c r="BS127" s="1">
        <v>-1.6144090188002641E-2</v>
      </c>
      <c r="BT127" s="1">
        <v>4.1967948409005473E-3</v>
      </c>
      <c r="BU127" s="1">
        <v>-2.5662345160043079E-2</v>
      </c>
      <c r="BV127" s="1">
        <v>5.4935797965596916E-3</v>
      </c>
      <c r="BW127" s="1">
        <v>-9.1553817281605221E-3</v>
      </c>
      <c r="BX127" s="1">
        <v>1.2276200670041412E-2</v>
      </c>
      <c r="BY127" s="1">
        <v>1.3072028111694042E-2</v>
      </c>
      <c r="BZ127" s="1">
        <v>1.1899525992651538E-2</v>
      </c>
      <c r="CA127" s="1">
        <v>1.2489265847943798E-2</v>
      </c>
      <c r="CB127" s="1">
        <v>-6.4800070670984616E-3</v>
      </c>
      <c r="CC127" s="1">
        <v>-8.3665318780498377E-3</v>
      </c>
      <c r="CD127" s="1">
        <v>1.4621204908126406E-2</v>
      </c>
      <c r="CE127" s="1">
        <v>5.5500564715643685E-4</v>
      </c>
      <c r="CF127" s="1">
        <v>7.3376265206381575E-3</v>
      </c>
      <c r="CG127" s="1">
        <v>4.6977523549070893E-3</v>
      </c>
      <c r="CH127" s="1">
        <v>-1.8496072017629567E-2</v>
      </c>
      <c r="CI127" s="1">
        <v>-1.8503049609171512E-2</v>
      </c>
      <c r="CJ127" s="1">
        <v>-6.7818545862865509E-3</v>
      </c>
      <c r="CK127" s="1">
        <v>8.7586943129139561E-3</v>
      </c>
      <c r="CL127" s="1">
        <v>1.0629407527048967E-3</v>
      </c>
      <c r="CM127" s="1">
        <v>-1.0011487408178726E-3</v>
      </c>
      <c r="CN127" s="1">
        <v>-1.1336776466758E-2</v>
      </c>
      <c r="CO127" s="1">
        <v>-2.8806959602272614E-3</v>
      </c>
      <c r="CP127" s="1">
        <v>2.0578781891759934E-3</v>
      </c>
      <c r="CQ127" s="1">
        <v>3.0242927218580712E-3</v>
      </c>
      <c r="CR127" s="1">
        <v>-4.1774809158864057E-3</v>
      </c>
      <c r="CS127" s="1">
        <v>-6.0215276399648715E-3</v>
      </c>
      <c r="CT127" s="1">
        <v>7.7498016933589681E-3</v>
      </c>
      <c r="CU127" s="1">
        <v>-7.062788131717429E-4</v>
      </c>
      <c r="CV127" s="1">
        <v>9.1353689903038299E-3</v>
      </c>
      <c r="CW127" s="1">
        <v>-5.6448529625750254E-3</v>
      </c>
      <c r="CX127" s="1">
        <v>-2.3797384462207333E-3</v>
      </c>
      <c r="CY127" s="1">
        <v>-1.236293367136565E-2</v>
      </c>
      <c r="CZ127" s="1">
        <v>8.4503859677550752E-3</v>
      </c>
      <c r="DA127" s="1">
        <v>2.5493807408975083E-2</v>
      </c>
      <c r="DB127" s="1">
        <v>2.8421573910810335E-2</v>
      </c>
      <c r="DC127" s="1">
        <v>6.9012091713226975E-3</v>
      </c>
      <c r="DD127" s="1">
        <v>3.5335455212450656E-2</v>
      </c>
      <c r="DE127" s="1">
        <v>9.5374240236446861E-4</v>
      </c>
      <c r="DF127" s="1">
        <v>4.8104869517761481E-2</v>
      </c>
      <c r="DG127" s="1">
        <v>2.9601053621394771E-2</v>
      </c>
      <c r="DH127" s="1">
        <v>1.0372411274037374E-2</v>
      </c>
      <c r="DI127" s="1">
        <v>2.3813370184384175E-2</v>
      </c>
      <c r="DJ127" s="1">
        <v>2.026036333192574E-2</v>
      </c>
      <c r="DK127" s="1">
        <v>1.9588818726889751E-2</v>
      </c>
      <c r="DL127" s="1">
        <v>-3.647483732519774E-3</v>
      </c>
      <c r="DM127" s="1">
        <v>-2.378925876660451E-2</v>
      </c>
      <c r="DN127" s="1">
        <v>1.4971780032438931E-3</v>
      </c>
      <c r="DO127" s="1">
        <v>3.4031692665249566E-2</v>
      </c>
      <c r="DP127" s="1">
        <v>4.3908840964056089E-2</v>
      </c>
      <c r="DQ127" s="1">
        <v>1.7044704493986373E-2</v>
      </c>
      <c r="DR127" s="1">
        <v>3.1150230417827135E-2</v>
      </c>
      <c r="DS127" s="1">
        <v>1.1338825806719466E-2</v>
      </c>
      <c r="DT127" s="1">
        <v>-5.9543439406789522E-4</v>
      </c>
      <c r="DU127" s="1">
        <v>4.0739486380529488E-2</v>
      </c>
      <c r="DV127" s="1">
        <v>2.5074654644712327E-2</v>
      </c>
      <c r="DW127" s="1">
        <v>2.2640868065341657E-2</v>
      </c>
      <c r="DX127" s="1">
        <v>5.115691885621336E-2</v>
      </c>
      <c r="DY127" s="1">
        <v>2.4779784717066225E-2</v>
      </c>
      <c r="DZ127" s="1">
        <v>2.6158374422469113E-2</v>
      </c>
      <c r="EA127" s="1">
        <v>8.3685812180112895E-3</v>
      </c>
      <c r="EB127" s="1">
        <v>6.1375241337078806E-2</v>
      </c>
      <c r="EC127" s="1">
        <v>4.1617118571925876E-2</v>
      </c>
      <c r="ED127" s="1">
        <v>6.1410741832409771E-2</v>
      </c>
      <c r="EE127" s="1">
        <v>1.5859603445295689E-3</v>
      </c>
      <c r="EF127" s="1">
        <v>4.7095976898206493E-2</v>
      </c>
      <c r="EG127" s="1">
        <v>4.6595019384199965E-2</v>
      </c>
      <c r="EH127" s="1">
        <v>2.373854302618239E-2</v>
      </c>
      <c r="EI127" s="1">
        <v>-3.9068531648349392E-3</v>
      </c>
      <c r="EJ127" s="1">
        <v>3.3736822737603464E-2</v>
      </c>
      <c r="EK127" s="1">
        <v>2.4190044861773993E-2</v>
      </c>
      <c r="EL127" s="1">
        <v>2.3230607920633889E-2</v>
      </c>
      <c r="EM127" s="1">
        <v>-1.0539138212014854E-3</v>
      </c>
      <c r="EN127" s="1">
        <v>9.6653661736704755E-3</v>
      </c>
      <c r="EO127" s="1">
        <v>8.4503859677550752E-3</v>
      </c>
      <c r="EP127" s="1">
        <v>9.3704962460243735E-3</v>
      </c>
      <c r="EQ127" s="1">
        <v>-4.4896154285851975E-3</v>
      </c>
      <c r="ER127" s="1">
        <v>4.0552474192312449E-3</v>
      </c>
      <c r="ES127" s="1">
        <v>1.4945114505132612E-2</v>
      </c>
      <c r="ET127" s="1">
        <v>2.0466450918286139E-2</v>
      </c>
      <c r="EU127" s="1">
        <v>9.0743814795168909E-4</v>
      </c>
      <c r="EV127" s="10">
        <v>2.2221715301078901E-2</v>
      </c>
    </row>
    <row r="128" spans="1:152" x14ac:dyDescent="0.25">
      <c r="A128" s="21">
        <f t="shared" ca="1" si="1"/>
        <v>2.9515188401813414E-2</v>
      </c>
      <c r="B128" s="5">
        <v>127</v>
      </c>
      <c r="C128" s="9">
        <v>1.3030703187894566E-3</v>
      </c>
      <c r="D128" s="1">
        <v>2.1259166470907753E-4</v>
      </c>
      <c r="E128" s="1">
        <v>2.5180453290116478E-3</v>
      </c>
      <c r="F128" s="1">
        <v>2.7005057844820962E-3</v>
      </c>
      <c r="G128" s="1">
        <v>2.4557971509407417E-3</v>
      </c>
      <c r="H128" s="1">
        <v>-5.6344493739181323E-3</v>
      </c>
      <c r="I128" s="1">
        <v>7.1826959218501685E-4</v>
      </c>
      <c r="J128" s="1">
        <v>1.485530774259905E-3</v>
      </c>
      <c r="K128" s="1">
        <v>3.0654266954229653E-3</v>
      </c>
      <c r="L128" s="1">
        <v>4.1353606103678442E-3</v>
      </c>
      <c r="M128" s="1">
        <v>2.7055576403771375E-4</v>
      </c>
      <c r="N128" s="1">
        <v>2.8207180618816385E-3</v>
      </c>
      <c r="O128" s="1">
        <v>4.3178210658382926E-3</v>
      </c>
      <c r="P128" s="1">
        <v>7.6557892848925918E-3</v>
      </c>
      <c r="Q128" s="1">
        <v>-9.444192461844636E-4</v>
      </c>
      <c r="R128" s="1">
        <v>-5.2115643636485992E-3</v>
      </c>
      <c r="S128" s="1">
        <v>-5.6344493739181323E-3</v>
      </c>
      <c r="T128" s="1">
        <v>-2.1345654385288848E-3</v>
      </c>
      <c r="U128" s="1">
        <v>-4.6847277363727957E-3</v>
      </c>
      <c r="V128" s="1">
        <v>-6.7916587350760893E-4</v>
      </c>
      <c r="W128" s="1">
        <v>-1.1848438009835482E-3</v>
      </c>
      <c r="X128" s="1">
        <v>-4.6019348191663756E-3</v>
      </c>
      <c r="Y128" s="1">
        <v>5.1261717261841949E-3</v>
      </c>
      <c r="Z128" s="1">
        <v>-9.9801033298464042E-3</v>
      </c>
      <c r="AA128" s="1">
        <v>2.8207180618816385E-3</v>
      </c>
      <c r="AB128" s="1">
        <v>-4.5500197910178231E-4</v>
      </c>
      <c r="AC128" s="1">
        <v>-5.3897407403767778E-3</v>
      </c>
      <c r="AD128" s="1">
        <v>6.3547667497859672E-4</v>
      </c>
      <c r="AE128" s="1">
        <v>1.5034348663817143E-4</v>
      </c>
      <c r="AF128" s="1">
        <v>2.5180453290116478E-3</v>
      </c>
      <c r="AG128" s="1">
        <v>1.3653184968603765E-3</v>
      </c>
      <c r="AH128" s="1">
        <v>-8.060115315620231E-3</v>
      </c>
      <c r="AI128" s="1">
        <v>6.9839115623394621E-3</v>
      </c>
      <c r="AJ128" s="1">
        <v>2.0286280619289665E-3</v>
      </c>
      <c r="AK128" s="1">
        <v>6.9772485304950282E-4</v>
      </c>
      <c r="AL128" s="1">
        <v>5.1526439757906828E-4</v>
      </c>
      <c r="AM128" s="1">
        <v>-1.3673042564539828E-3</v>
      </c>
      <c r="AN128" s="1">
        <v>6.5610265520699429E-3</v>
      </c>
      <c r="AO128" s="1">
        <v>3.5505598837633906E-3</v>
      </c>
      <c r="AP128" s="1">
        <v>8.1793713044904515E-4</v>
      </c>
      <c r="AQ128" s="1">
        <v>-1.466971794718025E-3</v>
      </c>
      <c r="AR128" s="1">
        <v>-3.9506018357487599E-3</v>
      </c>
      <c r="AS128" s="1">
        <v>4.5208262604442273E-3</v>
      </c>
      <c r="AT128" s="1">
        <v>-1.1779879066673049E-2</v>
      </c>
      <c r="AU128" s="1">
        <v>-4.1168016308259503E-3</v>
      </c>
      <c r="AV128" s="1">
        <v>-2.5574504487983901E-3</v>
      </c>
      <c r="AW128" s="1">
        <v>2.7584698838107324E-3</v>
      </c>
      <c r="AX128" s="1">
        <v>3.1856389728225076E-3</v>
      </c>
      <c r="AY128" s="1">
        <v>9.3814940784858747E-4</v>
      </c>
      <c r="AZ128" s="1">
        <v>1.0003975859194797E-3</v>
      </c>
      <c r="BA128" s="1">
        <v>-7.5609741206992542E-3</v>
      </c>
      <c r="BB128" s="1">
        <v>-6.9930480151524366E-3</v>
      </c>
      <c r="BC128" s="1">
        <v>-1.0816149422547161E-2</v>
      </c>
      <c r="BD128" s="1">
        <v>1.5243675987181987E-3</v>
      </c>
      <c r="BE128" s="1">
        <v>-9.6011744123249698E-3</v>
      </c>
      <c r="BF128" s="1">
        <v>2.6148462527985916E-3</v>
      </c>
      <c r="BG128" s="1">
        <v>-9.2779569403194928E-3</v>
      </c>
      <c r="BH128" s="1">
        <v>1.6327969921878821E-2</v>
      </c>
      <c r="BI128" s="1">
        <v>-2.9083633531587355E-3</v>
      </c>
      <c r="BJ128" s="1">
        <v>2.0300455261941242E-3</v>
      </c>
      <c r="BK128" s="1">
        <v>1.3719843524706274E-2</v>
      </c>
      <c r="BL128" s="1">
        <v>-4.6253461727789741E-3</v>
      </c>
      <c r="BM128" s="1">
        <v>8.0141734632785122E-3</v>
      </c>
      <c r="BN128" s="1">
        <v>-3.0080308914227777E-3</v>
      </c>
      <c r="BO128" s="1">
        <v>3.7675730849498629E-3</v>
      </c>
      <c r="BP128" s="1">
        <v>-6.0433263776071E-3</v>
      </c>
      <c r="BQ128" s="1">
        <v>-2.6225652413463946E-3</v>
      </c>
      <c r="BR128" s="1">
        <v>1.1775026692602331E-2</v>
      </c>
      <c r="BS128" s="1">
        <v>-1.0509192610934914E-2</v>
      </c>
      <c r="BT128" s="1">
        <v>8.7023118462248583E-3</v>
      </c>
      <c r="BU128" s="1">
        <v>-1.3967987068053161E-2</v>
      </c>
      <c r="BV128" s="1">
        <v>-5.5528322444847733E-5</v>
      </c>
      <c r="BW128" s="1">
        <v>-9.721386689724526E-3</v>
      </c>
      <c r="BX128" s="1">
        <v>3.3821074348734936E-3</v>
      </c>
      <c r="BY128" s="1">
        <v>-1.5731760655370158E-3</v>
      </c>
      <c r="BZ128" s="1">
        <v>-5.8608659221366516E-3</v>
      </c>
      <c r="CA128" s="1">
        <v>-8.166319586439208E-3</v>
      </c>
      <c r="CB128" s="1">
        <v>-1.6841366837902549E-2</v>
      </c>
      <c r="CC128" s="1">
        <v>-5.7780730049302592E-3</v>
      </c>
      <c r="CD128" s="1">
        <v>1.1957487148072765E-2</v>
      </c>
      <c r="CE128" s="1">
        <v>8.8847723016953067E-3</v>
      </c>
      <c r="CF128" s="1">
        <v>1.2322408059013648E-2</v>
      </c>
      <c r="CG128" s="1">
        <v>4.8997551779656479E-3</v>
      </c>
      <c r="CH128" s="1">
        <v>-1.0185975138929437E-2</v>
      </c>
      <c r="CI128" s="1">
        <v>-1.2873779537246749E-3</v>
      </c>
      <c r="CJ128" s="1">
        <v>-6.790042820546488E-3</v>
      </c>
      <c r="CK128" s="1">
        <v>-9.4809621349254414E-3</v>
      </c>
      <c r="CL128" s="1">
        <v>-3.81638155176868E-3</v>
      </c>
      <c r="CM128" s="1">
        <v>4.2527062732902882E-3</v>
      </c>
      <c r="CN128" s="1">
        <v>2.4946339753990354E-3</v>
      </c>
      <c r="CO128" s="1">
        <v>6.4174029210578021E-3</v>
      </c>
      <c r="CP128" s="1">
        <v>-2.5228977030823524E-3</v>
      </c>
      <c r="CQ128" s="1">
        <v>4.4146219896252226E-3</v>
      </c>
      <c r="CR128" s="1">
        <v>1.5175243089727536E-2</v>
      </c>
      <c r="CS128" s="1">
        <v>2.7973067082690262E-3</v>
      </c>
      <c r="CT128" s="1">
        <v>7.0227483867977697E-3</v>
      </c>
      <c r="CU128" s="1">
        <v>3.099979441139003E-3</v>
      </c>
      <c r="CV128" s="1">
        <v>-2.3798877791529616E-4</v>
      </c>
      <c r="CW128" s="1">
        <v>1.2040280065279185E-2</v>
      </c>
      <c r="CX128" s="1">
        <v>2.6148462527985916E-3</v>
      </c>
      <c r="CY128" s="1">
        <v>7.2098103984762629E-3</v>
      </c>
      <c r="CZ128" s="1">
        <v>2.8262794031398086E-2</v>
      </c>
      <c r="DA128" s="1">
        <v>1.4164204712241474E-2</v>
      </c>
      <c r="DB128" s="1">
        <v>2.9332727946342965E-2</v>
      </c>
      <c r="DC128" s="1">
        <v>1.4732130817788305E-2</v>
      </c>
      <c r="DD128" s="1">
        <v>1.0826236493187161E-2</v>
      </c>
      <c r="DE128" s="1">
        <v>4.0176141963651685E-2</v>
      </c>
      <c r="DF128" s="1">
        <v>2.2656791508234353E-2</v>
      </c>
      <c r="DG128" s="1">
        <v>2.4721820617737839E-2</v>
      </c>
      <c r="DH128" s="1">
        <v>2.6568671691997586E-3</v>
      </c>
      <c r="DI128" s="1">
        <v>2.2577668709105825E-2</v>
      </c>
      <c r="DJ128" s="1">
        <v>2.4257232168532927E-2</v>
      </c>
      <c r="DK128" s="1">
        <v>1.6166985643674067E-2</v>
      </c>
      <c r="DL128" s="1">
        <v>2.4522485541209754E-2</v>
      </c>
      <c r="DM128" s="1">
        <v>1.1559748433146805E-2</v>
      </c>
      <c r="DN128" s="1">
        <v>1.2932355080961661E-2</v>
      </c>
      <c r="DO128" s="1">
        <v>2.8482673847061671E-2</v>
      </c>
      <c r="DP128" s="1">
        <v>1.060207259878132E-2</v>
      </c>
      <c r="DQ128" s="1">
        <v>1.3428385813779309E-3</v>
      </c>
      <c r="DR128" s="1">
        <v>3.8252483831347633E-2</v>
      </c>
      <c r="DS128" s="1">
        <v>9.5943868619073613E-3</v>
      </c>
      <c r="DT128" s="1">
        <v>2.664547875004189E-2</v>
      </c>
      <c r="DU128" s="1">
        <v>1.2626012230013806E-2</v>
      </c>
      <c r="DV128" s="1">
        <v>2.8362461569662129E-2</v>
      </c>
      <c r="DW128" s="1">
        <v>1.8289978852506175E-2</v>
      </c>
      <c r="DX128" s="1">
        <v>2.4779784717066461E-2</v>
      </c>
      <c r="DY128" s="1">
        <v>2.9515188401813414E-2</v>
      </c>
      <c r="DZ128" s="1">
        <v>3.115304842230511E-2</v>
      </c>
      <c r="EA128" s="1">
        <v>1.786709384223667E-2</v>
      </c>
      <c r="EB128" s="1">
        <v>3.0684789855022307E-2</v>
      </c>
      <c r="EC128" s="1">
        <v>1.8066428918764726E-2</v>
      </c>
      <c r="ED128" s="1">
        <v>1.6142156825796283E-2</v>
      </c>
      <c r="EE128" s="1">
        <v>1.4429458084918328E-2</v>
      </c>
      <c r="EF128" s="1">
        <v>3.9160502029957578E-2</v>
      </c>
      <c r="EG128" s="1">
        <v>4.2963058698216788E-2</v>
      </c>
      <c r="EH128" s="1">
        <v>3.2833713347396182E-3</v>
      </c>
      <c r="EI128" s="1">
        <v>1.113257934413503E-2</v>
      </c>
      <c r="EJ128" s="1">
        <v>2.9635400679212956E-2</v>
      </c>
      <c r="EK128" s="1">
        <v>3.182064206611597E-2</v>
      </c>
      <c r="EL128" s="1">
        <v>1.5984525188203619E-2</v>
      </c>
      <c r="EM128" s="1">
        <v>7.0068052038703144E-3</v>
      </c>
      <c r="EN128" s="1">
        <v>9.109253673566936E-3</v>
      </c>
      <c r="EO128" s="1">
        <v>2.8262794031398086E-2</v>
      </c>
      <c r="EP128" s="1">
        <v>1.0261980505718221E-2</v>
      </c>
      <c r="EQ128" s="1">
        <v>4.5394358232328097E-3</v>
      </c>
      <c r="ER128" s="1">
        <v>9.9593077728482304E-3</v>
      </c>
      <c r="ES128" s="1">
        <v>2.3954559435662937E-2</v>
      </c>
      <c r="ET128" s="1">
        <v>2.1607402332424988E-2</v>
      </c>
      <c r="EU128" s="1">
        <v>1.5237808745264231E-2</v>
      </c>
      <c r="EV128" s="10">
        <v>3.248823570992683E-2</v>
      </c>
    </row>
    <row r="129" spans="1:152" x14ac:dyDescent="0.25">
      <c r="A129" s="21">
        <f t="shared" ca="1" si="1"/>
        <v>3.7920143466476861E-2</v>
      </c>
      <c r="B129" s="5">
        <v>128</v>
      </c>
      <c r="C129" s="9">
        <v>2.4044342235534644E-3</v>
      </c>
      <c r="D129" s="1">
        <v>-7.5649793538088428E-3</v>
      </c>
      <c r="E129" s="1">
        <v>7.461876977112869E-4</v>
      </c>
      <c r="F129" s="1">
        <v>-3.2125181335218578E-4</v>
      </c>
      <c r="G129" s="1">
        <v>6.5600177493135292E-3</v>
      </c>
      <c r="H129" s="1">
        <v>-3.7118623442841669E-4</v>
      </c>
      <c r="I129" s="1">
        <v>3.2185574870910727E-3</v>
      </c>
      <c r="J129" s="1">
        <v>1.3369947124899917E-3</v>
      </c>
      <c r="K129" s="1">
        <v>-2.4561308354791311E-3</v>
      </c>
      <c r="L129" s="1">
        <v>-6.5874258060499846E-4</v>
      </c>
      <c r="M129" s="1">
        <v>2.9952412383321414E-3</v>
      </c>
      <c r="N129" s="1">
        <v>4.4251387271865561E-3</v>
      </c>
      <c r="O129" s="1">
        <v>-1.7261820916684711E-3</v>
      </c>
      <c r="P129" s="1">
        <v>5.9941779450730093E-3</v>
      </c>
      <c r="Q129" s="1">
        <v>4.6534877641742911E-3</v>
      </c>
      <c r="R129" s="1">
        <v>8.0541553355855666E-3</v>
      </c>
      <c r="S129" s="1">
        <v>-3.7118623442841669E-4</v>
      </c>
      <c r="T129" s="1">
        <v>-1.8902910312385834E-3</v>
      </c>
      <c r="U129" s="1">
        <v>-3.3201885200929981E-3</v>
      </c>
      <c r="V129" s="1">
        <v>5.9442435239967228E-3</v>
      </c>
      <c r="W129" s="1">
        <v>-4.8392933169031926E-3</v>
      </c>
      <c r="X129" s="1">
        <v>-9.6199324920712148E-4</v>
      </c>
      <c r="Y129" s="1">
        <v>1.2736305778706686E-2</v>
      </c>
      <c r="Z129" s="1">
        <v>-1.5702764577646272E-2</v>
      </c>
      <c r="AA129" s="1">
        <v>4.4251387271865561E-3</v>
      </c>
      <c r="AB129" s="1">
        <v>-9.1090513611570972E-3</v>
      </c>
      <c r="AC129" s="1">
        <v>-7.2524557970941317E-3</v>
      </c>
      <c r="AD129" s="1">
        <v>8.6036221620516828E-4</v>
      </c>
      <c r="AE129" s="1">
        <v>-1.7511493022066005E-3</v>
      </c>
      <c r="AF129" s="1">
        <v>7.461876977112869E-4</v>
      </c>
      <c r="AG129" s="1">
        <v>-3.4093958280487779E-3</v>
      </c>
      <c r="AH129" s="1">
        <v>-1.3428743826487316E-2</v>
      </c>
      <c r="AI129" s="1">
        <v>2.0824156581467884E-2</v>
      </c>
      <c r="AJ129" s="1">
        <v>1.4508726823042717E-2</v>
      </c>
      <c r="AK129" s="1">
        <v>-4.953467835397074E-3</v>
      </c>
      <c r="AL129" s="1">
        <v>-3.8860283243335458E-3</v>
      </c>
      <c r="AM129" s="1">
        <v>-3.7718538058396922E-3</v>
      </c>
      <c r="AN129" s="1">
        <v>1.2398815011453901E-2</v>
      </c>
      <c r="AO129" s="1">
        <v>1.5538068293263763E-4</v>
      </c>
      <c r="AP129" s="1">
        <v>-2.0707729485830439E-4</v>
      </c>
      <c r="AQ129" s="1">
        <v>-3.4621902389028736E-4</v>
      </c>
      <c r="AR129" s="1">
        <v>-2.3963997208090157E-2</v>
      </c>
      <c r="AS129" s="1">
        <v>5.3784037197561751E-3</v>
      </c>
      <c r="AT129" s="1">
        <v>-1.3230394788266514E-2</v>
      </c>
      <c r="AU129" s="1">
        <v>1.6495182692046473E-3</v>
      </c>
      <c r="AV129" s="1">
        <v>-1.0315632601252608E-2</v>
      </c>
      <c r="AW129" s="1">
        <v>1.0238968778788771E-2</v>
      </c>
      <c r="AX129" s="1">
        <v>2.290259705059583E-3</v>
      </c>
      <c r="AY129" s="1">
        <v>4.5393132456804375E-3</v>
      </c>
      <c r="AZ129" s="1">
        <v>-1.2745168059217771E-3</v>
      </c>
      <c r="BA129" s="1">
        <v>-8.37752331756135E-3</v>
      </c>
      <c r="BB129" s="1">
        <v>-3.4078165282636907E-3</v>
      </c>
      <c r="BC129" s="1">
        <v>-1.3739688083416926E-2</v>
      </c>
      <c r="BD129" s="1">
        <v>-4.4253216182509186E-3</v>
      </c>
      <c r="BE129" s="1">
        <v>-1.539793460925909E-2</v>
      </c>
      <c r="BF129" s="1">
        <v>5.5440919591113608E-3</v>
      </c>
      <c r="BG129" s="1">
        <v>-3.5469582572957015E-3</v>
      </c>
      <c r="BH129" s="1">
        <v>2.0334797708626798E-2</v>
      </c>
      <c r="BI129" s="1">
        <v>-5.7410445886114519E-3</v>
      </c>
      <c r="BJ129" s="1">
        <v>6.358215222648983E-3</v>
      </c>
      <c r="BK129" s="1">
        <v>8.3446796276314267E-3</v>
      </c>
      <c r="BL129" s="1">
        <v>-9.1047952834580337E-4</v>
      </c>
      <c r="BM129" s="1">
        <v>-1.8730174090279134E-3</v>
      </c>
      <c r="BN129" s="1">
        <v>-2.315409806662061E-3</v>
      </c>
      <c r="BO129" s="1">
        <v>9.6996754848714395E-3</v>
      </c>
      <c r="BP129" s="1">
        <v>-6.3568188139282722E-3</v>
      </c>
      <c r="BQ129" s="1">
        <v>3.721736493699071E-3</v>
      </c>
      <c r="BR129" s="1">
        <v>1.4272684197727523E-2</v>
      </c>
      <c r="BS129" s="1">
        <v>-2.6434787697684842E-2</v>
      </c>
      <c r="BT129" s="1">
        <v>7.8430799208084878E-3</v>
      </c>
      <c r="BU129" s="1">
        <v>-8.5716322558984648E-3</v>
      </c>
      <c r="BV129" s="1">
        <v>-6.3219607028178193E-4</v>
      </c>
      <c r="BW129" s="1">
        <v>-2.0144325149797804E-2</v>
      </c>
      <c r="BX129" s="1">
        <v>3.6625291845102936E-3</v>
      </c>
      <c r="BY129" s="1">
        <v>-2.6529005739148737E-3</v>
      </c>
      <c r="BZ129" s="1">
        <v>-7.4242583249917449E-3</v>
      </c>
      <c r="CA129" s="1">
        <v>-1.5735425376511875E-2</v>
      </c>
      <c r="CB129" s="1">
        <v>-2.1852506096716254E-2</v>
      </c>
      <c r="CC129" s="1">
        <v>-5.0660630541058543E-3</v>
      </c>
      <c r="CD129" s="1">
        <v>1.3205244686664036E-2</v>
      </c>
      <c r="CE129" s="1">
        <v>6.7756404097450013E-3</v>
      </c>
      <c r="CF129" s="1">
        <v>1.1070365664537077E-2</v>
      </c>
      <c r="CG129" s="1">
        <v>5.6832336881433854E-3</v>
      </c>
      <c r="CH129" s="1">
        <v>-1.4583811345721481E-2</v>
      </c>
      <c r="CI129" s="1">
        <v>6.8098805083956493E-3</v>
      </c>
      <c r="CJ129" s="1">
        <v>3.6967692831609278E-3</v>
      </c>
      <c r="CK129" s="1">
        <v>-1.0651544068720348E-2</v>
      </c>
      <c r="CL129" s="1">
        <v>-1.6777897677037232E-2</v>
      </c>
      <c r="CM129" s="1">
        <v>1.2311187003283208E-2</v>
      </c>
      <c r="CN129" s="1">
        <v>7.9770141857264665E-4</v>
      </c>
      <c r="CO129" s="1">
        <v>7.703938191776491E-3</v>
      </c>
      <c r="CP129" s="1">
        <v>2.9610171174970779E-4</v>
      </c>
      <c r="CQ129" s="1">
        <v>3.0717221697316166E-3</v>
      </c>
      <c r="CR129" s="1">
        <v>1.6179214182866747E-2</v>
      </c>
      <c r="CS129" s="1">
        <v>4.4766524480478881E-3</v>
      </c>
      <c r="CT129" s="1">
        <v>1.5061840250726988E-2</v>
      </c>
      <c r="CU129" s="1">
        <v>8.1556034775231434E-3</v>
      </c>
      <c r="CV129" s="1">
        <v>4.3524344078170463E-4</v>
      </c>
      <c r="CW129" s="1">
        <v>1.556343995754994E-2</v>
      </c>
      <c r="CX129" s="1">
        <v>5.5440919591113608E-3</v>
      </c>
      <c r="CY129" s="1">
        <v>1.2603457223471115E-2</v>
      </c>
      <c r="CZ129" s="1">
        <v>3.0423099678494339E-2</v>
      </c>
      <c r="DA129" s="1">
        <v>9.5952476286177563E-3</v>
      </c>
      <c r="DB129" s="1">
        <v>3.2220487933368513E-2</v>
      </c>
      <c r="DC129" s="1">
        <v>1.4564954417915402E-2</v>
      </c>
      <c r="DD129" s="1">
        <v>1.8748875918763036E-3</v>
      </c>
      <c r="DE129" s="1">
        <v>4.7686175217389534E-2</v>
      </c>
      <c r="DF129" s="1">
        <v>1.6779767859885622E-2</v>
      </c>
      <c r="DG129" s="1">
        <v>1.5598153830328254E-2</v>
      </c>
      <c r="DH129" s="1">
        <v>6.541343712571826E-3</v>
      </c>
      <c r="DI129" s="1">
        <v>2.8377427964323104E-2</v>
      </c>
      <c r="DJ129" s="1">
        <v>2.1158667634404604E-2</v>
      </c>
      <c r="DK129" s="1">
        <v>1.4227463650662617E-2</v>
      </c>
      <c r="DL129" s="1">
        <v>2.2449423394227008E-2</v>
      </c>
      <c r="DM129" s="1">
        <v>1.1560984922945758E-2</v>
      </c>
      <c r="DN129" s="1">
        <v>1.7037324207295201E-2</v>
      </c>
      <c r="DO129" s="1">
        <v>3.174385543708369E-2</v>
      </c>
      <c r="DP129" s="1">
        <v>1.692818247703011E-2</v>
      </c>
      <c r="DQ129" s="1">
        <v>-1.8704680998703205E-2</v>
      </c>
      <c r="DR129" s="1">
        <v>3.1456299090907178E-2</v>
      </c>
      <c r="DS129" s="1">
        <v>9.3169641705537487E-3</v>
      </c>
      <c r="DT129" s="1">
        <v>3.1828029956810611E-2</v>
      </c>
      <c r="DU129" s="1">
        <v>-5.9748219750346832E-4</v>
      </c>
      <c r="DV129" s="1">
        <v>2.6997464896544962E-2</v>
      </c>
      <c r="DW129" s="1">
        <v>2.3606070213246219E-2</v>
      </c>
      <c r="DX129" s="1">
        <v>2.6158374422469224E-2</v>
      </c>
      <c r="DY129" s="1">
        <v>3.1153048422305013E-2</v>
      </c>
      <c r="DZ129" s="1">
        <v>3.7920143466476861E-2</v>
      </c>
      <c r="EA129" s="1">
        <v>1.5180728643232222E-2</v>
      </c>
      <c r="EB129" s="1">
        <v>2.952480189522981E-2</v>
      </c>
      <c r="EC129" s="1">
        <v>8.3294590793334816E-3</v>
      </c>
      <c r="ED129" s="1">
        <v>2.2429488971917683E-2</v>
      </c>
      <c r="EE129" s="1">
        <v>1.0886003388440146E-2</v>
      </c>
      <c r="EF129" s="1">
        <v>4.2493152179332944E-2</v>
      </c>
      <c r="EG129" s="1">
        <v>4.465299841199806E-2</v>
      </c>
      <c r="EH129" s="1">
        <v>-8.2586349250561158E-3</v>
      </c>
      <c r="EI129" s="1">
        <v>1.9509693996674959E-2</v>
      </c>
      <c r="EJ129" s="1">
        <v>3.5899438962843755E-2</v>
      </c>
      <c r="EK129" s="1">
        <v>3.9464215473825143E-2</v>
      </c>
      <c r="EL129" s="1">
        <v>1.5294903161726089E-2</v>
      </c>
      <c r="EM129" s="1">
        <v>5.4988714120464688E-3</v>
      </c>
      <c r="EN129" s="1">
        <v>6.7054526521419661E-3</v>
      </c>
      <c r="EO129" s="1">
        <v>3.0423099678494339E-2</v>
      </c>
      <c r="EP129" s="1">
        <v>1.0861036177902045E-2</v>
      </c>
      <c r="EQ129" s="1">
        <v>6.4271691940779446E-3</v>
      </c>
      <c r="ER129" s="1">
        <v>7.1820851484267756E-3</v>
      </c>
      <c r="ES129" s="1">
        <v>1.7479716604929363E-2</v>
      </c>
      <c r="ET129" s="1">
        <v>2.3154404927499553E-2</v>
      </c>
      <c r="EU129" s="1">
        <v>2.5348491258815317E-2</v>
      </c>
      <c r="EV129" s="10">
        <v>4.1008287481173425E-2</v>
      </c>
    </row>
    <row r="130" spans="1:152" x14ac:dyDescent="0.25">
      <c r="A130" s="21">
        <f t="shared" ca="1" si="1"/>
        <v>2.5281011274883476E-2</v>
      </c>
      <c r="B130" s="5">
        <v>129</v>
      </c>
      <c r="C130" s="9">
        <v>-2.6562885427127841E-3</v>
      </c>
      <c r="D130" s="1">
        <v>5.6067927896291739E-3</v>
      </c>
      <c r="E130" s="1">
        <v>3.2642427761428831E-3</v>
      </c>
      <c r="F130" s="1">
        <v>5.1231481539220948E-3</v>
      </c>
      <c r="G130" s="1">
        <v>-3.8275635494559312E-3</v>
      </c>
      <c r="H130" s="1">
        <v>-4.347062999189702E-3</v>
      </c>
      <c r="I130" s="1">
        <v>3.2783935116995136E-3</v>
      </c>
      <c r="J130" s="1">
        <v>-7.9738316493356901E-4</v>
      </c>
      <c r="K130" s="1">
        <v>8.8409589094805251E-3</v>
      </c>
      <c r="L130" s="1">
        <v>1.3911866628070445E-3</v>
      </c>
      <c r="M130" s="1">
        <v>-6.7179144837892432E-3</v>
      </c>
      <c r="N130" s="1">
        <v>-1.0975279389749751E-4</v>
      </c>
      <c r="O130" s="1">
        <v>3.2500920405862631E-3</v>
      </c>
      <c r="P130" s="1">
        <v>4.9691679681764314E-3</v>
      </c>
      <c r="Q130" s="1">
        <v>-1.2638445802644907E-2</v>
      </c>
      <c r="R130" s="1">
        <v>-1.2953959517049703E-2</v>
      </c>
      <c r="S130" s="1">
        <v>-4.347062999189702E-3</v>
      </c>
      <c r="T130" s="1">
        <v>4.4227391848158937E-5</v>
      </c>
      <c r="U130" s="1">
        <v>-6.5639342980435764E-3</v>
      </c>
      <c r="V130" s="1">
        <v>-4.5010431849353688E-3</v>
      </c>
      <c r="W130" s="1">
        <v>-2.1726439070057016E-3</v>
      </c>
      <c r="X130" s="1">
        <v>-2.8543705811324288E-4</v>
      </c>
      <c r="Y130" s="1">
        <v>-2.4523028073837952E-3</v>
      </c>
      <c r="Z130" s="1">
        <v>8.4754396454924247E-3</v>
      </c>
      <c r="AA130" s="1">
        <v>-1.0975279389749751E-4</v>
      </c>
      <c r="AB130" s="1">
        <v>5.2629776041111416E-3</v>
      </c>
      <c r="AC130" s="1">
        <v>4.6036487041883276E-3</v>
      </c>
      <c r="AD130" s="1">
        <v>-3.0001037282308129E-3</v>
      </c>
      <c r="AE130" s="1">
        <v>-1.4850135359696405E-3</v>
      </c>
      <c r="AF130" s="1">
        <v>3.2642427761428831E-3</v>
      </c>
      <c r="AG130" s="1">
        <v>4.4355177828860268E-3</v>
      </c>
      <c r="AH130" s="1">
        <v>3.2283879621161915E-3</v>
      </c>
      <c r="AI130" s="1">
        <v>-1.4791160816358832E-2</v>
      </c>
      <c r="AJ130" s="1">
        <v>-1.4637180630613172E-2</v>
      </c>
      <c r="AK130" s="1">
        <v>4.091702597367991E-3</v>
      </c>
      <c r="AL130" s="1">
        <v>2.2327972195887828E-3</v>
      </c>
      <c r="AM130" s="1">
        <v>-4.0315492847849133E-3</v>
      </c>
      <c r="AN130" s="1">
        <v>-6.1842642984988525E-3</v>
      </c>
      <c r="AO130" s="1">
        <v>7.3258687172193422E-3</v>
      </c>
      <c r="AP130" s="1">
        <v>-1.1411983504515978E-3</v>
      </c>
      <c r="AQ130" s="1">
        <v>3.8804257736619469E-4</v>
      </c>
      <c r="AR130" s="1">
        <v>2.0288200812090512E-2</v>
      </c>
      <c r="AS130" s="1">
        <v>4.2956883326969834E-3</v>
      </c>
      <c r="AT130" s="1">
        <v>8.4895903810490413E-3</v>
      </c>
      <c r="AU130" s="1">
        <v>-1.8005272503744188E-3</v>
      </c>
      <c r="AV130" s="1">
        <v>8.6511239097081596E-3</v>
      </c>
      <c r="AW130" s="1">
        <v>-7.2015591194963119E-3</v>
      </c>
      <c r="AX130" s="1">
        <v>3.6080579616609189E-3</v>
      </c>
      <c r="AY130" s="1">
        <v>-6.3740992982712075E-3</v>
      </c>
      <c r="AZ130" s="1">
        <v>7.1770702732760691E-4</v>
      </c>
      <c r="BA130" s="1">
        <v>-8.1746996090596921E-3</v>
      </c>
      <c r="BB130" s="1">
        <v>-3.4112925613905415E-3</v>
      </c>
      <c r="BC130" s="1">
        <v>-3.6152782967195374E-3</v>
      </c>
      <c r="BD130" s="1">
        <v>7.9178239695004808E-3</v>
      </c>
      <c r="BE130" s="1">
        <v>2.3052530221361472E-3</v>
      </c>
      <c r="BF130" s="1">
        <v>-3.4525736284148068E-4</v>
      </c>
      <c r="BG130" s="1">
        <v>-1.8820516335727316E-3</v>
      </c>
      <c r="BH130" s="1">
        <v>3.6407708666465546E-4</v>
      </c>
      <c r="BI130" s="1">
        <v>-4.9546842247649575E-3</v>
      </c>
      <c r="BJ130" s="1">
        <v>5.5894246915708067E-3</v>
      </c>
      <c r="BK130" s="1">
        <v>6.0806226701913338E-3</v>
      </c>
      <c r="BL130" s="1">
        <v>1.3379637507219821E-3</v>
      </c>
      <c r="BM130" s="1">
        <v>-3.8770956951136165E-4</v>
      </c>
      <c r="BN130" s="1">
        <v>-5.3509236261384957E-4</v>
      </c>
      <c r="BO130" s="1">
        <v>-1.5165323695846208E-3</v>
      </c>
      <c r="BP130" s="1">
        <v>-5.6281638602444159E-3</v>
      </c>
      <c r="BQ130" s="1">
        <v>2.3694093072760894E-3</v>
      </c>
      <c r="BR130" s="1">
        <v>-7.2755301597811871E-3</v>
      </c>
      <c r="BS130" s="1">
        <v>1.2427239732257313E-2</v>
      </c>
      <c r="BT130" s="1">
        <v>-8.5720346966181027E-4</v>
      </c>
      <c r="BU130" s="1">
        <v>6.4093311698824804E-3</v>
      </c>
      <c r="BV130" s="1">
        <v>-1.7205181049136133E-3</v>
      </c>
      <c r="BW130" s="1">
        <v>7.5381539699557465E-3</v>
      </c>
      <c r="BX130" s="1">
        <v>-4.4210340394745702E-3</v>
      </c>
      <c r="BY130" s="1">
        <v>-4.267053853728893E-3</v>
      </c>
      <c r="BZ130" s="1">
        <v>-3.7692584824651973E-3</v>
      </c>
      <c r="CA130" s="1">
        <v>-1.4267084689789031E-3</v>
      </c>
      <c r="CB130" s="1">
        <v>3.9884741356996101E-3</v>
      </c>
      <c r="CC130" s="1">
        <v>2.5092387574651362E-3</v>
      </c>
      <c r="CD130" s="1">
        <v>-5.4166247820019789E-3</v>
      </c>
      <c r="CE130" s="1">
        <v>1.0017019081174049E-3</v>
      </c>
      <c r="CF130" s="1">
        <v>-1.6988140264435451E-3</v>
      </c>
      <c r="CG130" s="1">
        <v>-1.874498290659294E-3</v>
      </c>
      <c r="CH130" s="1">
        <v>8.239935076548438E-3</v>
      </c>
      <c r="CI130" s="1">
        <v>3.057039678312154E-3</v>
      </c>
      <c r="CJ130" s="1">
        <v>-2.3656962692798073E-3</v>
      </c>
      <c r="CK130" s="1">
        <v>-2.9276479256834659E-3</v>
      </c>
      <c r="CL130" s="1">
        <v>5.1673024853562122E-3</v>
      </c>
      <c r="CM130" s="1">
        <v>-3.0316225618458037E-3</v>
      </c>
      <c r="CN130" s="1">
        <v>4.887643584978122E-3</v>
      </c>
      <c r="CO130" s="1">
        <v>6.7203745815598223E-4</v>
      </c>
      <c r="CP130" s="1">
        <v>-2.0501825548750255E-3</v>
      </c>
      <c r="CQ130" s="1">
        <v>-3.5940809839811808E-4</v>
      </c>
      <c r="CR130" s="1">
        <v>1.5353520934077991E-3</v>
      </c>
      <c r="CS130" s="1">
        <v>1.513648014937731E-3</v>
      </c>
      <c r="CT130" s="1">
        <v>-6.0759536819247964E-3</v>
      </c>
      <c r="CU130" s="1">
        <v>-1.8603475551026566E-3</v>
      </c>
      <c r="CV130" s="1">
        <v>-3.5794234826928215E-3</v>
      </c>
      <c r="CW130" s="1">
        <v>8.6187245792835807E-4</v>
      </c>
      <c r="CX130" s="1">
        <v>-3.4525736284148068E-4</v>
      </c>
      <c r="CY130" s="1">
        <v>2.8851439237339412E-2</v>
      </c>
      <c r="CZ130" s="1">
        <v>2.3457960711130956E-2</v>
      </c>
      <c r="DA130" s="1">
        <v>1.9844124591734881E-2</v>
      </c>
      <c r="DB130" s="1">
        <v>1.6008188464457493E-2</v>
      </c>
      <c r="DC130" s="1">
        <v>2.4607531639404032E-2</v>
      </c>
      <c r="DD130" s="1">
        <v>1.8125048664144716E-2</v>
      </c>
      <c r="DE130" s="1">
        <v>2.4181445896193716E-2</v>
      </c>
      <c r="DF130" s="1">
        <v>1.2570036609277156E-2</v>
      </c>
      <c r="DG130" s="1">
        <v>2.0693288491430067E-2</v>
      </c>
      <c r="DH130" s="1">
        <v>2.1211831990893562E-2</v>
      </c>
      <c r="DI130" s="1">
        <v>1.617631938575978E-2</v>
      </c>
      <c r="DJ130" s="1">
        <v>2.1395069598022752E-2</v>
      </c>
      <c r="DK130" s="1">
        <v>2.0875570148288981E-2</v>
      </c>
      <c r="DL130" s="1">
        <v>2.9532472215732297E-2</v>
      </c>
      <c r="DM130" s="1">
        <v>3.5445450191674513E-2</v>
      </c>
      <c r="DN130" s="1">
        <v>2.4621682374960652E-2</v>
      </c>
      <c r="DO130" s="1">
        <v>1.3805467901160239E-2</v>
      </c>
      <c r="DP130" s="1">
        <v>8.3610278750982023E-3</v>
      </c>
      <c r="DQ130" s="1">
        <v>2.9242626116793284E-2</v>
      </c>
      <c r="DR130" s="1">
        <v>1.9543717563156988E-2</v>
      </c>
      <c r="DS130" s="1">
        <v>2.290260644737048E-2</v>
      </c>
      <c r="DT130" s="1">
        <v>2.5331016824466798E-2</v>
      </c>
      <c r="DU130" s="1">
        <v>1.8110897928588089E-2</v>
      </c>
      <c r="DV130" s="1">
        <v>1.9038368848979845E-2</v>
      </c>
      <c r="DW130" s="1">
        <v>1.6674114757023482E-2</v>
      </c>
      <c r="DX130" s="1">
        <v>8.3685812180116434E-3</v>
      </c>
      <c r="DY130" s="1">
        <v>1.7867093842236701E-2</v>
      </c>
      <c r="DZ130" s="1">
        <v>1.5180728643232382E-2</v>
      </c>
      <c r="EA130" s="1">
        <v>2.5281011274883476E-2</v>
      </c>
      <c r="EB130" s="1">
        <v>5.9977297334121091E-3</v>
      </c>
      <c r="EC130" s="1">
        <v>1.6441827550581239E-2</v>
      </c>
      <c r="ED130" s="1">
        <v>2.2723656349402377E-3</v>
      </c>
      <c r="EE130" s="1">
        <v>2.7981527209444426E-2</v>
      </c>
      <c r="EF130" s="1">
        <v>9.4217308530358188E-3</v>
      </c>
      <c r="EG130" s="1">
        <v>1.0439025674033289E-2</v>
      </c>
      <c r="EH130" s="1">
        <v>2.3182265347748574E-2</v>
      </c>
      <c r="EI130" s="1">
        <v>2.4635833110517279E-2</v>
      </c>
      <c r="EJ130" s="1">
        <v>1.2634192894417091E-2</v>
      </c>
      <c r="EK130" s="1">
        <v>1.552454382875041E-2</v>
      </c>
      <c r="EL130" s="1">
        <v>1.9016664770509763E-2</v>
      </c>
      <c r="EM130" s="1">
        <v>2.780584294522867E-2</v>
      </c>
      <c r="EN130" s="1">
        <v>2.4417696639631656E-2</v>
      </c>
      <c r="EO130" s="1">
        <v>2.3457960711130956E-2</v>
      </c>
      <c r="EP130" s="1">
        <v>2.3246421632888523E-2</v>
      </c>
      <c r="EQ130" s="1">
        <v>2.7476178495267276E-2</v>
      </c>
      <c r="ER130" s="1">
        <v>2.662041720292891E-2</v>
      </c>
      <c r="ES130" s="1">
        <v>2.4769065168063147E-2</v>
      </c>
      <c r="ET130" s="1">
        <v>1.9206499770282132E-2</v>
      </c>
      <c r="EU130" s="1">
        <v>2.2279132361474371E-2</v>
      </c>
      <c r="EV130" s="10">
        <v>1.5868359014268439E-2</v>
      </c>
    </row>
    <row r="131" spans="1:152" x14ac:dyDescent="0.25">
      <c r="A131" s="21">
        <f t="shared" ref="A131:A151" ca="1" si="2">OFFSET($B$1,B131,B131)</f>
        <v>7.9910225694657111E-2</v>
      </c>
      <c r="B131" s="5">
        <v>130</v>
      </c>
      <c r="C131" s="9">
        <v>7.7874829996748551E-3</v>
      </c>
      <c r="D131" s="1">
        <v>-1.6914573764597873E-3</v>
      </c>
      <c r="E131" s="1">
        <v>-5.6023142863889375E-3</v>
      </c>
      <c r="F131" s="1">
        <v>-9.1486237316979191E-3</v>
      </c>
      <c r="G131" s="1">
        <v>5.8320545447103078E-3</v>
      </c>
      <c r="H131" s="1">
        <v>-9.04013517148472E-4</v>
      </c>
      <c r="I131" s="1">
        <v>-1.6825234920142595E-2</v>
      </c>
      <c r="J131" s="1">
        <v>4.2411735543658735E-3</v>
      </c>
      <c r="K131" s="1">
        <v>-1.6241242622315938E-2</v>
      </c>
      <c r="L131" s="1">
        <v>9.1669157926737022E-3</v>
      </c>
      <c r="M131" s="1">
        <v>1.7630970840429694E-2</v>
      </c>
      <c r="N131" s="1">
        <v>-1.2605643459077109E-3</v>
      </c>
      <c r="O131" s="1">
        <v>5.6206063473647205E-3</v>
      </c>
      <c r="P131" s="1">
        <v>-8.1337384033192683E-3</v>
      </c>
      <c r="Q131" s="1">
        <v>3.1020768126493486E-2</v>
      </c>
      <c r="R131" s="1">
        <v>1.1325795809123018E-2</v>
      </c>
      <c r="S131" s="1">
        <v>-9.04013517148472E-4</v>
      </c>
      <c r="T131" s="1">
        <v>-2.275449674286445E-3</v>
      </c>
      <c r="U131" s="1">
        <v>1.6616085512050988E-2</v>
      </c>
      <c r="V131" s="1">
        <v>1.1087181123020651E-4</v>
      </c>
      <c r="W131" s="1">
        <v>1.5244649354913042E-2</v>
      </c>
      <c r="X131" s="1">
        <v>-1.0747501357903311E-2</v>
      </c>
      <c r="Y131" s="1">
        <v>-5.1714212558368611E-3</v>
      </c>
      <c r="Z131" s="1">
        <v>-2.3992196012553452E-2</v>
      </c>
      <c r="AA131" s="1">
        <v>-1.2605643459077109E-3</v>
      </c>
      <c r="AB131" s="1">
        <v>1.0594115736770326E-3</v>
      </c>
      <c r="AC131" s="1">
        <v>-1.5884691793556727E-2</v>
      </c>
      <c r="AD131" s="1">
        <v>1.0538351949811675E-2</v>
      </c>
      <c r="AE131" s="1">
        <v>9.742911454639458E-3</v>
      </c>
      <c r="AF131" s="1">
        <v>-5.6023142863889375E-3</v>
      </c>
      <c r="AG131" s="1">
        <v>-3.6468858314243346E-3</v>
      </c>
      <c r="AH131" s="1">
        <v>-4.8812159930095578E-3</v>
      </c>
      <c r="AI131" s="1">
        <v>2.537392759480625E-2</v>
      </c>
      <c r="AJ131" s="1">
        <v>2.4359042266427572E-2</v>
      </c>
      <c r="AK131" s="1">
        <v>-8.9601688128757018E-4</v>
      </c>
      <c r="AL131" s="1">
        <v>2.650292564021467E-3</v>
      </c>
      <c r="AM131" s="1">
        <v>1.8790958800222052E-2</v>
      </c>
      <c r="AN131" s="1">
        <v>1.3144118268534788E-2</v>
      </c>
      <c r="AO131" s="1">
        <v>-1.5445802127143721E-2</v>
      </c>
      <c r="AP131" s="1">
        <v>6.992042504502638E-3</v>
      </c>
      <c r="AQ131" s="1">
        <v>-5.0263186244232094E-3</v>
      </c>
      <c r="AR131" s="1">
        <v>-2.8325949317173749E-2</v>
      </c>
      <c r="AS131" s="1">
        <v>-1.3854921136799286E-2</v>
      </c>
      <c r="AT131" s="1">
        <v>-3.5215116646307068E-2</v>
      </c>
      <c r="AU131" s="1">
        <v>-9.9520608627310936E-3</v>
      </c>
      <c r="AV131" s="1">
        <v>-1.4505259000557852E-2</v>
      </c>
      <c r="AW131" s="1">
        <v>1.0173804485191507E-2</v>
      </c>
      <c r="AX131" s="1">
        <v>-8.3531832365257019E-3</v>
      </c>
      <c r="AY131" s="1">
        <v>1.4880101890292902E-2</v>
      </c>
      <c r="AZ131" s="1">
        <v>3.4457330591936564E-3</v>
      </c>
      <c r="BA131" s="1">
        <v>2.5243069579964583E-2</v>
      </c>
      <c r="BB131" s="1">
        <v>-1.3250767948174702E-3</v>
      </c>
      <c r="BC131" s="1">
        <v>1.1633827460694302E-2</v>
      </c>
      <c r="BD131" s="1">
        <v>-1.3115996454675927E-2</v>
      </c>
      <c r="BE131" s="1">
        <v>-1.7559698253695188E-3</v>
      </c>
      <c r="BF131" s="1">
        <v>-3.6370560785412842E-3</v>
      </c>
      <c r="BG131" s="1">
        <v>-1.3343437923743345E-2</v>
      </c>
      <c r="BH131" s="1">
        <v>1.3630283615594097E-3</v>
      </c>
      <c r="BI131" s="1">
        <v>2.1916204967862035E-2</v>
      </c>
      <c r="BJ131" s="1">
        <v>-2.8249773998358707E-2</v>
      </c>
      <c r="BK131" s="1">
        <v>9.3213533100733326E-4</v>
      </c>
      <c r="BL131" s="1">
        <v>-1.6670302535845838E-2</v>
      </c>
      <c r="BM131" s="1">
        <v>3.0031705822719662E-2</v>
      </c>
      <c r="BN131" s="1">
        <v>-1.9010724567831705E-3</v>
      </c>
      <c r="BO131" s="1">
        <v>-5.592484533505887E-3</v>
      </c>
      <c r="BP131" s="1">
        <v>1.6195022234382017E-2</v>
      </c>
      <c r="BQ131" s="1">
        <v>-2.4922909386256242E-2</v>
      </c>
      <c r="BR131" s="1">
        <v>2.8507170398307163E-2</v>
      </c>
      <c r="BS131" s="1">
        <v>-1.4781219646813198E-2</v>
      </c>
      <c r="BT131" s="1">
        <v>1.1351618833727845E-2</v>
      </c>
      <c r="BU131" s="1">
        <v>-4.5268219567385276E-2</v>
      </c>
      <c r="BV131" s="1">
        <v>7.3664197220058847E-3</v>
      </c>
      <c r="BW131" s="1">
        <v>-9.6440292111597548E-3</v>
      </c>
      <c r="BX131" s="1">
        <v>1.7429352395967185E-2</v>
      </c>
      <c r="BY131" s="1">
        <v>1.6414467067588451E-2</v>
      </c>
      <c r="BZ131" s="1">
        <v>1.264871278907298E-2</v>
      </c>
      <c r="CA131" s="1">
        <v>1.655956969900213E-2</v>
      </c>
      <c r="CB131" s="1">
        <v>-1.4789216282674073E-2</v>
      </c>
      <c r="CC131" s="1">
        <v>-1.4714874080881291E-2</v>
      </c>
      <c r="CD131" s="1">
        <v>2.4960860952998182E-2</v>
      </c>
      <c r="CE131" s="1">
        <v>7.8053093884188629E-3</v>
      </c>
      <c r="CF131" s="1">
        <v>1.7868242062380163E-2</v>
      </c>
      <c r="CG131" s="1">
        <v>8.3813050503845909E-3</v>
      </c>
      <c r="CH131" s="1">
        <v>-2.6368687745186997E-2</v>
      </c>
      <c r="CI131" s="1">
        <v>-3.0424647286529771E-2</v>
      </c>
      <c r="CJ131" s="1">
        <v>-2.0800604278981505E-2</v>
      </c>
      <c r="CK131" s="1">
        <v>6.1320895604207171E-3</v>
      </c>
      <c r="CL131" s="1">
        <v>8.8909551464183834E-3</v>
      </c>
      <c r="CM131" s="1">
        <v>-4.7970440383336699E-3</v>
      </c>
      <c r="CN131" s="1">
        <v>-1.1525115464331492E-2</v>
      </c>
      <c r="CO131" s="1">
        <v>-6.6674229519797512E-4</v>
      </c>
      <c r="CP131" s="1">
        <v>-1.1056319616109533E-3</v>
      </c>
      <c r="CQ131" s="1">
        <v>7.5858645552123738E-3</v>
      </c>
      <c r="CR131" s="1">
        <v>3.3184568165239847E-3</v>
      </c>
      <c r="CS131" s="1">
        <v>-7.1833655238502936E-3</v>
      </c>
      <c r="CT131" s="1">
        <v>8.0167575857644502E-3</v>
      </c>
      <c r="CU131" s="1">
        <v>-2.8416155833690671E-3</v>
      </c>
      <c r="CV131" s="1">
        <v>1.0912729167314866E-2</v>
      </c>
      <c r="CW131" s="1">
        <v>-2.4027259169561166E-3</v>
      </c>
      <c r="CX131" s="1">
        <v>-3.6370560785412842E-3</v>
      </c>
      <c r="CY131" s="1">
        <v>-3.3027667436708957E-2</v>
      </c>
      <c r="CZ131" s="1">
        <v>8.8229408853415514E-3</v>
      </c>
      <c r="DA131" s="1">
        <v>2.6844693374713846E-2</v>
      </c>
      <c r="DB131" s="1">
        <v>3.4231099300331219E-2</v>
      </c>
      <c r="DC131" s="1">
        <v>2.7654699993184817E-4</v>
      </c>
      <c r="DD131" s="1">
        <v>4.0599038125397835E-2</v>
      </c>
      <c r="DE131" s="1">
        <v>2.6001046916885873E-3</v>
      </c>
      <c r="DF131" s="1">
        <v>6.1739788801699086E-2</v>
      </c>
      <c r="DG131" s="1">
        <v>4.2052813120189519E-2</v>
      </c>
      <c r="DH131" s="1">
        <v>-5.8835253999611759E-3</v>
      </c>
      <c r="DI131" s="1">
        <v>2.1993293338198883E-2</v>
      </c>
      <c r="DJ131" s="1">
        <v>2.5328154586162305E-2</v>
      </c>
      <c r="DK131" s="1">
        <v>1.8592086524303497E-2</v>
      </c>
      <c r="DL131" s="1">
        <v>-5.5817417291009475E-3</v>
      </c>
      <c r="DM131" s="1">
        <v>-4.0696281989292704E-2</v>
      </c>
      <c r="DN131" s="1">
        <v>-1.0946373633821782E-2</v>
      </c>
      <c r="DO131" s="1">
        <v>4.0528277695777021E-2</v>
      </c>
      <c r="DP131" s="1">
        <v>3.9650498362951037E-2</v>
      </c>
      <c r="DQ131" s="1">
        <v>2.0042279746923186E-2</v>
      </c>
      <c r="DR131" s="1">
        <v>5.0599207005599195E-2</v>
      </c>
      <c r="DS131" s="1">
        <v>2.8079711168622068E-3</v>
      </c>
      <c r="DT131" s="1">
        <v>-5.9462891937211437E-3</v>
      </c>
      <c r="DU131" s="1">
        <v>5.1821958759151465E-2</v>
      </c>
      <c r="DV131" s="1">
        <v>3.2640218309986785E-2</v>
      </c>
      <c r="DW131" s="1">
        <v>1.8227539059683356E-2</v>
      </c>
      <c r="DX131" s="1">
        <v>6.1375241337078973E-2</v>
      </c>
      <c r="DY131" s="1">
        <v>3.0684789855022182E-2</v>
      </c>
      <c r="DZ131" s="1">
        <v>2.9524801895229852E-2</v>
      </c>
      <c r="EA131" s="1">
        <v>5.997729733411894E-3</v>
      </c>
      <c r="EB131" s="1">
        <v>7.9910225694657111E-2</v>
      </c>
      <c r="EC131" s="1">
        <v>5.3632284582702416E-2</v>
      </c>
      <c r="ED131" s="1">
        <v>6.5278101611147221E-2</v>
      </c>
      <c r="EE131" s="1">
        <v>-4.0652029405494061E-3</v>
      </c>
      <c r="EF131" s="1">
        <v>6.3624456827042875E-2</v>
      </c>
      <c r="EG131" s="1">
        <v>6.6594770610386156E-2</v>
      </c>
      <c r="EH131" s="1">
        <v>2.3224041727612055E-2</v>
      </c>
      <c r="EI131" s="1">
        <v>-2.216929426757544E-2</v>
      </c>
      <c r="EJ131" s="1">
        <v>3.8572849240812418E-2</v>
      </c>
      <c r="EK131" s="1">
        <v>2.6773932945093032E-2</v>
      </c>
      <c r="EL131" s="1">
        <v>2.2138395969612534E-2</v>
      </c>
      <c r="EM131" s="1">
        <v>-1.3552139952544895E-2</v>
      </c>
      <c r="EN131" s="1">
        <v>2.0125306216899896E-3</v>
      </c>
      <c r="EO131" s="1">
        <v>8.8229408853415514E-3</v>
      </c>
      <c r="EP131" s="1">
        <v>5.7102166725386816E-5</v>
      </c>
      <c r="EQ131" s="1">
        <v>-2.2024191636161788E-2</v>
      </c>
      <c r="ER131" s="1">
        <v>-4.284647773755812E-3</v>
      </c>
      <c r="ES131" s="1">
        <v>2.0986404645681078E-2</v>
      </c>
      <c r="ET131" s="1">
        <v>2.0402412347854448E-2</v>
      </c>
      <c r="EU131" s="1">
        <v>-1.4857230543750932E-2</v>
      </c>
      <c r="EV131" s="10">
        <v>2.4023063994956267E-2</v>
      </c>
    </row>
    <row r="132" spans="1:152" x14ac:dyDescent="0.25">
      <c r="A132" s="21">
        <f t="shared" ca="1" si="2"/>
        <v>5.8159267276281568E-2</v>
      </c>
      <c r="B132" s="5">
        <v>131</v>
      </c>
      <c r="C132" s="9">
        <v>2.5043162170474333E-3</v>
      </c>
      <c r="D132" s="1">
        <v>1.0712504816116302E-2</v>
      </c>
      <c r="E132" s="1">
        <v>-2.6098508009834518E-3</v>
      </c>
      <c r="F132" s="1">
        <v>-3.1194445477709058E-3</v>
      </c>
      <c r="G132" s="1">
        <v>-4.1568615915024507E-3</v>
      </c>
      <c r="H132" s="1">
        <v>-4.9062765224854206E-3</v>
      </c>
      <c r="I132" s="1">
        <v>-1.5278611614921519E-2</v>
      </c>
      <c r="J132" s="1">
        <v>1.994722470260021E-3</v>
      </c>
      <c r="K132" s="1">
        <v>-4.1386320413456749E-3</v>
      </c>
      <c r="L132" s="1">
        <v>1.0568503759742016E-2</v>
      </c>
      <c r="M132" s="1">
        <v>7.10888948829092E-3</v>
      </c>
      <c r="N132" s="1">
        <v>-5.1760490850772754E-3</v>
      </c>
      <c r="O132" s="1">
        <v>1.0058910012954576E-2</v>
      </c>
      <c r="P132" s="1">
        <v>-7.8680188753886375E-3</v>
      </c>
      <c r="Q132" s="1">
        <v>1.2223056506321805E-2</v>
      </c>
      <c r="R132" s="1">
        <v>-9.5290793438856554E-3</v>
      </c>
      <c r="S132" s="1">
        <v>-4.9062765224854206E-3</v>
      </c>
      <c r="T132" s="1">
        <v>-4.2747475745951412E-4</v>
      </c>
      <c r="U132" s="1">
        <v>1.1857463815908667E-2</v>
      </c>
      <c r="V132" s="1">
        <v>-9.654850850103194E-3</v>
      </c>
      <c r="W132" s="1">
        <v>1.6336265580934616E-2</v>
      </c>
      <c r="X132" s="1">
        <v>-9.5108497937289212E-3</v>
      </c>
      <c r="Y132" s="1">
        <v>-1.8498404702177042E-2</v>
      </c>
      <c r="Z132" s="1">
        <v>-1.3947264471095289E-4</v>
      </c>
      <c r="AA132" s="1">
        <v>-5.1760490850772754E-3</v>
      </c>
      <c r="AB132" s="1">
        <v>1.4297890593784925E-2</v>
      </c>
      <c r="AC132" s="1">
        <v>-3.8688594787538756E-3</v>
      </c>
      <c r="AD132" s="1">
        <v>6.0897019947160815E-3</v>
      </c>
      <c r="AE132" s="1">
        <v>9.1654940255973174E-3</v>
      </c>
      <c r="AF132" s="1">
        <v>-2.6098508009834518E-3</v>
      </c>
      <c r="AG132" s="1">
        <v>4.0513270075663906E-3</v>
      </c>
      <c r="AH132" s="1">
        <v>1.0472683631920717E-2</v>
      </c>
      <c r="AI132" s="1">
        <v>-9.4332592160643151E-3</v>
      </c>
      <c r="AJ132" s="1">
        <v>-4.6846848884466111E-3</v>
      </c>
      <c r="AK132" s="1">
        <v>7.6367127852350666E-3</v>
      </c>
      <c r="AL132" s="1">
        <v>8.146306532022465E-3</v>
      </c>
      <c r="AM132" s="1">
        <v>1.6845859327722E-2</v>
      </c>
      <c r="AN132" s="1">
        <v>-4.8104563946641228E-3</v>
      </c>
      <c r="AO132" s="1">
        <v>-7.2144240722269107E-3</v>
      </c>
      <c r="AP132" s="1">
        <v>5.5801082479286692E-3</v>
      </c>
      <c r="AQ132" s="1">
        <v>-4.0128605351281623E-3</v>
      </c>
      <c r="AR132" s="1">
        <v>1.4969714947103356E-2</v>
      </c>
      <c r="AS132" s="1">
        <v>-1.3366008133989369E-2</v>
      </c>
      <c r="AT132" s="1">
        <v>-1.2808233458649006E-2</v>
      </c>
      <c r="AU132" s="1">
        <v>-1.2586641824610143E-2</v>
      </c>
      <c r="AV132" s="1">
        <v>4.195328063940679E-3</v>
      </c>
      <c r="AW132" s="1">
        <v>-6.7230598755962465E-3</v>
      </c>
      <c r="AX132" s="1">
        <v>-6.1952365786521277E-3</v>
      </c>
      <c r="AY132" s="1">
        <v>3.5235037106222441E-3</v>
      </c>
      <c r="AZ132" s="1">
        <v>5.070514501141243E-3</v>
      </c>
      <c r="BA132" s="1">
        <v>2.2753073620470077E-2</v>
      </c>
      <c r="BB132" s="1">
        <v>-1.6910320200487355E-3</v>
      </c>
      <c r="BC132" s="1">
        <v>1.93116888991757E-2</v>
      </c>
      <c r="BD132" s="1">
        <v>-4.1379379212159312E-4</v>
      </c>
      <c r="BE132" s="1">
        <v>1.4197521881144828E-2</v>
      </c>
      <c r="BF132" s="1">
        <v>-8.6219823911904345E-3</v>
      </c>
      <c r="BG132" s="1">
        <v>-1.1284000803105557E-2</v>
      </c>
      <c r="BH132" s="1">
        <v>-1.6206527565493803E-2</v>
      </c>
      <c r="BI132" s="1">
        <v>2.0570697576946122E-2</v>
      </c>
      <c r="BJ132" s="1">
        <v>-2.640491022315937E-2</v>
      </c>
      <c r="BK132" s="1">
        <v>-3.1797366430028062E-4</v>
      </c>
      <c r="BL132" s="1">
        <v>-1.3466376846629491E-2</v>
      </c>
      <c r="BM132" s="1">
        <v>2.9384300050623716E-2</v>
      </c>
      <c r="BN132" s="1">
        <v>-2.8802228590403545E-4</v>
      </c>
      <c r="BO132" s="1">
        <v>-1.5283160199740305E-2</v>
      </c>
      <c r="BP132" s="1">
        <v>1.5072708318345382E-2</v>
      </c>
      <c r="BQ132" s="1">
        <v>-2.4222534179635435E-2</v>
      </c>
      <c r="BR132" s="1">
        <v>6.8345683408802815E-3</v>
      </c>
      <c r="BS132" s="1">
        <v>2.1896116733426244E-2</v>
      </c>
      <c r="BT132" s="1">
        <v>2.8835898727984921E-3</v>
      </c>
      <c r="BU132" s="1">
        <v>-2.8413333831912795E-2</v>
      </c>
      <c r="BV132" s="1">
        <v>5.7195607194841305E-3</v>
      </c>
      <c r="BW132" s="1">
        <v>1.6254126418451212E-2</v>
      </c>
      <c r="BX132" s="1">
        <v>8.6513516939910814E-3</v>
      </c>
      <c r="BY132" s="1">
        <v>1.3399926021608853E-2</v>
      </c>
      <c r="BZ132" s="1">
        <v>1.4563114571557942E-2</v>
      </c>
      <c r="CA132" s="1">
        <v>2.7885470188657696E-2</v>
      </c>
      <c r="CB132" s="1">
        <v>9.353127425705772E-3</v>
      </c>
      <c r="CC132" s="1">
        <v>-6.8051990380796068E-3</v>
      </c>
      <c r="CD132" s="1">
        <v>6.3249745940928553E-3</v>
      </c>
      <c r="CE132" s="1">
        <v>2.3739961260110798E-3</v>
      </c>
      <c r="CF132" s="1">
        <v>5.3057871005180307E-3</v>
      </c>
      <c r="CG132" s="1">
        <v>9.7098639186638663E-4</v>
      </c>
      <c r="CH132" s="1">
        <v>-3.5854059508241137E-3</v>
      </c>
      <c r="CI132" s="1">
        <v>-3.1393305734972704E-2</v>
      </c>
      <c r="CJ132" s="1">
        <v>-2.5115950166992695E-2</v>
      </c>
      <c r="CK132" s="1">
        <v>1.2140917343838431E-2</v>
      </c>
      <c r="CL132" s="1">
        <v>2.8269292429227565E-2</v>
      </c>
      <c r="CM132" s="1">
        <v>-1.8358952230621541E-2</v>
      </c>
      <c r="CN132" s="1">
        <v>-6.565377853884051E-3</v>
      </c>
      <c r="CO132" s="1">
        <v>-6.7093789102583359E-3</v>
      </c>
      <c r="CP132" s="1">
        <v>-3.3638143167852713E-3</v>
      </c>
      <c r="CQ132" s="1">
        <v>4.0467784227476086E-3</v>
      </c>
      <c r="CR132" s="1">
        <v>-9.5453497569439605E-3</v>
      </c>
      <c r="CS132" s="1">
        <v>-9.1315761379778607E-3</v>
      </c>
      <c r="CT132" s="1">
        <v>-1.1841775478445941E-2</v>
      </c>
      <c r="CU132" s="1">
        <v>-1.1697774422071656E-2</v>
      </c>
      <c r="CV132" s="1">
        <v>6.2291544662715567E-3</v>
      </c>
      <c r="CW132" s="1">
        <v>-1.5043339015544721E-2</v>
      </c>
      <c r="CX132" s="1">
        <v>-8.6219823911904345E-3</v>
      </c>
      <c r="CY132" s="1">
        <v>-1.4249682279521364E-2</v>
      </c>
      <c r="CZ132" s="1">
        <v>3.8688868644644742E-3</v>
      </c>
      <c r="DA132" s="1">
        <v>3.5387943932499263E-2</v>
      </c>
      <c r="DB132" s="1">
        <v>1.8576022665552187E-2</v>
      </c>
      <c r="DC132" s="1">
        <v>1.0943838291980451E-2</v>
      </c>
      <c r="DD132" s="1">
        <v>5.3314872820842449E-2</v>
      </c>
      <c r="DE132" s="1">
        <v>-1.6384419123776951E-2</v>
      </c>
      <c r="DF132" s="1">
        <v>5.4429880442238586E-2</v>
      </c>
      <c r="DG132" s="1">
        <v>4.5220733899751682E-2</v>
      </c>
      <c r="DH132" s="1">
        <v>8.7914136268527482E-3</v>
      </c>
      <c r="DI132" s="1">
        <v>1.0655836179231895E-2</v>
      </c>
      <c r="DJ132" s="1">
        <v>2.5381201530476336E-2</v>
      </c>
      <c r="DK132" s="1">
        <v>2.4631786599493319E-2</v>
      </c>
      <c r="DL132" s="1">
        <v>3.5032941740513329E-3</v>
      </c>
      <c r="DM132" s="1">
        <v>-1.3865860038951489E-2</v>
      </c>
      <c r="DN132" s="1">
        <v>-1.724922521957592E-3</v>
      </c>
      <c r="DO132" s="1">
        <v>2.2671002190008248E-2</v>
      </c>
      <c r="DP132" s="1">
        <v>2.9362131376954329E-2</v>
      </c>
      <c r="DQ132" s="1">
        <v>6.3339844773022125E-2</v>
      </c>
      <c r="DR132" s="1">
        <v>3.8145782472235698E-2</v>
      </c>
      <c r="DS132" s="1">
        <v>1.6202006366385621E-2</v>
      </c>
      <c r="DT132" s="1">
        <v>-9.3094676962609951E-3</v>
      </c>
      <c r="DU132" s="1">
        <v>6.5983633634780506E-2</v>
      </c>
      <c r="DV132" s="1">
        <v>2.4727606727314631E-2</v>
      </c>
      <c r="DW132" s="1">
        <v>1.1819024729181019E-2</v>
      </c>
      <c r="DX132" s="1">
        <v>4.16171185719263E-2</v>
      </c>
      <c r="DY132" s="1">
        <v>1.8066428918764761E-2</v>
      </c>
      <c r="DZ132" s="1">
        <v>8.3294590793336551E-3</v>
      </c>
      <c r="EA132" s="1">
        <v>1.6441827550581212E-2</v>
      </c>
      <c r="EB132" s="1">
        <v>5.3632284582702652E-2</v>
      </c>
      <c r="EC132" s="1">
        <v>5.8159267276281568E-2</v>
      </c>
      <c r="ED132" s="1">
        <v>4.2396484881305527E-2</v>
      </c>
      <c r="EE132" s="1">
        <v>1.3510036576074261E-2</v>
      </c>
      <c r="EF132" s="1">
        <v>3.0447187619954255E-2</v>
      </c>
      <c r="EG132" s="1">
        <v>3.2359791100886354E-2</v>
      </c>
      <c r="EH132" s="1">
        <v>5.1036676649497209E-2</v>
      </c>
      <c r="EI132" s="1">
        <v>-1.4393683335895635E-2</v>
      </c>
      <c r="EJ132" s="1">
        <v>1.6009824381458364E-2</v>
      </c>
      <c r="EK132" s="1">
        <v>4.7440733016650347E-3</v>
      </c>
      <c r="EL132" s="1">
        <v>2.5141380346280731E-2</v>
      </c>
      <c r="EM132" s="1">
        <v>9.1752358674226236E-3</v>
      </c>
      <c r="EN132" s="1">
        <v>1.9277798397266843E-2</v>
      </c>
      <c r="EO132" s="1">
        <v>3.8688868644644742E-3</v>
      </c>
      <c r="EP132" s="1">
        <v>1.2616620588716973E-2</v>
      </c>
      <c r="EQ132" s="1">
        <v>9.1860831153228739E-5</v>
      </c>
      <c r="ER132" s="1">
        <v>1.518281887281081E-2</v>
      </c>
      <c r="ES132" s="1">
        <v>2.7947399814570145E-2</v>
      </c>
      <c r="ET132" s="1">
        <v>1.6807420240994353E-2</v>
      </c>
      <c r="EU132" s="1">
        <v>-1.5047278139057332E-2</v>
      </c>
      <c r="EV132" s="10">
        <v>1.1586875239963865E-3</v>
      </c>
    </row>
    <row r="133" spans="1:152" x14ac:dyDescent="0.25">
      <c r="A133" s="21">
        <f t="shared" ca="1" si="2"/>
        <v>9.463848688169349E-2</v>
      </c>
      <c r="B133" s="5">
        <v>132</v>
      </c>
      <c r="C133" s="9">
        <v>8.7674936064034564E-3</v>
      </c>
      <c r="D133" s="1">
        <v>-1.9211057026789449E-2</v>
      </c>
      <c r="E133" s="1">
        <v>-1.5648218273532064E-2</v>
      </c>
      <c r="F133" s="1">
        <v>-2.2878624435889186E-2</v>
      </c>
      <c r="G133" s="1">
        <v>1.0548912983032163E-2</v>
      </c>
      <c r="H133" s="1">
        <v>2.2085439545244639E-2</v>
      </c>
      <c r="I133" s="1">
        <v>-1.5800478786271985E-2</v>
      </c>
      <c r="J133" s="1">
        <v>1.5370874440463339E-3</v>
      </c>
      <c r="K133" s="1">
        <v>-3.7339436760603389E-2</v>
      </c>
      <c r="L133" s="1">
        <v>-8.2655515984350336E-3</v>
      </c>
      <c r="M133" s="1">
        <v>2.5952799323981895E-2</v>
      </c>
      <c r="N133" s="1">
        <v>-3.9118993416820819E-3</v>
      </c>
      <c r="O133" s="1">
        <v>-1.5495957760792156E-2</v>
      </c>
      <c r="P133" s="1">
        <v>-2.9118424725113154E-2</v>
      </c>
      <c r="Q133" s="1">
        <v>5.0368511203917415E-2</v>
      </c>
      <c r="R133" s="1">
        <v>5.2788483571301781E-2</v>
      </c>
      <c r="S133" s="1">
        <v>2.2085439545244639E-2</v>
      </c>
      <c r="T133" s="1">
        <v>2.3279009475419415E-3</v>
      </c>
      <c r="U133" s="1">
        <v>3.2192599613205836E-2</v>
      </c>
      <c r="V133" s="1">
        <v>1.5845639256020616E-2</v>
      </c>
      <c r="W133" s="1">
        <v>1.2435061015503165E-2</v>
      </c>
      <c r="X133" s="1">
        <v>4.9001338276662143E-3</v>
      </c>
      <c r="Y133" s="1">
        <v>-3.4906058842464061E-4</v>
      </c>
      <c r="Z133" s="1">
        <v>-1.9563109909166931E-2</v>
      </c>
      <c r="AA133" s="1">
        <v>-3.9118993416820819E-3</v>
      </c>
      <c r="AB133" s="1">
        <v>-1.6486563633925269E-2</v>
      </c>
      <c r="AC133" s="1">
        <v>-1.134209787367671E-2</v>
      </c>
      <c r="AD133" s="1">
        <v>1.1491986999267664E-2</v>
      </c>
      <c r="AE133" s="1">
        <v>6.9860742297747497E-3</v>
      </c>
      <c r="AF133" s="1">
        <v>-1.5648218273532064E-2</v>
      </c>
      <c r="AG133" s="1">
        <v>-1.7429637650160798E-2</v>
      </c>
      <c r="AH133" s="1">
        <v>-4.441243022198782E-4</v>
      </c>
      <c r="AI133" s="1">
        <v>4.4967056275086598E-2</v>
      </c>
      <c r="AJ133" s="1">
        <v>5.1206856564310621E-2</v>
      </c>
      <c r="AK133" s="1">
        <v>-1.4705144257296562E-2</v>
      </c>
      <c r="AL133" s="1">
        <v>-7.4747380949394676E-3</v>
      </c>
      <c r="AM133" s="1">
        <v>1.9665467177860274E-2</v>
      </c>
      <c r="AN133" s="1">
        <v>1.4264012249029512E-2</v>
      </c>
      <c r="AO133" s="1">
        <v>-3.2833523991110475E-2</v>
      </c>
      <c r="AP133" s="1">
        <v>4.2615808369105418E-3</v>
      </c>
      <c r="AQ133" s="1">
        <v>-3.9659244532226634E-4</v>
      </c>
      <c r="AR133" s="1">
        <v>-6.8090012643558157E-2</v>
      </c>
      <c r="AS133" s="1">
        <v>-2.3821698452124673E-2</v>
      </c>
      <c r="AT133" s="1">
        <v>-1.9715370421906825E-2</v>
      </c>
      <c r="AU133" s="1">
        <v>9.4060465971591012E-3</v>
      </c>
      <c r="AV133" s="1">
        <v>-2.83751430785152E-2</v>
      </c>
      <c r="AW133" s="1">
        <v>2.2285231914882159E-2</v>
      </c>
      <c r="AX133" s="1">
        <v>-1.8372711666396271E-2</v>
      </c>
      <c r="AY133" s="1">
        <v>2.3228305931117688E-2</v>
      </c>
      <c r="AZ133" s="1">
        <v>-2.9688253254465807E-3</v>
      </c>
      <c r="BA133" s="1">
        <v>4.3598736041336725E-2</v>
      </c>
      <c r="BB133" s="1">
        <v>2.0812183025289976E-2</v>
      </c>
      <c r="BC133" s="1">
        <v>2.9928737220118073E-2</v>
      </c>
      <c r="BD133" s="1">
        <v>-3.1382287118200985E-2</v>
      </c>
      <c r="BE133" s="1">
        <v>5.5130253401825535E-3</v>
      </c>
      <c r="BF133" s="1">
        <v>-3.4037364850080382E-3</v>
      </c>
      <c r="BG133" s="1">
        <v>1.6154009743057127E-2</v>
      </c>
      <c r="BH133" s="1">
        <v>-2.3904556729308704E-2</v>
      </c>
      <c r="BI133" s="1">
        <v>2.5622616820262692E-2</v>
      </c>
      <c r="BJ133" s="1">
        <v>-2.7971708877683452E-2</v>
      </c>
      <c r="BK133" s="1">
        <v>-3.9203714414416141E-2</v>
      </c>
      <c r="BL133" s="1">
        <v>-1.8221094780168368E-3</v>
      </c>
      <c r="BM133" s="1">
        <v>-2.9469549467882744E-3</v>
      </c>
      <c r="BN133" s="1">
        <v>5.5605571970801654E-3</v>
      </c>
      <c r="BO133" s="1">
        <v>-1.6223171083793314E-3</v>
      </c>
      <c r="BP133" s="1">
        <v>3.0919343093251186E-2</v>
      </c>
      <c r="BQ133" s="1">
        <v>-9.9955896566094604E-3</v>
      </c>
      <c r="BR133" s="1">
        <v>1.4133622114947841E-2</v>
      </c>
      <c r="BS133" s="1">
        <v>-2.9695931455367489E-2</v>
      </c>
      <c r="BT133" s="1">
        <v>-6.7667828686279324E-3</v>
      </c>
      <c r="BU133" s="1">
        <v>-1.2129061915615594E-2</v>
      </c>
      <c r="BV133" s="1">
        <v>7.4942370864487656E-3</v>
      </c>
      <c r="BW133" s="1">
        <v>-1.3453699754024578E-2</v>
      </c>
      <c r="BX133" s="1">
        <v>1.3933829745310281E-2</v>
      </c>
      <c r="BY133" s="1">
        <v>2.0173630034534304E-2</v>
      </c>
      <c r="BZ133" s="1">
        <v>2.3688936930894092E-2</v>
      </c>
      <c r="CA133" s="1">
        <v>2.0126098177636678E-2</v>
      </c>
      <c r="CB133" s="1">
        <v>7.0946523471737272E-3</v>
      </c>
      <c r="CC133" s="1">
        <v>-3.6035288546455435E-3</v>
      </c>
      <c r="CD133" s="1">
        <v>6.9032159525907189E-3</v>
      </c>
      <c r="CE133" s="1">
        <v>-1.3997189030985041E-2</v>
      </c>
      <c r="CF133" s="1">
        <v>-7.5575963721235123E-3</v>
      </c>
      <c r="CG133" s="1">
        <v>1.2544367972247977E-3</v>
      </c>
      <c r="CH133" s="1">
        <v>-1.9054947052492874E-2</v>
      </c>
      <c r="CI133" s="1">
        <v>-1.5444576442337848E-2</v>
      </c>
      <c r="CJ133" s="1">
        <v>1.2486442333957445E-2</v>
      </c>
      <c r="CK133" s="1">
        <v>2.4479750434389658E-2</v>
      </c>
      <c r="CL133" s="1">
        <v>-9.5863399752873502E-3</v>
      </c>
      <c r="CM133" s="1">
        <v>2.8835956611135832E-3</v>
      </c>
      <c r="CN133" s="1">
        <v>-2.237046157921517E-2</v>
      </c>
      <c r="CO133" s="1">
        <v>-1.1424956150860741E-2</v>
      </c>
      <c r="CP133" s="1">
        <v>1.006646996657308E-2</v>
      </c>
      <c r="CQ133" s="1">
        <v>-3.2514759722681169E-3</v>
      </c>
      <c r="CR133" s="1">
        <v>-2.5685976105937439E-2</v>
      </c>
      <c r="CS133" s="1">
        <v>-1.0634142647365133E-2</v>
      </c>
      <c r="CT133" s="1">
        <v>1.2047681712839306E-2</v>
      </c>
      <c r="CU133" s="1">
        <v>1.1021762844848765E-3</v>
      </c>
      <c r="CV133" s="1">
        <v>1.4724643248805888E-2</v>
      </c>
      <c r="CW133" s="1">
        <v>-2.0389249832948944E-2</v>
      </c>
      <c r="CX133" s="1">
        <v>-3.4037364850080382E-3</v>
      </c>
      <c r="CY133" s="1">
        <v>-3.6809345459059006E-3</v>
      </c>
      <c r="CZ133" s="1">
        <v>-5.7013221740151859E-3</v>
      </c>
      <c r="DA133" s="1">
        <v>3.0355644923975106E-2</v>
      </c>
      <c r="DB133" s="1">
        <v>2.3372562988153142E-2</v>
      </c>
      <c r="DC133" s="1">
        <v>7.5690919079283714E-3</v>
      </c>
      <c r="DD133" s="1">
        <v>4.3978111888296118E-2</v>
      </c>
      <c r="DE133" s="1">
        <v>-2.6354402931055801E-2</v>
      </c>
      <c r="DF133" s="1">
        <v>5.0617496916795165E-2</v>
      </c>
      <c r="DG133" s="1">
        <v>1.6246885481638315E-2</v>
      </c>
      <c r="DH133" s="1">
        <v>3.4357244298350686E-2</v>
      </c>
      <c r="DI133" s="1">
        <v>2.946010276463723E-2</v>
      </c>
      <c r="DJ133" s="1">
        <v>1.0645638183170034E-2</v>
      </c>
      <c r="DK133" s="1">
        <v>2.218216474538251E-2</v>
      </c>
      <c r="DL133" s="1">
        <v>-2.3877233764726752E-2</v>
      </c>
      <c r="DM133" s="1">
        <v>-3.3393372698829915E-2</v>
      </c>
      <c r="DN133" s="1">
        <v>7.4168313951884779E-3</v>
      </c>
      <c r="DO133" s="1">
        <v>3.3327462543374473E-2</v>
      </c>
      <c r="DP133" s="1">
        <v>7.6310314778242017E-2</v>
      </c>
      <c r="DQ133" s="1">
        <v>1.5799768885465693E-2</v>
      </c>
      <c r="DR133" s="1">
        <v>2.9764713996947717E-3</v>
      </c>
      <c r="DS133" s="1">
        <v>2.103929835950949E-2</v>
      </c>
      <c r="DT133" s="1">
        <v>-1.3083988849112244E-2</v>
      </c>
      <c r="DU133" s="1">
        <v>4.4130372401036039E-2</v>
      </c>
      <c r="DV133" s="1">
        <v>1.4360737449167341E-2</v>
      </c>
      <c r="DW133" s="1">
        <v>3.297540966099699E-2</v>
      </c>
      <c r="DX133" s="1">
        <v>6.1410741832409702E-2</v>
      </c>
      <c r="DY133" s="1">
        <v>1.614215682579602E-2</v>
      </c>
      <c r="DZ133" s="1">
        <v>2.2429488971917641E-2</v>
      </c>
      <c r="EA133" s="1">
        <v>2.2723656349398769E-3</v>
      </c>
      <c r="EB133" s="1">
        <v>6.527810161114693E-2</v>
      </c>
      <c r="EC133" s="1">
        <v>4.2396484881304944E-2</v>
      </c>
      <c r="ED133" s="1">
        <v>9.463848688169349E-2</v>
      </c>
      <c r="EE133" s="1">
        <v>-4.1672270239216658E-3</v>
      </c>
      <c r="EF133" s="1">
        <v>3.8185428195244786E-2</v>
      </c>
      <c r="EG133" s="1">
        <v>3.0164208529392098E-2</v>
      </c>
      <c r="EH133" s="1">
        <v>3.3823419963437323E-2</v>
      </c>
      <c r="EI133" s="1">
        <v>7.2645708824485289E-3</v>
      </c>
      <c r="EJ133" s="1">
        <v>3.5108881920003152E-2</v>
      </c>
      <c r="EK133" s="1">
        <v>1.9704995579053461E-2</v>
      </c>
      <c r="EL133" s="1">
        <v>2.9412570907739605E-2</v>
      </c>
      <c r="EM133" s="1">
        <v>4.6448061454266165E-3</v>
      </c>
      <c r="EN133" s="1">
        <v>1.6533385590016575E-2</v>
      </c>
      <c r="EO133" s="1">
        <v>-5.7013221740151859E-3</v>
      </c>
      <c r="EP133" s="1">
        <v>1.8314804966645282E-2</v>
      </c>
      <c r="EQ133" s="1">
        <v>7.2170390255509032E-3</v>
      </c>
      <c r="ER133" s="1">
        <v>6.5784860347952723E-3</v>
      </c>
      <c r="ES133" s="1">
        <v>-1.0906807486800035E-3</v>
      </c>
      <c r="ET133" s="1">
        <v>2.0448277225651429E-2</v>
      </c>
      <c r="EU133" s="1">
        <v>1.0979670148445864E-2</v>
      </c>
      <c r="EV133" s="10">
        <v>1.6980502186189253E-2</v>
      </c>
    </row>
    <row r="134" spans="1:152" x14ac:dyDescent="0.25">
      <c r="A134" s="21">
        <f t="shared" ca="1" si="2"/>
        <v>3.2818694048032795E-2</v>
      </c>
      <c r="B134" s="5">
        <v>133</v>
      </c>
      <c r="C134" s="9">
        <v>-4.1243708407875945E-3</v>
      </c>
      <c r="D134" s="1">
        <v>6.8929865306946517E-3</v>
      </c>
      <c r="E134" s="1">
        <v>3.8292475298359607E-3</v>
      </c>
      <c r="F134" s="1">
        <v>6.3205484215040283E-3</v>
      </c>
      <c r="G134" s="1">
        <v>-5.6562403412169504E-3</v>
      </c>
      <c r="H134" s="1">
        <v>-3.9355250346639753E-3</v>
      </c>
      <c r="I134" s="1">
        <v>5.1229596719461756E-3</v>
      </c>
      <c r="J134" s="1">
        <v>-1.63306994911952E-3</v>
      </c>
      <c r="K134" s="1">
        <v>1.130315020484015E-2</v>
      </c>
      <c r="L134" s="1">
        <v>4.4234496057671269E-5</v>
      </c>
      <c r="M134" s="1">
        <v>-9.586688319743103E-3</v>
      </c>
      <c r="N134" s="1">
        <v>-6.7363855788080129E-4</v>
      </c>
      <c r="O134" s="1">
        <v>2.5355353877257458E-3</v>
      </c>
      <c r="P134" s="1">
        <v>4.9341138658225425E-3</v>
      </c>
      <c r="Q134" s="1">
        <v>-1.7540306690366658E-2</v>
      </c>
      <c r="R134" s="1">
        <v>-1.5432598101765602E-2</v>
      </c>
      <c r="S134" s="1">
        <v>-3.9355250346639753E-3</v>
      </c>
      <c r="T134" s="1">
        <v>7.1279599780066372E-4</v>
      </c>
      <c r="U134" s="1">
        <v>-8.2002537640616102E-3</v>
      </c>
      <c r="V134" s="1">
        <v>-5.3219595903454542E-3</v>
      </c>
      <c r="W134" s="1">
        <v>-3.5519327315969573E-3</v>
      </c>
      <c r="X134" s="1">
        <v>1.5267924442915193E-3</v>
      </c>
      <c r="Y134" s="1">
        <v>-3.7373775587395131E-3</v>
      </c>
      <c r="Z134" s="1">
        <v>1.4410300067074625E-2</v>
      </c>
      <c r="AA134" s="1">
        <v>-6.7363855788080129E-4</v>
      </c>
      <c r="AB134" s="1">
        <v>6.4132708350752923E-3</v>
      </c>
      <c r="AC134" s="1">
        <v>8.0412637280570104E-3</v>
      </c>
      <c r="AD134" s="1">
        <v>-4.6040865364069539E-3</v>
      </c>
      <c r="AE134" s="1">
        <v>-2.5925013403582386E-3</v>
      </c>
      <c r="AF134" s="1">
        <v>3.8292475298359607E-3</v>
      </c>
      <c r="AG134" s="1">
        <v>5.3611170302652958E-3</v>
      </c>
      <c r="AH134" s="1">
        <v>6.122400945579573E-3</v>
      </c>
      <c r="AI134" s="1">
        <v>-2.1510764551287462E-2</v>
      </c>
      <c r="AJ134" s="1">
        <v>-2.0124329995605983E-2</v>
      </c>
      <c r="AK134" s="1">
        <v>4.8814013346459434E-3</v>
      </c>
      <c r="AL134" s="1">
        <v>2.3901004429778827E-3</v>
      </c>
      <c r="AM134" s="1">
        <v>-6.0432336232650319E-3</v>
      </c>
      <c r="AN134" s="1">
        <v>-1.0013691484185863E-2</v>
      </c>
      <c r="AO134" s="1">
        <v>9.2915650087914484E-3</v>
      </c>
      <c r="AP134" s="1">
        <v>-2.1127856447388793E-3</v>
      </c>
      <c r="AQ134" s="1">
        <v>1.1925116934200231E-3</v>
      </c>
      <c r="AR134" s="1">
        <v>2.7730112524101312E-2</v>
      </c>
      <c r="AS134" s="1">
        <v>5.2683946166940318E-3</v>
      </c>
      <c r="AT134" s="1">
        <v>1.5704012209184839E-2</v>
      </c>
      <c r="AU134" s="1">
        <v>-4.8479275175718206E-4</v>
      </c>
      <c r="AV134" s="1">
        <v>1.2209869064902283E-2</v>
      </c>
      <c r="AW134" s="1">
        <v>-1.0159126428933712E-2</v>
      </c>
      <c r="AX134" s="1">
        <v>4.3089632254553201E-3</v>
      </c>
      <c r="AY134" s="1">
        <v>-9.1069726241237298E-3</v>
      </c>
      <c r="AZ134" s="1">
        <v>3.7851524692918137E-4</v>
      </c>
      <c r="BA134" s="1">
        <v>-1.0174487883843897E-2</v>
      </c>
      <c r="BB134" s="1">
        <v>-2.4590268715394686E-3</v>
      </c>
      <c r="BC134" s="1">
        <v>-2.846020153587564E-3</v>
      </c>
      <c r="BD134" s="1">
        <v>1.028834747629661E-2</v>
      </c>
      <c r="BE134" s="1">
        <v>5.107598217036019E-3</v>
      </c>
      <c r="BF134" s="1">
        <v>-7.2900989518563664E-4</v>
      </c>
      <c r="BG134" s="1">
        <v>8.4627046661946148E-4</v>
      </c>
      <c r="BH134" s="1">
        <v>-3.356444061800759E-3</v>
      </c>
      <c r="BI134" s="1">
        <v>-7.0580363518085859E-3</v>
      </c>
      <c r="BJ134" s="1">
        <v>8.5183206175481196E-3</v>
      </c>
      <c r="BK134" s="1">
        <v>4.2101810267747147E-3</v>
      </c>
      <c r="BL134" s="1">
        <v>3.9627219986547446E-3</v>
      </c>
      <c r="BM134" s="1">
        <v>-4.6101463215163022E-3</v>
      </c>
      <c r="BN134" s="1">
        <v>1.7770896487646903E-4</v>
      </c>
      <c r="BO134" s="1">
        <v>-2.2608793956149925E-3</v>
      </c>
      <c r="BP134" s="1">
        <v>-6.7237556009371036E-3</v>
      </c>
      <c r="BQ134" s="1">
        <v>5.4018690855128365E-3</v>
      </c>
      <c r="BR134" s="1">
        <v>-1.3708640910521125E-2</v>
      </c>
      <c r="BS134" s="1">
        <v>1.8616256480186326E-2</v>
      </c>
      <c r="BT134" s="1">
        <v>-3.8888722885967036E-3</v>
      </c>
      <c r="BU134" s="1">
        <v>1.4451052122322158E-2</v>
      </c>
      <c r="BV134" s="1">
        <v>-2.647872677663074E-3</v>
      </c>
      <c r="BW134" s="1">
        <v>1.2101785196420856E-2</v>
      </c>
      <c r="BX134" s="1">
        <v>-7.4850395162513531E-3</v>
      </c>
      <c r="BY134" s="1">
        <v>-6.0986049605698672E-3</v>
      </c>
      <c r="BZ134" s="1">
        <v>-4.2324547092690429E-3</v>
      </c>
      <c r="CA134" s="1">
        <v>-1.1687157084103311E-3</v>
      </c>
      <c r="CB134" s="1">
        <v>9.7993301108764003E-3</v>
      </c>
      <c r="CC134" s="1">
        <v>5.4945914990841005E-3</v>
      </c>
      <c r="CD134" s="1">
        <v>-1.121734001885305E-2</v>
      </c>
      <c r="CE134" s="1">
        <v>-1.397571396928643E-3</v>
      </c>
      <c r="CF134" s="1">
        <v>-6.2347382355169151E-3</v>
      </c>
      <c r="CG134" s="1">
        <v>-4.0343072333445876E-3</v>
      </c>
      <c r="CH134" s="1">
        <v>1.4354928729769775E-2</v>
      </c>
      <c r="CI134" s="1">
        <v>6.3613004767515413E-3</v>
      </c>
      <c r="CJ134" s="1">
        <v>2.7383235742885204E-4</v>
      </c>
      <c r="CK134" s="1">
        <v>-1.8865887623488314E-3</v>
      </c>
      <c r="CL134" s="1">
        <v>6.4506219113417279E-3</v>
      </c>
      <c r="CM134" s="1">
        <v>-4.2724645916636939E-3</v>
      </c>
      <c r="CN134" s="1">
        <v>6.2651770841991999E-3</v>
      </c>
      <c r="CO134" s="1">
        <v>-5.8357495043779434E-4</v>
      </c>
      <c r="CP134" s="1">
        <v>-1.8338762311722462E-3</v>
      </c>
      <c r="CQ134" s="1">
        <v>-2.0227220372958724E-3</v>
      </c>
      <c r="CR134" s="1">
        <v>-1.8245745613714032E-3</v>
      </c>
      <c r="CS134" s="1">
        <v>1.762290996482424E-3</v>
      </c>
      <c r="CT134" s="1">
        <v>-9.5893471258713461E-3</v>
      </c>
      <c r="CU134" s="1">
        <v>-2.7405950912343519E-3</v>
      </c>
      <c r="CV134" s="1">
        <v>-5.1391735693311485E-3</v>
      </c>
      <c r="CW134" s="1">
        <v>-1.4902938104999069E-3</v>
      </c>
      <c r="CX134" s="1">
        <v>-7.2900989518563664E-4</v>
      </c>
      <c r="CY134" s="1">
        <v>3.7751984279173423E-2</v>
      </c>
      <c r="CZ134" s="1">
        <v>2.3197072902032836E-2</v>
      </c>
      <c r="DA134" s="1">
        <v>2.0600346948011591E-2</v>
      </c>
      <c r="DB134" s="1">
        <v>1.1938157193250379E-2</v>
      </c>
      <c r="DC134" s="1">
        <v>2.831580796031602E-2</v>
      </c>
      <c r="DD134" s="1">
        <v>1.8201768469914795E-2</v>
      </c>
      <c r="DE134" s="1">
        <v>2.1863350877527957E-2</v>
      </c>
      <c r="DF134" s="1">
        <v>7.1410002370567854E-3</v>
      </c>
      <c r="DG134" s="1">
        <v>1.8065635194967775E-2</v>
      </c>
      <c r="DH134" s="1">
        <v>2.7399787430453057E-2</v>
      </c>
      <c r="DI134" s="1">
        <v>1.4618303891042073E-2</v>
      </c>
      <c r="DJ134" s="1">
        <v>2.031877872831668E-2</v>
      </c>
      <c r="DK134" s="1">
        <v>2.2039494034869669E-2</v>
      </c>
      <c r="DL134" s="1">
        <v>3.2537125828337898E-2</v>
      </c>
      <c r="DM134" s="1">
        <v>4.5371321898925496E-2</v>
      </c>
      <c r="DN134" s="1">
        <v>2.9609520102426221E-2</v>
      </c>
      <c r="DO134" s="1">
        <v>8.9671406059629449E-3</v>
      </c>
      <c r="DP134" s="1">
        <v>6.4665380444940551E-3</v>
      </c>
      <c r="DQ134" s="1">
        <v>3.5442727235666799E-2</v>
      </c>
      <c r="DR134" s="1">
        <v>1.2946900136684585E-2</v>
      </c>
      <c r="DS134" s="1">
        <v>2.7210941624329424E-2</v>
      </c>
      <c r="DT134" s="1">
        <v>2.698208593581114E-2</v>
      </c>
      <c r="DU134" s="1">
        <v>1.690805632780458E-2</v>
      </c>
      <c r="DV134" s="1">
        <v>1.5961327585347782E-2</v>
      </c>
      <c r="DW134" s="1">
        <v>1.6484454142342911E-2</v>
      </c>
      <c r="DX134" s="1">
        <v>1.585960344530013E-3</v>
      </c>
      <c r="DY134" s="1">
        <v>1.4429458084918453E-2</v>
      </c>
      <c r="DZ134" s="1">
        <v>1.0886003388440382E-2</v>
      </c>
      <c r="EA134" s="1">
        <v>2.7981527209444523E-2</v>
      </c>
      <c r="EB134" s="1">
        <v>-4.0652029405491147E-3</v>
      </c>
      <c r="EC134" s="1">
        <v>1.3510036576074386E-2</v>
      </c>
      <c r="ED134" s="1">
        <v>-4.1672270239212078E-3</v>
      </c>
      <c r="EE134" s="1">
        <v>3.2818694048032795E-2</v>
      </c>
      <c r="EF134" s="1">
        <v>-5.6175812646572232E-4</v>
      </c>
      <c r="EG134" s="1">
        <v>-4.1632318171787308E-4</v>
      </c>
      <c r="EH134" s="1">
        <v>2.7396386451471966E-2</v>
      </c>
      <c r="EI134" s="1">
        <v>3.0903232244536463E-2</v>
      </c>
      <c r="EJ134" s="1">
        <v>7.4352711055336029E-3</v>
      </c>
      <c r="EK134" s="1">
        <v>1.1365719084059742E-2</v>
      </c>
      <c r="EL134" s="1">
        <v>1.9548193143201595E-2</v>
      </c>
      <c r="EM134" s="1">
        <v>3.501912505020513E-2</v>
      </c>
      <c r="EN134" s="1">
        <v>2.9222526820378125E-2</v>
      </c>
      <c r="EO134" s="1">
        <v>2.3197072902032836E-2</v>
      </c>
      <c r="EP134" s="1">
        <v>2.7690657319948797E-2</v>
      </c>
      <c r="EQ134" s="1">
        <v>3.5833121496695985E-2</v>
      </c>
      <c r="ER134" s="1">
        <v>3.2193543407665559E-2</v>
      </c>
      <c r="ES134" s="1">
        <v>2.482166481603347E-2</v>
      </c>
      <c r="ET134" s="1">
        <v>1.8641474283139475E-2</v>
      </c>
      <c r="EU134" s="1">
        <v>2.654578110156755E-2</v>
      </c>
      <c r="EV134" s="10">
        <v>1.1845434779679101E-2</v>
      </c>
    </row>
    <row r="135" spans="1:152" x14ac:dyDescent="0.25">
      <c r="A135" s="21">
        <f t="shared" ca="1" si="2"/>
        <v>6.9216816849254098E-2</v>
      </c>
      <c r="B135" s="5">
        <v>134</v>
      </c>
      <c r="C135" s="9">
        <v>5.9297612293752189E-3</v>
      </c>
      <c r="D135" s="1">
        <v>-2.8781796076252919E-3</v>
      </c>
      <c r="E135" s="1">
        <v>3.4862266095866956E-4</v>
      </c>
      <c r="F135" s="1">
        <v>-1.4764742349163418E-3</v>
      </c>
      <c r="G135" s="1">
        <v>7.5431623636671996E-3</v>
      </c>
      <c r="H135" s="1">
        <v>-6.8426770269194859E-3</v>
      </c>
      <c r="I135" s="1">
        <v>-6.3022161691674849E-3</v>
      </c>
      <c r="J135" s="1">
        <v>4.1046643335002075E-3</v>
      </c>
      <c r="K135" s="1">
        <v>-5.1266680266663645E-3</v>
      </c>
      <c r="L135" s="1">
        <v>8.8245583869598632E-3</v>
      </c>
      <c r="M135" s="1">
        <v>9.6858029019167569E-3</v>
      </c>
      <c r="N135" s="1">
        <v>3.8929685719171492E-3</v>
      </c>
      <c r="O135" s="1">
        <v>6.9994614910847963E-3</v>
      </c>
      <c r="P135" s="1">
        <v>6.4702220871272476E-3</v>
      </c>
      <c r="Q135" s="1">
        <v>1.5266941470333334E-2</v>
      </c>
      <c r="R135" s="1">
        <v>2.071111690872568E-3</v>
      </c>
      <c r="S135" s="1">
        <v>-6.8426770269194859E-3</v>
      </c>
      <c r="T135" s="1">
        <v>-4.0537277501263846E-3</v>
      </c>
      <c r="U135" s="1">
        <v>1.739106579873223E-3</v>
      </c>
      <c r="V135" s="1">
        <v>1.1040192951241035E-3</v>
      </c>
      <c r="W135" s="1">
        <v>4.5280558566662688E-3</v>
      </c>
      <c r="X135" s="1">
        <v>-1.0598718699460996E-2</v>
      </c>
      <c r="Y135" s="1">
        <v>7.1197708405011106E-3</v>
      </c>
      <c r="Z135" s="1">
        <v>-2.7459203739296612E-2</v>
      </c>
      <c r="AA135" s="1">
        <v>3.8929685719171492E-3</v>
      </c>
      <c r="AB135" s="1">
        <v>-2.7723317268337488E-3</v>
      </c>
      <c r="AC135" s="1">
        <v>-1.5862313625503027E-2</v>
      </c>
      <c r="AD135" s="1">
        <v>6.0356091101667342E-3</v>
      </c>
      <c r="AE135" s="1">
        <v>4.3163600950832381E-3</v>
      </c>
      <c r="AF135" s="1">
        <v>3.4862266095866956E-4</v>
      </c>
      <c r="AG135" s="1">
        <v>-1.2647784733333112E-3</v>
      </c>
      <c r="AH135" s="1">
        <v>-1.5438922102336966E-2</v>
      </c>
      <c r="AI135" s="1">
        <v>2.6334592180169342E-2</v>
      </c>
      <c r="AJ135" s="1">
        <v>1.838789585812578E-2</v>
      </c>
      <c r="AK135" s="1">
        <v>-1.1589305925417681E-3</v>
      </c>
      <c r="AL135" s="1">
        <v>6.6616630333324323E-4</v>
      </c>
      <c r="AM135" s="1">
        <v>6.3531527525413078E-3</v>
      </c>
      <c r="AN135" s="1">
        <v>1.7420803462377316E-2</v>
      </c>
      <c r="AO135" s="1">
        <v>-3.4074190115828962E-3</v>
      </c>
      <c r="AP135" s="1">
        <v>4.2105122142917228E-3</v>
      </c>
      <c r="AQ135" s="1">
        <v>-4.1595756309178999E-3</v>
      </c>
      <c r="AR135" s="1">
        <v>-2.5319803215877429E-2</v>
      </c>
      <c r="AS135" s="1">
        <v>3.1079018584095897E-5</v>
      </c>
      <c r="AT135" s="1">
        <v>-3.4110042569422738E-2</v>
      </c>
      <c r="AU135" s="1">
        <v>-8.8794696843775278E-3</v>
      </c>
      <c r="AV135" s="1">
        <v>-1.2967516467918438E-2</v>
      </c>
      <c r="AW135" s="1">
        <v>1.1087508274625707E-2</v>
      </c>
      <c r="AX135" s="1">
        <v>2.427747801671265E-4</v>
      </c>
      <c r="AY135" s="1">
        <v>9.5799550211252693E-3</v>
      </c>
      <c r="AZ135" s="1">
        <v>2.3854153184167115E-3</v>
      </c>
      <c r="BA135" s="1">
        <v>1.1312103716498434E-3</v>
      </c>
      <c r="BB135" s="1">
        <v>-9.4873658926008797E-3</v>
      </c>
      <c r="BC135" s="1">
        <v>-1.0677375503726799E-2</v>
      </c>
      <c r="BD135" s="1">
        <v>-5.9462599964727747E-3</v>
      </c>
      <c r="BE135" s="1">
        <v>-1.6258514072143376E-2</v>
      </c>
      <c r="BF135" s="1">
        <v>2.8616808405277361E-3</v>
      </c>
      <c r="BG135" s="1">
        <v>-1.7857453737810558E-2</v>
      </c>
      <c r="BH135" s="1">
        <v>2.508836867236644E-2</v>
      </c>
      <c r="BI135" s="1">
        <v>5.5335607827349254E-3</v>
      </c>
      <c r="BJ135" s="1">
        <v>-9.3702965580149677E-3</v>
      </c>
      <c r="BK135" s="1">
        <v>1.8317220492823971E-2</v>
      </c>
      <c r="BL135" s="1">
        <v>-1.3455103326725476E-2</v>
      </c>
      <c r="BM135" s="1">
        <v>2.2814197330906144E-2</v>
      </c>
      <c r="BN135" s="1">
        <v>-4.9791676007242824E-3</v>
      </c>
      <c r="BO135" s="1">
        <v>4.4750819748197168E-3</v>
      </c>
      <c r="BP135" s="1">
        <v>-9.0558228580819855E-4</v>
      </c>
      <c r="BQ135" s="1">
        <v>-1.377264696910005E-2</v>
      </c>
      <c r="BR135" s="1">
        <v>3.1198746644740594E-2</v>
      </c>
      <c r="BS135" s="1">
        <v>-2.6891551805018871E-2</v>
      </c>
      <c r="BT135" s="1">
        <v>1.7565063873488954E-2</v>
      </c>
      <c r="BU135" s="1">
        <v>-3.9967072235063322E-2</v>
      </c>
      <c r="BV135" s="1">
        <v>3.2850723636937973E-3</v>
      </c>
      <c r="BW135" s="1">
        <v>-2.1627956878976867E-2</v>
      </c>
      <c r="BX135" s="1">
        <v>1.3268561343195415E-2</v>
      </c>
      <c r="BY135" s="1">
        <v>5.3218650211518392E-3</v>
      </c>
      <c r="BZ135" s="1">
        <v>-2.7306791816832099E-3</v>
      </c>
      <c r="CA135" s="1">
        <v>-5.9574814502671714E-3</v>
      </c>
      <c r="CB135" s="1">
        <v>-3.2575298239396533E-2</v>
      </c>
      <c r="CC135" s="1">
        <v>-1.5068504461017457E-2</v>
      </c>
      <c r="CD135" s="1">
        <v>2.9373649748865582E-2</v>
      </c>
      <c r="CE135" s="1">
        <v>1.5739966977613942E-2</v>
      </c>
      <c r="CF135" s="1">
        <v>2.572345595711556E-2</v>
      </c>
      <c r="CG135" s="1">
        <v>1.1231768685737373E-2</v>
      </c>
      <c r="CH135" s="1">
        <v>-2.849049147068608E-2</v>
      </c>
      <c r="CI135" s="1">
        <v>-1.398434273068308E-2</v>
      </c>
      <c r="CJ135" s="1">
        <v>-1.6455748365101636E-2</v>
      </c>
      <c r="CK135" s="1">
        <v>-1.088907126530983E-2</v>
      </c>
      <c r="CL135" s="1">
        <v>-5.0994769501406245E-3</v>
      </c>
      <c r="CM135" s="1">
        <v>6.1943309899031851E-3</v>
      </c>
      <c r="CN135" s="1">
        <v>-2.5077619663057826E-3</v>
      </c>
      <c r="CO135" s="1">
        <v>9.1949760282793308E-3</v>
      </c>
      <c r="CP135" s="1">
        <v>-3.2599185856408142E-3</v>
      </c>
      <c r="CQ135" s="1">
        <v>9.5125196706538767E-3</v>
      </c>
      <c r="CR135" s="1">
        <v>2.3474967538074459E-2</v>
      </c>
      <c r="CS135" s="1">
        <v>1.0365839446527247E-3</v>
      </c>
      <c r="CT135" s="1">
        <v>1.6283667850196346E-2</v>
      </c>
      <c r="CU135" s="1">
        <v>4.5809298556112044E-3</v>
      </c>
      <c r="CV135" s="1">
        <v>5.1101692595688086E-3</v>
      </c>
      <c r="CW135" s="1">
        <v>1.7035824469531349E-2</v>
      </c>
      <c r="CX135" s="1">
        <v>2.8616808405277361E-3</v>
      </c>
      <c r="CY135" s="1">
        <v>-2.2021827870344568E-2</v>
      </c>
      <c r="CZ135" s="1">
        <v>2.7034372512206584E-2</v>
      </c>
      <c r="DA135" s="1">
        <v>1.3601164048743564E-2</v>
      </c>
      <c r="DB135" s="1">
        <v>4.0985598925832784E-2</v>
      </c>
      <c r="DC135" s="1">
        <v>2.9825877844928128E-3</v>
      </c>
      <c r="DD135" s="1">
        <v>1.4130403452701168E-2</v>
      </c>
      <c r="DE135" s="1">
        <v>4.2610221513919133E-2</v>
      </c>
      <c r="DF135" s="1">
        <v>4.2044077733747992E-2</v>
      </c>
      <c r="DG135" s="1">
        <v>3.4531994388664888E-2</v>
      </c>
      <c r="DH135" s="1">
        <v>-1.5911449897970387E-2</v>
      </c>
      <c r="DI135" s="1">
        <v>2.638806377366304E-2</v>
      </c>
      <c r="DJ135" s="1">
        <v>2.7669459796955703E-2</v>
      </c>
      <c r="DK135" s="1">
        <v>1.328362040636899E-2</v>
      </c>
      <c r="DL135" s="1">
        <v>1.3506537621746445E-2</v>
      </c>
      <c r="DM135" s="1">
        <v>-2.1163823370218021E-2</v>
      </c>
      <c r="DN135" s="1">
        <v>-3.6682510456332862E-3</v>
      </c>
      <c r="DO135" s="1">
        <v>4.2916543702499282E-2</v>
      </c>
      <c r="DP135" s="1">
        <v>1.800675447465902E-2</v>
      </c>
      <c r="DQ135" s="1">
        <v>-1.2607722685844508E-2</v>
      </c>
      <c r="DR135" s="1">
        <v>5.8583779116378576E-2</v>
      </c>
      <c r="DS135" s="1">
        <v>-3.1390116416756819E-3</v>
      </c>
      <c r="DT135" s="1">
        <v>1.855843678620539E-2</v>
      </c>
      <c r="DU135" s="1">
        <v>2.0781242282827295E-2</v>
      </c>
      <c r="DV135" s="1">
        <v>3.7547100895665791E-2</v>
      </c>
      <c r="DW135" s="1">
        <v>1.8335519570827963E-2</v>
      </c>
      <c r="DX135" s="1">
        <v>4.7095976898206965E-2</v>
      </c>
      <c r="DY135" s="1">
        <v>3.9160502029957772E-2</v>
      </c>
      <c r="DZ135" s="1">
        <v>4.2493152179333221E-2</v>
      </c>
      <c r="EA135" s="1">
        <v>9.4217308530359367E-3</v>
      </c>
      <c r="EB135" s="1">
        <v>6.362445682704318E-2</v>
      </c>
      <c r="EC135" s="1">
        <v>3.0447187619954408E-2</v>
      </c>
      <c r="ED135" s="1">
        <v>3.8185428195245313E-2</v>
      </c>
      <c r="EE135" s="1">
        <v>-5.6175812646566681E-4</v>
      </c>
      <c r="EF135" s="1">
        <v>6.9216816849254098E-2</v>
      </c>
      <c r="EG135" s="1">
        <v>7.5550112037005734E-2</v>
      </c>
      <c r="EH135" s="1">
        <v>-5.7307266255105516E-3</v>
      </c>
      <c r="EI135" s="1">
        <v>-1.0319089875759441E-2</v>
      </c>
      <c r="EJ135" s="1">
        <v>4.4529944836791263E-2</v>
      </c>
      <c r="EK135" s="1">
        <v>4.2387304298541678E-2</v>
      </c>
      <c r="EL135" s="1">
        <v>1.5108717302244001E-2</v>
      </c>
      <c r="EM135" s="1">
        <v>-1.505344539784384E-2</v>
      </c>
      <c r="EN135" s="1">
        <v>-4.8582606567592057E-3</v>
      </c>
      <c r="EO135" s="1">
        <v>2.7034372512206584E-2</v>
      </c>
      <c r="EP135" s="1">
        <v>-3.244859522467225E-3</v>
      </c>
      <c r="EQ135" s="1">
        <v>-2.1598436347178479E-2</v>
      </c>
      <c r="ER135" s="1">
        <v>-6.7892054334257046E-3</v>
      </c>
      <c r="ES135" s="1">
        <v>2.4125113885997196E-2</v>
      </c>
      <c r="ET135" s="1">
        <v>2.2949565743496048E-2</v>
      </c>
      <c r="EU135" s="1">
        <v>-4.4144877704935248E-4</v>
      </c>
      <c r="EV135" s="10">
        <v>4.2281456417750191E-2</v>
      </c>
    </row>
    <row r="136" spans="1:152" x14ac:dyDescent="0.25">
      <c r="A136" s="21">
        <f t="shared" ca="1" si="2"/>
        <v>8.4652500864370234E-2</v>
      </c>
      <c r="B136" s="5">
        <v>135</v>
      </c>
      <c r="C136" s="9">
        <v>5.6291475736024998E-3</v>
      </c>
      <c r="D136" s="1">
        <v>1.3097678172413751E-3</v>
      </c>
      <c r="E136" s="1">
        <v>2.9787007594876402E-3</v>
      </c>
      <c r="F136" s="1">
        <v>2.1022207452943698E-3</v>
      </c>
      <c r="G136" s="1">
        <v>6.4636140447256463E-3</v>
      </c>
      <c r="H136" s="1">
        <v>-1.2596636852661963E-2</v>
      </c>
      <c r="I136" s="1">
        <v>-6.1867083824822533E-3</v>
      </c>
      <c r="J136" s="1">
        <v>4.7526675594092294E-3</v>
      </c>
      <c r="K136" s="1">
        <v>3.4926071690785654E-4</v>
      </c>
      <c r="L136" s="1">
        <v>1.3020589915650804E-2</v>
      </c>
      <c r="M136" s="1">
        <v>7.403114373524089E-3</v>
      </c>
      <c r="N136" s="1">
        <v>4.7106540163391053E-3</v>
      </c>
      <c r="O136" s="1">
        <v>1.2144109901457562E-2</v>
      </c>
      <c r="P136" s="1">
        <v>1.2039076043782238E-2</v>
      </c>
      <c r="Q136" s="1">
        <v>1.0053561187638921E-2</v>
      </c>
      <c r="R136" s="1">
        <v>-8.2562503247657626E-3</v>
      </c>
      <c r="S136" s="1">
        <v>-1.2596636852661963E-2</v>
      </c>
      <c r="T136" s="1">
        <v>-5.2262012821487069E-3</v>
      </c>
      <c r="U136" s="1">
        <v>-2.5337409249637233E-3</v>
      </c>
      <c r="V136" s="1">
        <v>-2.6597815541741232E-3</v>
      </c>
      <c r="W136" s="1">
        <v>4.8366946455494775E-3</v>
      </c>
      <c r="X136" s="1">
        <v>-1.4370603652583552E-2</v>
      </c>
      <c r="Y136" s="1">
        <v>6.3795869585853704E-3</v>
      </c>
      <c r="Z136" s="1">
        <v>-2.8647845478967593E-2</v>
      </c>
      <c r="AA136" s="1">
        <v>4.7106540163391053E-3</v>
      </c>
      <c r="AB136" s="1">
        <v>1.3307745887764511E-3</v>
      </c>
      <c r="AC136" s="1">
        <v>-1.6958030152093212E-2</v>
      </c>
      <c r="AD136" s="1">
        <v>5.650154345137548E-3</v>
      </c>
      <c r="AE136" s="1">
        <v>4.7946811024793534E-3</v>
      </c>
      <c r="AF136" s="1">
        <v>2.9787007594876402E-3</v>
      </c>
      <c r="AG136" s="1">
        <v>2.1442342883645216E-3</v>
      </c>
      <c r="AH136" s="1">
        <v>-1.6874003065952964E-2</v>
      </c>
      <c r="AI136" s="1">
        <v>2.1638342656837978E-2</v>
      </c>
      <c r="AJ136" s="1">
        <v>1.1701487358350138E-2</v>
      </c>
      <c r="AK136" s="1">
        <v>2.1652410598995697E-3</v>
      </c>
      <c r="AL136" s="1">
        <v>3.0417210740928402E-3</v>
      </c>
      <c r="AM136" s="1">
        <v>5.713174659742748E-3</v>
      </c>
      <c r="AN136" s="1">
        <v>1.7297956128941805E-2</v>
      </c>
      <c r="AO136" s="1">
        <v>1.2047339595660511E-3</v>
      </c>
      <c r="AP136" s="1">
        <v>4.7736743309442775E-3</v>
      </c>
      <c r="AQ136" s="1">
        <v>-5.2472080536837551E-3</v>
      </c>
      <c r="AR136" s="1">
        <v>-1.561792082325747E-2</v>
      </c>
      <c r="AS136" s="1">
        <v>2.9156804448824403E-3</v>
      </c>
      <c r="AT136" s="1">
        <v>-3.7813254620937431E-2</v>
      </c>
      <c r="AU136" s="1">
        <v>-1.3515130409925358E-2</v>
      </c>
      <c r="AV136" s="1">
        <v>-9.5665878100448798E-3</v>
      </c>
      <c r="AW136" s="1">
        <v>8.1955673015770836E-3</v>
      </c>
      <c r="AX136" s="1">
        <v>2.9576939879525643E-3</v>
      </c>
      <c r="AY136" s="1">
        <v>7.3821076019890131E-3</v>
      </c>
      <c r="AZ136" s="1">
        <v>3.8971943167510348E-3</v>
      </c>
      <c r="BA136" s="1">
        <v>-4.1309111606924465E-3</v>
      </c>
      <c r="BB136" s="1">
        <v>-1.5112300645654053E-2</v>
      </c>
      <c r="BC136" s="1">
        <v>-1.5862740030636924E-2</v>
      </c>
      <c r="BD136" s="1">
        <v>-1.289923061890963E-3</v>
      </c>
      <c r="BE136" s="1">
        <v>-1.8513186844751783E-2</v>
      </c>
      <c r="BF136" s="1">
        <v>3.0294566944701617E-3</v>
      </c>
      <c r="BG136" s="1">
        <v>-2.5133183030282169E-2</v>
      </c>
      <c r="BH136" s="1">
        <v>3.2005556118810535E-2</v>
      </c>
      <c r="BI136" s="1">
        <v>4.0739908809439285E-3</v>
      </c>
      <c r="BJ136" s="1">
        <v>-8.7863992616145636E-3</v>
      </c>
      <c r="BK136" s="1">
        <v>2.8604669919712833E-2</v>
      </c>
      <c r="BL136" s="1">
        <v>-1.6928280988645766E-2</v>
      </c>
      <c r="BM136" s="1">
        <v>3.0525684120379842E-2</v>
      </c>
      <c r="BN136" s="1">
        <v>-6.8863918324826023E-3</v>
      </c>
      <c r="BO136" s="1">
        <v>3.8639231655932804E-3</v>
      </c>
      <c r="BP136" s="1">
        <v>-5.0494047179558132E-3</v>
      </c>
      <c r="BQ136" s="1">
        <v>-1.6991301303250966E-2</v>
      </c>
      <c r="BR136" s="1">
        <v>3.4761036790600719E-2</v>
      </c>
      <c r="BS136" s="1">
        <v>-2.3709046615306151E-2</v>
      </c>
      <c r="BT136" s="1">
        <v>2.2152727906462971E-2</v>
      </c>
      <c r="BU136" s="1">
        <v>-4.7783381070583081E-2</v>
      </c>
      <c r="BV136" s="1">
        <v>3.1134837806104099E-3</v>
      </c>
      <c r="BW136" s="1">
        <v>-2.1121620115796491E-2</v>
      </c>
      <c r="BX136" s="1">
        <v>1.3968832636361672E-2</v>
      </c>
      <c r="BY136" s="1">
        <v>4.0319773378738044E-3</v>
      </c>
      <c r="BZ136" s="1">
        <v>-5.9258847321490837E-3</v>
      </c>
      <c r="CA136" s="1">
        <v>-7.5948176743953488E-3</v>
      </c>
      <c r="CB136" s="1">
        <v>-3.8470924527867684E-2</v>
      </c>
      <c r="CC136" s="1">
        <v>-1.7762747459768913E-2</v>
      </c>
      <c r="CD136" s="1">
        <v>3.3884556776407476E-2</v>
      </c>
      <c r="CE136" s="1">
        <v>2.1276247892269701E-2</v>
      </c>
      <c r="CF136" s="1">
        <v>3.2131596748020935E-2</v>
      </c>
      <c r="CG136" s="1">
        <v>1.3050339079098278E-2</v>
      </c>
      <c r="CH136" s="1">
        <v>-3.0329042800836536E-2</v>
      </c>
      <c r="CI136" s="1">
        <v>-1.703331484632109E-2</v>
      </c>
      <c r="CJ136" s="1">
        <v>-2.4340730102229174E-2</v>
      </c>
      <c r="CK136" s="1">
        <v>-1.5904753573707048E-2</v>
      </c>
      <c r="CL136" s="1">
        <v>-1.1218688896104667E-3</v>
      </c>
      <c r="CM136" s="1">
        <v>4.719396408251475E-3</v>
      </c>
      <c r="CN136" s="1">
        <v>4.2102342342545396E-4</v>
      </c>
      <c r="CO136" s="1">
        <v>1.2131845521834911E-2</v>
      </c>
      <c r="CP136" s="1">
        <v>-6.0309185898244078E-3</v>
      </c>
      <c r="CQ136" s="1">
        <v>1.2194865836440083E-2</v>
      </c>
      <c r="CR136" s="1">
        <v>3.1171089647687417E-2</v>
      </c>
      <c r="CS136" s="1">
        <v>2.1529766802768913E-3</v>
      </c>
      <c r="CT136" s="1">
        <v>1.5595752035537813E-2</v>
      </c>
      <c r="CU136" s="1">
        <v>3.8849299371283563E-3</v>
      </c>
      <c r="CV136" s="1">
        <v>3.9899637948036804E-3</v>
      </c>
      <c r="CW136" s="1">
        <v>2.2047694048787619E-2</v>
      </c>
      <c r="CX136" s="1">
        <v>3.0294566944701617E-3</v>
      </c>
      <c r="CY136" s="1">
        <v>-2.8726010307215832E-2</v>
      </c>
      <c r="CZ136" s="1">
        <v>3.1168209513667083E-2</v>
      </c>
      <c r="DA136" s="1">
        <v>1.2297019560095046E-2</v>
      </c>
      <c r="DB136" s="1">
        <v>4.3839538712410003E-2</v>
      </c>
      <c r="DC136" s="1">
        <v>1.3156300751334116E-3</v>
      </c>
      <c r="DD136" s="1">
        <v>1.240205341777037E-2</v>
      </c>
      <c r="DE136" s="1">
        <v>5.0978899796037591E-2</v>
      </c>
      <c r="DF136" s="1">
        <v>4.4049606427760651E-2</v>
      </c>
      <c r="DG136" s="1">
        <v>4.0501672827917473E-2</v>
      </c>
      <c r="DH136" s="1">
        <v>-2.5970529635425649E-2</v>
      </c>
      <c r="DI136" s="1">
        <v>2.473727427195227E-2</v>
      </c>
      <c r="DJ136" s="1">
        <v>3.1294250142877483E-2</v>
      </c>
      <c r="DK136" s="1">
        <v>1.2233999245489846E-2</v>
      </c>
      <c r="DL136" s="1">
        <v>1.8580907401064384E-2</v>
      </c>
      <c r="DM136" s="1">
        <v>-2.2253061522430839E-2</v>
      </c>
      <c r="DN136" s="1">
        <v>-7.8497790668364542E-3</v>
      </c>
      <c r="DO136" s="1">
        <v>4.4737025498138322E-2</v>
      </c>
      <c r="DP136" s="1">
        <v>8.4114972748197681E-3</v>
      </c>
      <c r="DQ136" s="1">
        <v>-1.2709530492829801E-2</v>
      </c>
      <c r="DR136" s="1">
        <v>7.0354252266451117E-2</v>
      </c>
      <c r="DS136" s="1">
        <v>-7.7447452091611302E-3</v>
      </c>
      <c r="DT136" s="1">
        <v>2.1126320357503919E-2</v>
      </c>
      <c r="DU136" s="1">
        <v>2.1567462559740264E-2</v>
      </c>
      <c r="DV136" s="1">
        <v>4.2128592227093614E-2</v>
      </c>
      <c r="DW136" s="1">
        <v>1.4779412201929382E-2</v>
      </c>
      <c r="DX136" s="1">
        <v>4.6595019384200159E-2</v>
      </c>
      <c r="DY136" s="1">
        <v>4.2963058698216761E-2</v>
      </c>
      <c r="DZ136" s="1">
        <v>4.4652998411998074E-2</v>
      </c>
      <c r="EA136" s="1">
        <v>1.0439025674033209E-2</v>
      </c>
      <c r="EB136" s="1">
        <v>6.6594770610386239E-2</v>
      </c>
      <c r="EC136" s="1">
        <v>3.2359791100886326E-2</v>
      </c>
      <c r="ED136" s="1">
        <v>3.0164208529392361E-2</v>
      </c>
      <c r="EE136" s="1">
        <v>-4.1632318171802574E-4</v>
      </c>
      <c r="EF136" s="1">
        <v>7.5550112037005512E-2</v>
      </c>
      <c r="EG136" s="1">
        <v>8.4652500864370234E-2</v>
      </c>
      <c r="EH136" s="1">
        <v>-9.2876375221970231E-3</v>
      </c>
      <c r="EI136" s="1">
        <v>-1.7015188208806348E-2</v>
      </c>
      <c r="EJ136" s="1">
        <v>4.5571491969261468E-2</v>
      </c>
      <c r="EK136" s="1">
        <v>4.4631991640462998E-2</v>
      </c>
      <c r="EL136" s="1">
        <v>1.3110479259683117E-2</v>
      </c>
      <c r="EM136" s="1">
        <v>-1.9497580850640656E-2</v>
      </c>
      <c r="EN136" s="1">
        <v>-8.6002184518193248E-3</v>
      </c>
      <c r="EO136" s="1">
        <v>3.1168209513667083E-2</v>
      </c>
      <c r="EP136" s="1">
        <v>-7.7657519806962061E-3</v>
      </c>
      <c r="EQ136" s="1">
        <v>-2.8641983221075556E-2</v>
      </c>
      <c r="ER136" s="1">
        <v>-9.4977052375476434E-3</v>
      </c>
      <c r="ES136" s="1">
        <v>2.9562296886026018E-2</v>
      </c>
      <c r="ET136" s="1">
        <v>2.3026327786635881E-2</v>
      </c>
      <c r="EU136" s="1">
        <v>-6.1808461245901891E-3</v>
      </c>
      <c r="EV136" s="10">
        <v>4.461098486892795E-2</v>
      </c>
    </row>
    <row r="137" spans="1:152" x14ac:dyDescent="0.25">
      <c r="A137" s="21">
        <f t="shared" ca="1" si="2"/>
        <v>7.0864216208272296E-2</v>
      </c>
      <c r="B137" s="5">
        <v>136</v>
      </c>
      <c r="C137" s="9">
        <v>-1.3768730050440492E-3</v>
      </c>
      <c r="D137" s="1">
        <v>1.1150948565307073E-2</v>
      </c>
      <c r="E137" s="1">
        <v>-4.0193230454080298E-3</v>
      </c>
      <c r="F137" s="1">
        <v>-3.6907179418895486E-3</v>
      </c>
      <c r="G137" s="1">
        <v>-8.962008810401545E-3</v>
      </c>
      <c r="H137" s="1">
        <v>2.108683437408998E-3</v>
      </c>
      <c r="I137" s="1">
        <v>-1.134720820148033E-2</v>
      </c>
      <c r="J137" s="1">
        <v>-1.0482679015255125E-3</v>
      </c>
      <c r="K137" s="1">
        <v>-3.0335077348524753E-3</v>
      </c>
      <c r="L137" s="1">
        <v>2.9799570071457615E-3</v>
      </c>
      <c r="M137" s="1">
        <v>1.594182138838468E-3</v>
      </c>
      <c r="N137" s="1">
        <v>-8.3047986033645549E-3</v>
      </c>
      <c r="O137" s="1">
        <v>3.3085621106642427E-3</v>
      </c>
      <c r="P137" s="1">
        <v>-1.4832764643933349E-2</v>
      </c>
      <c r="Q137" s="1">
        <v>4.2366321792024764E-3</v>
      </c>
      <c r="R137" s="1">
        <v>-6.7908727820225612E-3</v>
      </c>
      <c r="S137" s="1">
        <v>2.108683437408998E-3</v>
      </c>
      <c r="T137" s="1">
        <v>2.8372480986792181E-3</v>
      </c>
      <c r="U137" s="1">
        <v>1.2736228840882297E-2</v>
      </c>
      <c r="V137" s="1">
        <v>-9.0333632646348305E-3</v>
      </c>
      <c r="W137" s="1">
        <v>1.3464793502152544E-2</v>
      </c>
      <c r="X137" s="1">
        <v>-8.62371706473547E-4</v>
      </c>
      <c r="Y137" s="1">
        <v>-2.347507021407963E-2</v>
      </c>
      <c r="Z137" s="1">
        <v>1.9179231215001841E-2</v>
      </c>
      <c r="AA137" s="1">
        <v>-8.3047986033645549E-3</v>
      </c>
      <c r="AB137" s="1">
        <v>1.477921391622658E-2</v>
      </c>
      <c r="AC137" s="1">
        <v>7.379974305921036E-3</v>
      </c>
      <c r="AD137" s="1">
        <v>2.2513923458754859E-3</v>
      </c>
      <c r="AE137" s="1">
        <v>6.2082628003135021E-3</v>
      </c>
      <c r="AF137" s="1">
        <v>-4.0193230454080298E-3</v>
      </c>
      <c r="AG137" s="1">
        <v>3.5658127599495215E-3</v>
      </c>
      <c r="AH137" s="1">
        <v>2.1893035709599093E-2</v>
      </c>
      <c r="AI137" s="1">
        <v>-2.5703951484475934E-2</v>
      </c>
      <c r="AJ137" s="1">
        <v>-1.4561904782432133E-2</v>
      </c>
      <c r="AK137" s="1">
        <v>7.1940781108690566E-3</v>
      </c>
      <c r="AL137" s="1">
        <v>6.8654730073505199E-3</v>
      </c>
      <c r="AM137" s="1">
        <v>1.3136188398634036E-2</v>
      </c>
      <c r="AN137" s="1">
        <v>-1.6804395265044347E-2</v>
      </c>
      <c r="AO137" s="1">
        <v>-6.9903781892905192E-3</v>
      </c>
      <c r="AP137" s="1">
        <v>2.579997449393967E-3</v>
      </c>
      <c r="AQ137" s="1">
        <v>-7.9101725224026143E-4</v>
      </c>
      <c r="AR137" s="1">
        <v>2.8550101446418411E-2</v>
      </c>
      <c r="AS137" s="1">
        <v>-1.4904119098166579E-2</v>
      </c>
      <c r="AT137" s="1">
        <v>1.1851346058929582E-2</v>
      </c>
      <c r="AU137" s="1">
        <v>-4.8192421609115355E-3</v>
      </c>
      <c r="AV137" s="1">
        <v>1.1736804318110805E-2</v>
      </c>
      <c r="AW137" s="1">
        <v>-1.3247484368358098E-2</v>
      </c>
      <c r="AX137" s="1">
        <v>-7.6475883963275648E-3</v>
      </c>
      <c r="AY137" s="1">
        <v>-2.034083212081067E-3</v>
      </c>
      <c r="AZ137" s="1">
        <v>2.9086025529125314E-3</v>
      </c>
      <c r="BA137" s="1">
        <v>2.4708649996455015E-2</v>
      </c>
      <c r="BB137" s="1">
        <v>7.1531789946612245E-3</v>
      </c>
      <c r="BC137" s="1">
        <v>2.9251376203696847E-2</v>
      </c>
      <c r="BD137" s="1">
        <v>1.6823827188812077E-3</v>
      </c>
      <c r="BE137" s="1">
        <v>2.6608926163332838E-2</v>
      </c>
      <c r="BF137" s="1">
        <v>-1.0845438851469859E-2</v>
      </c>
      <c r="BG137" s="1">
        <v>3.7821642930269822E-3</v>
      </c>
      <c r="BH137" s="1">
        <v>-3.6686443152243717E-2</v>
      </c>
      <c r="BI137" s="1">
        <v>1.7852078852367774E-2</v>
      </c>
      <c r="BJ137" s="1">
        <v>-2.081577404790616E-2</v>
      </c>
      <c r="BK137" s="1">
        <v>-1.7230695983572131E-2</v>
      </c>
      <c r="BL137" s="1">
        <v>-3.0744068510603073E-3</v>
      </c>
      <c r="BM137" s="1">
        <v>1.1138216616746979E-2</v>
      </c>
      <c r="BN137" s="1">
        <v>3.9248732014934562E-3</v>
      </c>
      <c r="BO137" s="1">
        <v>-1.843057465682741E-2</v>
      </c>
      <c r="BP137" s="1">
        <v>1.7780724398134523E-2</v>
      </c>
      <c r="BQ137" s="1">
        <v>-1.3959202903818885E-2</v>
      </c>
      <c r="BR137" s="1">
        <v>-1.5902666357282172E-2</v>
      </c>
      <c r="BS137" s="1">
        <v>3.9465352837202414E-2</v>
      </c>
      <c r="BT137" s="1">
        <v>-1.1031335046521887E-2</v>
      </c>
      <c r="BU137" s="1">
        <v>1.6542155512334761E-3</v>
      </c>
      <c r="BV137" s="1">
        <v>3.6676225522081982E-3</v>
      </c>
      <c r="BW137" s="1">
        <v>3.1223006824807858E-2</v>
      </c>
      <c r="BX137" s="1">
        <v>-5.4649855151508303E-4</v>
      </c>
      <c r="BY137" s="1">
        <v>1.0595548150528759E-2</v>
      </c>
      <c r="BZ137" s="1">
        <v>1.8109329501653018E-2</v>
      </c>
      <c r="CA137" s="1">
        <v>3.3279601112368107E-2</v>
      </c>
      <c r="CB137" s="1">
        <v>3.4379958163742383E-2</v>
      </c>
      <c r="CC137" s="1">
        <v>4.5107289542972301E-3</v>
      </c>
      <c r="CD137" s="1">
        <v>-1.5574061253763663E-2</v>
      </c>
      <c r="CE137" s="1">
        <v>-1.0702729943003364E-2</v>
      </c>
      <c r="CF137" s="1">
        <v>-1.4916851046726645E-2</v>
      </c>
      <c r="CG137" s="1">
        <v>-7.4744241498356165E-3</v>
      </c>
      <c r="CH137" s="1">
        <v>1.6638590966896544E-2</v>
      </c>
      <c r="CI137" s="1">
        <v>-2.1215733605657899E-2</v>
      </c>
      <c r="CJ137" s="1">
        <v>-1.1059502214169611E-2</v>
      </c>
      <c r="CK137" s="1">
        <v>2.1994845501857804E-2</v>
      </c>
      <c r="CL137" s="1">
        <v>3.0708505526237349E-2</v>
      </c>
      <c r="CM137" s="1">
        <v>-2.238744511126544E-2</v>
      </c>
      <c r="CN137" s="1">
        <v>-6.2313581899948386E-3</v>
      </c>
      <c r="CO137" s="1">
        <v>-1.440234974815615E-2</v>
      </c>
      <c r="CP137" s="1">
        <v>-3.1997252944573895E-5</v>
      </c>
      <c r="CQ137" s="1">
        <v>-3.5175536953976003E-3</v>
      </c>
      <c r="CR137" s="1">
        <v>-2.9101307346886193E-2</v>
      </c>
      <c r="CS137" s="1">
        <v>-1.0516833747951378E-2</v>
      </c>
      <c r="CT137" s="1">
        <v>-2.2973300864069186E-2</v>
      </c>
      <c r="CU137" s="1">
        <v>-1.4802309305907875E-2</v>
      </c>
      <c r="CV137" s="1">
        <v>3.339017448689717E-3</v>
      </c>
      <c r="CW137" s="1">
        <v>-2.9172661801119479E-2</v>
      </c>
      <c r="CX137" s="1">
        <v>-1.0845438851469859E-2</v>
      </c>
      <c r="CY137" s="1">
        <v>1.6626132139531569E-2</v>
      </c>
      <c r="CZ137" s="1">
        <v>-3.0586985107775855E-3</v>
      </c>
      <c r="DA137" s="1">
        <v>4.0666381895308648E-2</v>
      </c>
      <c r="DB137" s="1">
        <v>2.9547662312207068E-3</v>
      </c>
      <c r="DC137" s="1">
        <v>2.311091089351483E-2</v>
      </c>
      <c r="DD137" s="1">
        <v>5.8807708649906212E-2</v>
      </c>
      <c r="DE137" s="1">
        <v>-3.6227587967623723E-2</v>
      </c>
      <c r="DF137" s="1">
        <v>3.9237419740415863E-2</v>
      </c>
      <c r="DG137" s="1">
        <v>3.329530945265087E-2</v>
      </c>
      <c r="DH137" s="1">
        <v>3.7409908934493169E-2</v>
      </c>
      <c r="DI137" s="1">
        <v>6.7689277771922074E-3</v>
      </c>
      <c r="DJ137" s="1">
        <v>1.8710893594739542E-2</v>
      </c>
      <c r="DK137" s="1">
        <v>2.9781585842550098E-2</v>
      </c>
      <c r="DL137" s="1">
        <v>5.4408981509022347E-3</v>
      </c>
      <c r="DM137" s="1">
        <v>1.405503655340079E-2</v>
      </c>
      <c r="DN137" s="1">
        <v>1.578302573744253E-2</v>
      </c>
      <c r="DO137" s="1">
        <v>6.2544264786217191E-3</v>
      </c>
      <c r="DP137" s="1">
        <v>3.4995131469044871E-2</v>
      </c>
      <c r="DQ137" s="1">
        <v>8.6691698026024375E-2</v>
      </c>
      <c r="DR137" s="1">
        <v>7.1257000483584548E-3</v>
      </c>
      <c r="DS137" s="1">
        <v>3.3924352492040122E-2</v>
      </c>
      <c r="DT137" s="1">
        <v>-1.0057978563331363E-2</v>
      </c>
      <c r="DU137" s="1">
        <v>6.6135593805978513E-2</v>
      </c>
      <c r="DV137" s="1">
        <v>1.0868507140096739E-2</v>
      </c>
      <c r="DW137" s="1">
        <v>1.4282709128316542E-2</v>
      </c>
      <c r="DX137" s="1">
        <v>2.3738543026182293E-2</v>
      </c>
      <c r="DY137" s="1">
        <v>3.2833713347392157E-3</v>
      </c>
      <c r="DZ137" s="1">
        <v>-8.2586349250563656E-3</v>
      </c>
      <c r="EA137" s="1">
        <v>2.3182265347748088E-2</v>
      </c>
      <c r="EB137" s="1">
        <v>2.3224041727611791E-2</v>
      </c>
      <c r="EC137" s="1">
        <v>5.1036676649496682E-2</v>
      </c>
      <c r="ED137" s="1">
        <v>3.3823419963437379E-2</v>
      </c>
      <c r="EE137" s="1">
        <v>2.7396386451471369E-2</v>
      </c>
      <c r="EF137" s="1">
        <v>-5.7307266255111206E-3</v>
      </c>
      <c r="EG137" s="1">
        <v>-9.2876375221974117E-3</v>
      </c>
      <c r="EH137" s="1">
        <v>7.0864216208272296E-2</v>
      </c>
      <c r="EI137" s="1">
        <v>8.4551405813702435E-3</v>
      </c>
      <c r="EJ137" s="1">
        <v>-1.3307093267358183E-3</v>
      </c>
      <c r="EK137" s="1">
        <v>-1.1886900275975873E-2</v>
      </c>
      <c r="EL137" s="1">
        <v>2.9452980739031603E-2</v>
      </c>
      <c r="EM137" s="1">
        <v>3.4838813348362391E-2</v>
      </c>
      <c r="EN137" s="1">
        <v>3.7881222946478152E-2</v>
      </c>
      <c r="EO137" s="1">
        <v>-3.0586985107775855E-3</v>
      </c>
      <c r="EP137" s="1">
        <v>3.0296087141120587E-2</v>
      </c>
      <c r="EQ137" s="1">
        <v>3.1139193543209653E-2</v>
      </c>
      <c r="ER137" s="1">
        <v>3.458156269907714E-2</v>
      </c>
      <c r="ES137" s="1">
        <v>2.2996369152696053E-2</v>
      </c>
      <c r="ET137" s="1">
        <v>1.4682668686068268E-2</v>
      </c>
      <c r="EU137" s="1">
        <v>6.12754126727455E-4</v>
      </c>
      <c r="EV137" s="10">
        <v>-1.551516562689538E-2</v>
      </c>
    </row>
    <row r="138" spans="1:152" x14ac:dyDescent="0.25">
      <c r="A138" s="21">
        <f t="shared" ca="1" si="2"/>
        <v>6.3270430834519678E-2</v>
      </c>
      <c r="B138" s="5">
        <v>137</v>
      </c>
      <c r="C138" s="9">
        <v>-3.3115556899231333E-3</v>
      </c>
      <c r="D138" s="1">
        <v>-1.2331719141004539E-2</v>
      </c>
      <c r="E138" s="1">
        <v>-1.3051326706270058E-3</v>
      </c>
      <c r="F138" s="1">
        <v>-1.5194822701407665E-3</v>
      </c>
      <c r="G138" s="1">
        <v>2.2017375452656265E-3</v>
      </c>
      <c r="H138" s="1">
        <v>1.2730112794007611E-2</v>
      </c>
      <c r="I138" s="1">
        <v>1.3339381115932115E-2</v>
      </c>
      <c r="J138" s="1">
        <v>-3.5259052894369217E-3</v>
      </c>
      <c r="K138" s="1">
        <v>-1.948181469168371E-3</v>
      </c>
      <c r="L138" s="1">
        <v>-1.5735296857672332E-2</v>
      </c>
      <c r="M138" s="1">
        <v>-5.532328308733063E-3</v>
      </c>
      <c r="N138" s="1">
        <v>1.7730383462380636E-3</v>
      </c>
      <c r="O138" s="1">
        <v>-1.5949646457186106E-2</v>
      </c>
      <c r="P138" s="1">
        <v>-2.702287367998657E-3</v>
      </c>
      <c r="Q138" s="1">
        <v>-7.5387513280291904E-3</v>
      </c>
      <c r="R138" s="1">
        <v>1.9100804427251525E-2</v>
      </c>
      <c r="S138" s="1">
        <v>1.2730112794007611E-2</v>
      </c>
      <c r="T138" s="1">
        <v>2.9558434440959333E-3</v>
      </c>
      <c r="U138" s="1">
        <v>-4.3495232108751933E-3</v>
      </c>
      <c r="V138" s="1">
        <v>1.1547307696149763E-2</v>
      </c>
      <c r="W138" s="1">
        <v>-1.4123792560786892E-2</v>
      </c>
      <c r="X138" s="1">
        <v>1.4950885412817569E-2</v>
      </c>
      <c r="Y138" s="1">
        <v>1.2799624816615597E-2</v>
      </c>
      <c r="Z138" s="1">
        <v>9.7629988774315252E-3</v>
      </c>
      <c r="AA138" s="1">
        <v>1.7730383462380636E-3</v>
      </c>
      <c r="AB138" s="1">
        <v>-1.4981190958842018E-2</v>
      </c>
      <c r="AC138" s="1">
        <v>9.0088929786012184E-3</v>
      </c>
      <c r="AD138" s="1">
        <v>-5.9610275077606398E-3</v>
      </c>
      <c r="AE138" s="1">
        <v>-8.8248489251119069E-3</v>
      </c>
      <c r="AF138" s="1">
        <v>-1.3051326706270058E-3</v>
      </c>
      <c r="AG138" s="1">
        <v>-6.8184259058157518E-3</v>
      </c>
      <c r="AH138" s="1">
        <v>-1.5889942927487521E-3</v>
      </c>
      <c r="AI138" s="1">
        <v>4.9545018623279313E-3</v>
      </c>
      <c r="AJ138" s="1">
        <v>6.1373069601858218E-3</v>
      </c>
      <c r="AK138" s="1">
        <v>-9.4678977236532583E-3</v>
      </c>
      <c r="AL138" s="1">
        <v>-9.2535481241394699E-3</v>
      </c>
      <c r="AM138" s="1">
        <v>-1.3909442961273104E-2</v>
      </c>
      <c r="AN138" s="1">
        <v>-1.4161897709159682E-3</v>
      </c>
      <c r="AO138" s="1">
        <v>9.1563994818291E-4</v>
      </c>
      <c r="AP138" s="1">
        <v>-6.1753771072744004E-3</v>
      </c>
      <c r="AQ138" s="1">
        <v>5.6053152619334121E-3</v>
      </c>
      <c r="AR138" s="1">
        <v>-1.5513182657094428E-2</v>
      </c>
      <c r="AS138" s="1">
        <v>6.6432827828854582E-3</v>
      </c>
      <c r="AT138" s="1">
        <v>2.4407512663990619E-2</v>
      </c>
      <c r="AU138" s="1">
        <v>1.7814706830168836E-2</v>
      </c>
      <c r="AV138" s="1">
        <v>-3.4148481891479662E-3</v>
      </c>
      <c r="AW138" s="1">
        <v>5.279908562130696E-3</v>
      </c>
      <c r="AX138" s="1">
        <v>1.3443391472105007E-3</v>
      </c>
      <c r="AY138" s="1">
        <v>-2.8828564908955565E-3</v>
      </c>
      <c r="AZ138" s="1">
        <v>-6.3897267067882027E-3</v>
      </c>
      <c r="BA138" s="1">
        <v>-1.1238072688006306E-2</v>
      </c>
      <c r="BB138" s="1">
        <v>1.0926157353037702E-2</v>
      </c>
      <c r="BC138" s="1">
        <v>-5.1850231535010144E-3</v>
      </c>
      <c r="BD138" s="1">
        <v>-3.5377873106245128E-3</v>
      </c>
      <c r="BE138" s="1">
        <v>-3.1786001342048731E-3</v>
      </c>
      <c r="BF138" s="1">
        <v>5.4823761404568794E-3</v>
      </c>
      <c r="BG138" s="1">
        <v>2.2706849722245556E-2</v>
      </c>
      <c r="BH138" s="1">
        <v>-3.5793323883055173E-3</v>
      </c>
      <c r="BI138" s="1">
        <v>-1.5499048802729218E-2</v>
      </c>
      <c r="BJ138" s="1">
        <v>2.2133312946312114E-2</v>
      </c>
      <c r="BK138" s="1">
        <v>-1.7684089875548092E-2</v>
      </c>
      <c r="BL138" s="1">
        <v>1.8445873607522603E-2</v>
      </c>
      <c r="BM138" s="1">
        <v>-3.8451165219220415E-2</v>
      </c>
      <c r="BN138" s="1">
        <v>4.0157094204772564E-3</v>
      </c>
      <c r="BO138" s="1">
        <v>1.0995669375645653E-2</v>
      </c>
      <c r="BP138" s="1">
        <v>-6.1534786518451096E-3</v>
      </c>
      <c r="BQ138" s="1">
        <v>2.6394289061035067E-2</v>
      </c>
      <c r="BR138" s="1">
        <v>-1.883311449678908E-2</v>
      </c>
      <c r="BS138" s="1">
        <v>-1.2413113184800054E-2</v>
      </c>
      <c r="BT138" s="1">
        <v>-1.2994414561797563E-2</v>
      </c>
      <c r="BU138" s="1">
        <v>4.2975713844282365E-2</v>
      </c>
      <c r="BV138" s="1">
        <v>-5.1155111308930634E-3</v>
      </c>
      <c r="BW138" s="1">
        <v>-6.4711207505837032E-3</v>
      </c>
      <c r="BX138" s="1">
        <v>-1.1382910264912144E-2</v>
      </c>
      <c r="BY138" s="1">
        <v>-1.020010516705426E-2</v>
      </c>
      <c r="BZ138" s="1">
        <v>-6.3678282513588841E-3</v>
      </c>
      <c r="CA138" s="1">
        <v>-1.7394414721736418E-2</v>
      </c>
      <c r="CB138" s="1">
        <v>9.784897332860823E-3</v>
      </c>
      <c r="CC138" s="1">
        <v>1.2932580372333843E-2</v>
      </c>
      <c r="CD138" s="1">
        <v>-1.9047464096302882E-2</v>
      </c>
      <c r="CE138" s="1">
        <v>-1.3208764161311365E-2</v>
      </c>
      <c r="CF138" s="1">
        <v>-1.9476163295330445E-2</v>
      </c>
      <c r="CG138" s="1">
        <v>-6.298316228750947E-3</v>
      </c>
      <c r="CH138" s="1">
        <v>1.347233667165039E-2</v>
      </c>
      <c r="CI138" s="1">
        <v>3.1693232696710025E-2</v>
      </c>
      <c r="CJ138" s="1">
        <v>3.3519086593109301E-2</v>
      </c>
      <c r="CK138" s="1">
        <v>1.1392048217397088E-4</v>
      </c>
      <c r="CL138" s="1">
        <v>-2.4733561853324398E-2</v>
      </c>
      <c r="CM138" s="1">
        <v>1.3859490792996934E-2</v>
      </c>
      <c r="CN138" s="1">
        <v>2.1898555240780493E-3</v>
      </c>
      <c r="CO138" s="1">
        <v>-1.213722192589764E-3</v>
      </c>
      <c r="CP138" s="1">
        <v>6.8795308378285375E-3</v>
      </c>
      <c r="CQ138" s="1">
        <v>-9.162137646102228E-3</v>
      </c>
      <c r="CR138" s="1">
        <v>-9.0926256234942771E-3</v>
      </c>
      <c r="CS138" s="1">
        <v>5.2680265409431187E-3</v>
      </c>
      <c r="CT138" s="1">
        <v>4.9426198411403471E-3</v>
      </c>
      <c r="CU138" s="1">
        <v>8.3461975578081465E-3</v>
      </c>
      <c r="CV138" s="1">
        <v>-4.901161531379275E-3</v>
      </c>
      <c r="CW138" s="1">
        <v>2.5294452738988671E-4</v>
      </c>
      <c r="CX138" s="1">
        <v>5.4823761404568794E-3</v>
      </c>
      <c r="CY138" s="1">
        <v>6.6674008551187477E-2</v>
      </c>
      <c r="CZ138" s="1">
        <v>2.5134044332152841E-2</v>
      </c>
      <c r="DA138" s="1">
        <v>1.1817173220357483E-2</v>
      </c>
      <c r="DB138" s="1">
        <v>1.1346928943648901E-2</v>
      </c>
      <c r="DC138" s="1">
        <v>3.3981403261401491E-2</v>
      </c>
      <c r="DD138" s="1">
        <v>-1.4301858688299807E-3</v>
      </c>
      <c r="DE138" s="1">
        <v>3.0716849589949552E-2</v>
      </c>
      <c r="DF138" s="1">
        <v>-1.5147789234726011E-2</v>
      </c>
      <c r="DG138" s="1">
        <v>-1.0706243997106152E-2</v>
      </c>
      <c r="DH138" s="1">
        <v>5.1420226442703887E-2</v>
      </c>
      <c r="DI138" s="1">
        <v>2.7174247828065878E-2</v>
      </c>
      <c r="DJ138" s="1">
        <v>9.2372134251279131E-3</v>
      </c>
      <c r="DK138" s="1">
        <v>1.9765588673869947E-2</v>
      </c>
      <c r="DL138" s="1">
        <v>2.8323272449306852E-2</v>
      </c>
      <c r="DM138" s="1">
        <v>5.9334861419599455E-2</v>
      </c>
      <c r="DN138" s="1">
        <v>4.8625917047960543E-2</v>
      </c>
      <c r="DO138" s="1">
        <v>8.911806725325197E-3</v>
      </c>
      <c r="DP138" s="1">
        <v>2.50983127861618E-2</v>
      </c>
      <c r="DQ138" s="1">
        <v>-3.0001450880344782E-3</v>
      </c>
      <c r="DR138" s="1">
        <v>-1.955360292635476E-2</v>
      </c>
      <c r="DS138" s="1">
        <v>3.5378557958773094E-2</v>
      </c>
      <c r="DT138" s="1">
        <v>3.9564208519198174E-2</v>
      </c>
      <c r="DU138" s="1">
        <v>-1.6074699655389102E-2</v>
      </c>
      <c r="DV138" s="1">
        <v>5.6192861089463669E-3</v>
      </c>
      <c r="DW138" s="1">
        <v>3.1006524743761241E-2</v>
      </c>
      <c r="DX138" s="1">
        <v>-3.9068531648346894E-3</v>
      </c>
      <c r="DY138" s="1">
        <v>1.1132579344135113E-2</v>
      </c>
      <c r="DZ138" s="1">
        <v>1.950969399667514E-2</v>
      </c>
      <c r="EA138" s="1">
        <v>2.4635833110517341E-2</v>
      </c>
      <c r="EB138" s="1">
        <v>-2.2169294267575371E-2</v>
      </c>
      <c r="EC138" s="1">
        <v>-1.4393683335895718E-2</v>
      </c>
      <c r="ED138" s="1">
        <v>7.2645708824486538E-3</v>
      </c>
      <c r="EE138" s="1">
        <v>3.0903232244536422E-2</v>
      </c>
      <c r="EF138" s="1">
        <v>-1.0319089875759579E-2</v>
      </c>
      <c r="EG138" s="1">
        <v>-1.7015188208806251E-2</v>
      </c>
      <c r="EH138" s="1">
        <v>8.4551405813706459E-3</v>
      </c>
      <c r="EI138" s="1">
        <v>6.3270430834519678E-2</v>
      </c>
      <c r="EJ138" s="1">
        <v>1.4425099960513957E-2</v>
      </c>
      <c r="EK138" s="1">
        <v>2.2159165814512646E-2</v>
      </c>
      <c r="EL138" s="1">
        <v>1.9979938273383721E-2</v>
      </c>
      <c r="EM138" s="1">
        <v>4.4081079311115892E-2</v>
      </c>
      <c r="EN138" s="1">
        <v>3.2514736541421826E-2</v>
      </c>
      <c r="EO138" s="1">
        <v>2.5134044332152841E-2</v>
      </c>
      <c r="EP138" s="1">
        <v>3.80280297766106E-2</v>
      </c>
      <c r="EQ138" s="1">
        <v>5.6076121279837507E-2</v>
      </c>
      <c r="ER138" s="1">
        <v>3.4949858759745531E-2</v>
      </c>
      <c r="ES138" s="1">
        <v>6.1590424082628714E-3</v>
      </c>
      <c r="ET138" s="1">
        <v>2.144660499336333E-2</v>
      </c>
      <c r="EU138" s="1">
        <v>5.9652503518338076E-2</v>
      </c>
      <c r="EV138" s="10">
        <v>2.4808637632350125E-2</v>
      </c>
    </row>
    <row r="139" spans="1:152" x14ac:dyDescent="0.25">
      <c r="A139" s="21">
        <f t="shared" ca="1" si="2"/>
        <v>3.6573683872905285E-2</v>
      </c>
      <c r="B139" s="5">
        <v>138</v>
      </c>
      <c r="C139" s="9">
        <v>3.7336702331992044E-3</v>
      </c>
      <c r="D139" s="1">
        <v>-8.7664300350514257E-3</v>
      </c>
      <c r="E139" s="1">
        <v>-1.8001705423479064E-3</v>
      </c>
      <c r="F139" s="1">
        <v>-3.8788578705544752E-3</v>
      </c>
      <c r="G139" s="1">
        <v>7.2167999795509918E-3</v>
      </c>
      <c r="H139" s="1">
        <v>2.3527971773309175E-3</v>
      </c>
      <c r="I139" s="1">
        <v>-7.3505404760057513E-4</v>
      </c>
      <c r="J139" s="1">
        <v>1.6549829049926357E-3</v>
      </c>
      <c r="K139" s="1">
        <v>-8.0362325269676127E-3</v>
      </c>
      <c r="L139" s="1">
        <v>-7.8659970888869668E-4</v>
      </c>
      <c r="M139" s="1">
        <v>7.1888236805397743E-3</v>
      </c>
      <c r="N139" s="1">
        <v>3.0594253231378266E-3</v>
      </c>
      <c r="O139" s="1">
        <v>-2.8652870370952654E-3</v>
      </c>
      <c r="P139" s="1">
        <v>6.4581900826771177E-4</v>
      </c>
      <c r="Q139" s="1">
        <v>1.2722664456086885E-2</v>
      </c>
      <c r="R139" s="1">
        <v>1.415067623650898E-2</v>
      </c>
      <c r="S139" s="1">
        <v>2.3527971773309175E-3</v>
      </c>
      <c r="T139" s="1">
        <v>-1.4652515556843881E-3</v>
      </c>
      <c r="U139" s="1">
        <v>2.6641468017175596E-3</v>
      </c>
      <c r="V139" s="1">
        <v>6.8774740561531045E-3</v>
      </c>
      <c r="W139" s="1">
        <v>-1.1539019312977461E-3</v>
      </c>
      <c r="X139" s="1">
        <v>-1.1023562700095968E-3</v>
      </c>
      <c r="Y139" s="1">
        <v>1.0025684815841346E-2</v>
      </c>
      <c r="Z139" s="1">
        <v>-1.7424912208009846E-2</v>
      </c>
      <c r="AA139" s="1">
        <v>3.0594253231378266E-3</v>
      </c>
      <c r="AB139" s="1">
        <v>-9.4686512441239934E-3</v>
      </c>
      <c r="AC139" s="1">
        <v>-8.7428606727745217E-3</v>
      </c>
      <c r="AD139" s="1">
        <v>3.031449024126609E-3</v>
      </c>
      <c r="AE139" s="1">
        <v>2.5054048684744479E-4</v>
      </c>
      <c r="AF139" s="1">
        <v>-1.8001705423479064E-3</v>
      </c>
      <c r="AG139" s="1">
        <v>-5.2833002886996661E-3</v>
      </c>
      <c r="AH139" s="1">
        <v>-1.1551745509064903E-2</v>
      </c>
      <c r="AI139" s="1">
        <v>2.4915822036685159E-2</v>
      </c>
      <c r="AJ139" s="1">
        <v>2.0391145157863E-2</v>
      </c>
      <c r="AK139" s="1">
        <v>-5.9855214977722615E-3</v>
      </c>
      <c r="AL139" s="1">
        <v>-3.906834169565665E-3</v>
      </c>
      <c r="AM139" s="1">
        <v>9.2478539690882267E-4</v>
      </c>
      <c r="AN139" s="1">
        <v>1.3117942977507124E-2</v>
      </c>
      <c r="AO139" s="1">
        <v>-5.2553239896884485E-3</v>
      </c>
      <c r="AP139" s="1">
        <v>9.5276169592004023E-4</v>
      </c>
      <c r="AQ139" s="1">
        <v>-7.630303466117927E-4</v>
      </c>
      <c r="AR139" s="1">
        <v>-3.0622826748598772E-2</v>
      </c>
      <c r="AS139" s="1">
        <v>3.0649308486987992E-4</v>
      </c>
      <c r="AT139" s="1">
        <v>-1.6359795713262487E-2</v>
      </c>
      <c r="AU139" s="1">
        <v>1.6785522672695397E-3</v>
      </c>
      <c r="AV139" s="1">
        <v>-1.3263130614862409E-2</v>
      </c>
      <c r="AW139" s="1">
        <v>1.2076395845036697E-2</v>
      </c>
      <c r="AX139" s="1">
        <v>-1.097949333275311E-3</v>
      </c>
      <c r="AY139" s="1">
        <v>7.8910448896123697E-3</v>
      </c>
      <c r="AZ139" s="1">
        <v>-1.1259256322865285E-3</v>
      </c>
      <c r="BA139" s="1">
        <v>6.3907092199423643E-4</v>
      </c>
      <c r="BB139" s="1">
        <v>-3.4652361245379737E-4</v>
      </c>
      <c r="BC139" s="1">
        <v>-6.6385381950959388E-3</v>
      </c>
      <c r="BD139" s="1">
        <v>-8.6568659885458005E-3</v>
      </c>
      <c r="BE139" s="1">
        <v>-1.217237897064305E-2</v>
      </c>
      <c r="BF139" s="1">
        <v>3.8432342797048297E-3</v>
      </c>
      <c r="BG139" s="1">
        <v>-2.0623156549856442E-3</v>
      </c>
      <c r="BH139" s="1">
        <v>1.3934135169819617E-2</v>
      </c>
      <c r="BI139" s="1">
        <v>3.0415193533066265E-4</v>
      </c>
      <c r="BJ139" s="1">
        <v>-6.2549000109492214E-4</v>
      </c>
      <c r="BK139" s="1">
        <v>2.1082798116303925E-3</v>
      </c>
      <c r="BL139" s="1">
        <v>-2.3972346416491763E-3</v>
      </c>
      <c r="BM139" s="1">
        <v>6.4788479546279421E-4</v>
      </c>
      <c r="BN139" s="1">
        <v>-1.383663808189925E-3</v>
      </c>
      <c r="BO139" s="1">
        <v>7.3263640260565893E-3</v>
      </c>
      <c r="BP139" s="1">
        <v>-3.5173988067169204E-5</v>
      </c>
      <c r="BQ139" s="1">
        <v>-2.9057101443139E-4</v>
      </c>
      <c r="BR139" s="1">
        <v>1.5956869900003806E-2</v>
      </c>
      <c r="BS139" s="1">
        <v>-2.6751166567100249E-2</v>
      </c>
      <c r="BT139" s="1">
        <v>6.6005734547070968E-3</v>
      </c>
      <c r="BU139" s="1">
        <v>-1.2432182933741556E-2</v>
      </c>
      <c r="BV139" s="1">
        <v>1.0343494434144757E-3</v>
      </c>
      <c r="BW139" s="1">
        <v>-1.9110662164335351E-2</v>
      </c>
      <c r="BX139" s="1">
        <v>6.2332712322980474E-3</v>
      </c>
      <c r="BY139" s="1">
        <v>1.7085943534758535E-3</v>
      </c>
      <c r="BZ139" s="1">
        <v>-2.113861316273738E-3</v>
      </c>
      <c r="CA139" s="1">
        <v>-9.0801208089772573E-3</v>
      </c>
      <c r="CB139" s="1">
        <v>-1.8412847891997056E-2</v>
      </c>
      <c r="CC139" s="1">
        <v>-5.8803643880009082E-3</v>
      </c>
      <c r="CD139" s="1">
        <v>1.3878182571797237E-2</v>
      </c>
      <c r="CE139" s="1">
        <v>4.5218861265005003E-3</v>
      </c>
      <c r="CF139" s="1">
        <v>9.7208079153840721E-3</v>
      </c>
      <c r="CG139" s="1">
        <v>5.5590263222366695E-3</v>
      </c>
      <c r="CH139" s="1">
        <v>-1.6641103251442815E-2</v>
      </c>
      <c r="CI139" s="1">
        <v>1.1138714037138009E-3</v>
      </c>
      <c r="CJ139" s="1">
        <v>2.8252565095113064E-3</v>
      </c>
      <c r="CK139" s="1">
        <v>-5.2340957769507479E-3</v>
      </c>
      <c r="CL139" s="1">
        <v>-1.4274635661126536E-2</v>
      </c>
      <c r="CM139" s="1">
        <v>1.0107272563335754E-2</v>
      </c>
      <c r="CN139" s="1">
        <v>-3.0950489139874582E-3</v>
      </c>
      <c r="CO139" s="1">
        <v>4.8847814121752778E-3</v>
      </c>
      <c r="CP139" s="1">
        <v>1.3972447290892392E-3</v>
      </c>
      <c r="CQ139" s="1">
        <v>2.7781177849575053E-3</v>
      </c>
      <c r="CR139" s="1">
        <v>1.0451005423467871E-2</v>
      </c>
      <c r="CS139" s="1">
        <v>1.7645469514982887E-3</v>
      </c>
      <c r="CT139" s="1">
        <v>1.4603973143146737E-2</v>
      </c>
      <c r="CU139" s="1">
        <v>6.6241428169839939E-3</v>
      </c>
      <c r="CV139" s="1">
        <v>3.1130367716210444E-3</v>
      </c>
      <c r="CW139" s="1">
        <v>1.0111679500070053E-2</v>
      </c>
      <c r="CX139" s="1">
        <v>3.8432342797048297E-3</v>
      </c>
      <c r="CY139" s="1">
        <v>6.4452696343511862E-3</v>
      </c>
      <c r="CZ139" s="1">
        <v>2.4464455189340636E-2</v>
      </c>
      <c r="DA139" s="1">
        <v>1.3280461505467259E-2</v>
      </c>
      <c r="DB139" s="1">
        <v>3.1714088007419552E-2</v>
      </c>
      <c r="DC139" s="1">
        <v>1.2294866971019239E-2</v>
      </c>
      <c r="DD139" s="1">
        <v>9.7693554601042815E-3</v>
      </c>
      <c r="DE139" s="1">
        <v>3.5620472574202769E-2</v>
      </c>
      <c r="DF139" s="1">
        <v>2.4691875916693626E-2</v>
      </c>
      <c r="DG139" s="1">
        <v>1.7781569022012542E-2</v>
      </c>
      <c r="DH139" s="1">
        <v>8.4680043645353753E-3</v>
      </c>
      <c r="DI139" s="1">
        <v>2.8254527623344711E-2</v>
      </c>
      <c r="DJ139" s="1">
        <v>2.0251127934905064E-2</v>
      </c>
      <c r="DK139" s="1">
        <v>1.5387125132685017E-2</v>
      </c>
      <c r="DL139" s="1">
        <v>1.4405937534971325E-2</v>
      </c>
      <c r="DM139" s="1">
        <v>1.250754782201921E-3</v>
      </c>
      <c r="DN139" s="1">
        <v>1.3359983465766598E-2</v>
      </c>
      <c r="DO139" s="1">
        <v>3.3090554126553526E-2</v>
      </c>
      <c r="DP139" s="1">
        <v>2.6115480760381435E-2</v>
      </c>
      <c r="DQ139" s="1">
        <v>-1.2454343475852073E-2</v>
      </c>
      <c r="DR139" s="1">
        <v>2.9951157240333898E-2</v>
      </c>
      <c r="DS139" s="1">
        <v>9.8488774204036206E-3</v>
      </c>
      <c r="DT139" s="1">
        <v>2.3450884355881385E-2</v>
      </c>
      <c r="DU139" s="1">
        <v>8.7042389653569363E-3</v>
      </c>
      <c r="DV139" s="1">
        <v>2.6152270932861224E-2</v>
      </c>
      <c r="DW139" s="1">
        <v>2.4432071953595105E-2</v>
      </c>
      <c r="DX139" s="1">
        <v>3.3736822737603714E-2</v>
      </c>
      <c r="DY139" s="1">
        <v>2.9635400679212984E-2</v>
      </c>
      <c r="DZ139" s="1">
        <v>3.5899438962843908E-2</v>
      </c>
      <c r="EA139" s="1">
        <v>1.2634192894417071E-2</v>
      </c>
      <c r="EB139" s="1">
        <v>3.8572849240812515E-2</v>
      </c>
      <c r="EC139" s="1">
        <v>1.6009824381458301E-2</v>
      </c>
      <c r="ED139" s="1">
        <v>3.5108881920003387E-2</v>
      </c>
      <c r="EE139" s="1">
        <v>7.4352711055335058E-3</v>
      </c>
      <c r="EF139" s="1">
        <v>4.4529944836791097E-2</v>
      </c>
      <c r="EG139" s="1">
        <v>4.5571491969261538E-2</v>
      </c>
      <c r="EH139" s="1">
        <v>-1.3307093267354436E-3</v>
      </c>
      <c r="EI139" s="1">
        <v>1.4425099960513929E-2</v>
      </c>
      <c r="EJ139" s="1">
        <v>3.6573683872905285E-2</v>
      </c>
      <c r="EK139" s="1">
        <v>3.6601660171916475E-2</v>
      </c>
      <c r="EL139" s="1">
        <v>1.7465812460891586E-2</v>
      </c>
      <c r="EM139" s="1">
        <v>3.2734895123860824E-3</v>
      </c>
      <c r="EN139" s="1">
        <v>7.0679688831244564E-3</v>
      </c>
      <c r="EO139" s="1">
        <v>2.4464455189340636E-2</v>
      </c>
      <c r="EP139" s="1">
        <v>1.0551098629476216E-2</v>
      </c>
      <c r="EQ139" s="1">
        <v>3.6363847980608321E-3</v>
      </c>
      <c r="ER139" s="1">
        <v>5.691502763990483E-3</v>
      </c>
      <c r="ES139" s="1">
        <v>1.5391532069419331E-2</v>
      </c>
      <c r="ET139" s="1">
        <v>2.2692710548786382E-2</v>
      </c>
      <c r="EU139" s="1">
        <v>2.0326242958470089E-2</v>
      </c>
      <c r="EV139" s="10">
        <v>3.7303881380989071E-2</v>
      </c>
    </row>
    <row r="140" spans="1:152" x14ac:dyDescent="0.25">
      <c r="A140" s="21">
        <f t="shared" ca="1" si="2"/>
        <v>4.1374027475471697E-2</v>
      </c>
      <c r="B140" s="5">
        <v>139</v>
      </c>
      <c r="C140" s="9">
        <v>2.1819902071922859E-3</v>
      </c>
      <c r="D140" s="1">
        <v>-8.3327893046707679E-3</v>
      </c>
      <c r="E140" s="1">
        <v>1.2205961046851954E-3</v>
      </c>
      <c r="F140" s="1">
        <v>2.6352740330062852E-4</v>
      </c>
      <c r="G140" s="1">
        <v>6.9586829118702676E-3</v>
      </c>
      <c r="H140" s="1">
        <v>-3.9757247500415982E-4</v>
      </c>
      <c r="I140" s="1">
        <v>4.7053447677037341E-3</v>
      </c>
      <c r="J140" s="1">
        <v>1.2249215058076912E-3</v>
      </c>
      <c r="K140" s="1">
        <v>-1.6506099994685608E-3</v>
      </c>
      <c r="L140" s="1">
        <v>-1.3070838569486931E-3</v>
      </c>
      <c r="M140" s="1">
        <v>2.1863156083147539E-3</v>
      </c>
      <c r="N140" s="1">
        <v>5.0445455091010782E-3</v>
      </c>
      <c r="O140" s="1">
        <v>-2.2641525583332878E-3</v>
      </c>
      <c r="P140" s="1">
        <v>7.2849074499001798E-3</v>
      </c>
      <c r="Q140" s="1">
        <v>3.1477097108218444E-3</v>
      </c>
      <c r="R140" s="1">
        <v>8.2073950352121727E-3</v>
      </c>
      <c r="S140" s="1">
        <v>-3.9757247500415982E-4</v>
      </c>
      <c r="T140" s="1">
        <v>-1.9768345374984453E-3</v>
      </c>
      <c r="U140" s="1">
        <v>-4.8350644382847696E-3</v>
      </c>
      <c r="V140" s="1">
        <v>6.6238075715954192E-3</v>
      </c>
      <c r="W140" s="1">
        <v>-6.4143265007790828E-3</v>
      </c>
      <c r="X140" s="1">
        <v>-4.0189787612662786E-4</v>
      </c>
      <c r="Y140" s="1">
        <v>1.4597930918457042E-2</v>
      </c>
      <c r="Z140" s="1">
        <v>-1.6028245432942484E-2</v>
      </c>
      <c r="AA140" s="1">
        <v>5.0445455091010782E-3</v>
      </c>
      <c r="AB140" s="1">
        <v>-1.0242601306317434E-2</v>
      </c>
      <c r="AC140" s="1">
        <v>-7.0927279835737989E-3</v>
      </c>
      <c r="AD140" s="1">
        <v>2.721782055455646E-4</v>
      </c>
      <c r="AE140" s="1">
        <v>-2.5947024974856958E-3</v>
      </c>
      <c r="AF140" s="1">
        <v>1.2205961046851954E-3</v>
      </c>
      <c r="AG140" s="1">
        <v>-3.5560965999927585E-3</v>
      </c>
      <c r="AH140" s="1">
        <v>-1.4731975990160559E-2</v>
      </c>
      <c r="AI140" s="1">
        <v>2.1632287168424025E-2</v>
      </c>
      <c r="AJ140" s="1">
        <v>1.4610907121824473E-2</v>
      </c>
      <c r="AK140" s="1">
        <v>-5.465908601639452E-3</v>
      </c>
      <c r="AL140" s="1">
        <v>-4.5088399002548851E-3</v>
      </c>
      <c r="AM140" s="1">
        <v>-5.4572577993944882E-3</v>
      </c>
      <c r="AN140" s="1">
        <v>1.3027319658207692E-2</v>
      </c>
      <c r="AO140" s="1">
        <v>1.2162707035626996E-3</v>
      </c>
      <c r="AP140" s="1">
        <v>-6.848904958390023E-4</v>
      </c>
      <c r="AQ140" s="1">
        <v>-6.702253585177953E-5</v>
      </c>
      <c r="AR140" s="1">
        <v>-2.4920530963993687E-2</v>
      </c>
      <c r="AS140" s="1">
        <v>6.950032109625276E-3</v>
      </c>
      <c r="AT140" s="1">
        <v>-1.2543496769924015E-2</v>
      </c>
      <c r="AU140" s="1">
        <v>2.4649828269046603E-3</v>
      </c>
      <c r="AV140" s="1">
        <v>-1.0581802047714778E-2</v>
      </c>
      <c r="AW140" s="1">
        <v>1.078263231628615E-2</v>
      </c>
      <c r="AX140" s="1">
        <v>3.1304081063318889E-3</v>
      </c>
      <c r="AY140" s="1">
        <v>4.0961276099614752E-3</v>
      </c>
      <c r="AZ140" s="1">
        <v>-1.641959197223597E-3</v>
      </c>
      <c r="BA140" s="1">
        <v>-1.1070342985557605E-2</v>
      </c>
      <c r="BB140" s="1">
        <v>-3.7702957203682164E-3</v>
      </c>
      <c r="BC140" s="1">
        <v>-1.6186236431632958E-2</v>
      </c>
      <c r="BD140" s="1">
        <v>-4.0662645434480296E-3</v>
      </c>
      <c r="BE140" s="1">
        <v>-1.7147630534140035E-2</v>
      </c>
      <c r="BF140" s="1">
        <v>6.4485149684149826E-3</v>
      </c>
      <c r="BG140" s="1">
        <v>-3.1524277603809797E-3</v>
      </c>
      <c r="BH140" s="1">
        <v>2.273596240353562E-2</v>
      </c>
      <c r="BI140" s="1">
        <v>-7.8729123433739431E-3</v>
      </c>
      <c r="BJ140" s="1">
        <v>8.9718695289264377E-3</v>
      </c>
      <c r="BK140" s="1">
        <v>9.3586275897638155E-3</v>
      </c>
      <c r="BL140" s="1">
        <v>4.5002881802674866E-5</v>
      </c>
      <c r="BM140" s="1">
        <v>-4.0057310206405433E-3</v>
      </c>
      <c r="BN140" s="1">
        <v>-2.4826770798312275E-3</v>
      </c>
      <c r="BO140" s="1">
        <v>1.1225207673092957E-2</v>
      </c>
      <c r="BP140" s="1">
        <v>-8.2077876836488262E-3</v>
      </c>
      <c r="BQ140" s="1">
        <v>5.7744388867427693E-3</v>
      </c>
      <c r="BR140" s="1">
        <v>1.4148296497809257E-2</v>
      </c>
      <c r="BS140" s="1">
        <v>-2.8619478747387642E-2</v>
      </c>
      <c r="BT140" s="1">
        <v>8.0753343503493363E-3</v>
      </c>
      <c r="BU140" s="1">
        <v>-6.6977099462069978E-3</v>
      </c>
      <c r="BV140" s="1">
        <v>-1.1907330381717637E-3</v>
      </c>
      <c r="BW140" s="1">
        <v>-2.1928648639940471E-2</v>
      </c>
      <c r="BX140" s="1">
        <v>2.9680917065189813E-3</v>
      </c>
      <c r="BY140" s="1">
        <v>-4.0532883400805839E-3</v>
      </c>
      <c r="BZ140" s="1">
        <v>-9.1648563850333931E-3</v>
      </c>
      <c r="CA140" s="1">
        <v>-1.8718241794389343E-2</v>
      </c>
      <c r="CB140" s="1">
        <v>-2.3551142620752336E-2</v>
      </c>
      <c r="CC140" s="1">
        <v>-4.7316898228752929E-3</v>
      </c>
      <c r="CD140" s="1">
        <v>1.3191227796424648E-2</v>
      </c>
      <c r="CE140" s="1">
        <v>7.1182656489647417E-3</v>
      </c>
      <c r="CF140" s="1">
        <v>1.1277090393655487E-2</v>
      </c>
      <c r="CG140" s="1">
        <v>5.8306470084277737E-3</v>
      </c>
      <c r="CH140" s="1">
        <v>-1.4624275973628587E-2</v>
      </c>
      <c r="CI140" s="1">
        <v>9.5940628900361424E-3</v>
      </c>
      <c r="CJ140" s="1">
        <v>5.4438889475903612E-3</v>
      </c>
      <c r="CK140" s="1">
        <v>-1.2366612428339571E-2</v>
      </c>
      <c r="CL140" s="1">
        <v>-1.9344760556621564E-2</v>
      </c>
      <c r="CM140" s="1">
        <v>1.4092088376124245E-2</v>
      </c>
      <c r="CN140" s="1">
        <v>1.6674968626145467E-3</v>
      </c>
      <c r="CO140" s="1">
        <v>8.693202310336573E-3</v>
      </c>
      <c r="CP140" s="1">
        <v>3.8420362320006063E-4</v>
      </c>
      <c r="CQ140" s="1">
        <v>2.9637663053964855E-3</v>
      </c>
      <c r="CR140" s="1">
        <v>1.7959269698857652E-2</v>
      </c>
      <c r="CS140" s="1">
        <v>5.4914462670304157E-3</v>
      </c>
      <c r="CT140" s="1">
        <v>1.6341101119168283E-2</v>
      </c>
      <c r="CU140" s="1">
        <v>9.3153956714462638E-3</v>
      </c>
      <c r="CV140" s="1">
        <v>-2.3366433678719684E-4</v>
      </c>
      <c r="CW140" s="1">
        <v>1.7624394358582804E-2</v>
      </c>
      <c r="CX140" s="1">
        <v>6.4485149684149826E-3</v>
      </c>
      <c r="CY140" s="1">
        <v>1.513346036679028E-2</v>
      </c>
      <c r="CZ140" s="1">
        <v>3.2434184624980517E-2</v>
      </c>
      <c r="DA140" s="1">
        <v>7.8896212232858753E-3</v>
      </c>
      <c r="DB140" s="1">
        <v>3.2777710767500343E-2</v>
      </c>
      <c r="DC140" s="1">
        <v>1.5189668488475264E-2</v>
      </c>
      <c r="DD140" s="1">
        <v>-1.6594387849475922E-3</v>
      </c>
      <c r="DE140" s="1">
        <v>5.2206380723119658E-2</v>
      </c>
      <c r="DF140" s="1">
        <v>1.3679590751033421E-2</v>
      </c>
      <c r="DG140" s="1">
        <v>1.3670939948788444E-2</v>
      </c>
      <c r="DH140" s="1">
        <v>6.5457944610638752E-3</v>
      </c>
      <c r="DI140" s="1">
        <v>2.9241079383919316E-2</v>
      </c>
      <c r="DJ140" s="1">
        <v>2.0975312615100355E-2</v>
      </c>
      <c r="DK140" s="1">
        <v>1.3619057228225956E-2</v>
      </c>
      <c r="DL140" s="1">
        <v>2.4451410475873889E-2</v>
      </c>
      <c r="DM140" s="1">
        <v>1.450694160455808E-2</v>
      </c>
      <c r="DN140" s="1">
        <v>1.8674417151493788E-2</v>
      </c>
      <c r="DO140" s="1">
        <v>3.182496746723823E-2</v>
      </c>
      <c r="DP140" s="1">
        <v>1.5206970092965219E-2</v>
      </c>
      <c r="DQ140" s="1">
        <v>-2.3354423088100887E-2</v>
      </c>
      <c r="DR140" s="1">
        <v>3.0915456085293683E-2</v>
      </c>
      <c r="DS140" s="1">
        <v>9.1253571432603209E-3</v>
      </c>
      <c r="DT140" s="1">
        <v>3.4961864586614433E-2</v>
      </c>
      <c r="DU140" s="1">
        <v>-5.1441874479661032E-3</v>
      </c>
      <c r="DV140" s="1">
        <v>2.7043949361437794E-2</v>
      </c>
      <c r="DW140" s="1">
        <v>2.4129511338966458E-2</v>
      </c>
      <c r="DX140" s="1">
        <v>2.4190044861773938E-2</v>
      </c>
      <c r="DY140" s="1">
        <v>3.1820642066115748E-2</v>
      </c>
      <c r="DZ140" s="1">
        <v>3.9464215473825018E-2</v>
      </c>
      <c r="EA140" s="1">
        <v>1.552454382875014E-2</v>
      </c>
      <c r="EB140" s="1">
        <v>2.6773932945092865E-2</v>
      </c>
      <c r="EC140" s="1">
        <v>4.7440733016646947E-3</v>
      </c>
      <c r="ED140" s="1">
        <v>1.9704995579053322E-2</v>
      </c>
      <c r="EE140" s="1">
        <v>1.1365719084059395E-2</v>
      </c>
      <c r="EF140" s="1">
        <v>4.2387304298541303E-2</v>
      </c>
      <c r="EG140" s="1">
        <v>4.4631991640462873E-2</v>
      </c>
      <c r="EH140" s="1">
        <v>-1.1886900275975762E-2</v>
      </c>
      <c r="EI140" s="1">
        <v>2.2159165814512313E-2</v>
      </c>
      <c r="EJ140" s="1">
        <v>3.6601660171916212E-2</v>
      </c>
      <c r="EK140" s="1">
        <v>4.1374027475471697E-2</v>
      </c>
      <c r="EL140" s="1">
        <v>1.4576125929610523E-2</v>
      </c>
      <c r="EM140" s="1">
        <v>5.9192756988316886E-3</v>
      </c>
      <c r="EN140" s="1">
        <v>6.2584764402290466E-3</v>
      </c>
      <c r="EO140" s="1">
        <v>3.2434184624980517E-2</v>
      </c>
      <c r="EP140" s="1">
        <v>1.1035169144907042E-2</v>
      </c>
      <c r="EQ140" s="1">
        <v>7.4942123602034921E-3</v>
      </c>
      <c r="ER140" s="1">
        <v>7.2112197404911454E-3</v>
      </c>
      <c r="ES140" s="1">
        <v>1.71513632106845E-2</v>
      </c>
      <c r="ET140" s="1">
        <v>2.3507317977856754E-2</v>
      </c>
      <c r="EU140" s="1">
        <v>2.8227802560849738E-2</v>
      </c>
      <c r="EV140" s="10">
        <v>4.3283839477118377E-2</v>
      </c>
    </row>
    <row r="141" spans="1:152" x14ac:dyDescent="0.25">
      <c r="A141" s="21">
        <f t="shared" ca="1" si="2"/>
        <v>2.2654283739543715E-2</v>
      </c>
      <c r="B141" s="5">
        <v>140</v>
      </c>
      <c r="C141" s="9">
        <v>4.416434207798331E-4</v>
      </c>
      <c r="D141" s="1">
        <v>-1.0687990575461992E-3</v>
      </c>
      <c r="E141" s="1">
        <v>-2.4771983161390107E-3</v>
      </c>
      <c r="F141" s="1">
        <v>-3.210553151073485E-3</v>
      </c>
      <c r="G141" s="1">
        <v>-2.6255620851656919E-4</v>
      </c>
      <c r="H141" s="1">
        <v>3.7193422737857654E-3</v>
      </c>
      <c r="I141" s="1">
        <v>-2.6352919699246455E-3</v>
      </c>
      <c r="J141" s="1">
        <v>-2.9171141415463425E-4</v>
      </c>
      <c r="K141" s="1">
        <v>-4.6772628209424266E-3</v>
      </c>
      <c r="L141" s="1">
        <v>-1.5857498274189086E-3</v>
      </c>
      <c r="M141" s="1">
        <v>2.6271303227642165E-3</v>
      </c>
      <c r="N141" s="1">
        <v>-1.7292658783855108E-3</v>
      </c>
      <c r="O141" s="1">
        <v>-2.3191046623533829E-3</v>
      </c>
      <c r="P141" s="1">
        <v>-5.9129908229305743E-3</v>
      </c>
      <c r="Q141" s="1">
        <v>5.5459720596830672E-3</v>
      </c>
      <c r="R141" s="1">
        <v>5.9485619842272464E-3</v>
      </c>
      <c r="S141" s="1">
        <v>3.7193422737857654E-3</v>
      </c>
      <c r="T141" s="1">
        <v>9.7317179347157501E-4</v>
      </c>
      <c r="U141" s="1">
        <v>5.3295679946213093E-3</v>
      </c>
      <c r="V141" s="1">
        <v>1.0169046019286726E-3</v>
      </c>
      <c r="W141" s="1">
        <v>2.5833975143071189E-3</v>
      </c>
      <c r="X141" s="1">
        <v>1.533855371801382E-3</v>
      </c>
      <c r="Y141" s="1">
        <v>-3.1376651369783223E-3</v>
      </c>
      <c r="Z141" s="1">
        <v>2.0070733332169938E-3</v>
      </c>
      <c r="AA141" s="1">
        <v>-1.7292658783855108E-3</v>
      </c>
      <c r="AB141" s="1">
        <v>-3.5002182543076438E-4</v>
      </c>
      <c r="AC141" s="1">
        <v>7.7134533122884957E-4</v>
      </c>
      <c r="AD141" s="1">
        <v>1.1604206528952749E-3</v>
      </c>
      <c r="AE141" s="1">
        <v>1.1458430500762423E-3</v>
      </c>
      <c r="AF141" s="1">
        <v>-2.4771983161390107E-3</v>
      </c>
      <c r="AG141" s="1">
        <v>-1.7729986868426084E-3</v>
      </c>
      <c r="AH141" s="1">
        <v>3.6464542596906027E-3</v>
      </c>
      <c r="AI141" s="1">
        <v>7.1635789711772813E-4</v>
      </c>
      <c r="AJ141" s="1">
        <v>3.418795568974814E-3</v>
      </c>
      <c r="AK141" s="1">
        <v>-1.0542214547271667E-3</v>
      </c>
      <c r="AL141" s="1">
        <v>-3.2086661979269931E-4</v>
      </c>
      <c r="AM141" s="1">
        <v>3.3167523492415862E-3</v>
      </c>
      <c r="AN141" s="1">
        <v>-1.5128618133237459E-3</v>
      </c>
      <c r="AO141" s="1">
        <v>-4.6626852181233941E-3</v>
      </c>
      <c r="AP141" s="1">
        <v>4.2706581796080056E-4</v>
      </c>
      <c r="AQ141" s="1">
        <v>2.5439456135614019E-4</v>
      </c>
      <c r="AR141" s="1">
        <v>-3.5144228330494381E-3</v>
      </c>
      <c r="AS141" s="1">
        <v>-4.633530012485329E-3</v>
      </c>
      <c r="AT141" s="1">
        <v>1.8489796794313659E-3</v>
      </c>
      <c r="AU141" s="1">
        <v>1.5484329746204145E-3</v>
      </c>
      <c r="AV141" s="1">
        <v>-1.256047916969899E-3</v>
      </c>
      <c r="AW141" s="1">
        <v>4.8537622923693069E-4</v>
      </c>
      <c r="AX141" s="1">
        <v>-3.1959755482544525E-3</v>
      </c>
      <c r="AY141" s="1">
        <v>1.9083530906487747E-3</v>
      </c>
      <c r="AZ141" s="1">
        <v>-3.0628901697366678E-4</v>
      </c>
      <c r="BA141" s="1">
        <v>8.1038044376217436E-3</v>
      </c>
      <c r="BB141" s="1">
        <v>4.3226694176208558E-3</v>
      </c>
      <c r="BC141" s="1">
        <v>7.9019779753790181E-3</v>
      </c>
      <c r="BD141" s="1">
        <v>-3.3405808421728689E-3</v>
      </c>
      <c r="BE141" s="1">
        <v>4.9831362384601674E-3</v>
      </c>
      <c r="BF141" s="1">
        <v>-1.8301383638468227E-3</v>
      </c>
      <c r="BG141" s="1">
        <v>4.1499981610161885E-3</v>
      </c>
      <c r="BH141" s="1">
        <v>-9.2332517501216849E-3</v>
      </c>
      <c r="BI141" s="1">
        <v>4.6534343280111509E-3</v>
      </c>
      <c r="BJ141" s="1">
        <v>-4.9070737545513091E-3</v>
      </c>
      <c r="BK141" s="1">
        <v>-8.5727849292823802E-3</v>
      </c>
      <c r="BL141" s="1">
        <v>6.9962805140560275E-4</v>
      </c>
      <c r="BM141" s="1">
        <v>-1.3558574024899323E-3</v>
      </c>
      <c r="BN141" s="1">
        <v>1.5910765401256979E-3</v>
      </c>
      <c r="BO141" s="1">
        <v>-2.5343379931432319E-3</v>
      </c>
      <c r="BP141" s="1">
        <v>5.9328951384563997E-3</v>
      </c>
      <c r="BQ141" s="1">
        <v>-1.4567036449407156E-3</v>
      </c>
      <c r="BR141" s="1">
        <v>-2.7205238526256462E-3</v>
      </c>
      <c r="BS141" s="1">
        <v>2.7393389251996539E-3</v>
      </c>
      <c r="BT141" s="1">
        <v>-3.6557051498028459E-3</v>
      </c>
      <c r="BU141" s="1">
        <v>2.3233683751188935E-3</v>
      </c>
      <c r="BV141" s="1">
        <v>1.0449705646149235E-3</v>
      </c>
      <c r="BW141" s="1">
        <v>3.5018489657721863E-3</v>
      </c>
      <c r="BX141" s="1">
        <v>5.1344219192318158E-4</v>
      </c>
      <c r="BY141" s="1">
        <v>3.2158798637802744E-3</v>
      </c>
      <c r="BZ141" s="1">
        <v>5.1995403035219254E-3</v>
      </c>
      <c r="CA141" s="1">
        <v>6.6079395621147369E-3</v>
      </c>
      <c r="CB141" s="1">
        <v>7.5129026537125929E-3</v>
      </c>
      <c r="CC141" s="1">
        <v>1.403827680702005E-3</v>
      </c>
      <c r="CD141" s="1">
        <v>-3.4538786875601135E-3</v>
      </c>
      <c r="CE141" s="1">
        <v>-4.3890599847373193E-3</v>
      </c>
      <c r="CF141" s="1">
        <v>-4.9205883574290621E-3</v>
      </c>
      <c r="CG141" s="1">
        <v>-1.6574671072421623E-3</v>
      </c>
      <c r="CH141" s="1">
        <v>1.9062008477556819E-3</v>
      </c>
      <c r="CI141" s="1">
        <v>-2.8942581091715922E-3</v>
      </c>
      <c r="CJ141" s="1">
        <v>2.0082440674889096E-3</v>
      </c>
      <c r="CK141" s="1">
        <v>6.4644235111481416E-3</v>
      </c>
      <c r="CL141" s="1">
        <v>2.4096370147506374E-3</v>
      </c>
      <c r="CM141" s="1">
        <v>-2.5197603903241994E-3</v>
      </c>
      <c r="CN141" s="1">
        <v>-3.3114256365348038E-3</v>
      </c>
      <c r="CO141" s="1">
        <v>-3.8283764064075132E-3</v>
      </c>
      <c r="CP141" s="1">
        <v>1.6056541429447305E-3</v>
      </c>
      <c r="CQ141" s="1">
        <v>-1.6720447100611949E-3</v>
      </c>
      <c r="CR141" s="1">
        <v>-8.5290521208252826E-3</v>
      </c>
      <c r="CS141" s="1">
        <v>-2.563493198781297E-3</v>
      </c>
      <c r="CT141" s="1">
        <v>-2.3325115309004996E-3</v>
      </c>
      <c r="CU141" s="1">
        <v>-1.8155607610277902E-3</v>
      </c>
      <c r="CV141" s="1">
        <v>1.7783253995493978E-3</v>
      </c>
      <c r="CW141" s="1">
        <v>-7.2495913103800399E-3</v>
      </c>
      <c r="CX141" s="1">
        <v>-1.8301383638468227E-3</v>
      </c>
      <c r="CY141" s="1">
        <v>2.0496889043256111E-2</v>
      </c>
      <c r="CZ141" s="1">
        <v>1.3626367029614277E-2</v>
      </c>
      <c r="DA141" s="1">
        <v>2.4077260600955552E-2</v>
      </c>
      <c r="DB141" s="1">
        <v>1.6717880023137788E-2</v>
      </c>
      <c r="DC141" s="1">
        <v>2.0296125580954671E-2</v>
      </c>
      <c r="DD141" s="1">
        <v>2.7671146761532747E-2</v>
      </c>
      <c r="DE141" s="1">
        <v>6.0651599895537867E-3</v>
      </c>
      <c r="DF141" s="1">
        <v>2.3905652344292171E-2</v>
      </c>
      <c r="DG141" s="1">
        <v>1.9534678540323418E-2</v>
      </c>
      <c r="DH141" s="1">
        <v>2.7009616940752157E-2</v>
      </c>
      <c r="DI141" s="1">
        <v>1.9262224041209253E-2</v>
      </c>
      <c r="DJ141" s="1">
        <v>1.7939030422306906E-2</v>
      </c>
      <c r="DK141" s="1">
        <v>2.1920928904609241E-2</v>
      </c>
      <c r="DL141" s="1">
        <v>1.3409962964552519E-2</v>
      </c>
      <c r="DM141" s="1">
        <v>1.6298586495892019E-2</v>
      </c>
      <c r="DN141" s="1">
        <v>2.0138031927169037E-2</v>
      </c>
      <c r="DO141" s="1">
        <v>1.8170012090187704E-2</v>
      </c>
      <c r="DP141" s="1">
        <v>2.9038073188892191E-2</v>
      </c>
      <c r="DQ141" s="1">
        <v>2.9394670327755543E-2</v>
      </c>
      <c r="DR141" s="1">
        <v>1.2864919988983023E-2</v>
      </c>
      <c r="DS141" s="1">
        <v>2.3731918087746232E-2</v>
      </c>
      <c r="DT141" s="1">
        <v>1.2734918540894175E-2</v>
      </c>
      <c r="DU141" s="1">
        <v>2.7829240415318382E-2</v>
      </c>
      <c r="DV141" s="1">
        <v>1.6688724817499723E-2</v>
      </c>
      <c r="DW141" s="1">
        <v>2.1245884480950904E-2</v>
      </c>
      <c r="DX141" s="1">
        <v>2.3230607920633833E-2</v>
      </c>
      <c r="DY141" s="1">
        <v>1.598452518820332E-2</v>
      </c>
      <c r="DZ141" s="1">
        <v>1.5294903161725944E-2</v>
      </c>
      <c r="EA141" s="1">
        <v>1.9016664770509423E-2</v>
      </c>
      <c r="EB141" s="1">
        <v>2.2138395969612285E-2</v>
      </c>
      <c r="EC141" s="1">
        <v>2.5141380346280322E-2</v>
      </c>
      <c r="ED141" s="1">
        <v>2.9412570907739584E-2</v>
      </c>
      <c r="EE141" s="1">
        <v>1.9548193143201165E-2</v>
      </c>
      <c r="EF141" s="1">
        <v>1.5108717302243529E-2</v>
      </c>
      <c r="EG141" s="1">
        <v>1.3110479259682846E-2</v>
      </c>
      <c r="EH141" s="1">
        <v>2.9452980739031673E-2</v>
      </c>
      <c r="EI141" s="1">
        <v>1.9979938273383402E-2</v>
      </c>
      <c r="EJ141" s="1">
        <v>1.7465812460891295E-2</v>
      </c>
      <c r="EK141" s="1">
        <v>1.4576125929610509E-2</v>
      </c>
      <c r="EL141" s="1">
        <v>2.2654283739543715E-2</v>
      </c>
      <c r="EM141" s="1">
        <v>2.2811314393388064E-2</v>
      </c>
      <c r="EN141" s="1">
        <v>2.3717340484927199E-2</v>
      </c>
      <c r="EO141" s="1">
        <v>1.3626367029614277E-2</v>
      </c>
      <c r="EP141" s="1">
        <v>2.301314085563079E-2</v>
      </c>
      <c r="EQ141" s="1">
        <v>2.3371997971717871E-2</v>
      </c>
      <c r="ER141" s="1">
        <v>2.226520841787729E-2</v>
      </c>
      <c r="ES141" s="1">
        <v>1.71910979845534E-2</v>
      </c>
      <c r="ET141" s="1">
        <v>1.9233068835571188E-2</v>
      </c>
      <c r="EU141" s="1">
        <v>1.8729632668576225E-2</v>
      </c>
      <c r="EV141" s="10">
        <v>1.3857348697495074E-2</v>
      </c>
    </row>
    <row r="142" spans="1:152" x14ac:dyDescent="0.25">
      <c r="A142" s="21">
        <f t="shared" ca="1" si="2"/>
        <v>4.5291969281887862E-2</v>
      </c>
      <c r="B142" s="5">
        <v>141</v>
      </c>
      <c r="C142" s="9">
        <v>-4.4074915061667053E-3</v>
      </c>
      <c r="D142" s="1">
        <v>1.2541622639266198E-3</v>
      </c>
      <c r="E142" s="1">
        <v>1.6663275888825768E-4</v>
      </c>
      <c r="F142" s="1">
        <v>1.5512060849781212E-3</v>
      </c>
      <c r="G142" s="1">
        <v>-4.9512562586858933E-3</v>
      </c>
      <c r="H142" s="1">
        <v>4.9011836862118269E-3</v>
      </c>
      <c r="I142" s="1">
        <v>5.8719810720408716E-3</v>
      </c>
      <c r="J142" s="1">
        <v>-3.0229181800768279E-3</v>
      </c>
      <c r="K142" s="1">
        <v>4.3203527371578621E-3</v>
      </c>
      <c r="L142" s="1">
        <v>-6.9232888803542475E-3</v>
      </c>
      <c r="M142" s="1">
        <v>-7.5970424451317908E-3</v>
      </c>
      <c r="N142" s="1">
        <v>-2.1821096065061385E-3</v>
      </c>
      <c r="O142" s="1">
        <v>-5.5387155542643701E-3</v>
      </c>
      <c r="P142" s="1">
        <v>-3.4366941203376467E-3</v>
      </c>
      <c r="Q142" s="1">
        <v>-1.2171166710186726E-2</v>
      </c>
      <c r="R142" s="1">
        <v>-1.1808743706668429E-3</v>
      </c>
      <c r="S142" s="1">
        <v>4.9011836862118269E-3</v>
      </c>
      <c r="T142" s="1">
        <v>2.8057905988096155E-3</v>
      </c>
      <c r="U142" s="1">
        <v>-2.6091422398160091E-3</v>
      </c>
      <c r="V142" s="1">
        <v>-8.6716519103968714E-5</v>
      </c>
      <c r="W142" s="1">
        <v>-4.7045353272182067E-3</v>
      </c>
      <c r="X142" s="1">
        <v>8.0907346251768847E-3</v>
      </c>
      <c r="Y142" s="1">
        <v>-3.2696391115445145E-3</v>
      </c>
      <c r="Z142" s="1">
        <v>1.916069288737135E-2</v>
      </c>
      <c r="AA142" s="1">
        <v>-2.1821096065061385E-3</v>
      </c>
      <c r="AB142" s="1">
        <v>8.3375797714128896E-4</v>
      </c>
      <c r="AC142" s="1">
        <v>1.1403646029875827E-2</v>
      </c>
      <c r="AD142" s="1">
        <v>-4.8278957929520361E-3</v>
      </c>
      <c r="AE142" s="1">
        <v>-3.8637267536475173E-3</v>
      </c>
      <c r="AF142" s="1">
        <v>1.6663275888825768E-4</v>
      </c>
      <c r="AG142" s="1">
        <v>7.1039751140743179E-4</v>
      </c>
      <c r="AH142" s="1">
        <v>9.7220288827344487E-3</v>
      </c>
      <c r="AI142" s="1">
        <v>-1.7826192133755539E-2</v>
      </c>
      <c r="AJ142" s="1">
        <v>-1.2838291928439771E-2</v>
      </c>
      <c r="AK142" s="1">
        <v>2.899932246220871E-4</v>
      </c>
      <c r="AL142" s="1">
        <v>-1.0945801014677625E-3</v>
      </c>
      <c r="AM142" s="1">
        <v>-6.089108653308084E-3</v>
      </c>
      <c r="AN142" s="1">
        <v>-1.1744134076876897E-2</v>
      </c>
      <c r="AO142" s="1">
        <v>3.3561836978533294E-3</v>
      </c>
      <c r="AP142" s="1">
        <v>-3.4433224668621587E-3</v>
      </c>
      <c r="AQ142" s="1">
        <v>3.226194885594974E-3</v>
      </c>
      <c r="AR142" s="1">
        <v>1.689824479117602E-2</v>
      </c>
      <c r="AS142" s="1">
        <v>1.4278456192442779E-3</v>
      </c>
      <c r="AT142" s="1">
        <v>2.4866041200523964E-2</v>
      </c>
      <c r="AU142" s="1">
        <v>7.1265655858723659E-3</v>
      </c>
      <c r="AV142" s="1">
        <v>8.8878486556882852E-3</v>
      </c>
      <c r="AW142" s="1">
        <v>-7.2999986240802894E-3</v>
      </c>
      <c r="AX142" s="1">
        <v>5.870370456735885E-4</v>
      </c>
      <c r="AY142" s="1">
        <v>-7.1766381583464323E-3</v>
      </c>
      <c r="AZ142" s="1">
        <v>-2.0587491407722952E-3</v>
      </c>
      <c r="BA142" s="1">
        <v>-3.2811997227231576E-3</v>
      </c>
      <c r="BB142" s="1">
        <v>6.4545081029652451E-3</v>
      </c>
      <c r="BC142" s="1">
        <v>5.3166557083430543E-3</v>
      </c>
      <c r="BD142" s="1">
        <v>4.4891038278214168E-3</v>
      </c>
      <c r="BE142" s="1">
        <v>9.8907799733980173E-3</v>
      </c>
      <c r="BF142" s="1">
        <v>-1.1725499422719082E-3</v>
      </c>
      <c r="BG142" s="1">
        <v>1.3124025455422364E-2</v>
      </c>
      <c r="BH142" s="1">
        <v>-1.5592485805700065E-2</v>
      </c>
      <c r="BI142" s="1">
        <v>-5.9203575626445154E-3</v>
      </c>
      <c r="BJ142" s="1">
        <v>9.1069226359356548E-3</v>
      </c>
      <c r="BK142" s="1">
        <v>-1.2156213935267279E-2</v>
      </c>
      <c r="BL142" s="1">
        <v>1.0484867615501006E-2</v>
      </c>
      <c r="BM142" s="1">
        <v>-1.8288594881729764E-2</v>
      </c>
      <c r="BN142" s="1">
        <v>3.3949459762585149E-3</v>
      </c>
      <c r="BO142" s="1">
        <v>-1.7163146947910962E-3</v>
      </c>
      <c r="BP142" s="1">
        <v>-1.0558178230625909E-3</v>
      </c>
      <c r="BQ142" s="1">
        <v>1.1746080475857026E-2</v>
      </c>
      <c r="BR142" s="1">
        <v>-2.2268631504681724E-2</v>
      </c>
      <c r="BS142" s="1">
        <v>1.6937007069581206E-2</v>
      </c>
      <c r="BT142" s="1">
        <v>-1.2286202747525662E-2</v>
      </c>
      <c r="BU142" s="1">
        <v>3.0196375851820945E-2</v>
      </c>
      <c r="BV142" s="1">
        <v>-2.854167089413287E-3</v>
      </c>
      <c r="BW142" s="1">
        <v>1.3624095664882263E-2</v>
      </c>
      <c r="BX142" s="1">
        <v>-1.0067449194389635E-2</v>
      </c>
      <c r="BY142" s="1">
        <v>-5.079548989073826E-3</v>
      </c>
      <c r="BZ142" s="1">
        <v>3.2875550302728651E-4</v>
      </c>
      <c r="CA142" s="1">
        <v>1.4162850080656347E-3</v>
      </c>
      <c r="CB142" s="1">
        <v>2.1548197531170918E-2</v>
      </c>
      <c r="CC142" s="1">
        <v>1.1028632368020194E-2</v>
      </c>
      <c r="CD142" s="1">
        <v>-2.0884058178591847E-2</v>
      </c>
      <c r="CE142" s="1">
        <v>-1.0901629421435785E-2</v>
      </c>
      <c r="CF142" s="1">
        <v>-1.811491152641212E-2</v>
      </c>
      <c r="CG142" s="1">
        <v>-7.8420672947290687E-3</v>
      </c>
      <c r="CH142" s="1">
        <v>2.017025255160558E-2</v>
      </c>
      <c r="CI142" s="1">
        <v>1.2586889049427716E-2</v>
      </c>
      <c r="CJ142" s="1">
        <v>1.3421069276473893E-2</v>
      </c>
      <c r="CK142" s="1">
        <v>6.1574642819137437E-3</v>
      </c>
      <c r="CL142" s="1">
        <v>1.1258695335386731E-3</v>
      </c>
      <c r="CM142" s="1">
        <v>-2.6804837340956289E-3</v>
      </c>
      <c r="CN142" s="1">
        <v>2.5607657492123653E-3</v>
      </c>
      <c r="CO142" s="1">
        <v>-5.6166853950685158E-3</v>
      </c>
      <c r="CP142" s="1">
        <v>2.4307769369539822E-3</v>
      </c>
      <c r="CQ142" s="1">
        <v>-6.877898255424536E-3</v>
      </c>
      <c r="CR142" s="1">
        <v>-1.5048721053180864E-2</v>
      </c>
      <c r="CS142" s="1">
        <v>2.1202338381795527E-4</v>
      </c>
      <c r="CT142" s="1">
        <v>-1.0314170125857308E-2</v>
      </c>
      <c r="CU142" s="1">
        <v>-2.136718981576427E-3</v>
      </c>
      <c r="CV142" s="1">
        <v>-4.2387404155031505E-3</v>
      </c>
      <c r="CW142" s="1">
        <v>-1.0184181313598925E-2</v>
      </c>
      <c r="CX142" s="1">
        <v>-1.1725499422719082E-3</v>
      </c>
      <c r="CY142" s="1">
        <v>5.2258530455396496E-2</v>
      </c>
      <c r="CZ142" s="1">
        <v>1.6865873495292394E-2</v>
      </c>
      <c r="DA142" s="1">
        <v>2.293467485912204E-2</v>
      </c>
      <c r="DB142" s="1">
        <v>5.6222318777802982E-3</v>
      </c>
      <c r="DC142" s="1">
        <v>3.2670382684810428E-2</v>
      </c>
      <c r="DD142" s="1">
        <v>2.0832653425195358E-2</v>
      </c>
      <c r="DE142" s="1">
        <v>8.1512859450168645E-3</v>
      </c>
      <c r="DF142" s="1">
        <v>1.418189009926879E-3</v>
      </c>
      <c r="DG142" s="1">
        <v>7.7972908878570502E-3</v>
      </c>
      <c r="DH142" s="1">
        <v>4.5582384756414851E-2</v>
      </c>
      <c r="DI142" s="1">
        <v>1.6315480396248694E-2</v>
      </c>
      <c r="DJ142" s="1">
        <v>1.434344777458034E-2</v>
      </c>
      <c r="DK142" s="1">
        <v>2.419588771947806E-2</v>
      </c>
      <c r="DL142" s="1">
        <v>2.6427897965663139E-2</v>
      </c>
      <c r="DM142" s="1">
        <v>5.1968114980869534E-2</v>
      </c>
      <c r="DN142" s="1">
        <v>3.8375730997963042E-2</v>
      </c>
      <c r="DO142" s="1">
        <v>3.81725426490509E-3</v>
      </c>
      <c r="DP142" s="1">
        <v>1.9912178928950086E-2</v>
      </c>
      <c r="DQ142" s="1">
        <v>3.8695489505580744E-2</v>
      </c>
      <c r="DR142" s="1">
        <v>-8.0072183016609566E-3</v>
      </c>
      <c r="DS142" s="1">
        <v>3.6273709564036305E-2</v>
      </c>
      <c r="DT142" s="1">
        <v>2.3955795134534885E-2</v>
      </c>
      <c r="DU142" s="1">
        <v>1.5127305112042688E-2</v>
      </c>
      <c r="DV142" s="1">
        <v>7.5505699563893497E-3</v>
      </c>
      <c r="DW142" s="1">
        <v>2.1723784888349834E-2</v>
      </c>
      <c r="DX142" s="1">
        <v>-1.0539138212013743E-3</v>
      </c>
      <c r="DY142" s="1">
        <v>7.0068052038701756E-3</v>
      </c>
      <c r="DZ142" s="1">
        <v>5.4988714120464549E-3</v>
      </c>
      <c r="EA142" s="1">
        <v>2.7805842945228504E-2</v>
      </c>
      <c r="EB142" s="1">
        <v>-1.3552139952544964E-2</v>
      </c>
      <c r="EC142" s="1">
        <v>9.1752358674223877E-3</v>
      </c>
      <c r="ED142" s="1">
        <v>4.6448061454267275E-3</v>
      </c>
      <c r="EE142" s="1">
        <v>3.5019125050204825E-2</v>
      </c>
      <c r="EF142" s="1">
        <v>-1.5053445397844173E-2</v>
      </c>
      <c r="EG142" s="1">
        <v>-1.9497580850640753E-2</v>
      </c>
      <c r="EH142" s="1">
        <v>3.4838813348362641E-2</v>
      </c>
      <c r="EI142" s="1">
        <v>4.4081079311115628E-2</v>
      </c>
      <c r="EJ142" s="1">
        <v>3.273489512385902E-3</v>
      </c>
      <c r="EK142" s="1">
        <v>5.9192756988317996E-3</v>
      </c>
      <c r="EL142" s="1">
        <v>2.281131439338821E-2</v>
      </c>
      <c r="EM142" s="1">
        <v>4.5291969281887862E-2</v>
      </c>
      <c r="EN142" s="1">
        <v>3.7237878603340852E-2</v>
      </c>
      <c r="EO142" s="1">
        <v>1.6865873495292394E-2</v>
      </c>
      <c r="EP142" s="1">
        <v>3.6694113850821664E-2</v>
      </c>
      <c r="EQ142" s="1">
        <v>5.0576913308255145E-2</v>
      </c>
      <c r="ER142" s="1">
        <v>3.904285621621606E-2</v>
      </c>
      <c r="ES142" s="1">
        <v>1.6692190139974722E-2</v>
      </c>
      <c r="ET142" s="1">
        <v>1.8243818474857759E-2</v>
      </c>
      <c r="EU142" s="1">
        <v>3.7288201492924666E-2</v>
      </c>
      <c r="EV142" s="10">
        <v>6.3396799856171443E-3</v>
      </c>
    </row>
    <row r="143" spans="1:152" x14ac:dyDescent="0.25">
      <c r="A143" s="21">
        <f t="shared" ca="1" si="2"/>
        <v>3.3327000846419902E-2</v>
      </c>
      <c r="B143" s="5">
        <v>142</v>
      </c>
      <c r="C143" s="9">
        <v>-2.4945211753699126E-3</v>
      </c>
      <c r="D143" s="1">
        <v>1.5035884245846315E-3</v>
      </c>
      <c r="E143" s="1">
        <v>-1.3471888087529943E-3</v>
      </c>
      <c r="F143" s="1">
        <v>-8.1575261590975667E-4</v>
      </c>
      <c r="G143" s="1">
        <v>-3.9199097920387255E-3</v>
      </c>
      <c r="H143" s="1">
        <v>4.5424182028371007E-3</v>
      </c>
      <c r="I143" s="1">
        <v>1.0538403505685606E-3</v>
      </c>
      <c r="J143" s="1">
        <v>-1.9630849825266611E-3</v>
      </c>
      <c r="K143" s="1">
        <v>2.4711976977671857E-4</v>
      </c>
      <c r="L143" s="1">
        <v>-4.2796541609177452E-3</v>
      </c>
      <c r="M143" s="1">
        <v>-3.1104173491435932E-3</v>
      </c>
      <c r="N143" s="1">
        <v>-2.8570374063522502E-3</v>
      </c>
      <c r="O143" s="1">
        <v>-3.7482179680745215E-3</v>
      </c>
      <c r="P143" s="1">
        <v>-5.9830990276384527E-3</v>
      </c>
      <c r="Q143" s="1">
        <v>-4.2577497157605115E-3</v>
      </c>
      <c r="R143" s="1">
        <v>9.9128481479535124E-4</v>
      </c>
      <c r="S143" s="1">
        <v>4.5424182028371007E-3</v>
      </c>
      <c r="T143" s="1">
        <v>2.3103090053764597E-3</v>
      </c>
      <c r="U143" s="1">
        <v>2.0569290625851305E-3</v>
      </c>
      <c r="V143" s="1">
        <v>-6.2492820889160916E-4</v>
      </c>
      <c r="W143" s="1">
        <v>-1.7518013487551054E-4</v>
      </c>
      <c r="X143" s="1">
        <v>5.1583143766107675E-3</v>
      </c>
      <c r="Y143" s="1">
        <v>-5.707814639689876E-3</v>
      </c>
      <c r="Z143" s="1">
        <v>1.3876794176381241E-2</v>
      </c>
      <c r="AA143" s="1">
        <v>-2.8570374063522502E-3</v>
      </c>
      <c r="AB143" s="1">
        <v>1.9505646364974122E-3</v>
      </c>
      <c r="AC143" s="1">
        <v>7.6465753789660695E-3</v>
      </c>
      <c r="AD143" s="1">
        <v>-2.047544963457118E-3</v>
      </c>
      <c r="AE143" s="1">
        <v>-1.0691325587010997E-3</v>
      </c>
      <c r="AF143" s="1">
        <v>-1.3471888087529943E-3</v>
      </c>
      <c r="AG143" s="1">
        <v>7.8199807915818598E-5</v>
      </c>
      <c r="AH143" s="1">
        <v>9.4344802266172201E-3</v>
      </c>
      <c r="AI143" s="1">
        <v>-1.27228495727396E-2</v>
      </c>
      <c r="AJ143" s="1">
        <v>-7.5555031610109041E-3</v>
      </c>
      <c r="AK143" s="1">
        <v>5.2517601982861317E-4</v>
      </c>
      <c r="AL143" s="1">
        <v>-6.2601730146244483E-6</v>
      </c>
      <c r="AM143" s="1">
        <v>-7.0661632771876204E-4</v>
      </c>
      <c r="AN143" s="1">
        <v>-9.1717161846978645E-3</v>
      </c>
      <c r="AO143" s="1">
        <v>-7.3129263497929975E-4</v>
      </c>
      <c r="AP143" s="1">
        <v>-1.5161087706138804E-3</v>
      </c>
      <c r="AQ143" s="1">
        <v>1.863332793463679E-3</v>
      </c>
      <c r="AR143" s="1">
        <v>1.1369400590972009E-2</v>
      </c>
      <c r="AS143" s="1">
        <v>-2.6881174444913364E-3</v>
      </c>
      <c r="AT143" s="1">
        <v>1.6277823335702775E-2</v>
      </c>
      <c r="AU143" s="1">
        <v>4.1799019718547492E-3</v>
      </c>
      <c r="AV143" s="1">
        <v>5.8614423934182092E-3</v>
      </c>
      <c r="AW143" s="1">
        <v>-5.4297583896379814E-3</v>
      </c>
      <c r="AX143" s="1">
        <v>-1.794165020665775E-3</v>
      </c>
      <c r="AY143" s="1">
        <v>-3.5573935610563739E-3</v>
      </c>
      <c r="AZ143" s="1">
        <v>-9.8467257777064277E-4</v>
      </c>
      <c r="BA143" s="1">
        <v>4.1042278880532024E-3</v>
      </c>
      <c r="BB143" s="1">
        <v>6.2272007973228627E-3</v>
      </c>
      <c r="BC143" s="1">
        <v>9.4404942616428122E-3</v>
      </c>
      <c r="BD143" s="1">
        <v>1.4004661714192429E-3</v>
      </c>
      <c r="BE143" s="1">
        <v>1.0587826628259717E-2</v>
      </c>
      <c r="BF143" s="1">
        <v>-2.5976434285352873E-3</v>
      </c>
      <c r="BG143" s="1">
        <v>9.6066423614004082E-3</v>
      </c>
      <c r="BH143" s="1">
        <v>-1.6674294047052604E-2</v>
      </c>
      <c r="BI143" s="1">
        <v>4.4673007392374842E-4</v>
      </c>
      <c r="BJ143" s="1">
        <v>9.5071809740315816E-4</v>
      </c>
      <c r="BK143" s="1">
        <v>-1.2313668216115736E-2</v>
      </c>
      <c r="BL143" s="1">
        <v>5.9491445472709681E-3</v>
      </c>
      <c r="BM143" s="1">
        <v>-9.8007309064999104E-3</v>
      </c>
      <c r="BN143" s="1">
        <v>3.0166791951061755E-3</v>
      </c>
      <c r="BO143" s="1">
        <v>-4.0230320452041141E-3</v>
      </c>
      <c r="BP143" s="1">
        <v>3.7417116570708647E-3</v>
      </c>
      <c r="BQ143" s="1">
        <v>4.6082159115325982E-3</v>
      </c>
      <c r="BR143" s="1">
        <v>-1.5586745354105591E-2</v>
      </c>
      <c r="BS143" s="1">
        <v>1.5117372421057484E-2</v>
      </c>
      <c r="BT143" s="1">
        <v>-9.7190427876727575E-3</v>
      </c>
      <c r="BU143" s="1">
        <v>1.8406810279998034E-2</v>
      </c>
      <c r="BV143" s="1">
        <v>-8.097385808841645E-4</v>
      </c>
      <c r="BW143" s="1">
        <v>1.262911141870221E-2</v>
      </c>
      <c r="BX143" s="1">
        <v>-5.6145687616305368E-3</v>
      </c>
      <c r="BY143" s="1">
        <v>-4.4722234990181298E-4</v>
      </c>
      <c r="BZ143" s="1">
        <v>4.2731478499140885E-3</v>
      </c>
      <c r="CA143" s="1">
        <v>7.1239250832517143E-3</v>
      </c>
      <c r="CB143" s="1">
        <v>1.9134614604065986E-2</v>
      </c>
      <c r="CC143" s="1">
        <v>7.3745331639397671E-3</v>
      </c>
      <c r="CD143" s="1">
        <v>-1.5055309161262354E-2</v>
      </c>
      <c r="CE143" s="1">
        <v>-9.1876065948295199E-3</v>
      </c>
      <c r="CF143" s="1">
        <v>-1.3992436775575892E-2</v>
      </c>
      <c r="CG143" s="1">
        <v>-5.9770849926128605E-3</v>
      </c>
      <c r="CH143" s="1">
        <v>1.4136188154198176E-2</v>
      </c>
      <c r="CI143" s="1">
        <v>3.7142634877070368E-3</v>
      </c>
      <c r="CJ143" s="1">
        <v>7.2873013209060478E-3</v>
      </c>
      <c r="CK143" s="1">
        <v>8.546541837817237E-3</v>
      </c>
      <c r="CL143" s="1">
        <v>4.9762758667215162E-3</v>
      </c>
      <c r="CM143" s="1">
        <v>-5.0014444499601324E-3</v>
      </c>
      <c r="CN143" s="1">
        <v>-5.5635863809280761E-4</v>
      </c>
      <c r="CO143" s="1">
        <v>-6.3396012235951982E-3</v>
      </c>
      <c r="CP143" s="1">
        <v>2.0382667903501572E-3</v>
      </c>
      <c r="CQ143" s="1">
        <v>-4.9986725878568422E-3</v>
      </c>
      <c r="CR143" s="1">
        <v>-1.5248905430383791E-2</v>
      </c>
      <c r="CS143" s="1">
        <v>-2.0662072356920774E-3</v>
      </c>
      <c r="CT143" s="1">
        <v>-9.3592984187937101E-3</v>
      </c>
      <c r="CU143" s="1">
        <v>-3.5760558332913195E-3</v>
      </c>
      <c r="CV143" s="1">
        <v>-1.3411747737273882E-3</v>
      </c>
      <c r="CW143" s="1">
        <v>-1.1953923847236689E-2</v>
      </c>
      <c r="CX143" s="1">
        <v>-2.5976434285352873E-3</v>
      </c>
      <c r="CY143" s="1">
        <v>3.829797912692387E-2</v>
      </c>
      <c r="CZ143" s="1">
        <v>1.3104591411417871E-2</v>
      </c>
      <c r="DA143" s="1">
        <v>2.5589705313508765E-2</v>
      </c>
      <c r="DB143" s="1">
        <v>8.5778174807233931E-3</v>
      </c>
      <c r="DC143" s="1">
        <v>2.7712678222778425E-2</v>
      </c>
      <c r="DD143" s="1">
        <v>2.7824586373072696E-2</v>
      </c>
      <c r="DE143" s="1">
        <v>1.4289699522221089E-3</v>
      </c>
      <c r="DF143" s="1">
        <v>1.3047579599851256E-2</v>
      </c>
      <c r="DG143" s="1">
        <v>1.4279371947398631E-2</v>
      </c>
      <c r="DH143" s="1">
        <v>3.9385527819870897E-2</v>
      </c>
      <c r="DI143" s="1">
        <v>1.6146193051773644E-2</v>
      </c>
      <c r="DJ143" s="1">
        <v>1.5786448682894583E-2</v>
      </c>
      <c r="DK143" s="1">
        <v>2.4248776677770409E-2</v>
      </c>
      <c r="DL143" s="1">
        <v>1.9419270189763499E-2</v>
      </c>
      <c r="DM143" s="1">
        <v>3.6150329910393686E-2</v>
      </c>
      <c r="DN143" s="1">
        <v>3.0113707382099952E-2</v>
      </c>
      <c r="DO143" s="1">
        <v>8.4933574997929501E-3</v>
      </c>
      <c r="DP143" s="1">
        <v>2.5249093527683703E-2</v>
      </c>
      <c r="DQ143" s="1">
        <v>4.1794872565502295E-2</v>
      </c>
      <c r="DR143" s="1">
        <v>-3.2871486396190974E-4</v>
      </c>
      <c r="DS143" s="1">
        <v>3.2348588441663884E-2</v>
      </c>
      <c r="DT143" s="1">
        <v>1.6037056763582636E-2</v>
      </c>
      <c r="DU143" s="1">
        <v>2.5423557213751169E-2</v>
      </c>
      <c r="DV143" s="1">
        <v>1.0534642290235444E-2</v>
      </c>
      <c r="DW143" s="1">
        <v>2.0866563251589559E-2</v>
      </c>
      <c r="DX143" s="1">
        <v>9.6653661736704061E-3</v>
      </c>
      <c r="DY143" s="1">
        <v>9.1092536735666446E-3</v>
      </c>
      <c r="DZ143" s="1">
        <v>6.7054526521417995E-3</v>
      </c>
      <c r="EA143" s="1">
        <v>2.4417696639631309E-2</v>
      </c>
      <c r="EB143" s="1">
        <v>2.012530621689726E-3</v>
      </c>
      <c r="EC143" s="1">
        <v>1.9277798397266427E-2</v>
      </c>
      <c r="ED143" s="1">
        <v>1.6533385590016519E-2</v>
      </c>
      <c r="EE143" s="1">
        <v>2.9222526820377681E-2</v>
      </c>
      <c r="EF143" s="1">
        <v>-4.8582606567596776E-3</v>
      </c>
      <c r="EG143" s="1">
        <v>-8.6002184518195884E-3</v>
      </c>
      <c r="EH143" s="1">
        <v>3.7881222946478207E-2</v>
      </c>
      <c r="EI143" s="1">
        <v>3.251473654142148E-2</v>
      </c>
      <c r="EJ143" s="1">
        <v>7.0679688831241511E-3</v>
      </c>
      <c r="EK143" s="1">
        <v>6.2584764402290188E-3</v>
      </c>
      <c r="EL143" s="1">
        <v>2.3717340484927185E-2</v>
      </c>
      <c r="EM143" s="1">
        <v>3.7237878603340699E-2</v>
      </c>
      <c r="EN143" s="1">
        <v>3.3327000846419902E-2</v>
      </c>
      <c r="EO143" s="1">
        <v>1.3104591411417871E-2</v>
      </c>
      <c r="EP143" s="1">
        <v>3.1901612229751075E-2</v>
      </c>
      <c r="EQ143" s="1">
        <v>4.0085883974575021E-2</v>
      </c>
      <c r="ER143" s="1">
        <v>3.3411460827350345E-2</v>
      </c>
      <c r="ES143" s="1">
        <v>1.7296297280493839E-2</v>
      </c>
      <c r="ET143" s="1">
        <v>1.8103017861285681E-2</v>
      </c>
      <c r="EU143" s="1">
        <v>2.7262930148762327E-2</v>
      </c>
      <c r="EV143" s="10">
        <v>5.8115002283162381E-3</v>
      </c>
    </row>
    <row r="144" spans="1:152" x14ac:dyDescent="0.25">
      <c r="A144" s="21">
        <f t="shared" ca="1" si="2"/>
        <v>3.597163565794026E-2</v>
      </c>
      <c r="B144" s="5">
        <v>143</v>
      </c>
      <c r="C144" s="9">
        <v>-1.716692005292092E-3</v>
      </c>
      <c r="D144" s="1">
        <v>1.9324261361553935E-3</v>
      </c>
      <c r="E144" s="1">
        <v>6.1038167297379903E-3</v>
      </c>
      <c r="F144" s="1">
        <v>8.0402913259192688E-3</v>
      </c>
      <c r="G144" s="1">
        <v>3.6900329149919947E-4</v>
      </c>
      <c r="H144" s="1">
        <v>-7.9732810617272817E-3</v>
      </c>
      <c r="I144" s="1">
        <v>8.0032345677361338E-3</v>
      </c>
      <c r="J144" s="1">
        <v>2.1978259088916569E-4</v>
      </c>
      <c r="K144" s="1">
        <v>1.1913240518281798E-2</v>
      </c>
      <c r="L144" s="1">
        <v>2.2679242955586029E-3</v>
      </c>
      <c r="M144" s="1">
        <v>-7.6007261441409235E-3</v>
      </c>
      <c r="N144" s="1">
        <v>4.2419524838617426E-3</v>
      </c>
      <c r="O144" s="1">
        <v>4.2043988917398745E-3</v>
      </c>
      <c r="P144" s="1">
        <v>1.4259823624171303E-2</v>
      </c>
      <c r="Q144" s="1">
        <v>-1.5421234879171006E-2</v>
      </c>
      <c r="R144" s="1">
        <v>-1.3633484149661056E-2</v>
      </c>
      <c r="S144" s="1">
        <v>-7.9732810617272817E-3</v>
      </c>
      <c r="T144" s="1">
        <v>-1.9775798143902845E-3</v>
      </c>
      <c r="U144" s="1">
        <v>-1.3820258442392958E-2</v>
      </c>
      <c r="V144" s="1">
        <v>-1.7537487634752408E-3</v>
      </c>
      <c r="W144" s="1">
        <v>-7.8245571950559742E-3</v>
      </c>
      <c r="X144" s="1">
        <v>-2.0892469228784433E-3</v>
      </c>
      <c r="Y144" s="1">
        <v>8.4133430774443463E-3</v>
      </c>
      <c r="Z144" s="1">
        <v>-2.6485761331967034E-3</v>
      </c>
      <c r="AA144" s="1">
        <v>4.2419524838617426E-3</v>
      </c>
      <c r="AB144" s="1">
        <v>-7.8658810330894946E-5</v>
      </c>
      <c r="AC144" s="1">
        <v>-3.0199302730721939E-4</v>
      </c>
      <c r="AD144" s="1">
        <v>-3.7277769517783804E-3</v>
      </c>
      <c r="AE144" s="1">
        <v>-3.8023873020833973E-3</v>
      </c>
      <c r="AF144" s="1">
        <v>6.1038167297379903E-3</v>
      </c>
      <c r="AG144" s="1">
        <v>4.0181214329466988E-3</v>
      </c>
      <c r="AH144" s="1">
        <v>-8.3463328132523593E-3</v>
      </c>
      <c r="AI144" s="1">
        <v>-3.0192270408500935E-3</v>
      </c>
      <c r="AJ144" s="1">
        <v>-9.2387593391021205E-3</v>
      </c>
      <c r="AK144" s="1">
        <v>2.0070364864604104E-3</v>
      </c>
      <c r="AL144" s="1">
        <v>7.0561890279138839E-5</v>
      </c>
      <c r="AM144" s="1">
        <v>-9.7610317912372319E-3</v>
      </c>
      <c r="AN144" s="1">
        <v>2.6409760470836804E-3</v>
      </c>
      <c r="AO144" s="1">
        <v>1.1987850868586808E-2</v>
      </c>
      <c r="AP144" s="1">
        <v>-1.7913023555971089E-3</v>
      </c>
      <c r="AQ144" s="1">
        <v>3.3505132095990042E-5</v>
      </c>
      <c r="AR144" s="1">
        <v>9.1936056608672295E-3</v>
      </c>
      <c r="AS144" s="1">
        <v>1.2137071569196842E-2</v>
      </c>
      <c r="AT144" s="1">
        <v>-7.4915829519858756E-4</v>
      </c>
      <c r="AU144" s="1">
        <v>-2.0146365725734333E-3</v>
      </c>
      <c r="AV144" s="1">
        <v>3.6826232735434894E-3</v>
      </c>
      <c r="AW144" s="1">
        <v>-1.4928609543770482E-3</v>
      </c>
      <c r="AX144" s="1">
        <v>8.1149016762242926E-3</v>
      </c>
      <c r="AY144" s="1">
        <v>-5.5896411976546212E-3</v>
      </c>
      <c r="AZ144" s="1">
        <v>1.4517224058414879E-4</v>
      </c>
      <c r="BA144" s="1">
        <v>-2.1270176303034894E-2</v>
      </c>
      <c r="BB144" s="1">
        <v>-9.4645544332153837E-3</v>
      </c>
      <c r="BC144" s="1">
        <v>-1.9594589515951825E-2</v>
      </c>
      <c r="BD144" s="1">
        <v>8.4854925506124279E-3</v>
      </c>
      <c r="BE144" s="1">
        <v>-1.1774080780921719E-2</v>
      </c>
      <c r="BF144" s="1">
        <v>4.8363744091649286E-3</v>
      </c>
      <c r="BG144" s="1">
        <v>-7.6397469455222605E-3</v>
      </c>
      <c r="BH144" s="1">
        <v>2.1409276007129725E-2</v>
      </c>
      <c r="BI144" s="1">
        <v>-1.3188779758906595E-2</v>
      </c>
      <c r="BJ144" s="1">
        <v>1.4556300982193154E-2</v>
      </c>
      <c r="BK144" s="1">
        <v>1.9099749659423376E-2</v>
      </c>
      <c r="BL144" s="1">
        <v>4.4164959860600039E-4</v>
      </c>
      <c r="BM144" s="1">
        <v>-8.6187910482943275E-4</v>
      </c>
      <c r="BN144" s="1">
        <v>-3.3942428355733731E-3</v>
      </c>
      <c r="BO144" s="1">
        <v>6.9220697059562478E-3</v>
      </c>
      <c r="BP144" s="1">
        <v>-1.5311531813881056E-2</v>
      </c>
      <c r="BQ144" s="1">
        <v>6.4749044380648796E-3</v>
      </c>
      <c r="BR144" s="1">
        <v>3.5333425396682216E-3</v>
      </c>
      <c r="BS144" s="1">
        <v>-6.1884880432929723E-3</v>
      </c>
      <c r="BT144" s="1">
        <v>7.1454039229325722E-3</v>
      </c>
      <c r="BU144" s="1">
        <v>-1.9179312807854343E-4</v>
      </c>
      <c r="BV144" s="1">
        <v>-3.2079653767801974E-3</v>
      </c>
      <c r="BW144" s="1">
        <v>-7.9757419388641893E-3</v>
      </c>
      <c r="BX144" s="1">
        <v>-2.9470775676820049E-3</v>
      </c>
      <c r="BY144" s="1">
        <v>-9.1666098659340459E-3</v>
      </c>
      <c r="BZ144" s="1">
        <v>-1.3375057217699771E-2</v>
      </c>
      <c r="CA144" s="1">
        <v>-1.7546447811282378E-2</v>
      </c>
      <c r="CB144" s="1">
        <v>-1.6168805591480651E-2</v>
      </c>
      <c r="CC144" s="1">
        <v>-1.6440456981852911E-3</v>
      </c>
      <c r="CD144" s="1">
        <v>5.4698171358494793E-3</v>
      </c>
      <c r="CE144" s="1">
        <v>9.0818785191138299E-3</v>
      </c>
      <c r="CF144" s="1">
        <v>9.3427663282120224E-3</v>
      </c>
      <c r="CG144" s="1">
        <v>3.0115669214718366E-3</v>
      </c>
      <c r="CH144" s="1">
        <v>-2.0541542078935104E-3</v>
      </c>
      <c r="CI144" s="1">
        <v>1.0497074331037429E-2</v>
      </c>
      <c r="CJ144" s="1">
        <v>-1.5318817557584061E-3</v>
      </c>
      <c r="CK144" s="1">
        <v>-1.5572419622979249E-2</v>
      </c>
      <c r="CL144" s="1">
        <v>-7.6031870212778345E-3</v>
      </c>
      <c r="CM144" s="1">
        <v>6.9966800562612647E-3</v>
      </c>
      <c r="CN144" s="1">
        <v>8.6347132512224617E-3</v>
      </c>
      <c r="CO144" s="1">
        <v>8.9702114106256711E-3</v>
      </c>
      <c r="CP144" s="1">
        <v>-3.3196324852683562E-3</v>
      </c>
      <c r="CQ144" s="1">
        <v>2.9369565711668197E-3</v>
      </c>
      <c r="CR144" s="1">
        <v>1.932358071033842E-2</v>
      </c>
      <c r="CS144" s="1">
        <v>6.7728490053462209E-3</v>
      </c>
      <c r="CT144" s="1">
        <v>5.2464829188731549E-3</v>
      </c>
      <c r="CU144" s="1">
        <v>4.9109847594699454E-3</v>
      </c>
      <c r="CV144" s="1">
        <v>-5.1444399729614829E-3</v>
      </c>
      <c r="CW144" s="1">
        <v>1.7200828655363987E-2</v>
      </c>
      <c r="CX144" s="1">
        <v>4.8363744091649286E-3</v>
      </c>
      <c r="CY144" s="1">
        <v>2.4798546172749777E-2</v>
      </c>
      <c r="CZ144" s="1">
        <v>3.597163565794026E-2</v>
      </c>
      <c r="DA144" s="1">
        <v>9.5295867863372241E-3</v>
      </c>
      <c r="DB144" s="1">
        <v>2.6326319435217065E-2</v>
      </c>
      <c r="DC144" s="1">
        <v>2.1335208656156734E-2</v>
      </c>
      <c r="DD144" s="1">
        <v>-5.258379460942042E-4</v>
      </c>
      <c r="DE144" s="1">
        <v>5.4443955093903165E-2</v>
      </c>
      <c r="DF144" s="1">
        <v>6.2154699703542097E-3</v>
      </c>
      <c r="DG144" s="1">
        <v>1.798353824805185E-2</v>
      </c>
      <c r="DH144" s="1">
        <v>6.9226127052882443E-3</v>
      </c>
      <c r="DI144" s="1">
        <v>2.200620497496315E-2</v>
      </c>
      <c r="DJ144" s="1">
        <v>2.3905125979022539E-2</v>
      </c>
      <c r="DK144" s="1">
        <v>1.5562841625796076E-2</v>
      </c>
      <c r="DL144" s="1">
        <v>3.7572612094718308E-2</v>
      </c>
      <c r="DM144" s="1">
        <v>3.4741806962754307E-2</v>
      </c>
      <c r="DN144" s="1">
        <v>2.3234626494154847E-2</v>
      </c>
      <c r="DO144" s="1">
        <v>2.2378759892549505E-2</v>
      </c>
      <c r="DP144" s="1">
        <v>-2.2009278992385761E-3</v>
      </c>
      <c r="DQ144" s="1">
        <v>-3.3571399119969527E-3</v>
      </c>
      <c r="DR144" s="1">
        <v>3.2619965249835375E-2</v>
      </c>
      <c r="DS144" s="1">
        <v>1.3179201761723418E-2</v>
      </c>
      <c r="DT144" s="1">
        <v>3.9807528092119654E-2</v>
      </c>
      <c r="DU144" s="1">
        <v>-2.4252557840923452E-3</v>
      </c>
      <c r="DV144" s="1">
        <v>2.6177098734607034E-2</v>
      </c>
      <c r="DW144" s="1">
        <v>1.7797757623197397E-2</v>
      </c>
      <c r="DX144" s="1">
        <v>8.4503859677555297E-3</v>
      </c>
      <c r="DY144" s="1">
        <v>2.8262794031398308E-2</v>
      </c>
      <c r="DZ144" s="1">
        <v>3.0423099678494644E-2</v>
      </c>
      <c r="EA144" s="1">
        <v>2.3457960711131171E-2</v>
      </c>
      <c r="EB144" s="1">
        <v>8.8229408853418845E-3</v>
      </c>
      <c r="EC144" s="1">
        <v>3.8688868644646997E-3</v>
      </c>
      <c r="ED144" s="1">
        <v>-5.701322174014767E-3</v>
      </c>
      <c r="EE144" s="1">
        <v>2.3197072902032979E-2</v>
      </c>
      <c r="EF144" s="1">
        <v>2.7034372512206629E-2</v>
      </c>
      <c r="EG144" s="1">
        <v>3.1168209513667354E-2</v>
      </c>
      <c r="EH144" s="1">
        <v>-3.0586985107768907E-3</v>
      </c>
      <c r="EI144" s="1">
        <v>2.5134044332152987E-2</v>
      </c>
      <c r="EJ144" s="1">
        <v>2.4464455189340796E-2</v>
      </c>
      <c r="EK144" s="1">
        <v>3.2434184624980919E-2</v>
      </c>
      <c r="EL144" s="1">
        <v>1.362636702961479E-2</v>
      </c>
      <c r="EM144" s="1">
        <v>1.6865873495292789E-2</v>
      </c>
      <c r="EN144" s="1">
        <v>1.3104591411418405E-2</v>
      </c>
      <c r="EO144" s="1">
        <v>3.597163565794026E-2</v>
      </c>
      <c r="EP144" s="1">
        <v>1.5190286708209721E-2</v>
      </c>
      <c r="EQ144" s="1">
        <v>1.6754206386804627E-2</v>
      </c>
      <c r="ER144" s="1">
        <v>1.7052150954085965E-2</v>
      </c>
      <c r="ES144" s="1">
        <v>2.5766990224898811E-2</v>
      </c>
      <c r="ET144" s="1">
        <v>2.185698427435312E-2</v>
      </c>
      <c r="EU144" s="1">
        <v>2.740601708773744E-2</v>
      </c>
      <c r="EV144" s="10">
        <v>3.4445269571467194E-2</v>
      </c>
    </row>
    <row r="145" spans="1:152" x14ac:dyDescent="0.25">
      <c r="A145" s="21">
        <f t="shared" ca="1" si="2"/>
        <v>3.2288206549345708E-2</v>
      </c>
      <c r="B145" s="5">
        <v>144</v>
      </c>
      <c r="C145" s="9">
        <v>-2.0550612311683245E-3</v>
      </c>
      <c r="D145" s="1">
        <v>-2.7691020601051317E-3</v>
      </c>
      <c r="E145" s="1">
        <v>-1.9959134209160331E-3</v>
      </c>
      <c r="F145" s="1">
        <v>-2.034241806500324E-3</v>
      </c>
      <c r="G145" s="1">
        <v>-1.6684669115737891E-3</v>
      </c>
      <c r="H145" s="1">
        <v>7.1608566522942535E-3</v>
      </c>
      <c r="I145" s="1">
        <v>3.047377938328065E-3</v>
      </c>
      <c r="J145" s="1">
        <v>-2.0933896167526153E-3</v>
      </c>
      <c r="K145" s="1">
        <v>-2.1108985776688918E-3</v>
      </c>
      <c r="L145" s="1">
        <v>-7.000876394575889E-3</v>
      </c>
      <c r="M145" s="1">
        <v>-2.1525374270048928E-3</v>
      </c>
      <c r="N145" s="1">
        <v>-1.7451236827423569E-3</v>
      </c>
      <c r="O145" s="1">
        <v>-7.0392047801601659E-3</v>
      </c>
      <c r="P145" s="1">
        <v>-6.168539945134513E-3</v>
      </c>
      <c r="Q145" s="1">
        <v>-2.2116852372571841E-3</v>
      </c>
      <c r="R145" s="1">
        <v>7.7007645142259107E-3</v>
      </c>
      <c r="S145" s="1">
        <v>7.1608566522942535E-3</v>
      </c>
      <c r="T145" s="1">
        <v>2.389174455891839E-3</v>
      </c>
      <c r="U145" s="1">
        <v>1.9817607116292754E-3</v>
      </c>
      <c r="V145" s="1">
        <v>3.0265585136600645E-3</v>
      </c>
      <c r="W145" s="1">
        <v>-2.7899214847731321E-3</v>
      </c>
      <c r="X145" s="1">
        <v>7.2583328481308357E-3</v>
      </c>
      <c r="Y145" s="1">
        <v>-9.7193504355327226E-4</v>
      </c>
      <c r="Z145" s="1">
        <v>1.0852723124833347E-2</v>
      </c>
      <c r="AA145" s="1">
        <v>-1.7451236827423569E-3</v>
      </c>
      <c r="AB145" s="1">
        <v>-2.9432350271102539E-3</v>
      </c>
      <c r="AC145" s="1">
        <v>6.7950817573677186E-3</v>
      </c>
      <c r="AD145" s="1">
        <v>-2.2291941981734606E-3</v>
      </c>
      <c r="AE145" s="1">
        <v>-2.4416555507628737E-3</v>
      </c>
      <c r="AF145" s="1">
        <v>-1.9959134209160331E-3</v>
      </c>
      <c r="AG145" s="1">
        <v>-2.3825077405105824E-3</v>
      </c>
      <c r="AH145" s="1">
        <v>6.0985498893472018E-3</v>
      </c>
      <c r="AI145" s="1">
        <v>-5.3986617696971662E-3</v>
      </c>
      <c r="AJ145" s="1">
        <v>-1.2643636310629633E-3</v>
      </c>
      <c r="AK145" s="1">
        <v>-2.5566407075157185E-3</v>
      </c>
      <c r="AL145" s="1">
        <v>-2.5183123219314277E-3</v>
      </c>
      <c r="AM145" s="1">
        <v>-2.7515930991888413E-3</v>
      </c>
      <c r="AN145" s="1">
        <v>-5.9385696316288372E-3</v>
      </c>
      <c r="AO145" s="1">
        <v>-1.8984372250794787E-3</v>
      </c>
      <c r="AP145" s="1">
        <v>-2.2675225837577376E-3</v>
      </c>
      <c r="AQ145" s="1">
        <v>2.5633074228969613E-3</v>
      </c>
      <c r="AR145" s="1">
        <v>8.8443602684967065E-4</v>
      </c>
      <c r="AS145" s="1">
        <v>-1.4735145199006525E-3</v>
      </c>
      <c r="AT145" s="1">
        <v>1.5896014484077459E-2</v>
      </c>
      <c r="AU145" s="1">
        <v>7.4707942007202349E-3</v>
      </c>
      <c r="AV145" s="1">
        <v>1.849266593960168E-3</v>
      </c>
      <c r="AW145" s="1">
        <v>-1.417677173400099E-3</v>
      </c>
      <c r="AX145" s="1">
        <v>-1.8217804539109109E-3</v>
      </c>
      <c r="AY145" s="1">
        <v>-1.9784044599997705E-3</v>
      </c>
      <c r="AZ145" s="1">
        <v>-2.3058509693420284E-3</v>
      </c>
      <c r="BA145" s="1">
        <v>2.3495434556241798E-3</v>
      </c>
      <c r="BB145" s="1">
        <v>7.8385769447151254E-3</v>
      </c>
      <c r="BC145" s="1">
        <v>6.7554507571000594E-3</v>
      </c>
      <c r="BD145" s="1">
        <v>-1.3948498996637429E-3</v>
      </c>
      <c r="BE145" s="1">
        <v>6.8145985673523368E-3</v>
      </c>
      <c r="BF145" s="1">
        <v>-6.8080907072696345E-4</v>
      </c>
      <c r="BG145" s="1">
        <v>1.2669406951369824E-2</v>
      </c>
      <c r="BH145" s="1">
        <v>-1.3470297806224066E-2</v>
      </c>
      <c r="BI145" s="1">
        <v>-2.0355444211837062E-3</v>
      </c>
      <c r="BJ145" s="1">
        <v>4.4216300987694537E-3</v>
      </c>
      <c r="BK145" s="1">
        <v>-1.4494276183586827E-2</v>
      </c>
      <c r="BL145" s="1">
        <v>8.2843190745619522E-3</v>
      </c>
      <c r="BM145" s="1">
        <v>-1.5810683148459292E-2</v>
      </c>
      <c r="BN145" s="1">
        <v>3.2793561009020963E-3</v>
      </c>
      <c r="BO145" s="1">
        <v>-2.9421475113241419E-4</v>
      </c>
      <c r="BP145" s="1">
        <v>2.6594810040501612E-3</v>
      </c>
      <c r="BQ145" s="1">
        <v>8.8067179755773328E-3</v>
      </c>
      <c r="BR145" s="1">
        <v>-1.4400110451501982E-2</v>
      </c>
      <c r="BS145" s="1">
        <v>6.0622293528312804E-3</v>
      </c>
      <c r="BT145" s="1">
        <v>-1.003253153561038E-2</v>
      </c>
      <c r="BU145" s="1">
        <v>2.2041948840921283E-2</v>
      </c>
      <c r="BV145" s="1">
        <v>-1.3773409387474803E-3</v>
      </c>
      <c r="BW145" s="1">
        <v>6.5254804435943836E-3</v>
      </c>
      <c r="BX145" s="1">
        <v>-5.8215766258076437E-3</v>
      </c>
      <c r="BY145" s="1">
        <v>-1.6872784871734478E-3</v>
      </c>
      <c r="BZ145" s="1">
        <v>2.6211526184658704E-3</v>
      </c>
      <c r="CA145" s="1">
        <v>1.8479639792767857E-3</v>
      </c>
      <c r="CB145" s="1">
        <v>1.5779726712641245E-2</v>
      </c>
      <c r="CC145" s="1">
        <v>7.8977247549674029E-3</v>
      </c>
      <c r="CD145" s="1">
        <v>-1.4438438837086273E-2</v>
      </c>
      <c r="CE145" s="1">
        <v>-1.0070859921194657E-2</v>
      </c>
      <c r="CF145" s="1">
        <v>-1.4515095608254827E-2</v>
      </c>
      <c r="CG145" s="1">
        <v>-5.5116390773816484E-3</v>
      </c>
      <c r="CH145" s="1">
        <v>1.1917037736848754E-2</v>
      </c>
      <c r="CI145" s="1">
        <v>9.1549839095875912E-3</v>
      </c>
      <c r="CJ145" s="1">
        <v>1.3404267204974618E-2</v>
      </c>
      <c r="CK145" s="1">
        <v>7.1037166911103317E-3</v>
      </c>
      <c r="CL145" s="1">
        <v>-2.7879136357047765E-3</v>
      </c>
      <c r="CM145" s="1">
        <v>-8.1753398543001066E-5</v>
      </c>
      <c r="CN145" s="1">
        <v>-9.6992719448491665E-4</v>
      </c>
      <c r="CO145" s="1">
        <v>-5.201701528955667E-3</v>
      </c>
      <c r="CP145" s="1">
        <v>3.4918174534915095E-3</v>
      </c>
      <c r="CQ145" s="1">
        <v>-5.7241004299710616E-3</v>
      </c>
      <c r="CR145" s="1">
        <v>-1.3856892125818601E-2</v>
      </c>
      <c r="CS145" s="1">
        <v>-7.1913745631122655E-4</v>
      </c>
      <c r="CT145" s="1">
        <v>-4.7001220526083007E-3</v>
      </c>
      <c r="CU145" s="1">
        <v>-4.6834771813755033E-4</v>
      </c>
      <c r="CV145" s="1">
        <v>-1.3390125531631894E-3</v>
      </c>
      <c r="CW145" s="1">
        <v>-9.1618667005847268E-3</v>
      </c>
      <c r="CX145" s="1">
        <v>-6.8080907072696345E-4</v>
      </c>
      <c r="CY145" s="1">
        <v>4.2259804111081101E-2</v>
      </c>
      <c r="CZ145" s="1">
        <v>1.5190286708209294E-2</v>
      </c>
      <c r="DA145" s="1">
        <v>2.2452413569031174E-2</v>
      </c>
      <c r="DB145" s="1">
        <v>1.0300308891302304E-2</v>
      </c>
      <c r="DC145" s="1">
        <v>2.7941447058122112E-2</v>
      </c>
      <c r="DD145" s="1">
        <v>2.1581748734005521E-2</v>
      </c>
      <c r="DE145" s="1">
        <v>7.4440893319562829E-3</v>
      </c>
      <c r="DF145" s="1">
        <v>8.558979221250998E-3</v>
      </c>
      <c r="DG145" s="1">
        <v>8.7539316129241485E-3</v>
      </c>
      <c r="DH145" s="1">
        <v>4.132999146580317E-2</v>
      </c>
      <c r="DI145" s="1">
        <v>1.9477898389180598E-2</v>
      </c>
      <c r="DJ145" s="1">
        <v>1.4145488906178519E-2</v>
      </c>
      <c r="DK145" s="1">
        <v>2.2974812470046554E-2</v>
      </c>
      <c r="DL145" s="1">
        <v>1.9383732657095754E-2</v>
      </c>
      <c r="DM145" s="1">
        <v>3.7623926496099525E-2</v>
      </c>
      <c r="DN145" s="1">
        <v>3.2984738417366224E-2</v>
      </c>
      <c r="DO145" s="1">
        <v>1.0164504309881445E-2</v>
      </c>
      <c r="DP145" s="1">
        <v>2.7551542274775839E-2</v>
      </c>
      <c r="DQ145" s="1">
        <v>2.9446241730763073E-2</v>
      </c>
      <c r="DR145" s="1">
        <v>-3.9972287369886839E-3</v>
      </c>
      <c r="DS145" s="1">
        <v>3.2114073582340572E-2</v>
      </c>
      <c r="DT145" s="1">
        <v>2.0195249681869115E-2</v>
      </c>
      <c r="DU145" s="1">
        <v>1.6538457374761395E-2</v>
      </c>
      <c r="DV145" s="1">
        <v>9.8753861861234915E-3</v>
      </c>
      <c r="DW145" s="1">
        <v>2.3786329494819916E-2</v>
      </c>
      <c r="DX145" s="1">
        <v>9.3704962460243735E-3</v>
      </c>
      <c r="DY145" s="1">
        <v>1.0261980505718013E-2</v>
      </c>
      <c r="DZ145" s="1">
        <v>1.0861036177901962E-2</v>
      </c>
      <c r="EA145" s="1">
        <v>2.3246421632888245E-2</v>
      </c>
      <c r="EB145" s="1">
        <v>5.7102166725206405E-5</v>
      </c>
      <c r="EC145" s="1">
        <v>1.2616620588716626E-2</v>
      </c>
      <c r="ED145" s="1">
        <v>1.8314804966645254E-2</v>
      </c>
      <c r="EE145" s="1">
        <v>2.7690657319948422E-2</v>
      </c>
      <c r="EF145" s="1">
        <v>-3.2448595224676136E-3</v>
      </c>
      <c r="EG145" s="1">
        <v>-7.7657519806963518E-3</v>
      </c>
      <c r="EH145" s="1">
        <v>3.0296087141120712E-2</v>
      </c>
      <c r="EI145" s="1">
        <v>3.802802977661035E-2</v>
      </c>
      <c r="EJ145" s="1">
        <v>1.0551098629475994E-2</v>
      </c>
      <c r="EK145" s="1">
        <v>1.1035169144907098E-2</v>
      </c>
      <c r="EL145" s="1">
        <v>2.3013140855630831E-2</v>
      </c>
      <c r="EM145" s="1">
        <v>3.6694113850821608E-2</v>
      </c>
      <c r="EN145" s="1">
        <v>3.1901612229751158E-2</v>
      </c>
      <c r="EO145" s="1">
        <v>1.5190286708209294E-2</v>
      </c>
      <c r="EP145" s="1">
        <v>3.2288206549345708E-2</v>
      </c>
      <c r="EQ145" s="1">
        <v>4.1563272243060584E-2</v>
      </c>
      <c r="ER145" s="1">
        <v>3.2037416811172018E-2</v>
      </c>
      <c r="ES145" s="1">
        <v>1.3894699168004829E-2</v>
      </c>
      <c r="ET145" s="1">
        <v>1.9052975684001772E-2</v>
      </c>
      <c r="EU145" s="1">
        <v>3.3757927056555295E-2</v>
      </c>
      <c r="EV145" s="10">
        <v>1.1209302111912234E-2</v>
      </c>
    </row>
    <row r="146" spans="1:152" x14ac:dyDescent="0.25">
      <c r="A146" s="21">
        <f t="shared" ca="1" si="2"/>
        <v>5.9754546514403123E-2</v>
      </c>
      <c r="B146" s="5">
        <v>145</v>
      </c>
      <c r="C146" s="9">
        <v>-4.551765883116482E-3</v>
      </c>
      <c r="D146" s="1">
        <v>-4.4694050626639947E-3</v>
      </c>
      <c r="E146" s="1">
        <v>-1.5146285256930625E-3</v>
      </c>
      <c r="F146" s="1">
        <v>-8.5793046192714217E-4</v>
      </c>
      <c r="G146" s="1">
        <v>-3.0743776146310298E-3</v>
      </c>
      <c r="H146" s="1">
        <v>1.0602371030802749E-2</v>
      </c>
      <c r="I146" s="1">
        <v>8.7300478465807962E-3</v>
      </c>
      <c r="J146" s="1">
        <v>-3.8950678193505894E-3</v>
      </c>
      <c r="K146" s="1">
        <v>4.5546566560467072E-4</v>
      </c>
      <c r="L146" s="1">
        <v>-1.2416002961732828E-2</v>
      </c>
      <c r="M146" s="1">
        <v>-6.9322051767740089E-3</v>
      </c>
      <c r="N146" s="1">
        <v>-1.7609814870991891E-3</v>
      </c>
      <c r="O146" s="1">
        <v>-1.1759304897966935E-2</v>
      </c>
      <c r="P146" s="1">
        <v>-6.4240890673384621E-3</v>
      </c>
      <c r="Q146" s="1">
        <v>-9.9693425341974284E-3</v>
      </c>
      <c r="R146" s="1">
        <v>9.4529670442246028E-3</v>
      </c>
      <c r="S146" s="1">
        <v>1.0602371030802749E-2</v>
      </c>
      <c r="T146" s="1">
        <v>3.805177118312103E-3</v>
      </c>
      <c r="U146" s="1">
        <v>-1.3660465713627168E-3</v>
      </c>
      <c r="V146" s="1">
        <v>5.0362124253914564E-3</v>
      </c>
      <c r="W146" s="1">
        <v>-8.1632404838533623E-3</v>
      </c>
      <c r="X146" s="1">
        <v>1.2982810324460275E-2</v>
      </c>
      <c r="Y146" s="1">
        <v>1.1937950498717709E-3</v>
      </c>
      <c r="Z146" s="1">
        <v>1.9698372916449713E-2</v>
      </c>
      <c r="AA146" s="1">
        <v>-1.7609814870991891E-3</v>
      </c>
      <c r="AB146" s="1">
        <v>-5.5364482287897088E-3</v>
      </c>
      <c r="AC146" s="1">
        <v>1.2818818183506608E-2</v>
      </c>
      <c r="AD146" s="1">
        <v>-5.6188090492421683E-3</v>
      </c>
      <c r="AE146" s="1">
        <v>-6.029154151601962E-3</v>
      </c>
      <c r="AF146" s="1">
        <v>-1.5146285256930625E-3</v>
      </c>
      <c r="AG146" s="1">
        <v>-2.9920167941785425E-3</v>
      </c>
      <c r="AH146" s="1">
        <v>8.5506455190038355E-3</v>
      </c>
      <c r="AI146" s="1">
        <v>-1.151368143651206E-2</v>
      </c>
      <c r="AJ146" s="1">
        <v>-5.9475228311007822E-3</v>
      </c>
      <c r="AK146" s="1">
        <v>-4.0590599603042288E-3</v>
      </c>
      <c r="AL146" s="1">
        <v>-4.7157580240701491E-3</v>
      </c>
      <c r="AM146" s="1">
        <v>-8.8199385476192549E-3</v>
      </c>
      <c r="AN146" s="1">
        <v>-1.0364277449933915E-2</v>
      </c>
      <c r="AO146" s="1">
        <v>8.6581076796446443E-4</v>
      </c>
      <c r="AP146" s="1">
        <v>-4.9621109854762757E-3</v>
      </c>
      <c r="AQ146" s="1">
        <v>4.8722202844377893E-3</v>
      </c>
      <c r="AR146" s="1">
        <v>5.283294886748835E-3</v>
      </c>
      <c r="AS146" s="1">
        <v>1.6865009726840241E-3</v>
      </c>
      <c r="AT146" s="1">
        <v>2.9943049288723572E-2</v>
      </c>
      <c r="AU146" s="1">
        <v>1.3393155426820069E-2</v>
      </c>
      <c r="AV146" s="1">
        <v>4.9545811048902488E-3</v>
      </c>
      <c r="AW146" s="1">
        <v>-3.3207305760371286E-3</v>
      </c>
      <c r="AX146" s="1">
        <v>-4.4758535956734846E-4</v>
      </c>
      <c r="AY146" s="1">
        <v>-5.8651620106483227E-3</v>
      </c>
      <c r="AZ146" s="1">
        <v>-4.3054129217103831E-3</v>
      </c>
      <c r="BA146" s="1">
        <v>-3.4047175263734047E-3</v>
      </c>
      <c r="BB146" s="1">
        <v>1.135448447180934E-2</v>
      </c>
      <c r="BC146" s="1">
        <v>5.6089235388210867E-3</v>
      </c>
      <c r="BD146" s="1">
        <v>5.5088104284535533E-4</v>
      </c>
      <c r="BE146" s="1">
        <v>8.6460608962445062E-3</v>
      </c>
      <c r="BF146" s="1">
        <v>4.6852022239286806E-4</v>
      </c>
      <c r="BG146" s="1">
        <v>2.1188815741723432E-2</v>
      </c>
      <c r="BH146" s="1">
        <v>-1.7707343862326475E-2</v>
      </c>
      <c r="BI146" s="1">
        <v>-8.7245231703785703E-3</v>
      </c>
      <c r="BJ146" s="1">
        <v>1.3750333952090174E-2</v>
      </c>
      <c r="BK146" s="1">
        <v>-2.0415767437891336E-2</v>
      </c>
      <c r="BL146" s="1">
        <v>1.5869010097718239E-2</v>
      </c>
      <c r="BM146" s="1">
        <v>-3.0265508894428694E-2</v>
      </c>
      <c r="BN146" s="1">
        <v>4.9676356616784739E-3</v>
      </c>
      <c r="BO146" s="1">
        <v>1.9459084908783758E-3</v>
      </c>
      <c r="BP146" s="1">
        <v>-6.1393313035613961E-4</v>
      </c>
      <c r="BQ146" s="1">
        <v>1.9070139596095326E-2</v>
      </c>
      <c r="BR146" s="1">
        <v>-2.6079697050378381E-2</v>
      </c>
      <c r="BS146" s="1">
        <v>9.3851197804628861E-3</v>
      </c>
      <c r="BT146" s="1">
        <v>-1.6409357921417969E-2</v>
      </c>
      <c r="BU146" s="1">
        <v>4.1760529306723582E-2</v>
      </c>
      <c r="BV146" s="1">
        <v>-3.7996524421099048E-3</v>
      </c>
      <c r="BW146" s="1">
        <v>9.5491119214165532E-3</v>
      </c>
      <c r="BX146" s="1">
        <v>-1.2156595443538518E-2</v>
      </c>
      <c r="BY146" s="1">
        <v>-6.5904368381271977E-3</v>
      </c>
      <c r="BZ146" s="1">
        <v>4.276493340980847E-5</v>
      </c>
      <c r="CA146" s="1">
        <v>-2.9120116035611515E-3</v>
      </c>
      <c r="CB146" s="1">
        <v>2.4046550771569891E-2</v>
      </c>
      <c r="CC146" s="1">
        <v>1.4391621829232787E-2</v>
      </c>
      <c r="CD146" s="1">
        <v>-2.5422998986612488E-2</v>
      </c>
      <c r="CE146" s="1">
        <v>-1.5752659857652049E-2</v>
      </c>
      <c r="CF146" s="1">
        <v>-2.4109602859080648E-2</v>
      </c>
      <c r="CG146" s="1">
        <v>-9.365811047521197E-3</v>
      </c>
      <c r="CH146" s="1">
        <v>2.192787462594184E-2</v>
      </c>
      <c r="CI146" s="1">
        <v>2.1204225928346698E-2</v>
      </c>
      <c r="CJ146" s="1">
        <v>2.4800290342460313E-2</v>
      </c>
      <c r="CK146" s="1">
        <v>7.7430098710724593E-3</v>
      </c>
      <c r="CL146" s="1">
        <v>-7.9854642861601904E-3</v>
      </c>
      <c r="CM146" s="1">
        <v>2.3562535932381418E-3</v>
      </c>
      <c r="CN146" s="1">
        <v>1.371571247564915E-3</v>
      </c>
      <c r="CO146" s="1">
        <v>-6.5750266515039041E-3</v>
      </c>
      <c r="CP146" s="1">
        <v>5.3779807640382676E-3</v>
      </c>
      <c r="CQ146" s="1">
        <v>-9.7761561498809907E-3</v>
      </c>
      <c r="CR146" s="1">
        <v>-1.9184732130811982E-2</v>
      </c>
      <c r="CS146" s="1">
        <v>1.1252182861588161E-3</v>
      </c>
      <c r="CT146" s="1">
        <v>-7.0677325743161851E-3</v>
      </c>
      <c r="CU146" s="1">
        <v>8.7886532475266177E-4</v>
      </c>
      <c r="CV146" s="1">
        <v>-4.4563505058757974E-3</v>
      </c>
      <c r="CW146" s="1">
        <v>-1.107414209078951E-2</v>
      </c>
      <c r="CX146" s="1">
        <v>4.6852022239286806E-4</v>
      </c>
      <c r="CY146" s="1">
        <v>6.4022719178905924E-2</v>
      </c>
      <c r="CZ146" s="1">
        <v>1.675420638680411E-2</v>
      </c>
      <c r="DA146" s="1">
        <v>2.0827566537106684E-2</v>
      </c>
      <c r="DB146" s="1">
        <v>3.8827377594666257E-3</v>
      </c>
      <c r="DC146" s="1">
        <v>3.5586768535289387E-2</v>
      </c>
      <c r="DD146" s="1">
        <v>1.549235070647817E-2</v>
      </c>
      <c r="DE146" s="1">
        <v>8.8230186743586125E-3</v>
      </c>
      <c r="DF146" s="1">
        <v>-6.7876939017903204E-3</v>
      </c>
      <c r="DG146" s="1">
        <v>-2.026815314475322E-3</v>
      </c>
      <c r="DH146" s="1">
        <v>5.5650365990854017E-2</v>
      </c>
      <c r="DI146" s="1">
        <v>1.9693572737151777E-2</v>
      </c>
      <c r="DJ146" s="1">
        <v>1.0351947390049937E-2</v>
      </c>
      <c r="DK146" s="1">
        <v>2.4028696035483771E-2</v>
      </c>
      <c r="DL146" s="1">
        <v>2.5357502349638822E-2</v>
      </c>
      <c r="DM146" s="1">
        <v>5.8949266496306857E-2</v>
      </c>
      <c r="DN146" s="1">
        <v>4.5831444907563246E-2</v>
      </c>
      <c r="DO146" s="1">
        <v>2.1589965295749913E-3</v>
      </c>
      <c r="DP146" s="1">
        <v>2.6065011360659363E-2</v>
      </c>
      <c r="DQ146" s="1">
        <v>2.9497813133770534E-2</v>
      </c>
      <c r="DR146" s="1">
        <v>-2.0859377462960571E-2</v>
      </c>
      <c r="DS146" s="1">
        <v>4.0496229076934787E-2</v>
      </c>
      <c r="DT146" s="1">
        <v>2.7655580822843889E-2</v>
      </c>
      <c r="DU146" s="1">
        <v>5.2476743342043108E-3</v>
      </c>
      <c r="DV146" s="1">
        <v>3.062047554747066E-3</v>
      </c>
      <c r="DW146" s="1">
        <v>2.6326774508688755E-2</v>
      </c>
      <c r="DX146" s="1">
        <v>-4.4896154285852807E-3</v>
      </c>
      <c r="DY146" s="1">
        <v>4.5394358232325183E-3</v>
      </c>
      <c r="DZ146" s="1">
        <v>6.427169194077792E-3</v>
      </c>
      <c r="EA146" s="1">
        <v>2.7476178495266929E-2</v>
      </c>
      <c r="EB146" s="1">
        <v>-2.202419163616201E-2</v>
      </c>
      <c r="EC146" s="1">
        <v>9.186083115278465E-5</v>
      </c>
      <c r="ED146" s="1">
        <v>7.2170390255507644E-3</v>
      </c>
      <c r="EE146" s="1">
        <v>3.5833121496695514E-2</v>
      </c>
      <c r="EF146" s="1">
        <v>-2.1598436347178951E-2</v>
      </c>
      <c r="EG146" s="1">
        <v>-2.8641983221075737E-2</v>
      </c>
      <c r="EH146" s="1">
        <v>3.1139193543209681E-2</v>
      </c>
      <c r="EI146" s="1">
        <v>5.6076121279837104E-2</v>
      </c>
      <c r="EJ146" s="1">
        <v>3.6363847980604713E-3</v>
      </c>
      <c r="EK146" s="1">
        <v>7.494212360203506E-3</v>
      </c>
      <c r="EL146" s="1">
        <v>2.3371997971717823E-2</v>
      </c>
      <c r="EM146" s="1">
        <v>5.057691330825495E-2</v>
      </c>
      <c r="EN146" s="1">
        <v>4.0085883974574993E-2</v>
      </c>
      <c r="EO146" s="1">
        <v>1.675420638680411E-2</v>
      </c>
      <c r="EP146" s="1">
        <v>4.1563272243060501E-2</v>
      </c>
      <c r="EQ146" s="1">
        <v>5.9754546514403123E-2</v>
      </c>
      <c r="ER146" s="1">
        <v>4.1809625204466599E-2</v>
      </c>
      <c r="ES146" s="1">
        <v>1.0598300351456064E-2</v>
      </c>
      <c r="ET146" s="1">
        <v>1.8872882532432189E-2</v>
      </c>
      <c r="EU146" s="1">
        <v>4.8786221444534206E-2</v>
      </c>
      <c r="EV146" s="10">
        <v>8.5612555263291645E-3</v>
      </c>
    </row>
    <row r="147" spans="1:152" x14ac:dyDescent="0.25">
      <c r="A147" s="21">
        <f t="shared" ca="1" si="2"/>
        <v>3.487290861972249E-2</v>
      </c>
      <c r="B147" s="5">
        <v>146</v>
      </c>
      <c r="C147" s="9">
        <v>-3.6013131686543909E-3</v>
      </c>
      <c r="D147" s="1">
        <v>3.4728490566892367E-3</v>
      </c>
      <c r="E147" s="1">
        <v>7.2476102433238765E-4</v>
      </c>
      <c r="F147" s="1">
        <v>2.1570742246398156E-3</v>
      </c>
      <c r="G147" s="1">
        <v>-4.9753571848328015E-3</v>
      </c>
      <c r="H147" s="1">
        <v>1.8448210316535096E-3</v>
      </c>
      <c r="I147" s="1">
        <v>3.5206646046476164E-3</v>
      </c>
      <c r="J147" s="1">
        <v>-2.168999968346963E-3</v>
      </c>
      <c r="K147" s="1">
        <v>5.0217006252546714E-3</v>
      </c>
      <c r="L147" s="1">
        <v>-3.5034557562902413E-3</v>
      </c>
      <c r="M147" s="1">
        <v>-6.4950741613337415E-3</v>
      </c>
      <c r="N147" s="1">
        <v>-2.1107307842179457E-3</v>
      </c>
      <c r="O147" s="1">
        <v>-2.0711425559828134E-3</v>
      </c>
      <c r="P147" s="1">
        <v>-1.9254695956602841E-3</v>
      </c>
      <c r="Q147" s="1">
        <v>-1.082114835432052E-2</v>
      </c>
      <c r="R147" s="1">
        <v>-5.2584757857546266E-3</v>
      </c>
      <c r="S147" s="1">
        <v>1.8448210316535096E-3</v>
      </c>
      <c r="T147" s="1">
        <v>1.971813036082154E-3</v>
      </c>
      <c r="U147" s="1">
        <v>-2.4125303410336418E-3</v>
      </c>
      <c r="V147" s="1">
        <v>-2.2377227886466039E-3</v>
      </c>
      <c r="W147" s="1">
        <v>-2.2855383366049697E-3</v>
      </c>
      <c r="X147" s="1">
        <v>4.7385820243328602E-3</v>
      </c>
      <c r="Y147" s="1">
        <v>-4.8588188165747948E-3</v>
      </c>
      <c r="Z147" s="1">
        <v>1.5924422662041096E-2</v>
      </c>
      <c r="AA147" s="1">
        <v>-2.1107307842179457E-3</v>
      </c>
      <c r="AB147" s="1">
        <v>3.4437144646247281E-3</v>
      </c>
      <c r="AC147" s="1">
        <v>8.9772524411261267E-3</v>
      </c>
      <c r="AD147" s="1">
        <v>-3.6304477607188856E-3</v>
      </c>
      <c r="AE147" s="1">
        <v>-2.2272691524759664E-3</v>
      </c>
      <c r="AF147" s="1">
        <v>7.2476102433238765E-4</v>
      </c>
      <c r="AG147" s="1">
        <v>2.0988050405108122E-3</v>
      </c>
      <c r="AH147" s="1">
        <v>8.86071407286812E-3</v>
      </c>
      <c r="AI147" s="1">
        <v>-1.7622645614912974E-2</v>
      </c>
      <c r="AJ147" s="1">
        <v>-1.354010179461286E-2</v>
      </c>
      <c r="AK147" s="1">
        <v>2.0696704484463035E-3</v>
      </c>
      <c r="AL147" s="1">
        <v>6.3735724813887562E-4</v>
      </c>
      <c r="AM147" s="1">
        <v>-3.7178515369123977E-3</v>
      </c>
      <c r="AN147" s="1">
        <v>-1.0519348797504852E-2</v>
      </c>
      <c r="AO147" s="1">
        <v>3.6185220170117521E-3</v>
      </c>
      <c r="AP147" s="1">
        <v>-2.1981345604114577E-3</v>
      </c>
      <c r="AQ147" s="1">
        <v>2.0009476281466626E-3</v>
      </c>
      <c r="AR147" s="1">
        <v>1.8984763887384251E-2</v>
      </c>
      <c r="AS147" s="1">
        <v>8.1216480052589968E-4</v>
      </c>
      <c r="AT147" s="1">
        <v>1.8720326242356297E-2</v>
      </c>
      <c r="AU147" s="1">
        <v>3.335403416089941E-3</v>
      </c>
      <c r="AV147" s="1">
        <v>9.0751098534902763E-3</v>
      </c>
      <c r="AW147" s="1">
        <v>-7.8108489933831488E-3</v>
      </c>
      <c r="AX147" s="1">
        <v>7.5389561639691016E-4</v>
      </c>
      <c r="AY147" s="1">
        <v>-6.4659395692692467E-3</v>
      </c>
      <c r="AZ147" s="1">
        <v>-7.6582136010402979E-4</v>
      </c>
      <c r="BA147" s="1">
        <v>-2.2195466835059352E-3</v>
      </c>
      <c r="BB147" s="1">
        <v>3.5283870736176337E-3</v>
      </c>
      <c r="BC147" s="1">
        <v>4.7858927215380376E-3</v>
      </c>
      <c r="BD147" s="1">
        <v>5.2729534669113953E-3</v>
      </c>
      <c r="BE147" s="1">
        <v>9.11196691452483E-3</v>
      </c>
      <c r="BF147" s="1">
        <v>-1.8012087584322323E-3</v>
      </c>
      <c r="BG147" s="1">
        <v>7.7274692621757679E-3</v>
      </c>
      <c r="BH147" s="1">
        <v>-1.2674796203154134E-2</v>
      </c>
      <c r="BI147" s="1">
        <v>-3.4665986952556738E-3</v>
      </c>
      <c r="BJ147" s="1">
        <v>5.3207690148697612E-3</v>
      </c>
      <c r="BK147" s="1">
        <v>-7.0912163622469521E-3</v>
      </c>
      <c r="BL147" s="1">
        <v>6.4804172504260016E-3</v>
      </c>
      <c r="BM147" s="1">
        <v>-1.0188919499377835E-2</v>
      </c>
      <c r="BN147" s="1">
        <v>2.2522004698033865E-3</v>
      </c>
      <c r="BO147" s="1">
        <v>-3.1752527746106429E-3</v>
      </c>
      <c r="BP147" s="1">
        <v>-7.2896429906949001E-4</v>
      </c>
      <c r="BQ147" s="1">
        <v>6.5678210266195275E-3</v>
      </c>
      <c r="BR147" s="1">
        <v>-1.7146543356463442E-2</v>
      </c>
      <c r="BS147" s="1">
        <v>1.7618442340175872E-2</v>
      </c>
      <c r="BT147" s="1">
        <v>-8.7087907511120347E-3</v>
      </c>
      <c r="BU147" s="1">
        <v>2.0393438648149798E-2</v>
      </c>
      <c r="BV147" s="1">
        <v>-1.9177471266902391E-3</v>
      </c>
      <c r="BW147" s="1">
        <v>1.3379771923382605E-2</v>
      </c>
      <c r="BX147" s="1">
        <v>-7.4908733314267839E-3</v>
      </c>
      <c r="BY147" s="1">
        <v>-3.4083295111266843E-3</v>
      </c>
      <c r="BZ147" s="1">
        <v>7.0334890123793792E-4</v>
      </c>
      <c r="CA147" s="1">
        <v>3.4514369335947731E-3</v>
      </c>
      <c r="CB147" s="1">
        <v>1.7393592923383064E-2</v>
      </c>
      <c r="CC147" s="1">
        <v>7.85446126660444E-3</v>
      </c>
      <c r="CD147" s="1">
        <v>-1.5714230156156028E-2</v>
      </c>
      <c r="CE147" s="1">
        <v>-7.2764775508046067E-3</v>
      </c>
      <c r="CF147" s="1">
        <v>-1.2849603755541159E-2</v>
      </c>
      <c r="CG147" s="1">
        <v>-6.0002909469903526E-3</v>
      </c>
      <c r="CH147" s="1">
        <v>1.6233944687826823E-2</v>
      </c>
      <c r="CI147" s="1">
        <v>6.6260902107485309E-3</v>
      </c>
      <c r="CJ147" s="1">
        <v>6.4116944301263745E-3</v>
      </c>
      <c r="CK147" s="1">
        <v>4.8441619056670548E-3</v>
      </c>
      <c r="CL147" s="1">
        <v>5.039876730395354E-3</v>
      </c>
      <c r="CM147" s="1">
        <v>-4.5784313828535622E-3</v>
      </c>
      <c r="CN147" s="1">
        <v>2.4665962504255567E-3</v>
      </c>
      <c r="CO147" s="1">
        <v>-4.5097085625539213E-3</v>
      </c>
      <c r="CP147" s="1">
        <v>8.4902186156046722E-4</v>
      </c>
      <c r="CQ147" s="1">
        <v>-4.5971123387474333E-3</v>
      </c>
      <c r="CR147" s="1">
        <v>-1.130075218697571E-2</v>
      </c>
      <c r="CS147" s="1">
        <v>-3.6889555812480435E-4</v>
      </c>
      <c r="CT147" s="1">
        <v>-1.0180692179654616E-2</v>
      </c>
      <c r="CU147" s="1">
        <v>-3.2043873666751377E-3</v>
      </c>
      <c r="CV147" s="1">
        <v>-3.350060326997667E-3</v>
      </c>
      <c r="CW147" s="1">
        <v>-8.5631177907895192E-3</v>
      </c>
      <c r="CX147" s="1">
        <v>-1.8012087584322323E-3</v>
      </c>
      <c r="CY147" s="1">
        <v>4.1926163572724828E-2</v>
      </c>
      <c r="CZ147" s="1">
        <v>1.7052150954085618E-2</v>
      </c>
      <c r="DA147" s="1">
        <v>2.3610117841991379E-2</v>
      </c>
      <c r="DB147" s="1">
        <v>8.5269945725407192E-3</v>
      </c>
      <c r="DC147" s="1">
        <v>2.9358051599114962E-2</v>
      </c>
      <c r="DD147" s="1">
        <v>2.3464444881668864E-2</v>
      </c>
      <c r="DE147" s="1">
        <v>8.9744670896789169E-3</v>
      </c>
      <c r="DF147" s="1">
        <v>8.2356486518956606E-3</v>
      </c>
      <c r="DG147" s="1">
        <v>1.4023170637254376E-2</v>
      </c>
      <c r="DH147" s="1">
        <v>3.745441641941552E-2</v>
      </c>
      <c r="DI147" s="1">
        <v>1.540544197315602E-2</v>
      </c>
      <c r="DJ147" s="1">
        <v>1.687734340169858E-2</v>
      </c>
      <c r="DK147" s="1">
        <v>2.3697521618184891E-2</v>
      </c>
      <c r="DL147" s="1">
        <v>2.546076896737251E-2</v>
      </c>
      <c r="DM147" s="1">
        <v>4.3514603369525423E-2</v>
      </c>
      <c r="DN147" s="1">
        <v>3.2153955179430149E-2</v>
      </c>
      <c r="DO147" s="1">
        <v>7.0655467801687688E-3</v>
      </c>
      <c r="DP147" s="1">
        <v>1.7783007628397532E-2</v>
      </c>
      <c r="DQ147" s="1">
        <v>4.0194277132049122E-2</v>
      </c>
      <c r="DR147" s="1">
        <v>1.7172699922250456E-3</v>
      </c>
      <c r="DS147" s="1">
        <v>3.2008282219107634E-2</v>
      </c>
      <c r="DT147" s="1">
        <v>2.1280367734708261E-2</v>
      </c>
      <c r="DU147" s="1">
        <v>2.0668541301353649E-2</v>
      </c>
      <c r="DV147" s="1">
        <v>1.1333351789026558E-2</v>
      </c>
      <c r="DW147" s="1">
        <v>1.9517120385520642E-2</v>
      </c>
      <c r="DX147" s="1">
        <v>4.0552474192313975E-3</v>
      </c>
      <c r="DY147" s="1">
        <v>9.9593077728481333E-3</v>
      </c>
      <c r="DZ147" s="1">
        <v>7.1820851484268033E-3</v>
      </c>
      <c r="EA147" s="1">
        <v>2.6620417202928764E-2</v>
      </c>
      <c r="EB147" s="1">
        <v>-4.2846477737558397E-3</v>
      </c>
      <c r="EC147" s="1">
        <v>1.5182818872810616E-2</v>
      </c>
      <c r="ED147" s="1">
        <v>6.5784860347954249E-3</v>
      </c>
      <c r="EE147" s="1">
        <v>3.2193543407665323E-2</v>
      </c>
      <c r="EF147" s="1">
        <v>-6.7892054334260099E-3</v>
      </c>
      <c r="EG147" s="1">
        <v>-9.4977052375476989E-3</v>
      </c>
      <c r="EH147" s="1">
        <v>3.4581562699077445E-2</v>
      </c>
      <c r="EI147" s="1">
        <v>3.4949858759745378E-2</v>
      </c>
      <c r="EJ147" s="1">
        <v>5.6915027639903581E-3</v>
      </c>
      <c r="EK147" s="1">
        <v>7.2112197404912981E-3</v>
      </c>
      <c r="EL147" s="1">
        <v>2.2265208417877463E-2</v>
      </c>
      <c r="EM147" s="1">
        <v>3.9042856216216115E-2</v>
      </c>
      <c r="EN147" s="1">
        <v>3.3411460827350553E-2</v>
      </c>
      <c r="EO147" s="1">
        <v>1.7052150954085618E-2</v>
      </c>
      <c r="EP147" s="1">
        <v>3.2037416811172142E-2</v>
      </c>
      <c r="EQ147" s="1">
        <v>4.1809625204466822E-2</v>
      </c>
      <c r="ER147" s="1">
        <v>3.487290861972249E-2</v>
      </c>
      <c r="ES147" s="1">
        <v>1.9712835210248941E-2</v>
      </c>
      <c r="ET147" s="1">
        <v>1.8211799189641859E-2</v>
      </c>
      <c r="EU147" s="1">
        <v>2.9405867147073328E-2</v>
      </c>
      <c r="EV147" s="10">
        <v>7.2403543325557929E-3</v>
      </c>
    </row>
    <row r="148" spans="1:152" x14ac:dyDescent="0.25">
      <c r="A148" s="21">
        <f t="shared" ca="1" si="2"/>
        <v>3.3555246632611231E-2</v>
      </c>
      <c r="B148" s="5">
        <v>147</v>
      </c>
      <c r="C148" s="9">
        <v>-1.9282798446120129E-3</v>
      </c>
      <c r="D148" s="1">
        <v>1.2781236958120373E-2</v>
      </c>
      <c r="E148" s="1">
        <v>5.9780407331421039E-3</v>
      </c>
      <c r="F148" s="1">
        <v>8.722932057141735E-3</v>
      </c>
      <c r="G148" s="1">
        <v>-5.3298779571011477E-3</v>
      </c>
      <c r="H148" s="1">
        <v>-1.31309992389148E-2</v>
      </c>
      <c r="I148" s="1">
        <v>-4.4420244962116158E-4</v>
      </c>
      <c r="J148" s="1">
        <v>8.1661147938761887E-4</v>
      </c>
      <c r="K148" s="1">
        <v>1.4212714705140999E-2</v>
      </c>
      <c r="L148" s="1">
        <v>9.6553925919057645E-3</v>
      </c>
      <c r="M148" s="1">
        <v>-7.0897090983665116E-3</v>
      </c>
      <c r="N148" s="1">
        <v>1.5990469089811611E-4</v>
      </c>
      <c r="O148" s="1">
        <v>1.2400283915905396E-2</v>
      </c>
      <c r="P148" s="1">
        <v>1.0758516944681639E-2</v>
      </c>
      <c r="Q148" s="1">
        <v>-1.4996029676120629E-2</v>
      </c>
      <c r="R148" s="1">
        <v>-2.7512162647402465E-2</v>
      </c>
      <c r="S148" s="1">
        <v>-1.31309992389148E-2</v>
      </c>
      <c r="T148" s="1">
        <v>-1.8756801966417882E-3</v>
      </c>
      <c r="U148" s="1">
        <v>-9.1252939859063874E-3</v>
      </c>
      <c r="V148" s="1">
        <v>-1.109541435137491E-2</v>
      </c>
      <c r="W148" s="1">
        <v>2.1300250563666386E-3</v>
      </c>
      <c r="X148" s="1">
        <v>-7.9695699851603293E-3</v>
      </c>
      <c r="Y148" s="1">
        <v>-6.6432915340801533E-3</v>
      </c>
      <c r="Z148" s="1">
        <v>4.376008535787429E-3</v>
      </c>
      <c r="AA148" s="1">
        <v>1.5990469089811611E-4</v>
      </c>
      <c r="AB148" s="1">
        <v>1.3109590352365124E-2</v>
      </c>
      <c r="AC148" s="1">
        <v>9.2181077532806912E-4</v>
      </c>
      <c r="AD148" s="1">
        <v>-1.5999264503672478E-3</v>
      </c>
      <c r="AE148" s="1">
        <v>1.4733182678771356E-3</v>
      </c>
      <c r="AF148" s="1">
        <v>5.9780407331421039E-3</v>
      </c>
      <c r="AG148" s="1">
        <v>9.3796388456312378E-3</v>
      </c>
      <c r="AH148" s="1">
        <v>2.2352243523070885E-3</v>
      </c>
      <c r="AI148" s="1">
        <v>-2.0091994407803716E-2</v>
      </c>
      <c r="AJ148" s="1">
        <v>-2.212757929534365E-2</v>
      </c>
      <c r="AK148" s="1">
        <v>9.7079922398759892E-3</v>
      </c>
      <c r="AL148" s="1">
        <v>6.9631009158763581E-3</v>
      </c>
      <c r="AM148" s="1">
        <v>-6.1486626763299361E-4</v>
      </c>
      <c r="AN148" s="1">
        <v>-5.7108309993161247E-3</v>
      </c>
      <c r="AO148" s="1">
        <v>1.1139469986896616E-2</v>
      </c>
      <c r="AP148" s="1">
        <v>1.1449648736323703E-3</v>
      </c>
      <c r="AQ148" s="1">
        <v>-2.2040335908865396E-3</v>
      </c>
      <c r="AR148" s="1">
        <v>3.3033136056822246E-2</v>
      </c>
      <c r="AS148" s="1">
        <v>4.9929805504078497E-3</v>
      </c>
      <c r="AT148" s="1">
        <v>-2.046234646975864E-3</v>
      </c>
      <c r="AU148" s="1">
        <v>-1.1042814703404685E-2</v>
      </c>
      <c r="AV148" s="1">
        <v>1.2505483211845848E-2</v>
      </c>
      <c r="AW148" s="1">
        <v>-1.1148013999345136E-2</v>
      </c>
      <c r="AX148" s="1">
        <v>5.6496873388973525E-3</v>
      </c>
      <c r="AY148" s="1">
        <v>-7.4180624926112769E-3</v>
      </c>
      <c r="AZ148" s="1">
        <v>3.8898561976320025E-3</v>
      </c>
      <c r="BA148" s="1">
        <v>-9.6823484341883922E-3</v>
      </c>
      <c r="BB148" s="1">
        <v>-1.159986915168669E-2</v>
      </c>
      <c r="BC148" s="1">
        <v>-6.8848574622185355E-3</v>
      </c>
      <c r="BD148" s="1">
        <v>1.2998953468369517E-2</v>
      </c>
      <c r="BE148" s="1">
        <v>1.0214631155355952E-3</v>
      </c>
      <c r="BF148" s="1">
        <v>-1.7105633343628655E-3</v>
      </c>
      <c r="BG148" s="1">
        <v>-1.4948867616205572E-2</v>
      </c>
      <c r="BH148" s="1">
        <v>7.7977894407459392E-3</v>
      </c>
      <c r="BI148" s="1">
        <v>-1.8286275044044863E-3</v>
      </c>
      <c r="BJ148" s="1">
        <v>-2.2648593937204392E-4</v>
      </c>
      <c r="BK148" s="1">
        <v>2.0419121707968196E-2</v>
      </c>
      <c r="BL148" s="1">
        <v>-7.09514668642168E-3</v>
      </c>
      <c r="BM148" s="1">
        <v>1.7556166213926958E-2</v>
      </c>
      <c r="BN148" s="1">
        <v>-3.4177948276580203E-3</v>
      </c>
      <c r="BO148" s="1">
        <v>-5.1121614468520003E-3</v>
      </c>
      <c r="BP148" s="1">
        <v>-7.5941638986782647E-3</v>
      </c>
      <c r="BQ148" s="1">
        <v>-8.0802068691559342E-3</v>
      </c>
      <c r="BR148" s="1">
        <v>1.5332358342155655E-3</v>
      </c>
      <c r="BS148" s="1">
        <v>1.8475871242267586E-2</v>
      </c>
      <c r="BT148" s="1">
        <v>7.075618130185056E-3</v>
      </c>
      <c r="BU148" s="1">
        <v>-1.3083837178999771E-2</v>
      </c>
      <c r="BV148" s="1">
        <v>-3.9714975738385991E-4</v>
      </c>
      <c r="BW148" s="1">
        <v>9.5844904817792148E-3</v>
      </c>
      <c r="BX148" s="1">
        <v>-4.4974940535408639E-4</v>
      </c>
      <c r="BY148" s="1">
        <v>-2.4853342928939891E-3</v>
      </c>
      <c r="BZ148" s="1">
        <v>-4.8492725746786466E-3</v>
      </c>
      <c r="CA148" s="1">
        <v>1.9539236502996229E-3</v>
      </c>
      <c r="CB148" s="1">
        <v>-4.3631202365232054E-3</v>
      </c>
      <c r="CC148" s="1">
        <v>-3.6935485739325452E-3</v>
      </c>
      <c r="CD148" s="1">
        <v>4.2781271582151975E-3</v>
      </c>
      <c r="CE148" s="1">
        <v>9.820509454184688E-3</v>
      </c>
      <c r="CF148" s="1">
        <v>9.7679098062144615E-3</v>
      </c>
      <c r="CG148" s="1">
        <v>1.638435130156015E-3</v>
      </c>
      <c r="CH148" s="1">
        <v>2.5055405105264203E-3</v>
      </c>
      <c r="CI148" s="1">
        <v>-8.736913657645437E-3</v>
      </c>
      <c r="CJ148" s="1">
        <v>-1.9007172517184208E-2</v>
      </c>
      <c r="CK148" s="1">
        <v>-7.5415642507080383E-3</v>
      </c>
      <c r="CL148" s="1">
        <v>1.5625780622327529E-2</v>
      </c>
      <c r="CM148" s="1">
        <v>-8.1854061650963837E-3</v>
      </c>
      <c r="CN148" s="1">
        <v>6.8524640318807541E-3</v>
      </c>
      <c r="CO148" s="1">
        <v>3.7266196656661442E-3</v>
      </c>
      <c r="CP148" s="1">
        <v>-6.4910395459024037E-3</v>
      </c>
      <c r="CQ148" s="1">
        <v>4.7116798484003984E-3</v>
      </c>
      <c r="CR148" s="1">
        <v>1.1199387553235074E-2</v>
      </c>
      <c r="CS148" s="1">
        <v>1.0343279896367387E-3</v>
      </c>
      <c r="CT148" s="1">
        <v>-7.9096524188218588E-3</v>
      </c>
      <c r="CU148" s="1">
        <v>-4.7838080526072489E-3</v>
      </c>
      <c r="CV148" s="1">
        <v>-3.1420410813834919E-3</v>
      </c>
      <c r="CW148" s="1">
        <v>5.4338511589612851E-3</v>
      </c>
      <c r="CX148" s="1">
        <v>-1.7105633343628655E-3</v>
      </c>
      <c r="CY148" s="1">
        <v>9.2848867744775715E-3</v>
      </c>
      <c r="CZ148" s="1">
        <v>2.5766990224898707E-2</v>
      </c>
      <c r="DA148" s="1">
        <v>2.092104949128782E-2</v>
      </c>
      <c r="DB148" s="1">
        <v>2.1209668111663502E-2</v>
      </c>
      <c r="DC148" s="1">
        <v>1.9003528773789521E-2</v>
      </c>
      <c r="DD148" s="1">
        <v>2.2562816462511577E-2</v>
      </c>
      <c r="DE148" s="1">
        <v>2.8853099817244248E-2</v>
      </c>
      <c r="DF148" s="1">
        <v>2.449320205411103E-2</v>
      </c>
      <c r="DG148" s="1">
        <v>3.4816060561620024E-2</v>
      </c>
      <c r="DH148" s="1">
        <v>3.0203331679471979E-3</v>
      </c>
      <c r="DI148" s="1">
        <v>1.2751840041360304E-2</v>
      </c>
      <c r="DJ148" s="1">
        <v>2.7737110590367216E-2</v>
      </c>
      <c r="DK148" s="1">
        <v>1.9935989308553552E-2</v>
      </c>
      <c r="DL148" s="1">
        <v>3.1637725915112949E-2</v>
      </c>
      <c r="DM148" s="1">
        <v>2.2956743746505477E-2</v>
      </c>
      <c r="DN148" s="1">
        <v>1.2581285591026229E-2</v>
      </c>
      <c r="DO148" s="1">
        <v>1.8793130181908622E-2</v>
      </c>
      <c r="DP148" s="1">
        <v>-1.6421882412284592E-3</v>
      </c>
      <c r="DQ148" s="1">
        <v>3.528934802567428E-2</v>
      </c>
      <c r="DR148" s="1">
        <v>4.15795220127292E-2</v>
      </c>
      <c r="DS148" s="1">
        <v>1.422305256225E-2</v>
      </c>
      <c r="DT148" s="1">
        <v>2.2089638366135075E-2</v>
      </c>
      <c r="DU148" s="1">
        <v>2.8985059645274869E-2</v>
      </c>
      <c r="DV148" s="1">
        <v>2.7356157548152241E-2</v>
      </c>
      <c r="DW148" s="1">
        <v>1.038790175957569E-2</v>
      </c>
      <c r="DX148" s="1">
        <v>1.4945114505133129E-2</v>
      </c>
      <c r="DY148" s="1">
        <v>2.3954559435663134E-2</v>
      </c>
      <c r="DZ148" s="1">
        <v>1.7479716604929616E-2</v>
      </c>
      <c r="EA148" s="1">
        <v>2.4769065168063313E-2</v>
      </c>
      <c r="EB148" s="1">
        <v>2.0986404645681446E-2</v>
      </c>
      <c r="EC148" s="1">
        <v>2.7947399814570388E-2</v>
      </c>
      <c r="ED148" s="1">
        <v>-1.0906807486794068E-3</v>
      </c>
      <c r="EE148" s="1">
        <v>2.4821664816033536E-2</v>
      </c>
      <c r="EF148" s="1">
        <v>2.412511388599721E-2</v>
      </c>
      <c r="EG148" s="1">
        <v>2.9562296886026219E-2</v>
      </c>
      <c r="EH148" s="1">
        <v>2.2996369152696778E-2</v>
      </c>
      <c r="EI148" s="1">
        <v>6.1590424082629634E-3</v>
      </c>
      <c r="EJ148" s="1">
        <v>1.5391532069419487E-2</v>
      </c>
      <c r="EK148" s="1">
        <v>1.7151363210684865E-2</v>
      </c>
      <c r="EL148" s="1">
        <v>1.7191097984553934E-2</v>
      </c>
      <c r="EM148" s="1">
        <v>1.6692190139975104E-2</v>
      </c>
      <c r="EN148" s="1">
        <v>1.7296297280494383E-2</v>
      </c>
      <c r="EO148" s="1">
        <v>2.5766990224898707E-2</v>
      </c>
      <c r="EP148" s="1">
        <v>1.3894699168005235E-2</v>
      </c>
      <c r="EQ148" s="1">
        <v>1.0598300351456591E-2</v>
      </c>
      <c r="ER148" s="1">
        <v>1.9712835210249264E-2</v>
      </c>
      <c r="ES148" s="1">
        <v>3.3555246632611231E-2</v>
      </c>
      <c r="ET148" s="1">
        <v>1.8898329477849071E-2</v>
      </c>
      <c r="EU148" s="1">
        <v>5.7780893660479863E-3</v>
      </c>
      <c r="EV148" s="10">
        <v>1.6823009816440113E-2</v>
      </c>
    </row>
    <row r="149" spans="1:152" x14ac:dyDescent="0.25">
      <c r="A149" s="21">
        <f t="shared" ca="1" si="2"/>
        <v>2.061270175178477E-2</v>
      </c>
      <c r="B149" s="5">
        <v>148</v>
      </c>
      <c r="C149" s="9">
        <v>3.5804569284804411E-4</v>
      </c>
      <c r="D149" s="1">
        <v>-1.9213520682306862E-3</v>
      </c>
      <c r="E149" s="1">
        <v>-2.1436422798670751E-5</v>
      </c>
      <c r="F149" s="1">
        <v>-2.6556814480001301E-4</v>
      </c>
      <c r="G149" s="1">
        <v>1.3080035155640518E-3</v>
      </c>
      <c r="H149" s="1">
        <v>5.5743465692527361E-4</v>
      </c>
      <c r="I149" s="1">
        <v>9.6054068513327928E-4</v>
      </c>
      <c r="J149" s="1">
        <v>1.1391397084668797E-4</v>
      </c>
      <c r="K149" s="1">
        <v>-7.5383158880271139E-4</v>
      </c>
      <c r="L149" s="1">
        <v>-7.5928180872927159E-4</v>
      </c>
      <c r="M149" s="1">
        <v>4.9339608649339589E-4</v>
      </c>
      <c r="N149" s="1">
        <v>8.1974007156135342E-4</v>
      </c>
      <c r="O149" s="1">
        <v>-1.0034135307306138E-3</v>
      </c>
      <c r="P149" s="1">
        <v>7.6115172105604978E-4</v>
      </c>
      <c r="Q149" s="1">
        <v>8.7287820214010381E-4</v>
      </c>
      <c r="R149" s="1">
        <v>2.4839193676466642E-3</v>
      </c>
      <c r="S149" s="1">
        <v>5.5743465692527361E-4</v>
      </c>
      <c r="T149" s="1">
        <v>-2.0697979429469548E-4</v>
      </c>
      <c r="U149" s="1">
        <v>-5.3332377936265996E-4</v>
      </c>
      <c r="V149" s="1">
        <v>1.5841545227813364E-3</v>
      </c>
      <c r="W149" s="1">
        <v>-1.2977382305826429E-3</v>
      </c>
      <c r="X149" s="1">
        <v>4.2208426327991488E-4</v>
      </c>
      <c r="Y149" s="1">
        <v>2.7196557169933827E-3</v>
      </c>
      <c r="Z149" s="1">
        <v>-2.5311203132975385E-3</v>
      </c>
      <c r="AA149" s="1">
        <v>8.1974007156135342E-4</v>
      </c>
      <c r="AB149" s="1">
        <v>-2.2742651185880189E-3</v>
      </c>
      <c r="AC149" s="1">
        <v>-1.0161370034387912E-3</v>
      </c>
      <c r="AD149" s="1">
        <v>5.1326424907044421E-6</v>
      </c>
      <c r="AE149" s="1">
        <v>-5.9191212986797748E-4</v>
      </c>
      <c r="AF149" s="1">
        <v>-2.1436422798670751E-5</v>
      </c>
      <c r="AG149" s="1">
        <v>-9.7139424551467846E-4</v>
      </c>
      <c r="AH149" s="1">
        <v>-2.4277892048681221E-3</v>
      </c>
      <c r="AI149" s="1">
        <v>4.1524267637855078E-3</v>
      </c>
      <c r="AJ149" s="1">
        <v>3.1257068979294589E-3</v>
      </c>
      <c r="AK149" s="1">
        <v>-1.3243072958720112E-3</v>
      </c>
      <c r="AL149" s="1">
        <v>-1.080175573870662E-3</v>
      </c>
      <c r="AM149" s="1">
        <v>-1.0536065085812868E-3</v>
      </c>
      <c r="AN149" s="1">
        <v>2.2259420530641172E-3</v>
      </c>
      <c r="AO149" s="1">
        <v>-1.5678681644402948E-4</v>
      </c>
      <c r="AP149" s="1">
        <v>-2.3899907951063781E-4</v>
      </c>
      <c r="AQ149" s="1">
        <v>1.459332560626303E-4</v>
      </c>
      <c r="AR149" s="1">
        <v>-5.2540387604548405E-3</v>
      </c>
      <c r="AS149" s="1">
        <v>1.0373027282733274E-3</v>
      </c>
      <c r="AT149" s="1">
        <v>-1.5491432053655885E-3</v>
      </c>
      <c r="AU149" s="1">
        <v>1.0191290356385968E-3</v>
      </c>
      <c r="AV149" s="1">
        <v>-2.133464505016093E-3</v>
      </c>
      <c r="AW149" s="1">
        <v>2.149180009924076E-3</v>
      </c>
      <c r="AX149" s="1">
        <v>3.3147662755866891E-4</v>
      </c>
      <c r="AY149" s="1">
        <v>8.4630913685072862E-4</v>
      </c>
      <c r="AZ149" s="1">
        <v>-4.8313080151198701E-4</v>
      </c>
      <c r="BA149" s="1">
        <v>-1.6058211951453932E-3</v>
      </c>
      <c r="BB149" s="1">
        <v>-5.3368380144143412E-5</v>
      </c>
      <c r="BC149" s="1">
        <v>-2.414978404289482E-3</v>
      </c>
      <c r="BD149" s="1">
        <v>-1.1205029038707792E-3</v>
      </c>
      <c r="BE149" s="1">
        <v>-2.7944605199361865E-3</v>
      </c>
      <c r="BF149" s="1">
        <v>1.158894857207951E-3</v>
      </c>
      <c r="BG149" s="1">
        <v>3.3156395542913164E-4</v>
      </c>
      <c r="BH149" s="1">
        <v>3.2890966320601109E-3</v>
      </c>
      <c r="BI149" s="1">
        <v>-1.4202778236493581E-3</v>
      </c>
      <c r="BJ149" s="1">
        <v>1.7613898494931932E-3</v>
      </c>
      <c r="BK149" s="1">
        <v>5.480044922680713E-4</v>
      </c>
      <c r="BL149" s="1">
        <v>5.1710732692515637E-4</v>
      </c>
      <c r="BM149" s="1">
        <v>-1.7870364665878921E-3</v>
      </c>
      <c r="BN149" s="1">
        <v>-2.2073805900543753E-4</v>
      </c>
      <c r="BO149" s="1">
        <v>2.1088526799239588E-3</v>
      </c>
      <c r="BP149" s="1">
        <v>-1.144126816432077E-3</v>
      </c>
      <c r="BQ149" s="1">
        <v>1.5758464779971615E-3</v>
      </c>
      <c r="BR149" s="1">
        <v>1.9040134959201621E-3</v>
      </c>
      <c r="BS149" s="1">
        <v>-5.3179900030162555E-3</v>
      </c>
      <c r="BT149" s="1">
        <v>8.5072456477473107E-4</v>
      </c>
      <c r="BU149" s="1">
        <v>1.6120410214301439E-5</v>
      </c>
      <c r="BV149" s="1">
        <v>-2.5275734422137985E-4</v>
      </c>
      <c r="BW149" s="1">
        <v>-3.8797687362975529E-3</v>
      </c>
      <c r="BX149" s="1">
        <v>3.1226814292135974E-4</v>
      </c>
      <c r="BY149" s="1">
        <v>-7.1445172293470305E-4</v>
      </c>
      <c r="BZ149" s="1">
        <v>-1.3882585384334192E-3</v>
      </c>
      <c r="CA149" s="1">
        <v>-3.2881741838654416E-3</v>
      </c>
      <c r="CB149" s="1">
        <v>-3.4362480502189742E-3</v>
      </c>
      <c r="CC149" s="1">
        <v>-4.3285049579085133E-4</v>
      </c>
      <c r="CD149" s="1">
        <v>1.6598817739188129E-3</v>
      </c>
      <c r="CE149" s="1">
        <v>6.0659284277338188E-4</v>
      </c>
      <c r="CF149" s="1">
        <v>1.1716183299161215E-3</v>
      </c>
      <c r="CG149" s="1">
        <v>7.7396252163468293E-4</v>
      </c>
      <c r="CH149" s="1">
        <v>-2.1919655276509409E-3</v>
      </c>
      <c r="CI149" s="1">
        <v>2.28167257871182E-3</v>
      </c>
      <c r="CJ149" s="1">
        <v>1.9873478788598048E-3</v>
      </c>
      <c r="CK149" s="1">
        <v>-1.7091523035748166E-3</v>
      </c>
      <c r="CL149" s="1">
        <v>-3.9438073067294306E-3</v>
      </c>
      <c r="CM149" s="1">
        <v>2.7058974522826407E-3</v>
      </c>
      <c r="CN149" s="1">
        <v>7.3586640846584617E-5</v>
      </c>
      <c r="CO149" s="1">
        <v>1.2356569003479992E-3</v>
      </c>
      <c r="CP149" s="1">
        <v>3.7630671335324439E-4</v>
      </c>
      <c r="CQ149" s="1">
        <v>1.7691774927600101E-4</v>
      </c>
      <c r="CR149" s="1">
        <v>2.3391388093441032E-3</v>
      </c>
      <c r="CS149" s="1">
        <v>9.1476313520660879E-4</v>
      </c>
      <c r="CT149" s="1">
        <v>2.9180098890680406E-3</v>
      </c>
      <c r="CU149" s="1">
        <v>1.755939629566626E-3</v>
      </c>
      <c r="CV149" s="1">
        <v>-8.6256222200375987E-6</v>
      </c>
      <c r="CW149" s="1">
        <v>2.6152898165613947E-3</v>
      </c>
      <c r="CX149" s="1">
        <v>1.158894857207951E-3</v>
      </c>
      <c r="CY149" s="1">
        <v>2.028453473386177E-2</v>
      </c>
      <c r="CZ149" s="1">
        <v>2.18569842743528E-2</v>
      </c>
      <c r="DA149" s="1">
        <v>1.7930197962498038E-2</v>
      </c>
      <c r="DB149" s="1">
        <v>2.1851534054426233E-2</v>
      </c>
      <c r="DC149" s="1">
        <v>1.9482650777499291E-2</v>
      </c>
      <c r="DD149" s="1">
        <v>1.6165632710711378E-2</v>
      </c>
      <c r="DE149" s="1">
        <v>2.4969163157136903E-2</v>
      </c>
      <c r="DF149" s="1">
        <v>1.8322403550852913E-2</v>
      </c>
      <c r="DG149" s="1">
        <v>1.8051702763562192E-2</v>
      </c>
      <c r="DH149" s="1">
        <v>1.8899451597721814E-2</v>
      </c>
      <c r="DI149" s="1">
        <v>2.180679129650212E-2</v>
      </c>
      <c r="DJ149" s="1">
        <v>1.9739505972208804E-2</v>
      </c>
      <c r="DK149" s="1">
        <v>1.8988937113570033E-2</v>
      </c>
      <c r="DL149" s="1">
        <v>2.0450782292850037E-2</v>
      </c>
      <c r="DM149" s="1">
        <v>1.9628901610997777E-2</v>
      </c>
      <c r="DN149" s="1">
        <v>2.0464627885431234E-2</v>
      </c>
      <c r="DO149" s="1">
        <v>2.174275272607025E-2</v>
      </c>
      <c r="DP149" s="1">
        <v>2.0024052352080726E-2</v>
      </c>
      <c r="DQ149" s="1">
        <v>1.2294489596633854E-2</v>
      </c>
      <c r="DR149" s="1">
        <v>2.0426036260415704E-2</v>
      </c>
      <c r="DS149" s="1">
        <v>1.8700062633644571E-2</v>
      </c>
      <c r="DT149" s="1">
        <v>2.2594829660283401E-2</v>
      </c>
      <c r="DU149" s="1">
        <v>1.5183655602779424E-2</v>
      </c>
      <c r="DV149" s="1">
        <v>2.065744450970888E-2</v>
      </c>
      <c r="DW149" s="1">
        <v>2.1132984481003397E-2</v>
      </c>
      <c r="DX149" s="1">
        <v>2.0466450918286277E-2</v>
      </c>
      <c r="DY149" s="1">
        <v>2.1607402332424884E-2</v>
      </c>
      <c r="DZ149" s="1">
        <v>2.3154404927499581E-2</v>
      </c>
      <c r="EA149" s="1">
        <v>1.9206499770282E-2</v>
      </c>
      <c r="EB149" s="1">
        <v>2.04024123478544E-2</v>
      </c>
      <c r="EC149" s="1">
        <v>1.6807420240994159E-2</v>
      </c>
      <c r="ED149" s="1">
        <v>2.044827722565154E-2</v>
      </c>
      <c r="EE149" s="1">
        <v>1.864147428313926E-2</v>
      </c>
      <c r="EF149" s="1">
        <v>2.294956574349577E-2</v>
      </c>
      <c r="EG149" s="1">
        <v>2.3026327786635825E-2</v>
      </c>
      <c r="EH149" s="1">
        <v>1.4682668686068564E-2</v>
      </c>
      <c r="EI149" s="1">
        <v>2.1446604993363184E-2</v>
      </c>
      <c r="EJ149" s="1">
        <v>2.2692710548786257E-2</v>
      </c>
      <c r="EK149" s="1">
        <v>2.3507317977856906E-2</v>
      </c>
      <c r="EL149" s="1">
        <v>1.9233068835571375E-2</v>
      </c>
      <c r="EM149" s="1">
        <v>1.8243818474857822E-2</v>
      </c>
      <c r="EN149" s="1">
        <v>1.8103017861285896E-2</v>
      </c>
      <c r="EO149" s="1">
        <v>2.18569842743528E-2</v>
      </c>
      <c r="EP149" s="1">
        <v>1.905297568400191E-2</v>
      </c>
      <c r="EQ149" s="1">
        <v>1.8872882532432439E-2</v>
      </c>
      <c r="ER149" s="1">
        <v>1.8211799189641886E-2</v>
      </c>
      <c r="ES149" s="1">
        <v>1.8898329477848783E-2</v>
      </c>
      <c r="ET149" s="1">
        <v>2.061270175178477E-2</v>
      </c>
      <c r="EU149" s="1">
        <v>2.2364543530863257E-2</v>
      </c>
      <c r="EV149" s="10">
        <v>2.3860231028214232E-2</v>
      </c>
    </row>
    <row r="150" spans="1:152" x14ac:dyDescent="0.25">
      <c r="A150" s="21">
        <f t="shared" ca="1" si="2"/>
        <v>5.8265166080279124E-2</v>
      </c>
      <c r="B150" s="5">
        <v>149</v>
      </c>
      <c r="C150" s="9">
        <v>-2.0659174082095725E-3</v>
      </c>
      <c r="D150" s="1">
        <v>-1.4385722832932013E-2</v>
      </c>
      <c r="E150" s="1">
        <v>-1.3957290173462426E-3</v>
      </c>
      <c r="F150" s="1">
        <v>-2.1321033210699673E-3</v>
      </c>
      <c r="G150" s="1">
        <v>4.4290794995833268E-3</v>
      </c>
      <c r="H150" s="1">
        <v>1.2292188588906083E-2</v>
      </c>
      <c r="I150" s="1">
        <v>1.2981602236298025E-2</v>
      </c>
      <c r="J150" s="1">
        <v>-2.8022917119333111E-3</v>
      </c>
      <c r="K150" s="1">
        <v>-3.6048519285174722E-3</v>
      </c>
      <c r="L150" s="1">
        <v>-1.5036685967266771E-2</v>
      </c>
      <c r="M150" s="1">
        <v>-3.4724801027966549E-3</v>
      </c>
      <c r="N150" s="1">
        <v>2.956330892135808E-3</v>
      </c>
      <c r="O150" s="1">
        <v>-1.5773060270990496E-2</v>
      </c>
      <c r="P150" s="1">
        <v>-1.3765037608176574E-3</v>
      </c>
      <c r="Q150" s="1">
        <v>-4.1426684936599848E-3</v>
      </c>
      <c r="R150" s="1">
        <v>2.1732682711593964E-2</v>
      </c>
      <c r="S150" s="1">
        <v>1.2292188588906083E-2</v>
      </c>
      <c r="T150" s="1">
        <v>2.200731331883499E-3</v>
      </c>
      <c r="U150" s="1">
        <v>-4.2280796630489777E-3</v>
      </c>
      <c r="V150" s="1">
        <v>1.3047788149158433E-2</v>
      </c>
      <c r="W150" s="1">
        <v>-1.4319536920071605E-2</v>
      </c>
      <c r="X150" s="1">
        <v>1.3698751283493221E-2</v>
      </c>
      <c r="Y150" s="1">
        <v>1.5946324707721594E-2</v>
      </c>
      <c r="Z150" s="1">
        <v>3.5026576005530302E-3</v>
      </c>
      <c r="AA150" s="1">
        <v>2.956330892135808E-3</v>
      </c>
      <c r="AB150" s="1">
        <v>-1.7265034134966543E-2</v>
      </c>
      <c r="AC150" s="1">
        <v>5.7310057682528302E-3</v>
      </c>
      <c r="AD150" s="1">
        <v>-4.9452287102441598E-3</v>
      </c>
      <c r="AE150" s="1">
        <v>-8.5609143160024579E-3</v>
      </c>
      <c r="AF150" s="1">
        <v>-1.3957290173462426E-3</v>
      </c>
      <c r="AG150" s="1">
        <v>-7.8907259251391141E-3</v>
      </c>
      <c r="AH150" s="1">
        <v>-5.7862394398854634E-3</v>
      </c>
      <c r="AI150" s="1">
        <v>1.2482236184212615E-2</v>
      </c>
      <c r="AJ150" s="1">
        <v>1.172663662396032E-2</v>
      </c>
      <c r="AK150" s="1">
        <v>-1.0770037227173701E-2</v>
      </c>
      <c r="AL150" s="1">
        <v>-1.0033662923449921E-2</v>
      </c>
      <c r="AM150" s="1">
        <v>-1.3583162616347866E-2</v>
      </c>
      <c r="AN150" s="1">
        <v>3.0417420615247888E-3</v>
      </c>
      <c r="AO150" s="1">
        <v>1.083367724083982E-5</v>
      </c>
      <c r="AP150" s="1">
        <v>-5.6816030139678706E-3</v>
      </c>
      <c r="AQ150" s="1">
        <v>5.0800426339180586E-3</v>
      </c>
      <c r="AR150" s="1">
        <v>-2.391162812500882E-2</v>
      </c>
      <c r="AS150" s="1">
        <v>7.2422048887574638E-3</v>
      </c>
      <c r="AT150" s="1">
        <v>1.7879988854197271E-2</v>
      </c>
      <c r="AU150" s="1">
        <v>1.7314436889251505E-2</v>
      </c>
      <c r="AV150" s="1">
        <v>-7.2397627908043546E-3</v>
      </c>
      <c r="AW150" s="1">
        <v>8.7811394090653635E-3</v>
      </c>
      <c r="AX150" s="1">
        <v>1.4835822846883447E-3</v>
      </c>
      <c r="AY150" s="1">
        <v>-5.9316880076206759E-4</v>
      </c>
      <c r="AZ150" s="1">
        <v>-6.4179773176916231E-3</v>
      </c>
      <c r="BA150" s="1">
        <v>-1.1931104081218523E-2</v>
      </c>
      <c r="BB150" s="1">
        <v>9.6114124710819648E-3</v>
      </c>
      <c r="BC150" s="1">
        <v>-8.4008296448492004E-3</v>
      </c>
      <c r="BD150" s="1">
        <v>-5.5492537426178809E-3</v>
      </c>
      <c r="BE150" s="1">
        <v>-7.7306412539858427E-3</v>
      </c>
      <c r="BF150" s="1">
        <v>6.7705516821045461E-3</v>
      </c>
      <c r="BG150" s="1">
        <v>2.0373058118967891E-2</v>
      </c>
      <c r="BH150" s="1">
        <v>2.542353455068605E-3</v>
      </c>
      <c r="BI150" s="1">
        <v>-1.5527564430448233E-2</v>
      </c>
      <c r="BJ150" s="1">
        <v>2.1818071326612141E-2</v>
      </c>
      <c r="BK150" s="1">
        <v>-1.4799700269999161E-2</v>
      </c>
      <c r="BL150" s="1">
        <v>1.6776597769738166E-2</v>
      </c>
      <c r="BM150" s="1">
        <v>-3.6361442078828216E-2</v>
      </c>
      <c r="BN150" s="1">
        <v>3.1356408198176602E-3</v>
      </c>
      <c r="BO150" s="1">
        <v>1.3265548589897418E-2</v>
      </c>
      <c r="BP150" s="1">
        <v>-6.9088557808731285E-3</v>
      </c>
      <c r="BQ150" s="1">
        <v>2.5414531675841873E-2</v>
      </c>
      <c r="BR150" s="1">
        <v>-1.2524391445967523E-2</v>
      </c>
      <c r="BS150" s="1">
        <v>-2.0786820982432008E-2</v>
      </c>
      <c r="BT150" s="1">
        <v>-9.7304913133219526E-3</v>
      </c>
      <c r="BU150" s="1">
        <v>3.6807915201534008E-2</v>
      </c>
      <c r="BV150" s="1">
        <v>-4.7466935260337198E-3</v>
      </c>
      <c r="BW150" s="1">
        <v>-1.2819075467191646E-2</v>
      </c>
      <c r="BX150" s="1">
        <v>-9.0133422661267878E-3</v>
      </c>
      <c r="BY150" s="1">
        <v>-9.7689418263791142E-3</v>
      </c>
      <c r="BZ150" s="1">
        <v>-7.6452300845968532E-3</v>
      </c>
      <c r="CA150" s="1">
        <v>-2.0635223900182624E-2</v>
      </c>
      <c r="CB150" s="1">
        <v>2.2754048336477706E-3</v>
      </c>
      <c r="CC150" s="1">
        <v>1.0281600861945295E-2</v>
      </c>
      <c r="CD150" s="1">
        <v>-1.3260765749691275E-2</v>
      </c>
      <c r="CE150" s="1">
        <v>-1.0466865617045705E-2</v>
      </c>
      <c r="CF150" s="1">
        <v>-1.473351435713878E-2</v>
      </c>
      <c r="CG150" s="1">
        <v>-3.9910939657813796E-3</v>
      </c>
      <c r="CH150" s="1">
        <v>7.3168783905217527E-3</v>
      </c>
      <c r="CI150" s="1">
        <v>3.1173154279910992E-2</v>
      </c>
      <c r="CJ150" s="1">
        <v>3.2626677630829909E-2</v>
      </c>
      <c r="CK150" s="1">
        <v>-2.6422070407800535E-3</v>
      </c>
      <c r="CL150" s="1">
        <v>-2.8583744158894413E-2</v>
      </c>
      <c r="CM150" s="1">
        <v>1.688123419565573E-2</v>
      </c>
      <c r="CN150" s="1">
        <v>1.6821174688987431E-3</v>
      </c>
      <c r="CO150" s="1">
        <v>1.031154334563987E-3</v>
      </c>
      <c r="CP150" s="1">
        <v>6.7513264255759722E-3</v>
      </c>
      <c r="CQ150" s="1">
        <v>-7.6067795715396916E-3</v>
      </c>
      <c r="CR150" s="1">
        <v>-3.9526434527242388E-3</v>
      </c>
      <c r="CS150" s="1">
        <v>6.0341773783808075E-3</v>
      </c>
      <c r="CT150" s="1">
        <v>9.735274153528102E-3</v>
      </c>
      <c r="CU150" s="1">
        <v>1.0386237287862858E-2</v>
      </c>
      <c r="CV150" s="1">
        <v>-4.0103192223099951E-3</v>
      </c>
      <c r="CW150" s="1">
        <v>4.6660651968509007E-3</v>
      </c>
      <c r="CX150" s="1">
        <v>6.7705516821045461E-3</v>
      </c>
      <c r="CY150" s="1">
        <v>6.0303466652672402E-2</v>
      </c>
      <c r="CZ150" s="1">
        <v>2.7406017087736989E-2</v>
      </c>
      <c r="DA150" s="1">
        <v>9.35532445874869E-3</v>
      </c>
      <c r="DB150" s="1">
        <v>1.5974183048987678E-2</v>
      </c>
      <c r="DC150" s="1">
        <v>3.0897841011049157E-2</v>
      </c>
      <c r="DD150" s="1">
        <v>-5.0412320514241632E-3</v>
      </c>
      <c r="DE150" s="1">
        <v>3.7555150114345279E-2</v>
      </c>
      <c r="DF150" s="1">
        <v>-1.2818929971357973E-2</v>
      </c>
      <c r="DG150" s="1">
        <v>-1.0005804582183822E-2</v>
      </c>
      <c r="DH150" s="1">
        <v>4.5236721751636261E-2</v>
      </c>
      <c r="DI150" s="1">
        <v>2.9595914742379631E-2</v>
      </c>
      <c r="DJ150" s="1">
        <v>1.0130149275529576E-2</v>
      </c>
      <c r="DK150" s="1">
        <v>1.7993258364852369E-2</v>
      </c>
      <c r="DL150" s="1">
        <v>2.7320605918347993E-2</v>
      </c>
      <c r="DM150" s="1">
        <v>5.2354946393960641E-2</v>
      </c>
      <c r="DN150" s="1">
        <v>4.5275172264693395E-2</v>
      </c>
      <c r="DO150" s="1">
        <v>1.3831246050676871E-2</v>
      </c>
      <c r="DP150" s="1">
        <v>2.5271590232700827E-2</v>
      </c>
      <c r="DQ150" s="1">
        <v>-1.3849988296305821E-2</v>
      </c>
      <c r="DR150" s="1">
        <v>-1.349762850549599E-2</v>
      </c>
      <c r="DS150" s="1">
        <v>3.0878615754520541E-2</v>
      </c>
      <c r="DT150" s="1">
        <v>4.1046974037657474E-2</v>
      </c>
      <c r="DU150" s="1">
        <v>-1.9418563305068415E-2</v>
      </c>
      <c r="DV150" s="1">
        <v>8.7428118374710678E-3</v>
      </c>
      <c r="DW150" s="1">
        <v>3.171962648416185E-2</v>
      </c>
      <c r="DX150" s="1">
        <v>9.0743814795152256E-4</v>
      </c>
      <c r="DY150" s="1">
        <v>1.5237808745263925E-2</v>
      </c>
      <c r="DZ150" s="1">
        <v>2.5348491258815137E-2</v>
      </c>
      <c r="EA150" s="1">
        <v>2.2279132361474011E-2</v>
      </c>
      <c r="EB150" s="1">
        <v>-1.4857230543751251E-2</v>
      </c>
      <c r="EC150" s="1">
        <v>-1.5047278139057804E-2</v>
      </c>
      <c r="ED150" s="1">
        <v>1.0979670148445531E-2</v>
      </c>
      <c r="EE150" s="1">
        <v>2.6545781101567092E-2</v>
      </c>
      <c r="EF150" s="1">
        <v>-4.4144877704985208E-4</v>
      </c>
      <c r="EG150" s="1">
        <v>-6.1808461245903903E-3</v>
      </c>
      <c r="EH150" s="1">
        <v>6.1275412672741336E-4</v>
      </c>
      <c r="EI150" s="1">
        <v>5.9652503518337646E-2</v>
      </c>
      <c r="EJ150" s="1">
        <v>2.0326242958469742E-2</v>
      </c>
      <c r="EK150" s="1">
        <v>2.8227802560849696E-2</v>
      </c>
      <c r="EL150" s="1">
        <v>1.8729632668576093E-2</v>
      </c>
      <c r="EM150" s="1">
        <v>3.7288201492924458E-2</v>
      </c>
      <c r="EN150" s="1">
        <v>2.7262930148762229E-2</v>
      </c>
      <c r="EO150" s="1">
        <v>2.7406017087736989E-2</v>
      </c>
      <c r="EP150" s="1">
        <v>3.3757927056555129E-2</v>
      </c>
      <c r="EQ150" s="1">
        <v>4.8786221444534136E-2</v>
      </c>
      <c r="ER150" s="1">
        <v>2.9405867147073064E-2</v>
      </c>
      <c r="ES150" s="1">
        <v>5.7780893660475119E-3</v>
      </c>
      <c r="ET150" s="1">
        <v>2.2364543530863007E-2</v>
      </c>
      <c r="EU150" s="1">
        <v>5.8265166080279124E-2</v>
      </c>
      <c r="EV150" s="10">
        <v>3.1107113862884256E-2</v>
      </c>
    </row>
    <row r="151" spans="1:152" x14ac:dyDescent="0.25">
      <c r="A151" s="31">
        <f t="shared" ca="1" si="2"/>
        <v>4.5559391473063718E-2</v>
      </c>
      <c r="B151" s="5">
        <v>150</v>
      </c>
      <c r="C151" s="11">
        <v>1.9595461908314404E-3</v>
      </c>
      <c r="D151" s="12">
        <v>-9.1005992555323323E-3</v>
      </c>
      <c r="E151" s="12">
        <v>1.695004511659437E-3</v>
      </c>
      <c r="F151" s="12">
        <v>8.4830661995374812E-4</v>
      </c>
      <c r="G151" s="12">
        <v>7.357348074427339E-3</v>
      </c>
      <c r="H151" s="12">
        <v>-4.2395871557948661E-4</v>
      </c>
      <c r="I151" s="12">
        <v>6.1921320483167008E-3</v>
      </c>
      <c r="J151" s="12">
        <v>1.1128482991257238E-3</v>
      </c>
      <c r="K151" s="12">
        <v>-8.4508916345765739E-4</v>
      </c>
      <c r="L151" s="12">
        <v>-1.955425133292138E-3</v>
      </c>
      <c r="M151" s="12">
        <v>1.377389978297755E-3</v>
      </c>
      <c r="N151" s="12">
        <v>5.6639522910159057E-3</v>
      </c>
      <c r="O151" s="12">
        <v>-2.8021230249978268E-3</v>
      </c>
      <c r="P151" s="12">
        <v>8.5756369547276556E-3</v>
      </c>
      <c r="Q151" s="12">
        <v>1.6419316574697584E-3</v>
      </c>
      <c r="R151" s="12">
        <v>8.3606347348391952E-3</v>
      </c>
      <c r="S151" s="12">
        <v>-4.2395871557948661E-4</v>
      </c>
      <c r="T151" s="12">
        <v>-2.0633780437579741E-3</v>
      </c>
      <c r="U151" s="12">
        <v>-6.3499403564761525E-3</v>
      </c>
      <c r="V151" s="12">
        <v>7.3033716191943931E-3</v>
      </c>
      <c r="W151" s="12">
        <v>-7.98935968465464E-3</v>
      </c>
      <c r="X151" s="12">
        <v>1.5819749695422658E-4</v>
      </c>
      <c r="Y151" s="12">
        <v>1.6459556058207703E-2</v>
      </c>
      <c r="Z151" s="12">
        <v>-1.635372628823839E-2</v>
      </c>
      <c r="AA151" s="12">
        <v>5.6639522910159057E-3</v>
      </c>
      <c r="AB151" s="12">
        <v>-1.1376151251477423E-2</v>
      </c>
      <c r="AC151" s="12">
        <v>-6.9330001700531052E-3</v>
      </c>
      <c r="AD151" s="12">
        <v>-3.1600580511365051E-4</v>
      </c>
      <c r="AE151" s="12">
        <v>-3.4382556927644581E-3</v>
      </c>
      <c r="AF151" s="12">
        <v>1.695004511659437E-3</v>
      </c>
      <c r="AG151" s="12">
        <v>-3.7027973719364615E-3</v>
      </c>
      <c r="AH151" s="12">
        <v>-1.6035208153833469E-2</v>
      </c>
      <c r="AI151" s="12">
        <v>2.2440417755380498E-2</v>
      </c>
      <c r="AJ151" s="12">
        <v>1.4713087420606619E-2</v>
      </c>
      <c r="AK151" s="12">
        <v>-5.9783493678815525E-3</v>
      </c>
      <c r="AL151" s="12">
        <v>-5.1316514761758358E-3</v>
      </c>
      <c r="AM151" s="12">
        <v>-7.1426617929489233E-3</v>
      </c>
      <c r="AN151" s="12">
        <v>1.3655824304961844E-2</v>
      </c>
      <c r="AO151" s="12">
        <v>2.2771607241931224E-3</v>
      </c>
      <c r="AP151" s="12">
        <v>-1.1627036968193671E-3</v>
      </c>
      <c r="AQ151" s="12">
        <v>2.1217395218711688E-4</v>
      </c>
      <c r="AR151" s="12">
        <v>-2.5877064719896925E-2</v>
      </c>
      <c r="AS151" s="12">
        <v>8.5216604994947098E-3</v>
      </c>
      <c r="AT151" s="12">
        <v>-1.1856598751581127E-2</v>
      </c>
      <c r="AU151" s="12">
        <v>3.2804473846049786E-3</v>
      </c>
      <c r="AV151" s="12">
        <v>-1.0847971494176656E-2</v>
      </c>
      <c r="AW151" s="12">
        <v>1.1326295853783808E-2</v>
      </c>
      <c r="AX151" s="12">
        <v>3.9705565076045279E-3</v>
      </c>
      <c r="AY151" s="12">
        <v>3.6529419742428737E-3</v>
      </c>
      <c r="AZ151" s="12">
        <v>-2.009401588525056E-3</v>
      </c>
      <c r="BA151" s="12">
        <v>-1.3763162653553491E-2</v>
      </c>
      <c r="BB151" s="12">
        <v>-4.1327749124723395E-3</v>
      </c>
      <c r="BC151" s="12">
        <v>-1.8632784779848616E-2</v>
      </c>
      <c r="BD151" s="12">
        <v>-3.7072074686448353E-3</v>
      </c>
      <c r="BE151" s="12">
        <v>-1.8897326459020605E-2</v>
      </c>
      <c r="BF151" s="12">
        <v>7.3529379777189513E-3</v>
      </c>
      <c r="BG151" s="12">
        <v>-2.7578972634658833E-3</v>
      </c>
      <c r="BH151" s="12">
        <v>2.5137127098444761E-2</v>
      </c>
      <c r="BI151" s="12">
        <v>-1.0004780098136073E-2</v>
      </c>
      <c r="BJ151" s="12">
        <v>1.1585523835204226E-2</v>
      </c>
      <c r="BK151" s="12">
        <v>1.037257555189651E-2</v>
      </c>
      <c r="BL151" s="12">
        <v>1.0004852919515278E-3</v>
      </c>
      <c r="BM151" s="12">
        <v>-6.1384446322528263E-3</v>
      </c>
      <c r="BN151" s="12">
        <v>-2.6499443530000263E-3</v>
      </c>
      <c r="BO151" s="12">
        <v>1.2750739861314836E-2</v>
      </c>
      <c r="BP151" s="12">
        <v>-1.0058756553368985E-2</v>
      </c>
      <c r="BQ151" s="12">
        <v>7.8271412797868006E-3</v>
      </c>
      <c r="BR151" s="12">
        <v>1.4023908797891324E-2</v>
      </c>
      <c r="BS151" s="12">
        <v>-3.0804169797090081E-2</v>
      </c>
      <c r="BT151" s="12">
        <v>8.3075887798904902E-3</v>
      </c>
      <c r="BU151" s="12">
        <v>-4.8237876365151283E-3</v>
      </c>
      <c r="BV151" s="12">
        <v>-1.7492700060614125E-3</v>
      </c>
      <c r="BW151" s="12">
        <v>-2.3712972130082804E-2</v>
      </c>
      <c r="BX151" s="12">
        <v>2.273654228528002E-3</v>
      </c>
      <c r="BY151" s="12">
        <v>-5.4536761062458916E-3</v>
      </c>
      <c r="BZ151" s="12">
        <v>-1.0905454445074687E-2</v>
      </c>
      <c r="CA151" s="12">
        <v>-2.1701058212266457E-2</v>
      </c>
      <c r="CB151" s="12">
        <v>-2.5249779144788029E-2</v>
      </c>
      <c r="CC151" s="12">
        <v>-4.3973165916443568E-3</v>
      </c>
      <c r="CD151" s="12">
        <v>1.3177210906185621E-2</v>
      </c>
      <c r="CE151" s="12">
        <v>7.4608908881847735E-3</v>
      </c>
      <c r="CF151" s="12">
        <v>1.1483815122774202E-2</v>
      </c>
      <c r="CG151" s="12">
        <v>5.978060328712495E-3</v>
      </c>
      <c r="CH151" s="12">
        <v>-1.4664740601535345E-2</v>
      </c>
      <c r="CI151" s="12">
        <v>1.2378245271676969E-2</v>
      </c>
      <c r="CJ151" s="12">
        <v>7.1910086120201833E-3</v>
      </c>
      <c r="CK151" s="12">
        <v>-1.4081680787958406E-2</v>
      </c>
      <c r="CL151" s="12">
        <v>-2.1911623436205563E-2</v>
      </c>
      <c r="CM151" s="12">
        <v>1.587298974896563E-2</v>
      </c>
      <c r="CN151" s="12">
        <v>2.5372923066567521E-3</v>
      </c>
      <c r="CO151" s="12">
        <v>9.6824664288969742E-3</v>
      </c>
      <c r="CP151" s="12">
        <v>4.7230553465076736E-4</v>
      </c>
      <c r="CQ151" s="12">
        <v>2.8558104410617013E-3</v>
      </c>
      <c r="CR151" s="12">
        <v>1.9739325214848877E-2</v>
      </c>
      <c r="CS151" s="12">
        <v>6.5062400860132624E-3</v>
      </c>
      <c r="CT151" s="12">
        <v>1.7620361987609953E-2</v>
      </c>
      <c r="CU151" s="12">
        <v>1.0475187865369745E-2</v>
      </c>
      <c r="CV151" s="12">
        <v>-9.0257211435570972E-4</v>
      </c>
      <c r="CW151" s="12">
        <v>1.9685348759615945E-2</v>
      </c>
      <c r="CX151" s="12">
        <v>7.3529379777189513E-3</v>
      </c>
      <c r="CY151" s="12">
        <v>1.766346351010982E-2</v>
      </c>
      <c r="CZ151" s="12">
        <v>3.4445269571467027E-2</v>
      </c>
      <c r="DA151" s="12">
        <v>6.183994817954383E-3</v>
      </c>
      <c r="DB151" s="12">
        <v>3.333493360163256E-2</v>
      </c>
      <c r="DC151" s="12">
        <v>1.58143825590355E-2</v>
      </c>
      <c r="DD151" s="12">
        <v>-5.1937651617710995E-3</v>
      </c>
      <c r="DE151" s="12">
        <v>5.6726586228850101E-2</v>
      </c>
      <c r="DF151" s="12">
        <v>1.0579413642181623E-2</v>
      </c>
      <c r="DG151" s="12">
        <v>1.1743726067249022E-2</v>
      </c>
      <c r="DH151" s="12">
        <v>6.5502452095563685E-3</v>
      </c>
      <c r="DI151" s="12">
        <v>3.0104730803515931E-2</v>
      </c>
      <c r="DJ151" s="12">
        <v>2.0791957595796481E-2</v>
      </c>
      <c r="DK151" s="12">
        <v>1.3010650805789656E-2</v>
      </c>
      <c r="DL151" s="12">
        <v>2.6453397557521102E-2</v>
      </c>
      <c r="DM151" s="12">
        <v>1.7452898286170734E-2</v>
      </c>
      <c r="DN151" s="12">
        <v>2.0311510095692792E-2</v>
      </c>
      <c r="DO151" s="12">
        <v>3.1906079497393172E-2</v>
      </c>
      <c r="DP151" s="12">
        <v>1.3485757708900717E-2</v>
      </c>
      <c r="DQ151" s="12">
        <v>-2.8004165177498166E-2</v>
      </c>
      <c r="DR151" s="12">
        <v>3.0374613079680535E-2</v>
      </c>
      <c r="DS151" s="12">
        <v>8.9337501159673094E-3</v>
      </c>
      <c r="DT151" s="12">
        <v>3.8095699216418574E-2</v>
      </c>
      <c r="DU151" s="12">
        <v>-9.6908926984283633E-3</v>
      </c>
      <c r="DV151" s="12">
        <v>2.7090433826330987E-2</v>
      </c>
      <c r="DW151" s="12">
        <v>2.4652952464687114E-2</v>
      </c>
      <c r="DX151" s="12">
        <v>2.2221715301079095E-2</v>
      </c>
      <c r="DY151" s="12">
        <v>3.2488235709926858E-2</v>
      </c>
      <c r="DZ151" s="12">
        <v>4.1008287481173536E-2</v>
      </c>
      <c r="EA151" s="12">
        <v>1.5868359014268432E-2</v>
      </c>
      <c r="EB151" s="12">
        <v>2.4023063994956337E-2</v>
      </c>
      <c r="EC151" s="12">
        <v>1.158687523996324E-3</v>
      </c>
      <c r="ED151" s="12">
        <v>1.6980502186189378E-2</v>
      </c>
      <c r="EE151" s="12">
        <v>1.1845434779679004E-2</v>
      </c>
      <c r="EF151" s="12">
        <v>4.228145641775001E-2</v>
      </c>
      <c r="EG151" s="12">
        <v>4.461098486892804E-2</v>
      </c>
      <c r="EH151" s="12">
        <v>-1.5515165626895006E-2</v>
      </c>
      <c r="EI151" s="12">
        <v>2.4808637632350028E-2</v>
      </c>
      <c r="EJ151" s="12">
        <v>3.7303881380989057E-2</v>
      </c>
      <c r="EK151" s="12">
        <v>4.3283839477118627E-2</v>
      </c>
      <c r="EL151" s="12">
        <v>1.3857348697495331E-2</v>
      </c>
      <c r="EM151" s="12">
        <v>6.339679985617297E-3</v>
      </c>
      <c r="EN151" s="12">
        <v>5.8115002283165157E-3</v>
      </c>
      <c r="EO151" s="12">
        <v>3.4445269571467027E-2</v>
      </c>
      <c r="EP151" s="12">
        <v>1.1209302111912428E-2</v>
      </c>
      <c r="EQ151" s="12">
        <v>8.561255526329456E-3</v>
      </c>
      <c r="ER151" s="12">
        <v>7.2403543325559316E-3</v>
      </c>
      <c r="ES151" s="12">
        <v>1.6823009816439971E-2</v>
      </c>
      <c r="ET151" s="12">
        <v>2.3860231028214343E-2</v>
      </c>
      <c r="EU151" s="12">
        <v>3.1107113862884547E-2</v>
      </c>
      <c r="EV151" s="13">
        <v>4.5559391473063718E-2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A31"/>
  <sheetViews>
    <sheetView workbookViewId="0">
      <selection activeCell="S6" sqref="S6"/>
    </sheetView>
  </sheetViews>
  <sheetFormatPr defaultRowHeight="15" x14ac:dyDescent="0.25"/>
  <cols>
    <col min="7" max="7" width="7.5703125" customWidth="1"/>
    <col min="9" max="9" width="12.28515625" customWidth="1"/>
    <col min="10" max="10" width="9.85546875" bestFit="1" customWidth="1"/>
    <col min="11" max="11" width="10.7109375" customWidth="1"/>
    <col min="12" max="12" width="9.42578125" customWidth="1"/>
    <col min="14" max="14" width="11.140625" customWidth="1"/>
    <col min="15" max="15" width="10.42578125" customWidth="1"/>
  </cols>
  <sheetData>
    <row r="1" spans="1:27" ht="15.75" thickBot="1" x14ac:dyDescent="0.3">
      <c r="A1" s="63" t="s">
        <v>31</v>
      </c>
      <c r="B1" s="36" t="s">
        <v>33</v>
      </c>
      <c r="C1" s="36" t="s">
        <v>32</v>
      </c>
      <c r="D1" s="36" t="s">
        <v>30</v>
      </c>
      <c r="E1" s="73" t="s">
        <v>9</v>
      </c>
      <c r="F1" s="73" t="s">
        <v>10</v>
      </c>
      <c r="G1" s="36" t="s">
        <v>42</v>
      </c>
      <c r="H1" s="39" t="s">
        <v>48</v>
      </c>
      <c r="I1" s="26"/>
      <c r="Y1" s="35" t="s">
        <v>36</v>
      </c>
      <c r="Z1" s="69"/>
      <c r="AA1" s="37" t="s">
        <v>37</v>
      </c>
    </row>
    <row r="2" spans="1:27" ht="15.75" thickBot="1" x14ac:dyDescent="0.3">
      <c r="A2" s="28">
        <v>184</v>
      </c>
      <c r="B2" s="56">
        <v>1</v>
      </c>
      <c r="C2" s="58">
        <v>172</v>
      </c>
      <c r="D2" s="72">
        <v>79</v>
      </c>
      <c r="E2" s="28">
        <f>C2*$M$11+$M$10</f>
        <v>78.065125734080596</v>
      </c>
      <c r="F2" s="28">
        <f>(D2-E2)</f>
        <v>0.93487426591940448</v>
      </c>
      <c r="G2" s="28">
        <f ca="1">F2/$K$5/SQRT(1-'Dźwignia II'!A2)</f>
        <v>0.56059650923396998</v>
      </c>
      <c r="H2" s="27">
        <f ca="1">SQRT(ABS(G2))</f>
        <v>0.74872993077208416</v>
      </c>
      <c r="J2" s="2" t="s">
        <v>35</v>
      </c>
      <c r="K2" s="3"/>
      <c r="L2" s="3"/>
      <c r="N2" s="32" t="s">
        <v>26</v>
      </c>
      <c r="O2" t="str">
        <f>IF(O4&gt;$N$12,"Któryś ze współczynników jest zerowy","Odrzucamy hipotezę o zerowości któregokolwiek ze współczynników")</f>
        <v>Odrzucamy hipotezę o zerowości któregokolwiek ze współczynników</v>
      </c>
      <c r="Y2" s="9">
        <v>1</v>
      </c>
      <c r="Z2" s="1">
        <f>SMALL($F$2:$F$31,Y2)</f>
        <v>-2.3668875169445585</v>
      </c>
      <c r="AA2" s="10">
        <f>_xlfn.NORM.INV((Y2-1/2)/30,0,$K$5)</f>
        <v>-3.6758271981631268</v>
      </c>
    </row>
    <row r="3" spans="1:27" ht="15.75" thickTop="1" x14ac:dyDescent="0.25">
      <c r="A3" s="28">
        <v>190</v>
      </c>
      <c r="B3" s="59">
        <v>1</v>
      </c>
      <c r="C3" s="60">
        <v>168</v>
      </c>
      <c r="D3" s="70">
        <v>80</v>
      </c>
      <c r="E3" s="28">
        <f t="shared" ref="E3:E31" si="0">C3*$M$11+$M$10</f>
        <v>76.668649299808493</v>
      </c>
      <c r="F3" s="28">
        <f t="shared" ref="F3:F31" si="1">(D3-E3)</f>
        <v>3.331350700191507</v>
      </c>
      <c r="G3" s="28">
        <f ca="1">F3/$K$5/SQRT(1-'Dźwignia II'!A3)</f>
        <v>1.9642873869176718</v>
      </c>
      <c r="H3" s="27">
        <f t="shared" ref="H3:H31" ca="1" si="2">SQRT(ABS(G3))</f>
        <v>1.4015303731698687</v>
      </c>
      <c r="J3" s="51">
        <f t="array" ref="J3:K7">LINEST(D2:D31,C2:C31,TRUE,TRUE)</f>
        <v>0.34911910856798667</v>
      </c>
      <c r="K3" s="77">
        <v>18.016639060382495</v>
      </c>
      <c r="N3" s="22" t="s">
        <v>27</v>
      </c>
      <c r="O3" s="14">
        <f>(K16/1)/(K15/(J10-2))</f>
        <v>36.171872674676756</v>
      </c>
      <c r="Y3" s="9">
        <v>2</v>
      </c>
      <c r="Z3" s="1">
        <f t="shared" ref="Z3:Z31" si="3">SMALL($F$2:$F$31,Y3)</f>
        <v>-2.2721728655363904</v>
      </c>
      <c r="AA3" s="10">
        <f t="shared" ref="AA3:AA31" si="4">_xlfn.NORM.INV((Y3-1/2)/30,0,$K$5)</f>
        <v>-2.8411979227786999</v>
      </c>
    </row>
    <row r="4" spans="1:27" x14ac:dyDescent="0.25">
      <c r="A4" s="28">
        <v>171</v>
      </c>
      <c r="B4" s="59">
        <v>1</v>
      </c>
      <c r="C4" s="60">
        <v>170</v>
      </c>
      <c r="D4" s="70">
        <v>75</v>
      </c>
      <c r="E4" s="28">
        <f t="shared" si="0"/>
        <v>77.366887516944558</v>
      </c>
      <c r="F4" s="28">
        <f t="shared" si="1"/>
        <v>-2.3668875169445585</v>
      </c>
      <c r="G4" s="28">
        <f ca="1">F4/$K$5/SQRT(1-'Dźwignia II'!A4)</f>
        <v>-1.4039625837942089</v>
      </c>
      <c r="H4" s="27">
        <f t="shared" ca="1" si="2"/>
        <v>1.1848892706891261</v>
      </c>
      <c r="J4" s="9">
        <v>5.8048115245289945E-2</v>
      </c>
      <c r="K4" s="10">
        <v>9.6682210240693927</v>
      </c>
      <c r="N4" s="5" t="s">
        <v>25</v>
      </c>
      <c r="O4" s="14">
        <f>_xlfn.F.DIST.RT(O3,1,J10-2)</f>
        <v>1.760985078985133E-6</v>
      </c>
      <c r="Y4" s="9">
        <v>3</v>
      </c>
      <c r="Z4" s="1">
        <f t="shared" si="3"/>
        <v>-2.0651257340805955</v>
      </c>
      <c r="AA4" s="10">
        <f t="shared" si="4"/>
        <v>-2.388881282048207</v>
      </c>
    </row>
    <row r="5" spans="1:27" x14ac:dyDescent="0.25">
      <c r="A5" s="28">
        <v>185</v>
      </c>
      <c r="B5" s="59">
        <v>1</v>
      </c>
      <c r="C5" s="60">
        <v>170</v>
      </c>
      <c r="D5" s="70">
        <v>78</v>
      </c>
      <c r="E5" s="28">
        <f t="shared" si="0"/>
        <v>77.366887516944558</v>
      </c>
      <c r="F5" s="28">
        <f t="shared" si="1"/>
        <v>0.63311248305544154</v>
      </c>
      <c r="G5" s="28">
        <f ca="1">F5/$K$5/SQRT(1-'Dźwignia II'!A5)</f>
        <v>0.37554223898663858</v>
      </c>
      <c r="H5" s="27">
        <f t="shared" ca="1" si="2"/>
        <v>0.61281501204412292</v>
      </c>
      <c r="J5" s="9">
        <v>0.56367176407721276</v>
      </c>
      <c r="K5" s="74">
        <v>1.7273256879668373</v>
      </c>
      <c r="Y5" s="9">
        <v>4</v>
      </c>
      <c r="Z5" s="1">
        <f t="shared" si="3"/>
        <v>-1.8756964312643021</v>
      </c>
      <c r="AA5" s="10">
        <f t="shared" si="4"/>
        <v>-2.0586546886795669</v>
      </c>
    </row>
    <row r="6" spans="1:27" x14ac:dyDescent="0.25">
      <c r="A6" s="28">
        <v>185</v>
      </c>
      <c r="B6" s="59">
        <v>1</v>
      </c>
      <c r="C6" s="60">
        <v>173</v>
      </c>
      <c r="D6" s="70">
        <v>81</v>
      </c>
      <c r="E6" s="28">
        <f t="shared" si="0"/>
        <v>78.414244842648628</v>
      </c>
      <c r="F6" s="28">
        <f t="shared" si="1"/>
        <v>2.5857551573513717</v>
      </c>
      <c r="G6" s="28">
        <f ca="1">F6/$K$5/SQRT(1-'Dźwignia II'!A6)</f>
        <v>1.562006332373306</v>
      </c>
      <c r="H6" s="27">
        <f t="shared" ca="1" si="2"/>
        <v>1.2498025173495635</v>
      </c>
      <c r="J6" s="9">
        <v>36.171872674668911</v>
      </c>
      <c r="K6" s="10">
        <v>28</v>
      </c>
      <c r="M6" s="79" t="s">
        <v>24</v>
      </c>
      <c r="N6" s="6">
        <f t="array" ref="N6:O7">K14*MINVERSE(J10:K11)</f>
        <v>25.184529350660455</v>
      </c>
      <c r="O6" s="8">
        <v>-0.15112775417221205</v>
      </c>
      <c r="Y6" s="9">
        <v>5</v>
      </c>
      <c r="Z6" s="1">
        <f t="shared" si="3"/>
        <v>-1.716006625512577</v>
      </c>
      <c r="AA6" s="10">
        <f t="shared" si="4"/>
        <v>-1.7902580175391616</v>
      </c>
    </row>
    <row r="7" spans="1:27" x14ac:dyDescent="0.25">
      <c r="A7" s="28">
        <v>172</v>
      </c>
      <c r="B7" s="59">
        <v>1</v>
      </c>
      <c r="C7" s="60">
        <v>162</v>
      </c>
      <c r="D7" s="70">
        <v>73</v>
      </c>
      <c r="E7" s="28">
        <f t="shared" si="0"/>
        <v>74.573934648400353</v>
      </c>
      <c r="F7" s="28">
        <f t="shared" si="1"/>
        <v>-1.5739346484003534</v>
      </c>
      <c r="G7" s="28">
        <f ca="1">F7/$K$5/SQRT(1-'Dźwignia II'!A7)</f>
        <v>-0.93776805403413033</v>
      </c>
      <c r="H7" s="27">
        <f t="shared" ca="1" si="2"/>
        <v>0.96838424916668808</v>
      </c>
      <c r="J7" s="11">
        <v>107.92435376198368</v>
      </c>
      <c r="K7" s="13">
        <v>83.542312904683016</v>
      </c>
      <c r="M7" s="79"/>
      <c r="N7" s="11">
        <v>-0.15112775417221205</v>
      </c>
      <c r="O7" s="13">
        <v>9.0785595217588355E-4</v>
      </c>
      <c r="Y7" s="9">
        <v>6</v>
      </c>
      <c r="Z7" s="1">
        <f t="shared" si="3"/>
        <v>-1.5739346484003534</v>
      </c>
      <c r="AA7" s="10">
        <f t="shared" si="4"/>
        <v>-1.5593169950278365</v>
      </c>
    </row>
    <row r="8" spans="1:27" ht="15.75" thickBot="1" x14ac:dyDescent="0.3">
      <c r="A8" s="28">
        <v>170</v>
      </c>
      <c r="B8" s="59">
        <v>1</v>
      </c>
      <c r="C8" s="60">
        <v>159</v>
      </c>
      <c r="D8" s="70">
        <v>72</v>
      </c>
      <c r="E8" s="28">
        <f t="shared" si="0"/>
        <v>73.526577322696284</v>
      </c>
      <c r="F8" s="28">
        <f t="shared" si="1"/>
        <v>-1.5265773226962835</v>
      </c>
      <c r="G8" s="28">
        <f ca="1">F8/$K$5/SQRT(1-'Dźwignia II'!A8)</f>
        <v>-0.92967555102404842</v>
      </c>
      <c r="H8" s="27">
        <f t="shared" ca="1" si="2"/>
        <v>0.96419684246737114</v>
      </c>
      <c r="Y8" s="9">
        <v>7</v>
      </c>
      <c r="Z8" s="1">
        <f t="shared" si="3"/>
        <v>-1.5265773226962835</v>
      </c>
      <c r="AA8" s="10">
        <f t="shared" si="4"/>
        <v>-1.3533603249424175</v>
      </c>
    </row>
    <row r="9" spans="1:27" ht="15.75" thickBot="1" x14ac:dyDescent="0.3">
      <c r="A9" s="28">
        <v>178</v>
      </c>
      <c r="B9" s="59">
        <v>1</v>
      </c>
      <c r="C9" s="60">
        <v>164</v>
      </c>
      <c r="D9" s="70">
        <v>75</v>
      </c>
      <c r="E9" s="28">
        <f t="shared" si="0"/>
        <v>75.27217286553639</v>
      </c>
      <c r="F9" s="28">
        <f t="shared" si="1"/>
        <v>-0.27217286553639042</v>
      </c>
      <c r="G9" s="28">
        <f ca="1">F9/$K$5/SQRT(1-'Dźwignia II'!A9)</f>
        <v>-0.16083527449202922</v>
      </c>
      <c r="H9" s="27">
        <f t="shared" ca="1" si="2"/>
        <v>0.40104273399730012</v>
      </c>
      <c r="J9" s="2" t="s">
        <v>11</v>
      </c>
      <c r="N9" s="23" t="s">
        <v>29</v>
      </c>
      <c r="O9" s="24" t="s">
        <v>25</v>
      </c>
      <c r="Y9" s="9">
        <v>8</v>
      </c>
      <c r="Z9" s="1">
        <f t="shared" si="3"/>
        <v>-1.5265773226962835</v>
      </c>
      <c r="AA9" s="10">
        <f t="shared" si="4"/>
        <v>-1.1650634717840274</v>
      </c>
    </row>
    <row r="10" spans="1:27" ht="15.75" thickTop="1" x14ac:dyDescent="0.25">
      <c r="A10" s="28">
        <v>175</v>
      </c>
      <c r="B10" s="59">
        <v>1</v>
      </c>
      <c r="C10" s="60">
        <v>169</v>
      </c>
      <c r="D10" s="70">
        <v>76</v>
      </c>
      <c r="E10" s="28">
        <f t="shared" si="0"/>
        <v>77.017768408376526</v>
      </c>
      <c r="F10" s="28">
        <f t="shared" si="1"/>
        <v>-1.0177684083765257</v>
      </c>
      <c r="G10" s="28">
        <f ca="1">F10/$K$5/SQRT(1-'Dźwignia II'!A10)</f>
        <v>-0.60154847607014028</v>
      </c>
      <c r="H10" s="27">
        <f t="shared" ca="1" si="2"/>
        <v>0.77559556217795644</v>
      </c>
      <c r="J10" s="9">
        <f t="array" ref="J10:K11">MMULT(TRANSPOSE(B2:C31),B2:C31)</f>
        <v>30</v>
      </c>
      <c r="K10" s="8">
        <v>4994</v>
      </c>
      <c r="L10" s="4" t="s">
        <v>15</v>
      </c>
      <c r="M10" s="75">
        <f t="array" ref="M10:M11">MMULT(MMULT(MINVERSE(J10:K11),TRANSPOSE(B2:C31)),D2:D31)</f>
        <v>18.016639060380314</v>
      </c>
      <c r="N10" s="7">
        <f>M10/SQRT(N6)</f>
        <v>3.590102585653911</v>
      </c>
      <c r="O10" s="8">
        <f>_xlfn.T.DIST.2T(ABS(N10),J10-2)</f>
        <v>1.2461575820670757E-3</v>
      </c>
      <c r="P10" t="str">
        <f>IF(O10&gt;$N$12,"Dany współczynnik może być zerowy","Odrzucamy hipotezę o zerowości tego współczynnika")</f>
        <v>Odrzucamy hipotezę o zerowości tego współczynnika</v>
      </c>
      <c r="Y10" s="9">
        <v>9</v>
      </c>
      <c r="Z10" s="1">
        <f t="shared" si="3"/>
        <v>-1.3195301912404744</v>
      </c>
      <c r="AA10" s="10">
        <f t="shared" si="4"/>
        <v>-0.98970156488759908</v>
      </c>
    </row>
    <row r="11" spans="1:27" x14ac:dyDescent="0.25">
      <c r="A11" s="28">
        <v>177</v>
      </c>
      <c r="B11" s="59">
        <v>1</v>
      </c>
      <c r="C11" s="60">
        <v>167</v>
      </c>
      <c r="D11" s="70">
        <v>75</v>
      </c>
      <c r="E11" s="28">
        <f t="shared" si="0"/>
        <v>76.319530191240474</v>
      </c>
      <c r="F11" s="28">
        <f t="shared" si="1"/>
        <v>-1.3195301912404744</v>
      </c>
      <c r="G11" s="28">
        <f ca="1">F11/$K$5/SQRT(1-'Dźwignia II'!A11)</f>
        <v>-0.77710356482269183</v>
      </c>
      <c r="H11" s="27">
        <f t="shared" ca="1" si="2"/>
        <v>0.88153477799953639</v>
      </c>
      <c r="J11" s="11">
        <v>4994</v>
      </c>
      <c r="K11" s="13">
        <v>832220</v>
      </c>
      <c r="L11" s="4" t="s">
        <v>16</v>
      </c>
      <c r="M11" s="76">
        <v>0.34911910856802492</v>
      </c>
      <c r="N11" s="12">
        <f>M11/SQRT(O7)</f>
        <v>11.586843666227502</v>
      </c>
      <c r="O11" s="13">
        <f>_xlfn.T.DIST.2T(ABS(N11),J10-2)</f>
        <v>3.389122227254186E-12</v>
      </c>
      <c r="P11" t="str">
        <f>IF(O11&gt;$N$12,"Dany współczynnik może być zerowy","Odrzucamy hipotezę o zerowości tego współczynnika")</f>
        <v>Odrzucamy hipotezę o zerowości tego współczynnika</v>
      </c>
      <c r="Y11" s="9">
        <v>10</v>
      </c>
      <c r="Z11" s="1">
        <f t="shared" si="3"/>
        <v>-1.0651257340805955</v>
      </c>
      <c r="AA11" s="10">
        <f t="shared" si="4"/>
        <v>-0.82400418632852301</v>
      </c>
    </row>
    <row r="12" spans="1:27" x14ac:dyDescent="0.25">
      <c r="A12" s="28">
        <v>179</v>
      </c>
      <c r="B12" s="59">
        <v>1</v>
      </c>
      <c r="C12" s="60">
        <v>177</v>
      </c>
      <c r="D12" s="70">
        <v>79</v>
      </c>
      <c r="E12" s="28">
        <f t="shared" si="0"/>
        <v>79.810721276920731</v>
      </c>
      <c r="F12" s="28">
        <f t="shared" si="1"/>
        <v>-0.81072127692073082</v>
      </c>
      <c r="G12" s="28">
        <f ca="1">F12/$K$5/SQRT(1-'Dźwignia II'!A12)</f>
        <v>-0.51168809334904353</v>
      </c>
      <c r="H12" s="27">
        <f t="shared" ca="1" si="2"/>
        <v>0.71532376819804022</v>
      </c>
      <c r="M12" s="64" t="s">
        <v>28</v>
      </c>
      <c r="N12" s="65">
        <v>0.05</v>
      </c>
      <c r="O12" s="1"/>
      <c r="Y12" s="9">
        <v>11</v>
      </c>
      <c r="Z12" s="1">
        <f t="shared" si="3"/>
        <v>-1.0177684083765257</v>
      </c>
      <c r="AA12" s="10">
        <f t="shared" si="4"/>
        <v>-0.66557393972515477</v>
      </c>
    </row>
    <row r="13" spans="1:27" x14ac:dyDescent="0.25">
      <c r="A13" s="28">
        <v>174</v>
      </c>
      <c r="B13" s="59">
        <v>1</v>
      </c>
      <c r="C13" s="60">
        <v>172</v>
      </c>
      <c r="D13" s="70">
        <v>76</v>
      </c>
      <c r="E13" s="28">
        <f t="shared" si="0"/>
        <v>78.065125734080596</v>
      </c>
      <c r="F13" s="28">
        <f t="shared" si="1"/>
        <v>-2.0651257340805955</v>
      </c>
      <c r="G13" s="28">
        <f ca="1">F13/$K$5/SQRT(1-'Dźwignia II'!A13)</f>
        <v>-1.2383507813387891</v>
      </c>
      <c r="H13" s="27">
        <f t="shared" ca="1" si="2"/>
        <v>1.1128121051367068</v>
      </c>
      <c r="J13" s="5" t="s">
        <v>34</v>
      </c>
      <c r="K13" s="14">
        <f>AVERAGE(D2:D31)</f>
        <v>76.13333333333334</v>
      </c>
      <c r="Y13" s="9">
        <v>12</v>
      </c>
      <c r="Z13" s="1">
        <f t="shared" si="3"/>
        <v>-0.92305375696837189</v>
      </c>
      <c r="AA13" s="10">
        <f t="shared" si="4"/>
        <v>-0.51256289061807048</v>
      </c>
    </row>
    <row r="14" spans="1:27" x14ac:dyDescent="0.25">
      <c r="A14" s="28">
        <v>172</v>
      </c>
      <c r="B14" s="59">
        <v>1</v>
      </c>
      <c r="C14" s="60">
        <v>159</v>
      </c>
      <c r="D14" s="70">
        <v>72</v>
      </c>
      <c r="E14" s="28">
        <f t="shared" si="0"/>
        <v>73.526577322696284</v>
      </c>
      <c r="F14" s="28">
        <f t="shared" si="1"/>
        <v>-1.5265773226962835</v>
      </c>
      <c r="G14" s="28">
        <f ca="1">F14/$K$5/SQRT(1-'Dźwignia II'!A14)</f>
        <v>-0.92967555102404842</v>
      </c>
      <c r="H14" s="27">
        <f t="shared" ca="1" si="2"/>
        <v>0.96419684246737114</v>
      </c>
      <c r="J14" s="5" t="s">
        <v>18</v>
      </c>
      <c r="K14" s="14">
        <f>K15/(J7-4)</f>
        <v>0.80387618378670711</v>
      </c>
      <c r="M14" s="5" t="s">
        <v>22</v>
      </c>
      <c r="N14" s="53">
        <f>K16/K17</f>
        <v>0.56367176407733599</v>
      </c>
      <c r="Y14" s="9">
        <v>13</v>
      </c>
      <c r="Z14" s="1">
        <f t="shared" si="3"/>
        <v>-0.81072127692073082</v>
      </c>
      <c r="AA14" s="10">
        <f t="shared" si="4"/>
        <v>-0.36347837086205337</v>
      </c>
    </row>
    <row r="15" spans="1:27" x14ac:dyDescent="0.25">
      <c r="A15" s="28">
        <v>173</v>
      </c>
      <c r="B15" s="59">
        <v>1</v>
      </c>
      <c r="C15" s="60">
        <v>160</v>
      </c>
      <c r="D15" s="70">
        <v>72</v>
      </c>
      <c r="E15" s="28">
        <f t="shared" si="0"/>
        <v>73.875696431264302</v>
      </c>
      <c r="F15" s="28">
        <f t="shared" si="1"/>
        <v>-1.8756964312643021</v>
      </c>
      <c r="G15" s="28">
        <f ca="1">F15/$K$5/SQRT(1-'Dźwignia II'!A15)</f>
        <v>-1.1324698814071126</v>
      </c>
      <c r="H15" s="27">
        <f t="shared" ca="1" si="2"/>
        <v>1.0641756816461803</v>
      </c>
      <c r="J15" s="15" t="s">
        <v>19</v>
      </c>
      <c r="K15" s="16">
        <f>SUMSQ(F2:F31)</f>
        <v>83.542312904683158</v>
      </c>
      <c r="M15" s="5" t="s">
        <v>23</v>
      </c>
      <c r="N15" s="53">
        <f>1-K15/(J7-1)/K17*(J7-1)</f>
        <v>0.56367176407721198</v>
      </c>
      <c r="Y15" s="9">
        <v>14</v>
      </c>
      <c r="Z15" s="1">
        <f t="shared" si="3"/>
        <v>-0.52657732269628355</v>
      </c>
      <c r="AA15" s="10">
        <f t="shared" si="4"/>
        <v>-0.21705807240728009</v>
      </c>
    </row>
    <row r="16" spans="1:27" x14ac:dyDescent="0.25">
      <c r="A16" s="28">
        <v>189</v>
      </c>
      <c r="B16" s="59">
        <v>1</v>
      </c>
      <c r="C16" s="60">
        <v>168</v>
      </c>
      <c r="D16" s="70">
        <v>79</v>
      </c>
      <c r="E16" s="28">
        <f t="shared" si="0"/>
        <v>76.668649299808493</v>
      </c>
      <c r="F16" s="28">
        <f t="shared" si="1"/>
        <v>2.331350700191507</v>
      </c>
      <c r="G16" s="28">
        <f ca="1">F16/$K$5/SQRT(1-'Dźwignia II'!A16)</f>
        <v>1.3746504607289185</v>
      </c>
      <c r="H16" s="27">
        <f t="shared" ca="1" si="2"/>
        <v>1.1724548864365394</v>
      </c>
      <c r="J16" s="17" t="s">
        <v>20</v>
      </c>
      <c r="K16" s="10" cm="1">
        <f t="array" ref="K16">SUM((E2:E31-K13)^2)</f>
        <v>107.92435376200729</v>
      </c>
      <c r="Y16" s="9">
        <v>15</v>
      </c>
      <c r="Z16" s="1">
        <f t="shared" si="3"/>
        <v>-0.27217286553639042</v>
      </c>
      <c r="AA16" s="10">
        <f t="shared" si="4"/>
        <v>-7.2183727600457132E-2</v>
      </c>
    </row>
    <row r="17" spans="1:27" x14ac:dyDescent="0.25">
      <c r="A17" s="28">
        <v>187</v>
      </c>
      <c r="B17" s="59">
        <v>1</v>
      </c>
      <c r="C17" s="60">
        <v>166</v>
      </c>
      <c r="D17" s="70">
        <v>77</v>
      </c>
      <c r="E17" s="28">
        <f t="shared" si="0"/>
        <v>75.970411082672456</v>
      </c>
      <c r="F17" s="28">
        <f t="shared" si="1"/>
        <v>1.0295889173275441</v>
      </c>
      <c r="G17" s="28">
        <f ca="1">F17/$K$5/SQRT(1-'Dźwignia II'!A17)</f>
        <v>0.60632644597181107</v>
      </c>
      <c r="H17" s="27">
        <f t="shared" ca="1" si="2"/>
        <v>0.77866966421699713</v>
      </c>
      <c r="J17" s="18" t="s">
        <v>21</v>
      </c>
      <c r="K17" s="19" cm="1">
        <f t="array" ref="K17">SUM((D2:D31-K13)^2)</f>
        <v>191.4666666666667</v>
      </c>
      <c r="L17" s="20">
        <f>SUM(K15:K16)</f>
        <v>191.46666666669046</v>
      </c>
      <c r="Y17" s="9">
        <v>16</v>
      </c>
      <c r="Z17" s="1">
        <f t="shared" si="3"/>
        <v>-0.27217286553639042</v>
      </c>
      <c r="AA17" s="10">
        <f t="shared" si="4"/>
        <v>7.2183727600457367E-2</v>
      </c>
    </row>
    <row r="18" spans="1:27" x14ac:dyDescent="0.25">
      <c r="A18" s="28">
        <v>174</v>
      </c>
      <c r="B18" s="59">
        <v>1</v>
      </c>
      <c r="C18" s="60">
        <v>172</v>
      </c>
      <c r="D18" s="70">
        <v>77</v>
      </c>
      <c r="E18" s="28">
        <f t="shared" si="0"/>
        <v>78.065125734080596</v>
      </c>
      <c r="F18" s="28">
        <f t="shared" si="1"/>
        <v>-1.0651257340805955</v>
      </c>
      <c r="G18" s="28">
        <f ca="1">F18/$K$5/SQRT(1-'Dźwignia II'!A18)</f>
        <v>-0.6387016844812029</v>
      </c>
      <c r="H18" s="27">
        <f t="shared" ca="1" si="2"/>
        <v>0.79918814085370593</v>
      </c>
      <c r="Y18" s="9">
        <v>17</v>
      </c>
      <c r="Z18" s="1">
        <f t="shared" si="3"/>
        <v>-6.5125734080595521E-2</v>
      </c>
      <c r="AA18" s="10">
        <f t="shared" si="4"/>
        <v>0.21705807240728034</v>
      </c>
    </row>
    <row r="19" spans="1:27" x14ac:dyDescent="0.25">
      <c r="A19" s="28">
        <v>173</v>
      </c>
      <c r="B19" s="59">
        <v>1</v>
      </c>
      <c r="C19" s="60">
        <v>164</v>
      </c>
      <c r="D19" s="70">
        <v>75</v>
      </c>
      <c r="E19" s="28">
        <f t="shared" si="0"/>
        <v>75.27217286553639</v>
      </c>
      <c r="F19" s="28">
        <f t="shared" si="1"/>
        <v>-0.27217286553639042</v>
      </c>
      <c r="G19" s="28">
        <f ca="1">F19/$K$5/SQRT(1-'Dźwignia II'!A19)</f>
        <v>-0.16083527449202922</v>
      </c>
      <c r="H19" s="27">
        <f t="shared" ca="1" si="2"/>
        <v>0.40104273399730012</v>
      </c>
      <c r="Y19" s="9">
        <v>18</v>
      </c>
      <c r="Z19" s="1">
        <f t="shared" si="3"/>
        <v>2.9588917327544095E-2</v>
      </c>
      <c r="AA19" s="10">
        <f t="shared" si="4"/>
        <v>0.36347837086205365</v>
      </c>
    </row>
    <row r="20" spans="1:27" x14ac:dyDescent="0.25">
      <c r="A20" s="28">
        <v>179</v>
      </c>
      <c r="B20" s="59">
        <v>1</v>
      </c>
      <c r="C20" s="60">
        <v>171</v>
      </c>
      <c r="D20" s="70">
        <v>76</v>
      </c>
      <c r="E20" s="28">
        <f t="shared" si="0"/>
        <v>77.716006625512577</v>
      </c>
      <c r="F20" s="28">
        <f t="shared" si="1"/>
        <v>-1.716006625512577</v>
      </c>
      <c r="G20" s="28">
        <f ca="1">F20/$K$5/SQRT(1-'Dźwignia II'!A20)</f>
        <v>-1.0227832372226142</v>
      </c>
      <c r="H20" s="27">
        <f t="shared" ca="1" si="2"/>
        <v>1.0113274629033933</v>
      </c>
      <c r="Y20" s="9">
        <v>19</v>
      </c>
      <c r="Z20" s="1">
        <f t="shared" si="3"/>
        <v>0.63311248305544154</v>
      </c>
      <c r="AA20" s="10">
        <f t="shared" si="4"/>
        <v>0.5125628906180707</v>
      </c>
    </row>
    <row r="21" spans="1:27" x14ac:dyDescent="0.25">
      <c r="A21" s="28">
        <v>175</v>
      </c>
      <c r="B21" s="59">
        <v>1</v>
      </c>
      <c r="C21" s="60">
        <v>161</v>
      </c>
      <c r="D21" s="70">
        <v>75</v>
      </c>
      <c r="E21" s="28">
        <f t="shared" si="0"/>
        <v>74.224815539832321</v>
      </c>
      <c r="F21" s="28">
        <f t="shared" si="1"/>
        <v>0.77518446016767939</v>
      </c>
      <c r="G21" s="28">
        <f ca="1">F21/$K$5/SQRT(1-'Dźwignia II'!A21)</f>
        <v>0.46463228743286911</v>
      </c>
      <c r="H21" s="27">
        <f t="shared" ca="1" si="2"/>
        <v>0.68163941159007901</v>
      </c>
      <c r="Y21" s="9">
        <v>20</v>
      </c>
      <c r="Z21" s="1">
        <f t="shared" si="3"/>
        <v>0.63311248305544154</v>
      </c>
      <c r="AA21" s="10">
        <f t="shared" si="4"/>
        <v>0.66557393972515477</v>
      </c>
    </row>
    <row r="22" spans="1:27" x14ac:dyDescent="0.25">
      <c r="A22" s="28">
        <v>186</v>
      </c>
      <c r="B22" s="59">
        <v>1</v>
      </c>
      <c r="C22" s="60">
        <v>172</v>
      </c>
      <c r="D22" s="70">
        <v>80</v>
      </c>
      <c r="E22" s="28">
        <f t="shared" si="0"/>
        <v>78.065125734080596</v>
      </c>
      <c r="F22" s="28">
        <f t="shared" si="1"/>
        <v>1.9348742659194045</v>
      </c>
      <c r="G22" s="28">
        <f ca="1">F22/$K$5/SQRT(1-'Dźwignia II'!A22)</f>
        <v>1.1602456060915562</v>
      </c>
      <c r="H22" s="27">
        <f t="shared" ca="1" si="2"/>
        <v>1.0771469751577805</v>
      </c>
      <c r="Y22" s="9">
        <v>21</v>
      </c>
      <c r="Z22" s="1">
        <f t="shared" si="3"/>
        <v>0.77518446016767939</v>
      </c>
      <c r="AA22" s="10">
        <f t="shared" si="4"/>
        <v>0.82400418632852301</v>
      </c>
    </row>
    <row r="23" spans="1:27" x14ac:dyDescent="0.25">
      <c r="A23" s="28">
        <v>182</v>
      </c>
      <c r="B23" s="59">
        <v>1</v>
      </c>
      <c r="C23" s="60">
        <v>166</v>
      </c>
      <c r="D23" s="70">
        <v>76</v>
      </c>
      <c r="E23" s="28">
        <f t="shared" si="0"/>
        <v>75.970411082672456</v>
      </c>
      <c r="F23" s="28">
        <f t="shared" si="1"/>
        <v>2.9588917327544095E-2</v>
      </c>
      <c r="G23" s="28">
        <f ca="1">F23/$K$5/SQRT(1-'Dźwignia II'!A23)</f>
        <v>1.7424957457711353E-2</v>
      </c>
      <c r="H23" s="27">
        <f t="shared" ca="1" si="2"/>
        <v>0.13200362668393378</v>
      </c>
      <c r="Y23" s="9">
        <v>22</v>
      </c>
      <c r="Z23" s="1">
        <f t="shared" si="3"/>
        <v>0.93487426591940448</v>
      </c>
      <c r="AA23" s="10">
        <f t="shared" si="4"/>
        <v>0.98970156488759908</v>
      </c>
    </row>
    <row r="24" spans="1:27" x14ac:dyDescent="0.25">
      <c r="A24" s="28">
        <v>191</v>
      </c>
      <c r="B24" s="59">
        <v>1</v>
      </c>
      <c r="C24" s="60">
        <v>156</v>
      </c>
      <c r="D24" s="70">
        <v>76</v>
      </c>
      <c r="E24" s="28">
        <f t="shared" si="0"/>
        <v>72.4792199969922</v>
      </c>
      <c r="F24" s="28">
        <f t="shared" si="1"/>
        <v>3.5207800030078005</v>
      </c>
      <c r="G24" s="28">
        <f ca="1">F24/$K$5/SQRT(1-'Dźwignia II'!A24)</f>
        <v>2.2200612180582717</v>
      </c>
      <c r="H24" s="27">
        <f t="shared" ca="1" si="2"/>
        <v>1.4899869858687598</v>
      </c>
      <c r="Y24" s="9">
        <v>23</v>
      </c>
      <c r="Z24" s="1">
        <f t="shared" si="3"/>
        <v>1.0295889173275441</v>
      </c>
      <c r="AA24" s="10">
        <f t="shared" si="4"/>
        <v>1.1650634717840274</v>
      </c>
    </row>
    <row r="25" spans="1:27" x14ac:dyDescent="0.25">
      <c r="A25" s="28">
        <v>180</v>
      </c>
      <c r="B25" s="59">
        <v>1</v>
      </c>
      <c r="C25" s="60">
        <v>172</v>
      </c>
      <c r="D25" s="70">
        <v>78</v>
      </c>
      <c r="E25" s="28">
        <f t="shared" si="0"/>
        <v>78.065125734080596</v>
      </c>
      <c r="F25" s="28">
        <f t="shared" si="1"/>
        <v>-6.5125734080595521E-2</v>
      </c>
      <c r="G25" s="28">
        <f ca="1">F25/$K$5/SQRT(1-'Dźwignia II'!A25)</f>
        <v>-3.9052587623616436E-2</v>
      </c>
      <c r="H25" s="27">
        <f t="shared" ca="1" si="2"/>
        <v>0.19761727562036785</v>
      </c>
      <c r="Y25" s="9">
        <v>24</v>
      </c>
      <c r="Z25" s="1">
        <f t="shared" si="3"/>
        <v>1.283993374487423</v>
      </c>
      <c r="AA25" s="10">
        <f t="shared" si="4"/>
        <v>1.3533603249424175</v>
      </c>
    </row>
    <row r="26" spans="1:27" x14ac:dyDescent="0.25">
      <c r="A26" s="28">
        <v>183</v>
      </c>
      <c r="B26" s="59">
        <v>1</v>
      </c>
      <c r="C26" s="60">
        <v>170</v>
      </c>
      <c r="D26" s="70">
        <v>78</v>
      </c>
      <c r="E26" s="28">
        <f t="shared" si="0"/>
        <v>77.366887516944558</v>
      </c>
      <c r="F26" s="28">
        <f t="shared" si="1"/>
        <v>0.63311248305544154</v>
      </c>
      <c r="G26" s="28">
        <f ca="1">F26/$K$5/SQRT(1-'Dźwignia II'!A26)</f>
        <v>0.37554223898663858</v>
      </c>
      <c r="H26" s="27">
        <f t="shared" ca="1" si="2"/>
        <v>0.61281501204412292</v>
      </c>
      <c r="Y26" s="9">
        <v>25</v>
      </c>
      <c r="Z26" s="1">
        <f t="shared" si="3"/>
        <v>1.9348742659194045</v>
      </c>
      <c r="AA26" s="10">
        <f t="shared" si="4"/>
        <v>1.5593169950278365</v>
      </c>
    </row>
    <row r="27" spans="1:27" x14ac:dyDescent="0.25">
      <c r="A27" s="28">
        <v>182</v>
      </c>
      <c r="B27" s="59">
        <v>1</v>
      </c>
      <c r="C27" s="60">
        <v>157</v>
      </c>
      <c r="D27" s="70">
        <v>75</v>
      </c>
      <c r="E27" s="28">
        <f t="shared" si="0"/>
        <v>72.828339105560218</v>
      </c>
      <c r="F27" s="28">
        <f t="shared" si="1"/>
        <v>2.1716608944397819</v>
      </c>
      <c r="G27" s="28">
        <f ca="1">F27/$K$5/SQRT(1-'Dźwignia II'!A27)</f>
        <v>1.3514345866842334</v>
      </c>
      <c r="H27" s="27">
        <f t="shared" ca="1" si="2"/>
        <v>1.1625121877572868</v>
      </c>
      <c r="Y27" s="9">
        <v>26</v>
      </c>
      <c r="Z27" s="1">
        <f t="shared" si="3"/>
        <v>2.1716608944397819</v>
      </c>
      <c r="AA27" s="10">
        <f t="shared" si="4"/>
        <v>1.7902580175391616</v>
      </c>
    </row>
    <row r="28" spans="1:27" x14ac:dyDescent="0.25">
      <c r="A28" s="28">
        <v>177</v>
      </c>
      <c r="B28" s="59">
        <v>1</v>
      </c>
      <c r="C28" s="60">
        <v>159</v>
      </c>
      <c r="D28" s="70">
        <v>73</v>
      </c>
      <c r="E28" s="28">
        <f t="shared" si="0"/>
        <v>73.526577322696284</v>
      </c>
      <c r="F28" s="28">
        <f t="shared" si="1"/>
        <v>-0.52657732269628355</v>
      </c>
      <c r="G28" s="28">
        <f ca="1">F28/$K$5/SQRT(1-'Dźwignia II'!A28)</f>
        <v>-0.32068212684424374</v>
      </c>
      <c r="H28" s="27">
        <f t="shared" ca="1" si="2"/>
        <v>0.56628802463432315</v>
      </c>
      <c r="Y28" s="9">
        <v>27</v>
      </c>
      <c r="Z28" s="1">
        <f t="shared" si="3"/>
        <v>2.331350700191507</v>
      </c>
      <c r="AA28" s="10">
        <f t="shared" si="4"/>
        <v>2.0586546886795669</v>
      </c>
    </row>
    <row r="29" spans="1:27" x14ac:dyDescent="0.25">
      <c r="A29" s="28">
        <v>176</v>
      </c>
      <c r="B29" s="59">
        <v>1</v>
      </c>
      <c r="C29" s="60">
        <v>163</v>
      </c>
      <c r="D29" s="70">
        <v>74</v>
      </c>
      <c r="E29" s="28">
        <f t="shared" si="0"/>
        <v>74.923053756968372</v>
      </c>
      <c r="F29" s="28">
        <f t="shared" si="1"/>
        <v>-0.92305375696837189</v>
      </c>
      <c r="G29" s="28">
        <f ca="1">F29/$K$5/SQRT(1-'Dźwignia II'!A29)</f>
        <v>-0.54737480137622141</v>
      </c>
      <c r="H29" s="27">
        <f t="shared" ca="1" si="2"/>
        <v>0.73984782312055319</v>
      </c>
      <c r="Y29" s="9">
        <v>28</v>
      </c>
      <c r="Z29" s="1">
        <f t="shared" si="3"/>
        <v>2.5857551573513717</v>
      </c>
      <c r="AA29" s="10">
        <f t="shared" si="4"/>
        <v>2.3888812820482039</v>
      </c>
    </row>
    <row r="30" spans="1:27" x14ac:dyDescent="0.25">
      <c r="A30" s="28">
        <v>169</v>
      </c>
      <c r="B30" s="59">
        <v>1</v>
      </c>
      <c r="C30" s="60">
        <v>164</v>
      </c>
      <c r="D30" s="70">
        <v>73</v>
      </c>
      <c r="E30" s="28">
        <f t="shared" si="0"/>
        <v>75.27217286553639</v>
      </c>
      <c r="F30" s="28">
        <f t="shared" si="1"/>
        <v>-2.2721728655363904</v>
      </c>
      <c r="G30" s="28">
        <f ca="1">F30/$K$5/SQRT(1-'Dźwignia II'!A30)</f>
        <v>-1.3426964727055966</v>
      </c>
      <c r="H30" s="27">
        <f t="shared" ca="1" si="2"/>
        <v>1.1587478037543788</v>
      </c>
      <c r="Y30" s="9">
        <v>29</v>
      </c>
      <c r="Z30" s="1">
        <f t="shared" si="3"/>
        <v>3.331350700191507</v>
      </c>
      <c r="AA30" s="10">
        <f t="shared" si="4"/>
        <v>2.8411979227786981</v>
      </c>
    </row>
    <row r="31" spans="1:27" ht="15.75" thickBot="1" x14ac:dyDescent="0.3">
      <c r="A31" s="28">
        <v>186</v>
      </c>
      <c r="B31" s="61">
        <v>1</v>
      </c>
      <c r="C31" s="25">
        <v>171</v>
      </c>
      <c r="D31" s="71">
        <v>79</v>
      </c>
      <c r="E31" s="28">
        <f t="shared" si="0"/>
        <v>77.716006625512577</v>
      </c>
      <c r="F31" s="28">
        <f t="shared" si="1"/>
        <v>1.283993374487423</v>
      </c>
      <c r="G31" s="28">
        <f ca="1">F31/$K$5/SQRT(1-'Dźwignia II'!A31)</f>
        <v>0.76529244153609466</v>
      </c>
      <c r="H31" s="27">
        <f t="shared" ca="1" si="2"/>
        <v>0.87480994595174477</v>
      </c>
      <c r="Y31" s="11">
        <v>30</v>
      </c>
      <c r="Z31" s="12">
        <f t="shared" si="3"/>
        <v>3.5207800030078005</v>
      </c>
      <c r="AA31" s="13">
        <f t="shared" si="4"/>
        <v>3.6758271981631268</v>
      </c>
    </row>
  </sheetData>
  <mergeCells count="1">
    <mergeCell ref="M6:M7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632D3-146D-40FD-92B9-7BE4765142F0}">
  <dimension ref="A1:AF31"/>
  <sheetViews>
    <sheetView workbookViewId="0">
      <selection activeCell="F35" sqref="F35"/>
    </sheetView>
  </sheetViews>
  <sheetFormatPr defaultRowHeight="15" x14ac:dyDescent="0.25"/>
  <cols>
    <col min="1" max="1" width="10.140625" customWidth="1"/>
  </cols>
  <sheetData>
    <row r="1" spans="1:32" x14ac:dyDescent="0.25">
      <c r="A1" s="30" t="s">
        <v>47</v>
      </c>
      <c r="B1" s="38" t="s">
        <v>39</v>
      </c>
      <c r="C1" s="68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>
        <v>28</v>
      </c>
      <c r="AE1" s="5">
        <v>29</v>
      </c>
      <c r="AF1" s="5">
        <v>30</v>
      </c>
    </row>
    <row r="2" spans="1:32" x14ac:dyDescent="0.25">
      <c r="A2">
        <f ca="1">OFFSET($B$1,B2,B2)</f>
        <v>6.7911459117604878E-2</v>
      </c>
      <c r="B2" s="5">
        <v>1</v>
      </c>
      <c r="C2" s="6">
        <f t="array" ref="C2:AF31">MMULT(MMULT(Wzrost!B2:C31,MINVERSE(Wzrost!J10:K11)),TRANSPOSE(Wzrost!B2:C31))</f>
        <v>6.7911459117604878E-2</v>
      </c>
      <c r="D2" s="7">
        <v>4.291522361090494E-2</v>
      </c>
      <c r="E2" s="7">
        <v>5.5413341364254798E-2</v>
      </c>
      <c r="F2" s="7">
        <v>5.5413341364254798E-2</v>
      </c>
      <c r="G2" s="7">
        <v>7.4160517994279695E-2</v>
      </c>
      <c r="H2" s="7">
        <v>5.4208703508551448E-3</v>
      </c>
      <c r="I2" s="7">
        <v>-1.3326306279169642E-2</v>
      </c>
      <c r="J2" s="7">
        <v>1.7918988104205003E-2</v>
      </c>
      <c r="K2" s="7">
        <v>4.916428248757998E-2</v>
      </c>
      <c r="L2" s="7">
        <v>3.66661647342299E-2</v>
      </c>
      <c r="M2" s="7">
        <v>9.9156753500979633E-2</v>
      </c>
      <c r="N2" s="7">
        <v>6.7911459117604878E-2</v>
      </c>
      <c r="O2" s="7">
        <v>-1.3326306279169642E-2</v>
      </c>
      <c r="P2" s="7">
        <v>-7.077247402494713E-3</v>
      </c>
      <c r="Q2" s="7">
        <v>4.291522361090494E-2</v>
      </c>
      <c r="R2" s="7">
        <v>3.0417105857555082E-2</v>
      </c>
      <c r="S2" s="7">
        <v>6.7911459117604878E-2</v>
      </c>
      <c r="T2" s="7">
        <v>1.7918988104205003E-2</v>
      </c>
      <c r="U2" s="7">
        <v>6.1662400240929838E-2</v>
      </c>
      <c r="V2" s="7">
        <v>-8.2818852581967306E-4</v>
      </c>
      <c r="W2" s="7">
        <v>6.7911459117604878E-2</v>
      </c>
      <c r="X2" s="7">
        <v>3.0417105857555082E-2</v>
      </c>
      <c r="Y2" s="7">
        <v>-3.2073482909194539E-2</v>
      </c>
      <c r="Z2" s="7">
        <v>6.7911459117604878E-2</v>
      </c>
      <c r="AA2" s="7">
        <v>5.5413341364254798E-2</v>
      </c>
      <c r="AB2" s="7">
        <v>-2.5824424032519611E-2</v>
      </c>
      <c r="AC2" s="7">
        <v>-1.3326306279169642E-2</v>
      </c>
      <c r="AD2" s="7">
        <v>1.1669929227530185E-2</v>
      </c>
      <c r="AE2" s="7">
        <v>1.7918988104205003E-2</v>
      </c>
      <c r="AF2" s="8">
        <v>6.1662400240929838E-2</v>
      </c>
    </row>
    <row r="3" spans="1:32" x14ac:dyDescent="0.25">
      <c r="A3">
        <f t="shared" ref="A3:A31" ca="1" si="0">OFFSET($B$1,B3,B3)</f>
        <v>3.5988555940368983E-2</v>
      </c>
      <c r="B3" s="5">
        <v>2</v>
      </c>
      <c r="C3" s="9">
        <v>4.2915223610900277E-2</v>
      </c>
      <c r="D3" s="1">
        <v>3.5988555940368983E-2</v>
      </c>
      <c r="E3" s="1">
        <v>3.945188977563463E-2</v>
      </c>
      <c r="F3" s="1">
        <v>3.945188977563463E-2</v>
      </c>
      <c r="G3" s="1">
        <v>4.4646890528533101E-2</v>
      </c>
      <c r="H3" s="1">
        <v>2.5598554434572041E-2</v>
      </c>
      <c r="I3" s="1">
        <v>2.040355368167357E-2</v>
      </c>
      <c r="J3" s="1">
        <v>2.9061888269837688E-2</v>
      </c>
      <c r="K3" s="1">
        <v>3.7720222858001806E-2</v>
      </c>
      <c r="L3" s="1">
        <v>3.4256889022736159E-2</v>
      </c>
      <c r="M3" s="1">
        <v>5.1573558199064395E-2</v>
      </c>
      <c r="N3" s="1">
        <v>4.2915223610900277E-2</v>
      </c>
      <c r="O3" s="1">
        <v>2.040355368167357E-2</v>
      </c>
      <c r="P3" s="1">
        <v>2.2135220599306393E-2</v>
      </c>
      <c r="Q3" s="1">
        <v>3.5988555940368983E-2</v>
      </c>
      <c r="R3" s="1">
        <v>3.2525222105103335E-2</v>
      </c>
      <c r="S3" s="1">
        <v>4.2915223610900277E-2</v>
      </c>
      <c r="T3" s="1">
        <v>2.9061888269837688E-2</v>
      </c>
      <c r="U3" s="1">
        <v>4.1183556693267453E-2</v>
      </c>
      <c r="V3" s="1">
        <v>2.3866887516939217E-2</v>
      </c>
      <c r="W3" s="1">
        <v>4.2915223610900277E-2</v>
      </c>
      <c r="X3" s="1">
        <v>3.2525222105103335E-2</v>
      </c>
      <c r="Y3" s="1">
        <v>1.5208552928775099E-2</v>
      </c>
      <c r="Z3" s="1">
        <v>4.2915223610900277E-2</v>
      </c>
      <c r="AA3" s="1">
        <v>3.945188977563463E-2</v>
      </c>
      <c r="AB3" s="1">
        <v>1.6940219846407922E-2</v>
      </c>
      <c r="AC3" s="1">
        <v>2.040355368167357E-2</v>
      </c>
      <c r="AD3" s="1">
        <v>2.7330221352204864E-2</v>
      </c>
      <c r="AE3" s="1">
        <v>2.9061888269837688E-2</v>
      </c>
      <c r="AF3" s="10">
        <v>4.1183556693267453E-2</v>
      </c>
    </row>
    <row r="4" spans="1:32" x14ac:dyDescent="0.25">
      <c r="A4">
        <f t="shared" ca="1" si="0"/>
        <v>4.7432615569947156E-2</v>
      </c>
      <c r="B4" s="5">
        <v>3</v>
      </c>
      <c r="C4" s="9">
        <v>5.5413341364254909E-2</v>
      </c>
      <c r="D4" s="1">
        <v>3.9451889775639293E-2</v>
      </c>
      <c r="E4" s="1">
        <v>4.7432615569947156E-2</v>
      </c>
      <c r="F4" s="1">
        <v>4.7432615569947156E-2</v>
      </c>
      <c r="G4" s="1">
        <v>5.9403704261408841E-2</v>
      </c>
      <c r="H4" s="1">
        <v>1.5509712392715924E-2</v>
      </c>
      <c r="I4" s="1">
        <v>3.5386237012541288E-3</v>
      </c>
      <c r="J4" s="1">
        <v>2.3490438187023677E-2</v>
      </c>
      <c r="K4" s="1">
        <v>4.3442252672793225E-2</v>
      </c>
      <c r="L4" s="1">
        <v>3.5461526878485361E-2</v>
      </c>
      <c r="M4" s="1">
        <v>7.5365155850024457E-2</v>
      </c>
      <c r="N4" s="1">
        <v>5.5413341364254909E-2</v>
      </c>
      <c r="O4" s="1">
        <v>3.5386237012541288E-3</v>
      </c>
      <c r="P4" s="1">
        <v>7.5289865984080606E-3</v>
      </c>
      <c r="Q4" s="1">
        <v>3.9451889775639293E-2</v>
      </c>
      <c r="R4" s="1">
        <v>3.1471163981331429E-2</v>
      </c>
      <c r="S4" s="1">
        <v>5.5413341364254909E-2</v>
      </c>
      <c r="T4" s="1">
        <v>2.3490438187023677E-2</v>
      </c>
      <c r="U4" s="1">
        <v>5.1422978467100977E-2</v>
      </c>
      <c r="V4" s="1">
        <v>1.1519349495561992E-2</v>
      </c>
      <c r="W4" s="1">
        <v>5.5413341364254909E-2</v>
      </c>
      <c r="X4" s="1">
        <v>3.1471163981331429E-2</v>
      </c>
      <c r="Y4" s="1">
        <v>-8.4324649902075555E-3</v>
      </c>
      <c r="Z4" s="1">
        <v>5.5413341364254909E-2</v>
      </c>
      <c r="AA4" s="1">
        <v>4.7432615569947156E-2</v>
      </c>
      <c r="AB4" s="1">
        <v>-4.4421020930536237E-3</v>
      </c>
      <c r="AC4" s="1">
        <v>3.5386237012541288E-3</v>
      </c>
      <c r="AD4" s="1">
        <v>1.9500075289869745E-2</v>
      </c>
      <c r="AE4" s="1">
        <v>2.3490438187023677E-2</v>
      </c>
      <c r="AF4" s="10">
        <v>5.1422978467100977E-2</v>
      </c>
    </row>
    <row r="5" spans="1:32" x14ac:dyDescent="0.25">
      <c r="A5">
        <f t="shared" ca="1" si="0"/>
        <v>4.7432615569947156E-2</v>
      </c>
      <c r="B5" s="5">
        <v>4</v>
      </c>
      <c r="C5" s="9">
        <v>5.5413341364254909E-2</v>
      </c>
      <c r="D5" s="1">
        <v>3.9451889775639293E-2</v>
      </c>
      <c r="E5" s="1">
        <v>4.7432615569947156E-2</v>
      </c>
      <c r="F5" s="1">
        <v>4.7432615569947156E-2</v>
      </c>
      <c r="G5" s="1">
        <v>5.9403704261408841E-2</v>
      </c>
      <c r="H5" s="1">
        <v>1.5509712392715924E-2</v>
      </c>
      <c r="I5" s="1">
        <v>3.5386237012541288E-3</v>
      </c>
      <c r="J5" s="1">
        <v>2.3490438187023677E-2</v>
      </c>
      <c r="K5" s="1">
        <v>4.3442252672793225E-2</v>
      </c>
      <c r="L5" s="1">
        <v>3.5461526878485361E-2</v>
      </c>
      <c r="M5" s="1">
        <v>7.5365155850024457E-2</v>
      </c>
      <c r="N5" s="1">
        <v>5.5413341364254909E-2</v>
      </c>
      <c r="O5" s="1">
        <v>3.5386237012541288E-3</v>
      </c>
      <c r="P5" s="1">
        <v>7.5289865984080606E-3</v>
      </c>
      <c r="Q5" s="1">
        <v>3.9451889775639293E-2</v>
      </c>
      <c r="R5" s="1">
        <v>3.1471163981331429E-2</v>
      </c>
      <c r="S5" s="1">
        <v>5.5413341364254909E-2</v>
      </c>
      <c r="T5" s="1">
        <v>2.3490438187023677E-2</v>
      </c>
      <c r="U5" s="1">
        <v>5.1422978467100977E-2</v>
      </c>
      <c r="V5" s="1">
        <v>1.1519349495561992E-2</v>
      </c>
      <c r="W5" s="1">
        <v>5.5413341364254909E-2</v>
      </c>
      <c r="X5" s="1">
        <v>3.1471163981331429E-2</v>
      </c>
      <c r="Y5" s="1">
        <v>-8.4324649902075555E-3</v>
      </c>
      <c r="Z5" s="1">
        <v>5.5413341364254909E-2</v>
      </c>
      <c r="AA5" s="1">
        <v>4.7432615569947156E-2</v>
      </c>
      <c r="AB5" s="1">
        <v>-4.4421020930536237E-3</v>
      </c>
      <c r="AC5" s="1">
        <v>3.5386237012541288E-3</v>
      </c>
      <c r="AD5" s="1">
        <v>1.9500075289869745E-2</v>
      </c>
      <c r="AE5" s="1">
        <v>2.3490438187023677E-2</v>
      </c>
      <c r="AF5" s="10">
        <v>5.1422978467100977E-2</v>
      </c>
    </row>
    <row r="6" spans="1:32" x14ac:dyDescent="0.25">
      <c r="A6">
        <f t="shared" ca="1" si="0"/>
        <v>8.153892486071701E-2</v>
      </c>
      <c r="B6" s="5">
        <v>5</v>
      </c>
      <c r="C6" s="9">
        <v>7.4160517994281472E-2</v>
      </c>
      <c r="D6" s="1">
        <v>4.464689052853954E-2</v>
      </c>
      <c r="E6" s="1">
        <v>5.9403704261410617E-2</v>
      </c>
      <c r="F6" s="1">
        <v>5.9403704261410617E-2</v>
      </c>
      <c r="G6" s="1">
        <v>8.153892486071701E-2</v>
      </c>
      <c r="H6" s="1">
        <v>3.7644932992675351E-4</v>
      </c>
      <c r="I6" s="1">
        <v>-2.1758771269379862E-2</v>
      </c>
      <c r="J6" s="1">
        <v>1.5133263062797608E-2</v>
      </c>
      <c r="K6" s="1">
        <v>5.2025297394975079E-2</v>
      </c>
      <c r="L6" s="1">
        <v>3.7268483662104002E-2</v>
      </c>
      <c r="M6" s="1">
        <v>0.11105255232645894</v>
      </c>
      <c r="N6" s="1">
        <v>7.4160517994281472E-2</v>
      </c>
      <c r="O6" s="1">
        <v>-2.1758771269379862E-2</v>
      </c>
      <c r="P6" s="1">
        <v>-1.4380364402944323E-2</v>
      </c>
      <c r="Q6" s="1">
        <v>4.464689052853954E-2</v>
      </c>
      <c r="R6" s="1">
        <v>2.9890076795668463E-2</v>
      </c>
      <c r="S6" s="1">
        <v>7.4160517994281472E-2</v>
      </c>
      <c r="T6" s="1">
        <v>1.5133263062797608E-2</v>
      </c>
      <c r="U6" s="1">
        <v>6.6782111127845933E-2</v>
      </c>
      <c r="V6" s="1">
        <v>-7.0019575365087849E-3</v>
      </c>
      <c r="W6" s="1">
        <v>7.4160517994281472E-2</v>
      </c>
      <c r="X6" s="1">
        <v>2.9890076795668463E-2</v>
      </c>
      <c r="Y6" s="1">
        <v>-4.3893991868686255E-2</v>
      </c>
      <c r="Z6" s="1">
        <v>7.4160517994281472E-2</v>
      </c>
      <c r="AA6" s="1">
        <v>5.9403704261410617E-2</v>
      </c>
      <c r="AB6" s="1">
        <v>-3.6515585002250717E-2</v>
      </c>
      <c r="AC6" s="1">
        <v>-2.1758771269379862E-2</v>
      </c>
      <c r="AD6" s="1">
        <v>7.7548561963620699E-3</v>
      </c>
      <c r="AE6" s="1">
        <v>1.5133263062797608E-2</v>
      </c>
      <c r="AF6" s="10">
        <v>6.6782111127845933E-2</v>
      </c>
    </row>
    <row r="7" spans="1:32" x14ac:dyDescent="0.25">
      <c r="A7">
        <f t="shared" ca="1" si="0"/>
        <v>5.5865080560157598E-2</v>
      </c>
      <c r="B7" s="5">
        <v>6</v>
      </c>
      <c r="C7" s="9">
        <v>5.4208703508542566E-3</v>
      </c>
      <c r="D7" s="1">
        <v>2.5598554434575593E-2</v>
      </c>
      <c r="E7" s="1">
        <v>1.5509712392714925E-2</v>
      </c>
      <c r="F7" s="1">
        <v>1.5509712392714925E-2</v>
      </c>
      <c r="G7" s="1">
        <v>3.7644932992386693E-4</v>
      </c>
      <c r="H7" s="1">
        <v>5.5865080560157598E-2</v>
      </c>
      <c r="I7" s="1">
        <v>7.0998343622948656E-2</v>
      </c>
      <c r="J7" s="1">
        <v>4.577623851829693E-2</v>
      </c>
      <c r="K7" s="1">
        <v>2.0554133413645204E-2</v>
      </c>
      <c r="L7" s="1">
        <v>3.0642975455505983E-2</v>
      </c>
      <c r="M7" s="1">
        <v>-1.980123475379747E-2</v>
      </c>
      <c r="N7" s="1">
        <v>5.4208703508542566E-3</v>
      </c>
      <c r="O7" s="1">
        <v>7.0998343622948656E-2</v>
      </c>
      <c r="P7" s="1">
        <v>6.5953922602018267E-2</v>
      </c>
      <c r="Q7" s="1">
        <v>2.5598554434575593E-2</v>
      </c>
      <c r="R7" s="1">
        <v>3.5687396476436262E-2</v>
      </c>
      <c r="S7" s="1">
        <v>5.4208703508542566E-3</v>
      </c>
      <c r="T7" s="1">
        <v>4.577623851829693E-2</v>
      </c>
      <c r="U7" s="1">
        <v>1.0465291371784646E-2</v>
      </c>
      <c r="V7" s="1">
        <v>6.0909501581087877E-2</v>
      </c>
      <c r="W7" s="1">
        <v>5.4208703508542566E-3</v>
      </c>
      <c r="X7" s="1">
        <v>3.5687396476436262E-2</v>
      </c>
      <c r="Y7" s="1">
        <v>8.6131606685739603E-2</v>
      </c>
      <c r="Z7" s="1">
        <v>5.4208703508542566E-3</v>
      </c>
      <c r="AA7" s="1">
        <v>1.5509712392714925E-2</v>
      </c>
      <c r="AB7" s="1">
        <v>8.1087185664809214E-2</v>
      </c>
      <c r="AC7" s="1">
        <v>7.0998343622948656E-2</v>
      </c>
      <c r="AD7" s="1">
        <v>5.082065953922732E-2</v>
      </c>
      <c r="AE7" s="1">
        <v>4.577623851829693E-2</v>
      </c>
      <c r="AF7" s="10">
        <v>1.0465291371784646E-2</v>
      </c>
    </row>
    <row r="8" spans="1:32" x14ac:dyDescent="0.25">
      <c r="A8">
        <f t="shared" ca="1" si="0"/>
        <v>9.6295738593581648E-2</v>
      </c>
      <c r="B8" s="5">
        <v>7</v>
      </c>
      <c r="C8" s="9">
        <v>-1.3326306279173528E-2</v>
      </c>
      <c r="D8" s="1">
        <v>2.0403553681674236E-2</v>
      </c>
      <c r="E8" s="1">
        <v>3.5386237012504651E-3</v>
      </c>
      <c r="F8" s="1">
        <v>3.5386237012504651E-3</v>
      </c>
      <c r="G8" s="1">
        <v>-2.1758771269385413E-2</v>
      </c>
      <c r="H8" s="1">
        <v>7.0998343622945992E-2</v>
      </c>
      <c r="I8" s="1">
        <v>9.6295738593581648E-2</v>
      </c>
      <c r="J8" s="1">
        <v>5.4133413642521999E-2</v>
      </c>
      <c r="K8" s="1">
        <v>1.197108869146235E-2</v>
      </c>
      <c r="L8" s="1">
        <v>2.8836018671886121E-2</v>
      </c>
      <c r="M8" s="1">
        <v>-5.5488631230233176E-2</v>
      </c>
      <c r="N8" s="1">
        <v>-1.3326306279173528E-2</v>
      </c>
      <c r="O8" s="1">
        <v>9.6295738593581648E-2</v>
      </c>
      <c r="P8" s="1">
        <v>8.7863273603369763E-2</v>
      </c>
      <c r="Q8" s="1">
        <v>2.0403553681674236E-2</v>
      </c>
      <c r="R8" s="1">
        <v>3.7268483662098006E-2</v>
      </c>
      <c r="S8" s="1">
        <v>-1.3326306279173528E-2</v>
      </c>
      <c r="T8" s="1">
        <v>5.4133413642521999E-2</v>
      </c>
      <c r="U8" s="1">
        <v>-4.8938412889616423E-3</v>
      </c>
      <c r="V8" s="1">
        <v>7.9430808613157877E-2</v>
      </c>
      <c r="W8" s="1">
        <v>-1.3326306279173528E-2</v>
      </c>
      <c r="X8" s="1">
        <v>3.7268483662098006E-2</v>
      </c>
      <c r="Y8" s="1">
        <v>0.12159313356421753</v>
      </c>
      <c r="Z8" s="1">
        <v>-1.3326306279173528E-2</v>
      </c>
      <c r="AA8" s="1">
        <v>3.5386237012504651E-3</v>
      </c>
      <c r="AB8" s="1">
        <v>0.11316066857400564</v>
      </c>
      <c r="AC8" s="1">
        <v>9.6295738593581648E-2</v>
      </c>
      <c r="AD8" s="1">
        <v>6.2565878632733885E-2</v>
      </c>
      <c r="AE8" s="1">
        <v>5.4133413642521999E-2</v>
      </c>
      <c r="AF8" s="10">
        <v>-4.8938412889616423E-3</v>
      </c>
    </row>
    <row r="9" spans="1:32" x14ac:dyDescent="0.25">
      <c r="A9">
        <f t="shared" ca="1" si="0"/>
        <v>4.0204788435478367E-2</v>
      </c>
      <c r="B9" s="5">
        <v>8</v>
      </c>
      <c r="C9" s="9">
        <v>1.7918988104204114E-2</v>
      </c>
      <c r="D9" s="1">
        <v>2.9061888269841241E-2</v>
      </c>
      <c r="E9" s="1">
        <v>2.3490438187022677E-2</v>
      </c>
      <c r="F9" s="1">
        <v>2.3490438187022677E-2</v>
      </c>
      <c r="G9" s="1">
        <v>1.5133263062794833E-2</v>
      </c>
      <c r="H9" s="1">
        <v>4.577623851829693E-2</v>
      </c>
      <c r="I9" s="1">
        <v>5.4133413642524775E-2</v>
      </c>
      <c r="J9" s="1">
        <v>4.0204788435478367E-2</v>
      </c>
      <c r="K9" s="1">
        <v>2.6276163228431959E-2</v>
      </c>
      <c r="L9" s="1">
        <v>3.1847613311250522E-2</v>
      </c>
      <c r="M9" s="1">
        <v>3.9903628971577065E-3</v>
      </c>
      <c r="N9" s="1">
        <v>1.7918988104204114E-2</v>
      </c>
      <c r="O9" s="1">
        <v>5.4133413642524775E-2</v>
      </c>
      <c r="P9" s="1">
        <v>5.1347688601115493E-2</v>
      </c>
      <c r="Q9" s="1">
        <v>2.9061888269841241E-2</v>
      </c>
      <c r="R9" s="1">
        <v>3.4633338352659804E-2</v>
      </c>
      <c r="S9" s="1">
        <v>1.7918988104204114E-2</v>
      </c>
      <c r="T9" s="1">
        <v>4.0204788435478367E-2</v>
      </c>
      <c r="U9" s="1">
        <v>2.0704713145613396E-2</v>
      </c>
      <c r="V9" s="1">
        <v>4.8561963559706212E-2</v>
      </c>
      <c r="W9" s="1">
        <v>1.7918988104204114E-2</v>
      </c>
      <c r="X9" s="1">
        <v>3.4633338352659804E-2</v>
      </c>
      <c r="Y9" s="1">
        <v>6.2490588766752619E-2</v>
      </c>
      <c r="Z9" s="1">
        <v>1.7918988104204114E-2</v>
      </c>
      <c r="AA9" s="1">
        <v>2.3490438187022677E-2</v>
      </c>
      <c r="AB9" s="1">
        <v>5.9704863725343338E-2</v>
      </c>
      <c r="AC9" s="1">
        <v>5.4133413642524775E-2</v>
      </c>
      <c r="AD9" s="1">
        <v>4.2990513476887648E-2</v>
      </c>
      <c r="AE9" s="1">
        <v>4.0204788435478367E-2</v>
      </c>
      <c r="AF9" s="10">
        <v>2.0704713145613396E-2</v>
      </c>
    </row>
    <row r="10" spans="1:32" x14ac:dyDescent="0.25">
      <c r="A10">
        <f t="shared" ca="1" si="0"/>
        <v>4.0581237765396905E-2</v>
      </c>
      <c r="B10" s="5">
        <v>9</v>
      </c>
      <c r="C10" s="9">
        <v>4.9164282487576982E-2</v>
      </c>
      <c r="D10" s="1">
        <v>3.7720222858003583E-2</v>
      </c>
      <c r="E10" s="1">
        <v>4.3442252672790282E-2</v>
      </c>
      <c r="F10" s="1">
        <v>4.3442252672790282E-2</v>
      </c>
      <c r="G10" s="1">
        <v>5.2025297394970305E-2</v>
      </c>
      <c r="H10" s="1">
        <v>2.0554133413643483E-2</v>
      </c>
      <c r="I10" s="1">
        <v>1.1971088691463461E-2</v>
      </c>
      <c r="J10" s="1">
        <v>2.6276163228430183E-2</v>
      </c>
      <c r="K10" s="1">
        <v>4.0581237765396905E-2</v>
      </c>
      <c r="L10" s="1">
        <v>3.485920795061026E-2</v>
      </c>
      <c r="M10" s="1">
        <v>6.3469357024543704E-2</v>
      </c>
      <c r="N10" s="1">
        <v>4.9164282487576982E-2</v>
      </c>
      <c r="O10" s="1">
        <v>1.1971088691463461E-2</v>
      </c>
      <c r="P10" s="1">
        <v>1.4832103598856783E-2</v>
      </c>
      <c r="Q10" s="1">
        <v>3.7720222858003583E-2</v>
      </c>
      <c r="R10" s="1">
        <v>3.1998193043216883E-2</v>
      </c>
      <c r="S10" s="1">
        <v>4.9164282487576982E-2</v>
      </c>
      <c r="T10" s="1">
        <v>2.6276163228430183E-2</v>
      </c>
      <c r="U10" s="1">
        <v>4.630326758018366E-2</v>
      </c>
      <c r="V10" s="1">
        <v>1.7693118506250105E-2</v>
      </c>
      <c r="W10" s="1">
        <v>4.9164282487576982E-2</v>
      </c>
      <c r="X10" s="1">
        <v>3.1998193043216883E-2</v>
      </c>
      <c r="Y10" s="1">
        <v>3.388043969283383E-3</v>
      </c>
      <c r="Z10" s="1">
        <v>4.9164282487576982E-2</v>
      </c>
      <c r="AA10" s="1">
        <v>4.3442252672790282E-2</v>
      </c>
      <c r="AB10" s="1">
        <v>6.2490588766767052E-3</v>
      </c>
      <c r="AC10" s="1">
        <v>1.1971088691463461E-2</v>
      </c>
      <c r="AD10" s="1">
        <v>2.3415148321036861E-2</v>
      </c>
      <c r="AE10" s="1">
        <v>2.6276163228430183E-2</v>
      </c>
      <c r="AF10" s="10">
        <v>4.630326758018366E-2</v>
      </c>
    </row>
    <row r="11" spans="1:32" x14ac:dyDescent="0.25">
      <c r="A11">
        <f t="shared" ca="1" si="0"/>
        <v>3.3654570094865638E-2</v>
      </c>
      <c r="B11" s="5">
        <v>10</v>
      </c>
      <c r="C11" s="9">
        <v>3.6666164734227125E-2</v>
      </c>
      <c r="D11" s="1">
        <v>3.4256889022737935E-2</v>
      </c>
      <c r="E11" s="1">
        <v>3.546152687848253E-2</v>
      </c>
      <c r="F11" s="1">
        <v>3.546152687848253E-2</v>
      </c>
      <c r="G11" s="1">
        <v>3.7268483662099422E-2</v>
      </c>
      <c r="H11" s="1">
        <v>3.0642975455504151E-2</v>
      </c>
      <c r="I11" s="1">
        <v>2.8836018671887259E-2</v>
      </c>
      <c r="J11" s="1">
        <v>3.1847613311248746E-2</v>
      </c>
      <c r="K11" s="1">
        <v>3.4859207950610233E-2</v>
      </c>
      <c r="L11" s="1">
        <v>3.3654570094865638E-2</v>
      </c>
      <c r="M11" s="1">
        <v>3.9677759373588611E-2</v>
      </c>
      <c r="N11" s="1">
        <v>3.6666164734227125E-2</v>
      </c>
      <c r="O11" s="1">
        <v>2.8836018671887259E-2</v>
      </c>
      <c r="P11" s="1">
        <v>2.9438337599759556E-2</v>
      </c>
      <c r="Q11" s="1">
        <v>3.4256889022737935E-2</v>
      </c>
      <c r="R11" s="1">
        <v>3.3052251166993341E-2</v>
      </c>
      <c r="S11" s="1">
        <v>3.6666164734227125E-2</v>
      </c>
      <c r="T11" s="1">
        <v>3.1847613311248746E-2</v>
      </c>
      <c r="U11" s="1">
        <v>3.6063845806354827E-2</v>
      </c>
      <c r="V11" s="1">
        <v>3.0040656527631854E-2</v>
      </c>
      <c r="W11" s="1">
        <v>3.6666164734227125E-2</v>
      </c>
      <c r="X11" s="1">
        <v>3.3052251166993341E-2</v>
      </c>
      <c r="Y11" s="1">
        <v>2.7029061888270367E-2</v>
      </c>
      <c r="Z11" s="1">
        <v>3.6666164734227125E-2</v>
      </c>
      <c r="AA11" s="1">
        <v>3.546152687848253E-2</v>
      </c>
      <c r="AB11" s="1">
        <v>2.7631380816142664E-2</v>
      </c>
      <c r="AC11" s="1">
        <v>2.8836018671887259E-2</v>
      </c>
      <c r="AD11" s="1">
        <v>3.1245294383376448E-2</v>
      </c>
      <c r="AE11" s="1">
        <v>3.1847613311248746E-2</v>
      </c>
      <c r="AF11" s="10">
        <v>3.6063845806354827E-2</v>
      </c>
    </row>
    <row r="12" spans="1:32" x14ac:dyDescent="0.25">
      <c r="A12">
        <f t="shared" ca="1" si="0"/>
        <v>0.15863574762836219</v>
      </c>
      <c r="B12" s="5">
        <v>11</v>
      </c>
      <c r="C12" s="9">
        <v>9.9156753500974304E-2</v>
      </c>
      <c r="D12" s="1">
        <v>5.1573558199063729E-2</v>
      </c>
      <c r="E12" s="1">
        <v>7.5365155850018795E-2</v>
      </c>
      <c r="F12" s="1">
        <v>7.5365155850018795E-2</v>
      </c>
      <c r="G12" s="1">
        <v>0.11105255232645161</v>
      </c>
      <c r="H12" s="1">
        <v>-1.9801234753801911E-2</v>
      </c>
      <c r="I12" s="1">
        <v>-5.5488631230234509E-2</v>
      </c>
      <c r="J12" s="1">
        <v>3.9903628971533767E-3</v>
      </c>
      <c r="K12" s="1">
        <v>6.3469357024541484E-2</v>
      </c>
      <c r="L12" s="1">
        <v>3.9677759373586197E-2</v>
      </c>
      <c r="M12" s="1">
        <v>0.15863574762836219</v>
      </c>
      <c r="N12" s="1">
        <v>9.9156753500974304E-2</v>
      </c>
      <c r="O12" s="1">
        <v>-5.5488631230234509E-2</v>
      </c>
      <c r="P12" s="1">
        <v>-4.3592832404756976E-2</v>
      </c>
      <c r="Q12" s="1">
        <v>5.1573558199063729E-2</v>
      </c>
      <c r="R12" s="1">
        <v>2.7781960548108664E-2</v>
      </c>
      <c r="S12" s="1">
        <v>9.9156753500974304E-2</v>
      </c>
      <c r="T12" s="1">
        <v>3.9903628971533767E-3</v>
      </c>
      <c r="U12" s="1">
        <v>8.7260954675496549E-2</v>
      </c>
      <c r="V12" s="1">
        <v>-3.1697033579279443E-2</v>
      </c>
      <c r="W12" s="1">
        <v>9.9156753500974304E-2</v>
      </c>
      <c r="X12" s="1">
        <v>2.7781960548108664E-2</v>
      </c>
      <c r="Y12" s="1">
        <v>-9.1176027706667329E-2</v>
      </c>
      <c r="Z12" s="1">
        <v>9.9156753500974304E-2</v>
      </c>
      <c r="AA12" s="1">
        <v>7.5365155850018795E-2</v>
      </c>
      <c r="AB12" s="1">
        <v>-7.9280228881189796E-2</v>
      </c>
      <c r="AC12" s="1">
        <v>-5.5488631230234509E-2</v>
      </c>
      <c r="AD12" s="1">
        <v>-7.905435928324156E-3</v>
      </c>
      <c r="AE12" s="1">
        <v>3.9903628971533767E-3</v>
      </c>
      <c r="AF12" s="10">
        <v>8.7260954675496549E-2</v>
      </c>
    </row>
    <row r="13" spans="1:32" x14ac:dyDescent="0.25">
      <c r="A13">
        <f t="shared" ca="1" si="0"/>
        <v>6.7911459117604878E-2</v>
      </c>
      <c r="B13" s="5">
        <v>12</v>
      </c>
      <c r="C13" s="9">
        <v>6.7911459117604878E-2</v>
      </c>
      <c r="D13" s="1">
        <v>4.291522361090494E-2</v>
      </c>
      <c r="E13" s="1">
        <v>5.5413341364254798E-2</v>
      </c>
      <c r="F13" s="1">
        <v>5.5413341364254798E-2</v>
      </c>
      <c r="G13" s="1">
        <v>7.4160517994279695E-2</v>
      </c>
      <c r="H13" s="1">
        <v>5.4208703508551448E-3</v>
      </c>
      <c r="I13" s="1">
        <v>-1.3326306279169642E-2</v>
      </c>
      <c r="J13" s="1">
        <v>1.7918988104205003E-2</v>
      </c>
      <c r="K13" s="1">
        <v>4.916428248757998E-2</v>
      </c>
      <c r="L13" s="1">
        <v>3.66661647342299E-2</v>
      </c>
      <c r="M13" s="1">
        <v>9.9156753500979633E-2</v>
      </c>
      <c r="N13" s="1">
        <v>6.7911459117604878E-2</v>
      </c>
      <c r="O13" s="1">
        <v>-1.3326306279169642E-2</v>
      </c>
      <c r="P13" s="1">
        <v>-7.077247402494713E-3</v>
      </c>
      <c r="Q13" s="1">
        <v>4.291522361090494E-2</v>
      </c>
      <c r="R13" s="1">
        <v>3.0417105857555082E-2</v>
      </c>
      <c r="S13" s="1">
        <v>6.7911459117604878E-2</v>
      </c>
      <c r="T13" s="1">
        <v>1.7918988104205003E-2</v>
      </c>
      <c r="U13" s="1">
        <v>6.1662400240929838E-2</v>
      </c>
      <c r="V13" s="1">
        <v>-8.2818852581967306E-4</v>
      </c>
      <c r="W13" s="1">
        <v>6.7911459117604878E-2</v>
      </c>
      <c r="X13" s="1">
        <v>3.0417105857555082E-2</v>
      </c>
      <c r="Y13" s="1">
        <v>-3.2073482909194539E-2</v>
      </c>
      <c r="Z13" s="1">
        <v>6.7911459117604878E-2</v>
      </c>
      <c r="AA13" s="1">
        <v>5.5413341364254798E-2</v>
      </c>
      <c r="AB13" s="1">
        <v>-2.5824424032519611E-2</v>
      </c>
      <c r="AC13" s="1">
        <v>-1.3326306279169642E-2</v>
      </c>
      <c r="AD13" s="1">
        <v>1.1669929227530185E-2</v>
      </c>
      <c r="AE13" s="1">
        <v>1.7918988104205003E-2</v>
      </c>
      <c r="AF13" s="10">
        <v>6.1662400240929838E-2</v>
      </c>
    </row>
    <row r="14" spans="1:32" x14ac:dyDescent="0.25">
      <c r="A14">
        <f t="shared" ca="1" si="0"/>
        <v>9.6295738593581648E-2</v>
      </c>
      <c r="B14" s="5">
        <v>13</v>
      </c>
      <c r="C14" s="9">
        <v>-1.3326306279173528E-2</v>
      </c>
      <c r="D14" s="1">
        <v>2.0403553681674236E-2</v>
      </c>
      <c r="E14" s="1">
        <v>3.5386237012504651E-3</v>
      </c>
      <c r="F14" s="1">
        <v>3.5386237012504651E-3</v>
      </c>
      <c r="G14" s="1">
        <v>-2.1758771269385413E-2</v>
      </c>
      <c r="H14" s="1">
        <v>7.0998343622945992E-2</v>
      </c>
      <c r="I14" s="1">
        <v>9.6295738593581648E-2</v>
      </c>
      <c r="J14" s="1">
        <v>5.4133413642521999E-2</v>
      </c>
      <c r="K14" s="1">
        <v>1.197108869146235E-2</v>
      </c>
      <c r="L14" s="1">
        <v>2.8836018671886121E-2</v>
      </c>
      <c r="M14" s="1">
        <v>-5.5488631230233176E-2</v>
      </c>
      <c r="N14" s="1">
        <v>-1.3326306279173528E-2</v>
      </c>
      <c r="O14" s="1">
        <v>9.6295738593581648E-2</v>
      </c>
      <c r="P14" s="1">
        <v>8.7863273603369763E-2</v>
      </c>
      <c r="Q14" s="1">
        <v>2.0403553681674236E-2</v>
      </c>
      <c r="R14" s="1">
        <v>3.7268483662098006E-2</v>
      </c>
      <c r="S14" s="1">
        <v>-1.3326306279173528E-2</v>
      </c>
      <c r="T14" s="1">
        <v>5.4133413642521999E-2</v>
      </c>
      <c r="U14" s="1">
        <v>-4.8938412889616423E-3</v>
      </c>
      <c r="V14" s="1">
        <v>7.9430808613157877E-2</v>
      </c>
      <c r="W14" s="1">
        <v>-1.3326306279173528E-2</v>
      </c>
      <c r="X14" s="1">
        <v>3.7268483662098006E-2</v>
      </c>
      <c r="Y14" s="1">
        <v>0.12159313356421753</v>
      </c>
      <c r="Z14" s="1">
        <v>-1.3326306279173528E-2</v>
      </c>
      <c r="AA14" s="1">
        <v>3.5386237012504651E-3</v>
      </c>
      <c r="AB14" s="1">
        <v>0.11316066857400564</v>
      </c>
      <c r="AC14" s="1">
        <v>9.6295738593581648E-2</v>
      </c>
      <c r="AD14" s="1">
        <v>6.2565878632733885E-2</v>
      </c>
      <c r="AE14" s="1">
        <v>5.4133413642521999E-2</v>
      </c>
      <c r="AF14" s="10">
        <v>-4.8938412889616423E-3</v>
      </c>
    </row>
    <row r="15" spans="1:32" x14ac:dyDescent="0.25">
      <c r="A15">
        <f t="shared" ca="1" si="0"/>
        <v>8.0560156602924593E-2</v>
      </c>
      <c r="B15" s="5">
        <v>14</v>
      </c>
      <c r="C15" s="9">
        <v>-7.0772474024920484E-3</v>
      </c>
      <c r="D15" s="1">
        <v>2.2135220599313499E-2</v>
      </c>
      <c r="E15" s="1">
        <v>7.5289865984107252E-3</v>
      </c>
      <c r="F15" s="1">
        <v>7.5289865984107252E-3</v>
      </c>
      <c r="G15" s="1">
        <v>-1.4380364402943435E-2</v>
      </c>
      <c r="H15" s="1">
        <v>6.5953922602021819E-2</v>
      </c>
      <c r="I15" s="1">
        <v>8.786327360337598E-2</v>
      </c>
      <c r="J15" s="1">
        <v>5.1347688601119046E-2</v>
      </c>
      <c r="K15" s="1">
        <v>1.4832103598862112E-2</v>
      </c>
      <c r="L15" s="1">
        <v>2.9438337599764886E-2</v>
      </c>
      <c r="M15" s="1">
        <v>-4.3592832404748982E-2</v>
      </c>
      <c r="N15" s="1">
        <v>-7.0772474024920484E-3</v>
      </c>
      <c r="O15" s="1">
        <v>8.786327360337598E-2</v>
      </c>
      <c r="P15" s="1">
        <v>8.0560156602924593E-2</v>
      </c>
      <c r="Q15" s="1">
        <v>2.2135220599313499E-2</v>
      </c>
      <c r="R15" s="1">
        <v>3.6741454600216272E-2</v>
      </c>
      <c r="S15" s="1">
        <v>-7.0772474024920484E-3</v>
      </c>
      <c r="T15" s="1">
        <v>5.1347688601119046E-2</v>
      </c>
      <c r="U15" s="1">
        <v>2.2586959795933836E-4</v>
      </c>
      <c r="V15" s="1">
        <v>7.3257039602473206E-2</v>
      </c>
      <c r="W15" s="1">
        <v>-7.0772474024920484E-3</v>
      </c>
      <c r="X15" s="1">
        <v>3.6741454600216272E-2</v>
      </c>
      <c r="Y15" s="1">
        <v>0.10977262460473014</v>
      </c>
      <c r="Z15" s="1">
        <v>-7.0772474024920484E-3</v>
      </c>
      <c r="AA15" s="1">
        <v>7.5289865984107252E-3</v>
      </c>
      <c r="AB15" s="1">
        <v>0.10246950760427875</v>
      </c>
      <c r="AC15" s="1">
        <v>8.786327360337598E-2</v>
      </c>
      <c r="AD15" s="1">
        <v>5.8650805601570433E-2</v>
      </c>
      <c r="AE15" s="1">
        <v>5.1347688601119046E-2</v>
      </c>
      <c r="AF15" s="10">
        <v>2.2586959795933836E-4</v>
      </c>
    </row>
    <row r="16" spans="1:32" x14ac:dyDescent="0.25">
      <c r="A16">
        <f t="shared" ca="1" si="0"/>
        <v>3.5988555940368983E-2</v>
      </c>
      <c r="B16" s="5">
        <v>15</v>
      </c>
      <c r="C16" s="9">
        <v>4.2915223610900277E-2</v>
      </c>
      <c r="D16" s="1">
        <v>3.5988555940368983E-2</v>
      </c>
      <c r="E16" s="1">
        <v>3.945188977563463E-2</v>
      </c>
      <c r="F16" s="1">
        <v>3.945188977563463E-2</v>
      </c>
      <c r="G16" s="1">
        <v>4.4646890528533101E-2</v>
      </c>
      <c r="H16" s="1">
        <v>2.5598554434572041E-2</v>
      </c>
      <c r="I16" s="1">
        <v>2.040355368167357E-2</v>
      </c>
      <c r="J16" s="1">
        <v>2.9061888269837688E-2</v>
      </c>
      <c r="K16" s="1">
        <v>3.7720222858001806E-2</v>
      </c>
      <c r="L16" s="1">
        <v>3.4256889022736159E-2</v>
      </c>
      <c r="M16" s="1">
        <v>5.1573558199064395E-2</v>
      </c>
      <c r="N16" s="1">
        <v>4.2915223610900277E-2</v>
      </c>
      <c r="O16" s="1">
        <v>2.040355368167357E-2</v>
      </c>
      <c r="P16" s="1">
        <v>2.2135220599306393E-2</v>
      </c>
      <c r="Q16" s="1">
        <v>3.5988555940368983E-2</v>
      </c>
      <c r="R16" s="1">
        <v>3.2525222105103335E-2</v>
      </c>
      <c r="S16" s="1">
        <v>4.2915223610900277E-2</v>
      </c>
      <c r="T16" s="1">
        <v>2.9061888269837688E-2</v>
      </c>
      <c r="U16" s="1">
        <v>4.1183556693267453E-2</v>
      </c>
      <c r="V16" s="1">
        <v>2.3866887516939217E-2</v>
      </c>
      <c r="W16" s="1">
        <v>4.2915223610900277E-2</v>
      </c>
      <c r="X16" s="1">
        <v>3.2525222105103335E-2</v>
      </c>
      <c r="Y16" s="1">
        <v>1.5208552928775099E-2</v>
      </c>
      <c r="Z16" s="1">
        <v>4.2915223610900277E-2</v>
      </c>
      <c r="AA16" s="1">
        <v>3.945188977563463E-2</v>
      </c>
      <c r="AB16" s="1">
        <v>1.6940219846407922E-2</v>
      </c>
      <c r="AC16" s="1">
        <v>2.040355368167357E-2</v>
      </c>
      <c r="AD16" s="1">
        <v>2.7330221352204864E-2</v>
      </c>
      <c r="AE16" s="1">
        <v>2.9061888269837688E-2</v>
      </c>
      <c r="AF16" s="10">
        <v>4.1183556693267453E-2</v>
      </c>
    </row>
    <row r="17" spans="1:32" x14ac:dyDescent="0.25">
      <c r="A17">
        <f t="shared" ca="1" si="0"/>
        <v>3.3579280228883346E-2</v>
      </c>
      <c r="B17" s="5">
        <v>16</v>
      </c>
      <c r="C17" s="9">
        <v>3.0417105857553972E-2</v>
      </c>
      <c r="D17" s="1">
        <v>3.2525222105106888E-2</v>
      </c>
      <c r="E17" s="1">
        <v>3.147116398133043E-2</v>
      </c>
      <c r="F17" s="1">
        <v>3.147116398133043E-2</v>
      </c>
      <c r="G17" s="1">
        <v>2.9890076795665743E-2</v>
      </c>
      <c r="H17" s="1">
        <v>3.5687396476436262E-2</v>
      </c>
      <c r="I17" s="1">
        <v>3.7268483662100949E-2</v>
      </c>
      <c r="J17" s="1">
        <v>3.4633338352659804E-2</v>
      </c>
      <c r="K17" s="1">
        <v>3.1998193043218659E-2</v>
      </c>
      <c r="L17" s="1">
        <v>3.3052251166995117E-2</v>
      </c>
      <c r="M17" s="1">
        <v>2.7781960548112827E-2</v>
      </c>
      <c r="N17" s="1">
        <v>3.0417105857553972E-2</v>
      </c>
      <c r="O17" s="1">
        <v>3.7268483662100949E-2</v>
      </c>
      <c r="P17" s="1">
        <v>3.674145460021272E-2</v>
      </c>
      <c r="Q17" s="1">
        <v>3.2525222105106888E-2</v>
      </c>
      <c r="R17" s="1">
        <v>3.3579280228883346E-2</v>
      </c>
      <c r="S17" s="1">
        <v>3.0417105857553972E-2</v>
      </c>
      <c r="T17" s="1">
        <v>3.4633338352659804E-2</v>
      </c>
      <c r="U17" s="1">
        <v>3.0944134919442201E-2</v>
      </c>
      <c r="V17" s="1">
        <v>3.6214425538324491E-2</v>
      </c>
      <c r="W17" s="1">
        <v>3.0417105857553972E-2</v>
      </c>
      <c r="X17" s="1">
        <v>3.3579280228883346E-2</v>
      </c>
      <c r="Y17" s="1">
        <v>3.8849570847765635E-2</v>
      </c>
      <c r="Z17" s="1">
        <v>3.0417105857553972E-2</v>
      </c>
      <c r="AA17" s="1">
        <v>3.147116398133043E-2</v>
      </c>
      <c r="AB17" s="1">
        <v>3.8322541785877406E-2</v>
      </c>
      <c r="AC17" s="1">
        <v>3.7268483662100949E-2</v>
      </c>
      <c r="AD17" s="1">
        <v>3.5160367414548033E-2</v>
      </c>
      <c r="AE17" s="1">
        <v>3.4633338352659804E-2</v>
      </c>
      <c r="AF17" s="10">
        <v>3.0944134919442201E-2</v>
      </c>
    </row>
    <row r="18" spans="1:32" x14ac:dyDescent="0.25">
      <c r="A18">
        <f t="shared" ca="1" si="0"/>
        <v>6.7911459117604878E-2</v>
      </c>
      <c r="B18" s="5">
        <v>17</v>
      </c>
      <c r="C18" s="9">
        <v>6.7911459117604878E-2</v>
      </c>
      <c r="D18" s="1">
        <v>4.291522361090494E-2</v>
      </c>
      <c r="E18" s="1">
        <v>5.5413341364254798E-2</v>
      </c>
      <c r="F18" s="1">
        <v>5.5413341364254798E-2</v>
      </c>
      <c r="G18" s="1">
        <v>7.4160517994279695E-2</v>
      </c>
      <c r="H18" s="1">
        <v>5.4208703508551448E-3</v>
      </c>
      <c r="I18" s="1">
        <v>-1.3326306279169642E-2</v>
      </c>
      <c r="J18" s="1">
        <v>1.7918988104205003E-2</v>
      </c>
      <c r="K18" s="1">
        <v>4.916428248757998E-2</v>
      </c>
      <c r="L18" s="1">
        <v>3.66661647342299E-2</v>
      </c>
      <c r="M18" s="1">
        <v>9.9156753500979633E-2</v>
      </c>
      <c r="N18" s="1">
        <v>6.7911459117604878E-2</v>
      </c>
      <c r="O18" s="1">
        <v>-1.3326306279169642E-2</v>
      </c>
      <c r="P18" s="1">
        <v>-7.077247402494713E-3</v>
      </c>
      <c r="Q18" s="1">
        <v>4.291522361090494E-2</v>
      </c>
      <c r="R18" s="1">
        <v>3.0417105857555082E-2</v>
      </c>
      <c r="S18" s="1">
        <v>6.7911459117604878E-2</v>
      </c>
      <c r="T18" s="1">
        <v>1.7918988104205003E-2</v>
      </c>
      <c r="U18" s="1">
        <v>6.1662400240929838E-2</v>
      </c>
      <c r="V18" s="1">
        <v>-8.2818852581967306E-4</v>
      </c>
      <c r="W18" s="1">
        <v>6.7911459117604878E-2</v>
      </c>
      <c r="X18" s="1">
        <v>3.0417105857555082E-2</v>
      </c>
      <c r="Y18" s="1">
        <v>-3.2073482909194539E-2</v>
      </c>
      <c r="Z18" s="1">
        <v>6.7911459117604878E-2</v>
      </c>
      <c r="AA18" s="1">
        <v>5.5413341364254798E-2</v>
      </c>
      <c r="AB18" s="1">
        <v>-2.5824424032519611E-2</v>
      </c>
      <c r="AC18" s="1">
        <v>-1.3326306279169642E-2</v>
      </c>
      <c r="AD18" s="1">
        <v>1.1669929227530185E-2</v>
      </c>
      <c r="AE18" s="1">
        <v>1.7918988104205003E-2</v>
      </c>
      <c r="AF18" s="10">
        <v>6.1662400240929838E-2</v>
      </c>
    </row>
    <row r="19" spans="1:32" x14ac:dyDescent="0.25">
      <c r="A19">
        <f t="shared" ca="1" si="0"/>
        <v>4.0204788435478367E-2</v>
      </c>
      <c r="B19" s="5">
        <v>18</v>
      </c>
      <c r="C19" s="9">
        <v>1.7918988104204114E-2</v>
      </c>
      <c r="D19" s="1">
        <v>2.9061888269841241E-2</v>
      </c>
      <c r="E19" s="1">
        <v>2.3490438187022677E-2</v>
      </c>
      <c r="F19" s="1">
        <v>2.3490438187022677E-2</v>
      </c>
      <c r="G19" s="1">
        <v>1.5133263062794833E-2</v>
      </c>
      <c r="H19" s="1">
        <v>4.577623851829693E-2</v>
      </c>
      <c r="I19" s="1">
        <v>5.4133413642524775E-2</v>
      </c>
      <c r="J19" s="1">
        <v>4.0204788435478367E-2</v>
      </c>
      <c r="K19" s="1">
        <v>2.6276163228431959E-2</v>
      </c>
      <c r="L19" s="1">
        <v>3.1847613311250522E-2</v>
      </c>
      <c r="M19" s="1">
        <v>3.9903628971577065E-3</v>
      </c>
      <c r="N19" s="1">
        <v>1.7918988104204114E-2</v>
      </c>
      <c r="O19" s="1">
        <v>5.4133413642524775E-2</v>
      </c>
      <c r="P19" s="1">
        <v>5.1347688601115493E-2</v>
      </c>
      <c r="Q19" s="1">
        <v>2.9061888269841241E-2</v>
      </c>
      <c r="R19" s="1">
        <v>3.4633338352659804E-2</v>
      </c>
      <c r="S19" s="1">
        <v>1.7918988104204114E-2</v>
      </c>
      <c r="T19" s="1">
        <v>4.0204788435478367E-2</v>
      </c>
      <c r="U19" s="1">
        <v>2.0704713145613396E-2</v>
      </c>
      <c r="V19" s="1">
        <v>4.8561963559706212E-2</v>
      </c>
      <c r="W19" s="1">
        <v>1.7918988104204114E-2</v>
      </c>
      <c r="X19" s="1">
        <v>3.4633338352659804E-2</v>
      </c>
      <c r="Y19" s="1">
        <v>6.2490588766752619E-2</v>
      </c>
      <c r="Z19" s="1">
        <v>1.7918988104204114E-2</v>
      </c>
      <c r="AA19" s="1">
        <v>2.3490438187022677E-2</v>
      </c>
      <c r="AB19" s="1">
        <v>5.9704863725343338E-2</v>
      </c>
      <c r="AC19" s="1">
        <v>5.4133413642524775E-2</v>
      </c>
      <c r="AD19" s="1">
        <v>4.2990513476887648E-2</v>
      </c>
      <c r="AE19" s="1">
        <v>4.0204788435478367E-2</v>
      </c>
      <c r="AF19" s="10">
        <v>2.0704713145613396E-2</v>
      </c>
    </row>
    <row r="20" spans="1:32" x14ac:dyDescent="0.25">
      <c r="A20">
        <f t="shared" ca="1" si="0"/>
        <v>5.6542689354013631E-2</v>
      </c>
      <c r="B20" s="5">
        <v>19</v>
      </c>
      <c r="C20" s="9">
        <v>6.1662400240928061E-2</v>
      </c>
      <c r="D20" s="1">
        <v>4.118355669327034E-2</v>
      </c>
      <c r="E20" s="1">
        <v>5.1422978467099201E-2</v>
      </c>
      <c r="F20" s="1">
        <v>5.1422978467099201E-2</v>
      </c>
      <c r="G20" s="1">
        <v>6.6782111127842492E-2</v>
      </c>
      <c r="H20" s="1">
        <v>1.0465291371783758E-2</v>
      </c>
      <c r="I20" s="1">
        <v>-4.8938412889595329E-3</v>
      </c>
      <c r="J20" s="1">
        <v>2.0704713145612619E-2</v>
      </c>
      <c r="K20" s="1">
        <v>4.630326758018477E-2</v>
      </c>
      <c r="L20" s="1">
        <v>3.606384580635591E-2</v>
      </c>
      <c r="M20" s="1">
        <v>8.7260954675500213E-2</v>
      </c>
      <c r="N20" s="1">
        <v>6.1662400240928061E-2</v>
      </c>
      <c r="O20" s="1">
        <v>-4.8938412889595329E-3</v>
      </c>
      <c r="P20" s="1">
        <v>2.2586959795489747E-4</v>
      </c>
      <c r="Q20" s="1">
        <v>4.118355669327034E-2</v>
      </c>
      <c r="R20" s="1">
        <v>3.0944134919441479E-2</v>
      </c>
      <c r="S20" s="1">
        <v>6.1662400240928061E-2</v>
      </c>
      <c r="T20" s="1">
        <v>2.0704713145612619E-2</v>
      </c>
      <c r="U20" s="1">
        <v>5.6542689354013631E-2</v>
      </c>
      <c r="V20" s="1">
        <v>5.3455804848693278E-3</v>
      </c>
      <c r="W20" s="1">
        <v>6.1662400240928061E-2</v>
      </c>
      <c r="X20" s="1">
        <v>3.0944134919441479E-2</v>
      </c>
      <c r="Y20" s="1">
        <v>-2.0252973949702824E-2</v>
      </c>
      <c r="Z20" s="1">
        <v>6.1662400240928061E-2</v>
      </c>
      <c r="AA20" s="1">
        <v>5.1422978467099201E-2</v>
      </c>
      <c r="AB20" s="1">
        <v>-1.5133263062788394E-2</v>
      </c>
      <c r="AC20" s="1">
        <v>-4.8938412889595329E-3</v>
      </c>
      <c r="AD20" s="1">
        <v>1.5585002258698188E-2</v>
      </c>
      <c r="AE20" s="1">
        <v>2.0704713145612619E-2</v>
      </c>
      <c r="AF20" s="10">
        <v>5.6542689354013631E-2</v>
      </c>
    </row>
    <row r="21" spans="1:32" x14ac:dyDescent="0.25">
      <c r="A21">
        <f t="shared" ca="1" si="0"/>
        <v>6.7083270591780542E-2</v>
      </c>
      <c r="B21" s="5">
        <v>20</v>
      </c>
      <c r="C21" s="9">
        <v>-8.2818852581878488E-4</v>
      </c>
      <c r="D21" s="1">
        <v>2.3866887516944546E-2</v>
      </c>
      <c r="E21" s="1">
        <v>1.151934949556277E-2</v>
      </c>
      <c r="F21" s="1">
        <v>1.151934949556277E-2</v>
      </c>
      <c r="G21" s="1">
        <v>-7.0019575365096731E-3</v>
      </c>
      <c r="H21" s="1">
        <v>6.0909501581089653E-2</v>
      </c>
      <c r="I21" s="1">
        <v>7.9430808613162318E-2</v>
      </c>
      <c r="J21" s="1">
        <v>4.8561963559707877E-2</v>
      </c>
      <c r="K21" s="1">
        <v>1.7693118506253658E-2</v>
      </c>
      <c r="L21" s="1">
        <v>3.0040656527635434E-2</v>
      </c>
      <c r="M21" s="1">
        <v>-3.1697033579273226E-2</v>
      </c>
      <c r="N21" s="1">
        <v>-8.2818852581878488E-4</v>
      </c>
      <c r="O21" s="1">
        <v>7.9430808613162318E-2</v>
      </c>
      <c r="P21" s="1">
        <v>7.325703960247143E-2</v>
      </c>
      <c r="Q21" s="1">
        <v>2.3866887516944546E-2</v>
      </c>
      <c r="R21" s="1">
        <v>3.6214425538326322E-2</v>
      </c>
      <c r="S21" s="1">
        <v>-8.2818852581878488E-4</v>
      </c>
      <c r="T21" s="1">
        <v>4.8561963559707877E-2</v>
      </c>
      <c r="U21" s="1">
        <v>5.3455804848718813E-3</v>
      </c>
      <c r="V21" s="1">
        <v>6.7083270591780542E-2</v>
      </c>
      <c r="W21" s="1">
        <v>-8.2818852581878488E-4</v>
      </c>
      <c r="X21" s="1">
        <v>3.6214425538326322E-2</v>
      </c>
      <c r="Y21" s="1">
        <v>9.7952115645234872E-2</v>
      </c>
      <c r="Z21" s="1">
        <v>-8.2818852581878488E-4</v>
      </c>
      <c r="AA21" s="1">
        <v>1.151934949556277E-2</v>
      </c>
      <c r="AB21" s="1">
        <v>9.1778346634543984E-2</v>
      </c>
      <c r="AC21" s="1">
        <v>7.9430808613162318E-2</v>
      </c>
      <c r="AD21" s="1">
        <v>5.4735732570398765E-2</v>
      </c>
      <c r="AE21" s="1">
        <v>4.8561963559707877E-2</v>
      </c>
      <c r="AF21" s="10">
        <v>5.3455804848718813E-3</v>
      </c>
    </row>
    <row r="22" spans="1:32" x14ac:dyDescent="0.25">
      <c r="A22">
        <f t="shared" ca="1" si="0"/>
        <v>6.7911459117604878E-2</v>
      </c>
      <c r="B22" s="5">
        <v>21</v>
      </c>
      <c r="C22" s="9">
        <v>6.7911459117604878E-2</v>
      </c>
      <c r="D22" s="1">
        <v>4.291522361090494E-2</v>
      </c>
      <c r="E22" s="1">
        <v>5.5413341364254798E-2</v>
      </c>
      <c r="F22" s="1">
        <v>5.5413341364254798E-2</v>
      </c>
      <c r="G22" s="1">
        <v>7.4160517994279695E-2</v>
      </c>
      <c r="H22" s="1">
        <v>5.4208703508551448E-3</v>
      </c>
      <c r="I22" s="1">
        <v>-1.3326306279169642E-2</v>
      </c>
      <c r="J22" s="1">
        <v>1.7918988104205003E-2</v>
      </c>
      <c r="K22" s="1">
        <v>4.916428248757998E-2</v>
      </c>
      <c r="L22" s="1">
        <v>3.66661647342299E-2</v>
      </c>
      <c r="M22" s="1">
        <v>9.9156753500979633E-2</v>
      </c>
      <c r="N22" s="1">
        <v>6.7911459117604878E-2</v>
      </c>
      <c r="O22" s="1">
        <v>-1.3326306279169642E-2</v>
      </c>
      <c r="P22" s="1">
        <v>-7.077247402494713E-3</v>
      </c>
      <c r="Q22" s="1">
        <v>4.291522361090494E-2</v>
      </c>
      <c r="R22" s="1">
        <v>3.0417105857555082E-2</v>
      </c>
      <c r="S22" s="1">
        <v>6.7911459117604878E-2</v>
      </c>
      <c r="T22" s="1">
        <v>1.7918988104205003E-2</v>
      </c>
      <c r="U22" s="1">
        <v>6.1662400240929838E-2</v>
      </c>
      <c r="V22" s="1">
        <v>-8.2818852581967306E-4</v>
      </c>
      <c r="W22" s="1">
        <v>6.7911459117604878E-2</v>
      </c>
      <c r="X22" s="1">
        <v>3.0417105857555082E-2</v>
      </c>
      <c r="Y22" s="1">
        <v>-3.2073482909194539E-2</v>
      </c>
      <c r="Z22" s="1">
        <v>6.7911459117604878E-2</v>
      </c>
      <c r="AA22" s="1">
        <v>5.5413341364254798E-2</v>
      </c>
      <c r="AB22" s="1">
        <v>-2.5824424032519611E-2</v>
      </c>
      <c r="AC22" s="1">
        <v>-1.3326306279169642E-2</v>
      </c>
      <c r="AD22" s="1">
        <v>1.1669929227530185E-2</v>
      </c>
      <c r="AE22" s="1">
        <v>1.7918988104205003E-2</v>
      </c>
      <c r="AF22" s="10">
        <v>6.1662400240929838E-2</v>
      </c>
    </row>
    <row r="23" spans="1:32" x14ac:dyDescent="0.25">
      <c r="A23">
        <f t="shared" ca="1" si="0"/>
        <v>3.3579280228883346E-2</v>
      </c>
      <c r="B23" s="5">
        <v>22</v>
      </c>
      <c r="C23" s="9">
        <v>3.0417105857553972E-2</v>
      </c>
      <c r="D23" s="1">
        <v>3.2525222105106888E-2</v>
      </c>
      <c r="E23" s="1">
        <v>3.147116398133043E-2</v>
      </c>
      <c r="F23" s="1">
        <v>3.147116398133043E-2</v>
      </c>
      <c r="G23" s="1">
        <v>2.9890076795665743E-2</v>
      </c>
      <c r="H23" s="1">
        <v>3.5687396476436262E-2</v>
      </c>
      <c r="I23" s="1">
        <v>3.7268483662100949E-2</v>
      </c>
      <c r="J23" s="1">
        <v>3.4633338352659804E-2</v>
      </c>
      <c r="K23" s="1">
        <v>3.1998193043218659E-2</v>
      </c>
      <c r="L23" s="1">
        <v>3.3052251166995117E-2</v>
      </c>
      <c r="M23" s="1">
        <v>2.7781960548112827E-2</v>
      </c>
      <c r="N23" s="1">
        <v>3.0417105857553972E-2</v>
      </c>
      <c r="O23" s="1">
        <v>3.7268483662100949E-2</v>
      </c>
      <c r="P23" s="1">
        <v>3.674145460021272E-2</v>
      </c>
      <c r="Q23" s="1">
        <v>3.2525222105106888E-2</v>
      </c>
      <c r="R23" s="1">
        <v>3.3579280228883346E-2</v>
      </c>
      <c r="S23" s="1">
        <v>3.0417105857553972E-2</v>
      </c>
      <c r="T23" s="1">
        <v>3.4633338352659804E-2</v>
      </c>
      <c r="U23" s="1">
        <v>3.0944134919442201E-2</v>
      </c>
      <c r="V23" s="1">
        <v>3.6214425538324491E-2</v>
      </c>
      <c r="W23" s="1">
        <v>3.0417105857553972E-2</v>
      </c>
      <c r="X23" s="1">
        <v>3.3579280228883346E-2</v>
      </c>
      <c r="Y23" s="1">
        <v>3.8849570847765635E-2</v>
      </c>
      <c r="Z23" s="1">
        <v>3.0417105857553972E-2</v>
      </c>
      <c r="AA23" s="1">
        <v>3.147116398133043E-2</v>
      </c>
      <c r="AB23" s="1">
        <v>3.8322541785877406E-2</v>
      </c>
      <c r="AC23" s="1">
        <v>3.7268483662100949E-2</v>
      </c>
      <c r="AD23" s="1">
        <v>3.5160367414548033E-2</v>
      </c>
      <c r="AE23" s="1">
        <v>3.4633338352659804E-2</v>
      </c>
      <c r="AF23" s="10">
        <v>3.0944134919442201E-2</v>
      </c>
    </row>
    <row r="24" spans="1:32" x14ac:dyDescent="0.25">
      <c r="A24">
        <f t="shared" ca="1" si="0"/>
        <v>0.15705466044269967</v>
      </c>
      <c r="B24" s="5">
        <v>23</v>
      </c>
      <c r="C24" s="9">
        <v>-3.2073482909196649E-2</v>
      </c>
      <c r="D24" s="1">
        <v>1.5208552928777541E-2</v>
      </c>
      <c r="E24" s="1">
        <v>-8.4324649902094428E-3</v>
      </c>
      <c r="F24" s="1">
        <v>-8.4324649902094428E-3</v>
      </c>
      <c r="G24" s="1">
        <v>-4.389399186869003E-2</v>
      </c>
      <c r="H24" s="1">
        <v>8.6131606685738715E-2</v>
      </c>
      <c r="I24" s="1">
        <v>0.1215931335642193</v>
      </c>
      <c r="J24" s="1">
        <v>6.2490588766751731E-2</v>
      </c>
      <c r="K24" s="1">
        <v>3.3880439692839381E-3</v>
      </c>
      <c r="L24" s="1">
        <v>2.7029061888271144E-2</v>
      </c>
      <c r="M24" s="1">
        <v>-9.1176027706663998E-2</v>
      </c>
      <c r="N24" s="1">
        <v>-3.2073482909196649E-2</v>
      </c>
      <c r="O24" s="1">
        <v>0.1215931335642193</v>
      </c>
      <c r="P24" s="1">
        <v>0.1097726246047257</v>
      </c>
      <c r="Q24" s="1">
        <v>1.5208552928777541E-2</v>
      </c>
      <c r="R24" s="1">
        <v>3.8849570847764525E-2</v>
      </c>
      <c r="S24" s="1">
        <v>-3.2073482909196649E-2</v>
      </c>
      <c r="T24" s="1">
        <v>6.2490588766751731E-2</v>
      </c>
      <c r="U24" s="1">
        <v>-2.0252973949702824E-2</v>
      </c>
      <c r="V24" s="1">
        <v>9.7952115645232096E-2</v>
      </c>
      <c r="W24" s="1">
        <v>-3.2073482909196649E-2</v>
      </c>
      <c r="X24" s="1">
        <v>3.8849570847764525E-2</v>
      </c>
      <c r="Y24" s="1">
        <v>0.15705466044269967</v>
      </c>
      <c r="Z24" s="1">
        <v>-3.2073482909196649E-2</v>
      </c>
      <c r="AA24" s="1">
        <v>-8.4324649902094428E-3</v>
      </c>
      <c r="AB24" s="1">
        <v>0.14523415148320629</v>
      </c>
      <c r="AC24" s="1">
        <v>0.1215931335642193</v>
      </c>
      <c r="AD24" s="1">
        <v>7.4311097726245112E-2</v>
      </c>
      <c r="AE24" s="1">
        <v>6.2490588766751731E-2</v>
      </c>
      <c r="AF24" s="10">
        <v>-2.0252973949702824E-2</v>
      </c>
    </row>
    <row r="25" spans="1:32" x14ac:dyDescent="0.25">
      <c r="A25">
        <f t="shared" ca="1" si="0"/>
        <v>6.7911459117604878E-2</v>
      </c>
      <c r="B25" s="5">
        <v>24</v>
      </c>
      <c r="C25" s="9">
        <v>6.7911459117604878E-2</v>
      </c>
      <c r="D25" s="1">
        <v>4.291522361090494E-2</v>
      </c>
      <c r="E25" s="1">
        <v>5.5413341364254798E-2</v>
      </c>
      <c r="F25" s="1">
        <v>5.5413341364254798E-2</v>
      </c>
      <c r="G25" s="1">
        <v>7.4160517994279695E-2</v>
      </c>
      <c r="H25" s="1">
        <v>5.4208703508551448E-3</v>
      </c>
      <c r="I25" s="1">
        <v>-1.3326306279169642E-2</v>
      </c>
      <c r="J25" s="1">
        <v>1.7918988104205003E-2</v>
      </c>
      <c r="K25" s="1">
        <v>4.916428248757998E-2</v>
      </c>
      <c r="L25" s="1">
        <v>3.66661647342299E-2</v>
      </c>
      <c r="M25" s="1">
        <v>9.9156753500979633E-2</v>
      </c>
      <c r="N25" s="1">
        <v>6.7911459117604878E-2</v>
      </c>
      <c r="O25" s="1">
        <v>-1.3326306279169642E-2</v>
      </c>
      <c r="P25" s="1">
        <v>-7.077247402494713E-3</v>
      </c>
      <c r="Q25" s="1">
        <v>4.291522361090494E-2</v>
      </c>
      <c r="R25" s="1">
        <v>3.0417105857555082E-2</v>
      </c>
      <c r="S25" s="1">
        <v>6.7911459117604878E-2</v>
      </c>
      <c r="T25" s="1">
        <v>1.7918988104205003E-2</v>
      </c>
      <c r="U25" s="1">
        <v>6.1662400240929838E-2</v>
      </c>
      <c r="V25" s="1">
        <v>-8.2818852581967306E-4</v>
      </c>
      <c r="W25" s="1">
        <v>6.7911459117604878E-2</v>
      </c>
      <c r="X25" s="1">
        <v>3.0417105857555082E-2</v>
      </c>
      <c r="Y25" s="1">
        <v>-3.2073482909194539E-2</v>
      </c>
      <c r="Z25" s="1">
        <v>6.7911459117604878E-2</v>
      </c>
      <c r="AA25" s="1">
        <v>5.5413341364254798E-2</v>
      </c>
      <c r="AB25" s="1">
        <v>-2.5824424032519611E-2</v>
      </c>
      <c r="AC25" s="1">
        <v>-1.3326306279169642E-2</v>
      </c>
      <c r="AD25" s="1">
        <v>1.1669929227530185E-2</v>
      </c>
      <c r="AE25" s="1">
        <v>1.7918988104205003E-2</v>
      </c>
      <c r="AF25" s="10">
        <v>6.1662400240929838E-2</v>
      </c>
    </row>
    <row r="26" spans="1:32" x14ac:dyDescent="0.25">
      <c r="A26">
        <f t="shared" ca="1" si="0"/>
        <v>4.7432615569947156E-2</v>
      </c>
      <c r="B26" s="5">
        <v>25</v>
      </c>
      <c r="C26" s="9">
        <v>5.5413341364254909E-2</v>
      </c>
      <c r="D26" s="1">
        <v>3.9451889775639293E-2</v>
      </c>
      <c r="E26" s="1">
        <v>4.7432615569947156E-2</v>
      </c>
      <c r="F26" s="1">
        <v>4.7432615569947156E-2</v>
      </c>
      <c r="G26" s="1">
        <v>5.9403704261408841E-2</v>
      </c>
      <c r="H26" s="1">
        <v>1.5509712392715924E-2</v>
      </c>
      <c r="I26" s="1">
        <v>3.5386237012541288E-3</v>
      </c>
      <c r="J26" s="1">
        <v>2.3490438187023677E-2</v>
      </c>
      <c r="K26" s="1">
        <v>4.3442252672793225E-2</v>
      </c>
      <c r="L26" s="1">
        <v>3.5461526878485361E-2</v>
      </c>
      <c r="M26" s="1">
        <v>7.5365155850024457E-2</v>
      </c>
      <c r="N26" s="1">
        <v>5.5413341364254909E-2</v>
      </c>
      <c r="O26" s="1">
        <v>3.5386237012541288E-3</v>
      </c>
      <c r="P26" s="1">
        <v>7.5289865984080606E-3</v>
      </c>
      <c r="Q26" s="1">
        <v>3.9451889775639293E-2</v>
      </c>
      <c r="R26" s="1">
        <v>3.1471163981331429E-2</v>
      </c>
      <c r="S26" s="1">
        <v>5.5413341364254909E-2</v>
      </c>
      <c r="T26" s="1">
        <v>2.3490438187023677E-2</v>
      </c>
      <c r="U26" s="1">
        <v>5.1422978467100977E-2</v>
      </c>
      <c r="V26" s="1">
        <v>1.1519349495561992E-2</v>
      </c>
      <c r="W26" s="1">
        <v>5.5413341364254909E-2</v>
      </c>
      <c r="X26" s="1">
        <v>3.1471163981331429E-2</v>
      </c>
      <c r="Y26" s="1">
        <v>-8.4324649902075555E-3</v>
      </c>
      <c r="Z26" s="1">
        <v>5.5413341364254909E-2</v>
      </c>
      <c r="AA26" s="1">
        <v>4.7432615569947156E-2</v>
      </c>
      <c r="AB26" s="1">
        <v>-4.4421020930536237E-3</v>
      </c>
      <c r="AC26" s="1">
        <v>3.5386237012541288E-3</v>
      </c>
      <c r="AD26" s="1">
        <v>1.9500075289869745E-2</v>
      </c>
      <c r="AE26" s="1">
        <v>2.3490438187023677E-2</v>
      </c>
      <c r="AF26" s="10">
        <v>5.1422978467100977E-2</v>
      </c>
    </row>
    <row r="27" spans="1:32" x14ac:dyDescent="0.25">
      <c r="A27">
        <f t="shared" ca="1" si="0"/>
        <v>0.13454299051347141</v>
      </c>
      <c r="B27" s="5">
        <v>26</v>
      </c>
      <c r="C27" s="9">
        <v>-2.5824424032523385E-2</v>
      </c>
      <c r="D27" s="1">
        <v>1.6940219846408588E-2</v>
      </c>
      <c r="E27" s="1">
        <v>-4.4421020930573984E-3</v>
      </c>
      <c r="F27" s="1">
        <v>-4.4421020930573984E-3</v>
      </c>
      <c r="G27" s="1">
        <v>-3.651558500225649E-2</v>
      </c>
      <c r="H27" s="1">
        <v>8.1087185664806549E-2</v>
      </c>
      <c r="I27" s="1">
        <v>0.11316066857400564</v>
      </c>
      <c r="J27" s="1">
        <v>5.9704863725340562E-2</v>
      </c>
      <c r="K27" s="1">
        <v>6.249058876675484E-3</v>
      </c>
      <c r="L27" s="1">
        <v>2.7631380816141693E-2</v>
      </c>
      <c r="M27" s="1">
        <v>-7.9280228881188464E-2</v>
      </c>
      <c r="N27" s="1">
        <v>-2.5824424032523385E-2</v>
      </c>
      <c r="O27" s="1">
        <v>0.11316066857400564</v>
      </c>
      <c r="P27" s="1">
        <v>0.10246950760427254</v>
      </c>
      <c r="Q27" s="1">
        <v>1.6940219846408588E-2</v>
      </c>
      <c r="R27" s="1">
        <v>3.8322541785874575E-2</v>
      </c>
      <c r="S27" s="1">
        <v>-2.5824424032523385E-2</v>
      </c>
      <c r="T27" s="1">
        <v>5.9704863725340562E-2</v>
      </c>
      <c r="U27" s="1">
        <v>-1.5133263062790281E-2</v>
      </c>
      <c r="V27" s="1">
        <v>9.1778346634539432E-2</v>
      </c>
      <c r="W27" s="1">
        <v>-2.5824424032523385E-2</v>
      </c>
      <c r="X27" s="1">
        <v>3.8322541785874575E-2</v>
      </c>
      <c r="Y27" s="1">
        <v>0.14523415148320451</v>
      </c>
      <c r="Z27" s="1">
        <v>-2.5824424032523385E-2</v>
      </c>
      <c r="AA27" s="1">
        <v>-4.4421020930573984E-3</v>
      </c>
      <c r="AB27" s="1">
        <v>0.13454299051347141</v>
      </c>
      <c r="AC27" s="1">
        <v>0.11316066857400564</v>
      </c>
      <c r="AD27" s="1">
        <v>7.0396024695073667E-2</v>
      </c>
      <c r="AE27" s="1">
        <v>5.9704863725340562E-2</v>
      </c>
      <c r="AF27" s="10">
        <v>-1.5133263062790281E-2</v>
      </c>
    </row>
    <row r="28" spans="1:32" x14ac:dyDescent="0.25">
      <c r="A28">
        <f t="shared" ca="1" si="0"/>
        <v>9.6295738593581648E-2</v>
      </c>
      <c r="B28" s="5">
        <v>27</v>
      </c>
      <c r="C28" s="9">
        <v>-1.3326306279173528E-2</v>
      </c>
      <c r="D28" s="1">
        <v>2.0403553681674236E-2</v>
      </c>
      <c r="E28" s="1">
        <v>3.5386237012504651E-3</v>
      </c>
      <c r="F28" s="1">
        <v>3.5386237012504651E-3</v>
      </c>
      <c r="G28" s="1">
        <v>-2.1758771269385413E-2</v>
      </c>
      <c r="H28" s="1">
        <v>7.0998343622945992E-2</v>
      </c>
      <c r="I28" s="1">
        <v>9.6295738593581648E-2</v>
      </c>
      <c r="J28" s="1">
        <v>5.4133413642521999E-2</v>
      </c>
      <c r="K28" s="1">
        <v>1.197108869146235E-2</v>
      </c>
      <c r="L28" s="1">
        <v>2.8836018671886121E-2</v>
      </c>
      <c r="M28" s="1">
        <v>-5.5488631230233176E-2</v>
      </c>
      <c r="N28" s="1">
        <v>-1.3326306279173528E-2</v>
      </c>
      <c r="O28" s="1">
        <v>9.6295738593581648E-2</v>
      </c>
      <c r="P28" s="1">
        <v>8.7863273603369763E-2</v>
      </c>
      <c r="Q28" s="1">
        <v>2.0403553681674236E-2</v>
      </c>
      <c r="R28" s="1">
        <v>3.7268483662098006E-2</v>
      </c>
      <c r="S28" s="1">
        <v>-1.3326306279173528E-2</v>
      </c>
      <c r="T28" s="1">
        <v>5.4133413642521999E-2</v>
      </c>
      <c r="U28" s="1">
        <v>-4.8938412889616423E-3</v>
      </c>
      <c r="V28" s="1">
        <v>7.9430808613157877E-2</v>
      </c>
      <c r="W28" s="1">
        <v>-1.3326306279173528E-2</v>
      </c>
      <c r="X28" s="1">
        <v>3.7268483662098006E-2</v>
      </c>
      <c r="Y28" s="1">
        <v>0.12159313356421753</v>
      </c>
      <c r="Z28" s="1">
        <v>-1.3326306279173528E-2</v>
      </c>
      <c r="AA28" s="1">
        <v>3.5386237012504651E-3</v>
      </c>
      <c r="AB28" s="1">
        <v>0.11316066857400564</v>
      </c>
      <c r="AC28" s="1">
        <v>9.6295738593581648E-2</v>
      </c>
      <c r="AD28" s="1">
        <v>6.2565878632733885E-2</v>
      </c>
      <c r="AE28" s="1">
        <v>5.4133413642521999E-2</v>
      </c>
      <c r="AF28" s="10">
        <v>-4.8938412889616423E-3</v>
      </c>
    </row>
    <row r="29" spans="1:32" x14ac:dyDescent="0.25">
      <c r="A29">
        <f t="shared" ca="1" si="0"/>
        <v>4.6905586508059205E-2</v>
      </c>
      <c r="B29" s="5">
        <v>28</v>
      </c>
      <c r="C29" s="9">
        <v>1.1669929227530962E-2</v>
      </c>
      <c r="D29" s="1">
        <v>2.7330221352210193E-2</v>
      </c>
      <c r="E29" s="1">
        <v>1.9500075289870633E-2</v>
      </c>
      <c r="F29" s="1">
        <v>1.9500075289870633E-2</v>
      </c>
      <c r="G29" s="1">
        <v>7.7548561963611817E-3</v>
      </c>
      <c r="H29" s="1">
        <v>5.0820659539229096E-2</v>
      </c>
      <c r="I29" s="1">
        <v>6.2565878632738436E-2</v>
      </c>
      <c r="J29" s="1">
        <v>4.2990513476889425E-2</v>
      </c>
      <c r="K29" s="1">
        <v>2.3415148321040413E-2</v>
      </c>
      <c r="L29" s="1">
        <v>3.1245294383379973E-2</v>
      </c>
      <c r="M29" s="1">
        <v>-7.9054359283180498E-3</v>
      </c>
      <c r="N29" s="1">
        <v>1.1669929227530962E-2</v>
      </c>
      <c r="O29" s="1">
        <v>6.2565878632738436E-2</v>
      </c>
      <c r="P29" s="1">
        <v>5.8650805601568656E-2</v>
      </c>
      <c r="Q29" s="1">
        <v>2.7330221352210193E-2</v>
      </c>
      <c r="R29" s="1">
        <v>3.5160367414549754E-2</v>
      </c>
      <c r="S29" s="1">
        <v>1.1669929227530962E-2</v>
      </c>
      <c r="T29" s="1">
        <v>4.2990513476889425E-2</v>
      </c>
      <c r="U29" s="1">
        <v>1.5585002258700742E-2</v>
      </c>
      <c r="V29" s="1">
        <v>5.4735732570398876E-2</v>
      </c>
      <c r="W29" s="1">
        <v>1.1669929227530962E-2</v>
      </c>
      <c r="X29" s="1">
        <v>3.5160367414549754E-2</v>
      </c>
      <c r="Y29" s="1">
        <v>7.4311097726247888E-2</v>
      </c>
      <c r="Z29" s="1">
        <v>1.1669929227530962E-2</v>
      </c>
      <c r="AA29" s="1">
        <v>1.9500075289870633E-2</v>
      </c>
      <c r="AB29" s="1">
        <v>7.0396024695078108E-2</v>
      </c>
      <c r="AC29" s="1">
        <v>6.2565878632738436E-2</v>
      </c>
      <c r="AD29" s="1">
        <v>4.6905586508059205E-2</v>
      </c>
      <c r="AE29" s="1">
        <v>4.2990513476889425E-2</v>
      </c>
      <c r="AF29" s="10">
        <v>1.5585002258700742E-2</v>
      </c>
    </row>
    <row r="30" spans="1:32" x14ac:dyDescent="0.25">
      <c r="A30">
        <f t="shared" ca="1" si="0"/>
        <v>4.0204788435478367E-2</v>
      </c>
      <c r="B30" s="5">
        <v>29</v>
      </c>
      <c r="C30" s="9">
        <v>1.7918988104204114E-2</v>
      </c>
      <c r="D30" s="1">
        <v>2.9061888269841241E-2</v>
      </c>
      <c r="E30" s="1">
        <v>2.3490438187022677E-2</v>
      </c>
      <c r="F30" s="1">
        <v>2.3490438187022677E-2</v>
      </c>
      <c r="G30" s="1">
        <v>1.5133263062794833E-2</v>
      </c>
      <c r="H30" s="1">
        <v>4.577623851829693E-2</v>
      </c>
      <c r="I30" s="1">
        <v>5.4133413642524775E-2</v>
      </c>
      <c r="J30" s="1">
        <v>4.0204788435478367E-2</v>
      </c>
      <c r="K30" s="1">
        <v>2.6276163228431959E-2</v>
      </c>
      <c r="L30" s="1">
        <v>3.1847613311250522E-2</v>
      </c>
      <c r="M30" s="1">
        <v>3.9903628971577065E-3</v>
      </c>
      <c r="N30" s="1">
        <v>1.7918988104204114E-2</v>
      </c>
      <c r="O30" s="1">
        <v>5.4133413642524775E-2</v>
      </c>
      <c r="P30" s="1">
        <v>5.1347688601115493E-2</v>
      </c>
      <c r="Q30" s="1">
        <v>2.9061888269841241E-2</v>
      </c>
      <c r="R30" s="1">
        <v>3.4633338352659804E-2</v>
      </c>
      <c r="S30" s="1">
        <v>1.7918988104204114E-2</v>
      </c>
      <c r="T30" s="1">
        <v>4.0204788435478367E-2</v>
      </c>
      <c r="U30" s="1">
        <v>2.0704713145613396E-2</v>
      </c>
      <c r="V30" s="1">
        <v>4.8561963559706212E-2</v>
      </c>
      <c r="W30" s="1">
        <v>1.7918988104204114E-2</v>
      </c>
      <c r="X30" s="1">
        <v>3.4633338352659804E-2</v>
      </c>
      <c r="Y30" s="1">
        <v>6.2490588766752619E-2</v>
      </c>
      <c r="Z30" s="1">
        <v>1.7918988104204114E-2</v>
      </c>
      <c r="AA30" s="1">
        <v>2.3490438187022677E-2</v>
      </c>
      <c r="AB30" s="1">
        <v>5.9704863725343338E-2</v>
      </c>
      <c r="AC30" s="1">
        <v>5.4133413642524775E-2</v>
      </c>
      <c r="AD30" s="1">
        <v>4.2990513476887648E-2</v>
      </c>
      <c r="AE30" s="1">
        <v>4.0204788435478367E-2</v>
      </c>
      <c r="AF30" s="10">
        <v>2.0704713145613396E-2</v>
      </c>
    </row>
    <row r="31" spans="1:32" x14ac:dyDescent="0.25">
      <c r="A31" s="13">
        <f t="shared" ca="1" si="0"/>
        <v>5.6542689354013631E-2</v>
      </c>
      <c r="B31" s="5">
        <v>30</v>
      </c>
      <c r="C31" s="11">
        <v>6.1662400240928061E-2</v>
      </c>
      <c r="D31" s="12">
        <v>4.118355669327034E-2</v>
      </c>
      <c r="E31" s="12">
        <v>5.1422978467099201E-2</v>
      </c>
      <c r="F31" s="12">
        <v>5.1422978467099201E-2</v>
      </c>
      <c r="G31" s="12">
        <v>6.6782111127842492E-2</v>
      </c>
      <c r="H31" s="12">
        <v>1.0465291371783758E-2</v>
      </c>
      <c r="I31" s="12">
        <v>-4.8938412889595329E-3</v>
      </c>
      <c r="J31" s="12">
        <v>2.0704713145612619E-2</v>
      </c>
      <c r="K31" s="12">
        <v>4.630326758018477E-2</v>
      </c>
      <c r="L31" s="12">
        <v>3.606384580635591E-2</v>
      </c>
      <c r="M31" s="12">
        <v>8.7260954675500213E-2</v>
      </c>
      <c r="N31" s="12">
        <v>6.1662400240928061E-2</v>
      </c>
      <c r="O31" s="12">
        <v>-4.8938412889595329E-3</v>
      </c>
      <c r="P31" s="12">
        <v>2.2586959795489747E-4</v>
      </c>
      <c r="Q31" s="12">
        <v>4.118355669327034E-2</v>
      </c>
      <c r="R31" s="12">
        <v>3.0944134919441479E-2</v>
      </c>
      <c r="S31" s="12">
        <v>6.1662400240928061E-2</v>
      </c>
      <c r="T31" s="12">
        <v>2.0704713145612619E-2</v>
      </c>
      <c r="U31" s="12">
        <v>5.6542689354013631E-2</v>
      </c>
      <c r="V31" s="12">
        <v>5.3455804848693278E-3</v>
      </c>
      <c r="W31" s="12">
        <v>6.1662400240928061E-2</v>
      </c>
      <c r="X31" s="12">
        <v>3.0944134919441479E-2</v>
      </c>
      <c r="Y31" s="12">
        <v>-2.0252973949702824E-2</v>
      </c>
      <c r="Z31" s="12">
        <v>6.1662400240928061E-2</v>
      </c>
      <c r="AA31" s="12">
        <v>5.1422978467099201E-2</v>
      </c>
      <c r="AB31" s="12">
        <v>-1.5133263062788394E-2</v>
      </c>
      <c r="AC31" s="12">
        <v>-4.8938412889595329E-3</v>
      </c>
      <c r="AD31" s="12">
        <v>1.5585002258698188E-2</v>
      </c>
      <c r="AE31" s="12">
        <v>2.0704713145612619E-2</v>
      </c>
      <c r="AF31" s="13">
        <v>5.6542689354013631E-2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Irysy</vt:lpstr>
      <vt:lpstr>Dźwignia I</vt:lpstr>
      <vt:lpstr>Wzrost</vt:lpstr>
      <vt:lpstr>Dźwignia 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2020-05-08T15:49:59Z</cp:lastPrinted>
  <dcterms:created xsi:type="dcterms:W3CDTF">2020-05-08T13:04:37Z</dcterms:created>
  <dcterms:modified xsi:type="dcterms:W3CDTF">2020-06-28T11:37:29Z</dcterms:modified>
</cp:coreProperties>
</file>