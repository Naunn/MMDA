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9CE7750C-531D-4CFE-9386-B7B3EA1D305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BL8" sheetId="1" r:id="rId1"/>
  </sheets>
  <definedNames>
    <definedName name="solver_adj" localSheetId="0" hidden="1">'BL8'!$T$2:$T$4</definedName>
    <definedName name="solver_cvg" localSheetId="0" hidden="1">0.0000001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'BL8'!$T$6</definedName>
    <definedName name="solver_pre" localSheetId="0" hidden="1">0.00000001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" i="1"/>
  <c r="T15" i="1"/>
  <c r="T14" i="1"/>
  <c r="T13" i="1"/>
  <c r="W13" i="1" s="1"/>
  <c r="T12" i="1"/>
  <c r="W12" i="1" s="1"/>
  <c r="J12" i="1"/>
  <c r="H12" i="1"/>
  <c r="I12" i="1"/>
  <c r="J3" i="1" l="1"/>
  <c r="J11" i="1"/>
  <c r="J13" i="1"/>
  <c r="J10" i="1"/>
  <c r="J5" i="1"/>
  <c r="J14" i="1"/>
  <c r="J6" i="1"/>
  <c r="J4" i="1"/>
  <c r="J8" i="1"/>
  <c r="J25" i="1"/>
  <c r="J15" i="1"/>
  <c r="J27" i="1"/>
  <c r="J7" i="1"/>
  <c r="J40" i="1"/>
  <c r="J9" i="1"/>
  <c r="J32" i="1"/>
  <c r="J19" i="1"/>
  <c r="J36" i="1"/>
  <c r="J33" i="1"/>
  <c r="J56" i="1"/>
  <c r="J16" i="1"/>
  <c r="J20" i="1"/>
  <c r="J23" i="1"/>
  <c r="J30" i="1"/>
  <c r="J18" i="1"/>
  <c r="J47" i="1"/>
  <c r="J41" i="1"/>
  <c r="J44" i="1"/>
  <c r="J17" i="1"/>
  <c r="J29" i="1"/>
  <c r="J67" i="1"/>
  <c r="J59" i="1"/>
  <c r="J24" i="1"/>
  <c r="J21" i="1"/>
  <c r="J48" i="1"/>
  <c r="J35" i="1"/>
  <c r="J38" i="1"/>
  <c r="J76" i="1"/>
  <c r="J34" i="1"/>
  <c r="J26" i="1"/>
  <c r="J81" i="1"/>
  <c r="J45" i="1"/>
  <c r="J37" i="1"/>
  <c r="J22" i="1"/>
  <c r="J63" i="1"/>
  <c r="J73" i="1"/>
  <c r="J31" i="1"/>
  <c r="J46" i="1"/>
  <c r="J43" i="1"/>
  <c r="J61" i="1"/>
  <c r="J55" i="1"/>
  <c r="J28" i="1"/>
  <c r="J42" i="1"/>
  <c r="J39" i="1"/>
  <c r="J88" i="1"/>
  <c r="J91" i="1"/>
  <c r="J65" i="1"/>
  <c r="J49" i="1"/>
  <c r="J58" i="1"/>
  <c r="J53" i="1"/>
  <c r="J60" i="1"/>
  <c r="J54" i="1"/>
  <c r="J75" i="1"/>
  <c r="J93" i="1"/>
  <c r="J50" i="1"/>
  <c r="J82" i="1"/>
  <c r="J52" i="1"/>
  <c r="J70" i="1"/>
  <c r="J71" i="1"/>
  <c r="J105" i="1"/>
  <c r="J77" i="1"/>
  <c r="J51" i="1"/>
  <c r="J98" i="1"/>
  <c r="J103" i="1"/>
  <c r="J100" i="1"/>
  <c r="J102" i="1"/>
  <c r="J89" i="1"/>
  <c r="J107" i="1"/>
  <c r="J86" i="1"/>
  <c r="J97" i="1"/>
  <c r="J83" i="1"/>
  <c r="J112" i="1"/>
  <c r="J69" i="1"/>
  <c r="J68" i="1"/>
  <c r="J57" i="1"/>
  <c r="J72" i="1"/>
  <c r="J92" i="1"/>
  <c r="J115" i="1"/>
  <c r="J85" i="1"/>
  <c r="J64" i="1"/>
  <c r="J90" i="1"/>
  <c r="J95" i="1"/>
  <c r="J84" i="1"/>
  <c r="J108" i="1"/>
  <c r="J62" i="1"/>
  <c r="J80" i="1"/>
  <c r="J78" i="1"/>
  <c r="J79" i="1"/>
  <c r="J66" i="1"/>
  <c r="J87" i="1"/>
  <c r="J119" i="1"/>
  <c r="J74" i="1"/>
  <c r="J94" i="1"/>
  <c r="J118" i="1"/>
  <c r="J113" i="1"/>
  <c r="J120" i="1"/>
  <c r="J110" i="1"/>
  <c r="J121" i="1"/>
  <c r="J122" i="1"/>
  <c r="J96" i="1"/>
  <c r="J111" i="1"/>
  <c r="J106" i="1"/>
  <c r="J101" i="1"/>
  <c r="J117" i="1"/>
  <c r="J114" i="1"/>
  <c r="J116" i="1"/>
  <c r="J125" i="1"/>
  <c r="J123" i="1"/>
  <c r="J126" i="1"/>
  <c r="J128" i="1"/>
  <c r="J99" i="1"/>
  <c r="J109" i="1"/>
  <c r="J104" i="1"/>
  <c r="J127" i="1"/>
  <c r="J124" i="1"/>
  <c r="J129" i="1"/>
  <c r="H3" i="1"/>
  <c r="H11" i="1"/>
  <c r="H13" i="1"/>
  <c r="H10" i="1"/>
  <c r="H5" i="1"/>
  <c r="H14" i="1"/>
  <c r="H6" i="1"/>
  <c r="H4" i="1"/>
  <c r="H8" i="1"/>
  <c r="H25" i="1"/>
  <c r="H15" i="1"/>
  <c r="H27" i="1"/>
  <c r="H7" i="1"/>
  <c r="H40" i="1"/>
  <c r="H9" i="1"/>
  <c r="H32" i="1"/>
  <c r="H19" i="1"/>
  <c r="H36" i="1"/>
  <c r="H33" i="1"/>
  <c r="H56" i="1"/>
  <c r="H16" i="1"/>
  <c r="H20" i="1"/>
  <c r="H23" i="1"/>
  <c r="H30" i="1"/>
  <c r="H18" i="1"/>
  <c r="H47" i="1"/>
  <c r="H41" i="1"/>
  <c r="H44" i="1"/>
  <c r="H17" i="1"/>
  <c r="H29" i="1"/>
  <c r="H67" i="1"/>
  <c r="H59" i="1"/>
  <c r="H24" i="1"/>
  <c r="H21" i="1"/>
  <c r="H48" i="1"/>
  <c r="H35" i="1"/>
  <c r="H38" i="1"/>
  <c r="H76" i="1"/>
  <c r="H34" i="1"/>
  <c r="H26" i="1"/>
  <c r="H81" i="1"/>
  <c r="H45" i="1"/>
  <c r="H37" i="1"/>
  <c r="H22" i="1"/>
  <c r="H63" i="1"/>
  <c r="H73" i="1"/>
  <c r="H31" i="1"/>
  <c r="H46" i="1"/>
  <c r="H43" i="1"/>
  <c r="H61" i="1"/>
  <c r="H55" i="1"/>
  <c r="H28" i="1"/>
  <c r="H42" i="1"/>
  <c r="H39" i="1"/>
  <c r="H88" i="1"/>
  <c r="H91" i="1"/>
  <c r="H65" i="1"/>
  <c r="H49" i="1"/>
  <c r="H58" i="1"/>
  <c r="H53" i="1"/>
  <c r="H60" i="1"/>
  <c r="H54" i="1"/>
  <c r="H75" i="1"/>
  <c r="H93" i="1"/>
  <c r="H50" i="1"/>
  <c r="H82" i="1"/>
  <c r="H52" i="1"/>
  <c r="H70" i="1"/>
  <c r="H71" i="1"/>
  <c r="H105" i="1"/>
  <c r="H77" i="1"/>
  <c r="H51" i="1"/>
  <c r="H98" i="1"/>
  <c r="H103" i="1"/>
  <c r="H100" i="1"/>
  <c r="H102" i="1"/>
  <c r="H89" i="1"/>
  <c r="H107" i="1"/>
  <c r="H86" i="1"/>
  <c r="H97" i="1"/>
  <c r="H83" i="1"/>
  <c r="H112" i="1"/>
  <c r="H69" i="1"/>
  <c r="H68" i="1"/>
  <c r="H57" i="1"/>
  <c r="H72" i="1"/>
  <c r="H92" i="1"/>
  <c r="H115" i="1"/>
  <c r="H85" i="1"/>
  <c r="H64" i="1"/>
  <c r="H90" i="1"/>
  <c r="H95" i="1"/>
  <c r="H84" i="1"/>
  <c r="H108" i="1"/>
  <c r="H62" i="1"/>
  <c r="H80" i="1"/>
  <c r="H78" i="1"/>
  <c r="H79" i="1"/>
  <c r="H66" i="1"/>
  <c r="H87" i="1"/>
  <c r="H119" i="1"/>
  <c r="H74" i="1"/>
  <c r="H94" i="1"/>
  <c r="H118" i="1"/>
  <c r="H113" i="1"/>
  <c r="H120" i="1"/>
  <c r="H110" i="1"/>
  <c r="H121" i="1"/>
  <c r="H122" i="1"/>
  <c r="H96" i="1"/>
  <c r="H111" i="1"/>
  <c r="H106" i="1"/>
  <c r="H101" i="1"/>
  <c r="H117" i="1"/>
  <c r="H114" i="1"/>
  <c r="H116" i="1"/>
  <c r="H125" i="1"/>
  <c r="H123" i="1"/>
  <c r="H126" i="1"/>
  <c r="H128" i="1"/>
  <c r="H99" i="1"/>
  <c r="H109" i="1"/>
  <c r="H104" i="1"/>
  <c r="H127" i="1"/>
  <c r="H124" i="1"/>
  <c r="H129" i="1"/>
  <c r="K12" i="1"/>
  <c r="K31" i="1"/>
  <c r="K123" i="1"/>
  <c r="K63" i="1"/>
  <c r="K36" i="1"/>
  <c r="K42" i="1"/>
  <c r="K39" i="1"/>
  <c r="K57" i="1"/>
  <c r="K23" i="1"/>
  <c r="K64" i="1"/>
  <c r="K80" i="1"/>
  <c r="K8" i="1"/>
  <c r="K51" i="1"/>
  <c r="K28" i="1"/>
  <c r="K62" i="1"/>
  <c r="K92" i="1"/>
  <c r="K24" i="1"/>
  <c r="K52" i="1"/>
  <c r="K88" i="1"/>
  <c r="K44" i="1"/>
  <c r="K81" i="1"/>
  <c r="K6" i="1"/>
  <c r="K13" i="1"/>
  <c r="K73" i="1"/>
  <c r="K32" i="1"/>
  <c r="K41" i="1"/>
  <c r="K3" i="1"/>
  <c r="K5" i="1"/>
  <c r="K43" i="1"/>
  <c r="K26" i="1"/>
  <c r="K116" i="1"/>
  <c r="K117" i="1"/>
  <c r="K49" i="1"/>
  <c r="K93" i="1"/>
  <c r="K86" i="1"/>
  <c r="K17" i="1"/>
  <c r="K55" i="1"/>
  <c r="K121" i="1"/>
  <c r="K21" i="1"/>
  <c r="K54" i="1"/>
  <c r="K118" i="1"/>
  <c r="K120" i="1"/>
  <c r="K33" i="1"/>
  <c r="K40" i="1"/>
  <c r="K122" i="1"/>
  <c r="K74" i="1"/>
  <c r="K66" i="1"/>
  <c r="K48" i="1"/>
  <c r="K38" i="1"/>
  <c r="K9" i="1"/>
  <c r="K34" i="1"/>
  <c r="K68" i="1"/>
  <c r="K37" i="1"/>
  <c r="K14" i="1"/>
  <c r="K105" i="1"/>
  <c r="K83" i="1"/>
  <c r="K53" i="1"/>
  <c r="K7" i="1"/>
  <c r="K67" i="1"/>
  <c r="K58" i="1"/>
  <c r="K104" i="1"/>
  <c r="K25" i="1"/>
  <c r="K59" i="1"/>
  <c r="K94" i="1"/>
  <c r="K126" i="1"/>
  <c r="K112" i="1"/>
  <c r="K69" i="1"/>
  <c r="K19" i="1"/>
  <c r="K97" i="1"/>
  <c r="K82" i="1"/>
  <c r="K114" i="1"/>
  <c r="K35" i="1"/>
  <c r="K76" i="1"/>
  <c r="K96" i="1"/>
  <c r="K56" i="1"/>
  <c r="K71" i="1"/>
  <c r="K90" i="1"/>
  <c r="K75" i="1"/>
  <c r="K72" i="1"/>
  <c r="K47" i="1"/>
  <c r="K91" i="1"/>
  <c r="K79" i="1"/>
  <c r="K27" i="1"/>
  <c r="K11" i="1"/>
  <c r="K89" i="1"/>
  <c r="K129" i="1"/>
  <c r="K70" i="1"/>
  <c r="K60" i="1"/>
  <c r="K95" i="1"/>
  <c r="K77" i="1"/>
  <c r="K110" i="1"/>
  <c r="K84" i="1"/>
  <c r="K4" i="1"/>
  <c r="K10" i="1"/>
  <c r="K111" i="1"/>
  <c r="K61" i="1"/>
  <c r="K20" i="1"/>
  <c r="K16" i="1"/>
  <c r="K108" i="1"/>
  <c r="K109" i="1"/>
  <c r="K103" i="1"/>
  <c r="K107" i="1"/>
  <c r="K15" i="1"/>
  <c r="K50" i="1"/>
  <c r="K99" i="1"/>
  <c r="K100" i="1"/>
  <c r="K85" i="1"/>
  <c r="K119" i="1"/>
  <c r="K102" i="1"/>
  <c r="K22" i="1"/>
  <c r="K45" i="1"/>
  <c r="K29" i="1"/>
  <c r="K98" i="1"/>
  <c r="K46" i="1"/>
  <c r="K106" i="1"/>
  <c r="K30" i="1"/>
  <c r="K65" i="1"/>
  <c r="K101" i="1"/>
  <c r="K127" i="1"/>
  <c r="K115" i="1"/>
  <c r="K125" i="1"/>
  <c r="K78" i="1"/>
  <c r="K124" i="1"/>
  <c r="K128" i="1"/>
  <c r="K113" i="1"/>
  <c r="K87" i="1"/>
  <c r="K18" i="1"/>
  <c r="I31" i="1"/>
  <c r="I123" i="1"/>
  <c r="I63" i="1"/>
  <c r="I36" i="1"/>
  <c r="I42" i="1"/>
  <c r="I39" i="1"/>
  <c r="I57" i="1"/>
  <c r="I23" i="1"/>
  <c r="I64" i="1"/>
  <c r="I80" i="1"/>
  <c r="I8" i="1"/>
  <c r="I51" i="1"/>
  <c r="I28" i="1"/>
  <c r="I62" i="1"/>
  <c r="I92" i="1"/>
  <c r="I24" i="1"/>
  <c r="I52" i="1"/>
  <c r="I88" i="1"/>
  <c r="I44" i="1"/>
  <c r="I81" i="1"/>
  <c r="I6" i="1"/>
  <c r="I13" i="1"/>
  <c r="I73" i="1"/>
  <c r="I32" i="1"/>
  <c r="I41" i="1"/>
  <c r="I3" i="1"/>
  <c r="I5" i="1"/>
  <c r="I43" i="1"/>
  <c r="I26" i="1"/>
  <c r="I116" i="1"/>
  <c r="I117" i="1"/>
  <c r="I49" i="1"/>
  <c r="I93" i="1"/>
  <c r="I86" i="1"/>
  <c r="I17" i="1"/>
  <c r="I55" i="1"/>
  <c r="I121" i="1"/>
  <c r="I21" i="1"/>
  <c r="I54" i="1"/>
  <c r="I118" i="1"/>
  <c r="I120" i="1"/>
  <c r="I33" i="1"/>
  <c r="I40" i="1"/>
  <c r="I122" i="1"/>
  <c r="I74" i="1"/>
  <c r="I66" i="1"/>
  <c r="I48" i="1"/>
  <c r="I38" i="1"/>
  <c r="I9" i="1"/>
  <c r="I34" i="1"/>
  <c r="I68" i="1"/>
  <c r="I37" i="1"/>
  <c r="I14" i="1"/>
  <c r="I105" i="1"/>
  <c r="I83" i="1"/>
  <c r="I53" i="1"/>
  <c r="I7" i="1"/>
  <c r="I67" i="1"/>
  <c r="I58" i="1"/>
  <c r="I104" i="1"/>
  <c r="I25" i="1"/>
  <c r="I59" i="1"/>
  <c r="I94" i="1"/>
  <c r="I126" i="1"/>
  <c r="I112" i="1"/>
  <c r="I69" i="1"/>
  <c r="I19" i="1"/>
  <c r="I97" i="1"/>
  <c r="I82" i="1"/>
  <c r="I114" i="1"/>
  <c r="I35" i="1"/>
  <c r="I76" i="1"/>
  <c r="I96" i="1"/>
  <c r="I56" i="1"/>
  <c r="I71" i="1"/>
  <c r="I90" i="1"/>
  <c r="I75" i="1"/>
  <c r="I72" i="1"/>
  <c r="I47" i="1"/>
  <c r="I91" i="1"/>
  <c r="I79" i="1"/>
  <c r="I27" i="1"/>
  <c r="I11" i="1"/>
  <c r="I89" i="1"/>
  <c r="I129" i="1"/>
  <c r="I70" i="1"/>
  <c r="I60" i="1"/>
  <c r="I95" i="1"/>
  <c r="I77" i="1"/>
  <c r="I110" i="1"/>
  <c r="I84" i="1"/>
  <c r="I4" i="1"/>
  <c r="I10" i="1"/>
  <c r="I111" i="1"/>
  <c r="I61" i="1"/>
  <c r="I20" i="1"/>
  <c r="I16" i="1"/>
  <c r="I108" i="1"/>
  <c r="I109" i="1"/>
  <c r="I103" i="1"/>
  <c r="I107" i="1"/>
  <c r="I15" i="1"/>
  <c r="I50" i="1"/>
  <c r="I99" i="1"/>
  <c r="I100" i="1"/>
  <c r="I85" i="1"/>
  <c r="I119" i="1"/>
  <c r="I102" i="1"/>
  <c r="I22" i="1"/>
  <c r="I45" i="1"/>
  <c r="I29" i="1"/>
  <c r="I98" i="1"/>
  <c r="I46" i="1"/>
  <c r="I106" i="1"/>
  <c r="I30" i="1"/>
  <c r="I65" i="1"/>
  <c r="I101" i="1"/>
  <c r="I127" i="1"/>
  <c r="I115" i="1"/>
  <c r="I125" i="1"/>
  <c r="I78" i="1"/>
  <c r="I124" i="1"/>
  <c r="I128" i="1"/>
  <c r="I113" i="1"/>
  <c r="I87" i="1"/>
  <c r="I18" i="1"/>
  <c r="E67" i="1" l="1"/>
  <c r="E121" i="1"/>
  <c r="E81" i="1"/>
  <c r="E25" i="1"/>
  <c r="E99" i="1"/>
  <c r="E57" i="1"/>
  <c r="E48" i="1"/>
  <c r="E38" i="1"/>
  <c r="E29" i="1"/>
  <c r="E96" i="1"/>
  <c r="E92" i="1"/>
  <c r="E98" i="1"/>
  <c r="E127" i="1"/>
  <c r="E16" i="1"/>
  <c r="E108" i="1"/>
  <c r="E117" i="1"/>
  <c r="E56" i="1"/>
  <c r="E19" i="1"/>
  <c r="E116" i="1"/>
  <c r="E36" i="1"/>
  <c r="E102" i="1"/>
  <c r="E50" i="1"/>
  <c r="E34" i="1"/>
  <c r="E62" i="1"/>
  <c r="E106" i="1"/>
  <c r="E27" i="1"/>
  <c r="E122" i="1"/>
  <c r="E40" i="1"/>
  <c r="E22" i="1"/>
  <c r="E32" i="1"/>
  <c r="E120" i="1"/>
  <c r="E72" i="1"/>
  <c r="E113" i="1"/>
  <c r="E17" i="1"/>
  <c r="E82" i="1"/>
  <c r="E46" i="1"/>
  <c r="E55" i="1"/>
  <c r="E123" i="1"/>
  <c r="E35" i="1"/>
  <c r="E112" i="1"/>
  <c r="E63" i="1"/>
  <c r="E111" i="1"/>
  <c r="E14" i="1"/>
  <c r="E5" i="1"/>
  <c r="E18" i="1"/>
  <c r="E51" i="1"/>
  <c r="E71" i="1"/>
  <c r="E9" i="1"/>
  <c r="E52" i="1"/>
  <c r="E4" i="1"/>
  <c r="E58" i="1"/>
  <c r="E59" i="1"/>
  <c r="E70" i="1"/>
  <c r="E41" i="1"/>
  <c r="E69" i="1"/>
  <c r="E83" i="1"/>
  <c r="E115" i="1"/>
  <c r="E88" i="1"/>
  <c r="E11" i="1"/>
  <c r="E12" i="1"/>
  <c r="E31" i="1"/>
  <c r="E94" i="1"/>
  <c r="E73" i="1"/>
  <c r="E85" i="1"/>
  <c r="E76" i="1"/>
  <c r="E21" i="1"/>
  <c r="E119" i="1"/>
  <c r="E44" i="1"/>
  <c r="E129" i="1"/>
  <c r="E13" i="1"/>
  <c r="E77" i="1"/>
  <c r="E10" i="1"/>
  <c r="E61" i="1"/>
  <c r="E97" i="1"/>
  <c r="E74" i="1"/>
  <c r="E114" i="1"/>
  <c r="E28" i="1"/>
  <c r="E126" i="1"/>
  <c r="E93" i="1"/>
  <c r="E84" i="1"/>
  <c r="E104" i="1"/>
  <c r="E107" i="1"/>
  <c r="E45" i="1"/>
  <c r="E105" i="1"/>
  <c r="E43" i="1"/>
  <c r="E91" i="1"/>
  <c r="E26" i="1"/>
  <c r="E3" i="1"/>
  <c r="E30" i="1"/>
  <c r="E49" i="1"/>
  <c r="E39" i="1"/>
  <c r="E20" i="1"/>
  <c r="E53" i="1"/>
  <c r="E103" i="1"/>
  <c r="E86" i="1"/>
  <c r="E7" i="1"/>
  <c r="E66" i="1"/>
  <c r="E118" i="1"/>
  <c r="E33" i="1"/>
  <c r="E65" i="1"/>
  <c r="E124" i="1"/>
  <c r="E6" i="1"/>
  <c r="E100" i="1"/>
  <c r="E87" i="1"/>
  <c r="E60" i="1"/>
  <c r="E109" i="1"/>
  <c r="E15" i="1"/>
  <c r="E78" i="1"/>
  <c r="E8" i="1"/>
  <c r="E37" i="1"/>
  <c r="E90" i="1"/>
  <c r="E101" i="1"/>
  <c r="E54" i="1"/>
  <c r="E80" i="1"/>
  <c r="E89" i="1"/>
  <c r="E68" i="1"/>
  <c r="E47" i="1"/>
  <c r="E128" i="1"/>
  <c r="E64" i="1"/>
  <c r="E79" i="1"/>
  <c r="E110" i="1"/>
  <c r="E125" i="1"/>
  <c r="E23" i="1"/>
  <c r="E75" i="1"/>
  <c r="E95" i="1"/>
  <c r="E24" i="1"/>
  <c r="E42" i="1"/>
  <c r="F12" i="1" l="1"/>
  <c r="O7" i="1"/>
  <c r="N7" i="1" s="1"/>
  <c r="O13" i="1"/>
  <c r="N13" i="1" s="1"/>
  <c r="O26" i="1"/>
  <c r="N26" i="1" s="1"/>
  <c r="O32" i="1"/>
  <c r="N32" i="1" s="1"/>
  <c r="O39" i="1"/>
  <c r="N39" i="1" s="1"/>
  <c r="O45" i="1"/>
  <c r="N45" i="1" s="1"/>
  <c r="O58" i="1"/>
  <c r="N58" i="1" s="1"/>
  <c r="O66" i="1"/>
  <c r="N66" i="1" s="1"/>
  <c r="O74" i="1"/>
  <c r="N74" i="1" s="1"/>
  <c r="O82" i="1"/>
  <c r="N82" i="1" s="1"/>
  <c r="O90" i="1"/>
  <c r="N90" i="1" s="1"/>
  <c r="O98" i="1"/>
  <c r="N98" i="1" s="1"/>
  <c r="O106" i="1"/>
  <c r="N106" i="1" s="1"/>
  <c r="O114" i="1"/>
  <c r="N114" i="1" s="1"/>
  <c r="O122" i="1"/>
  <c r="N122" i="1" s="1"/>
  <c r="O18" i="1"/>
  <c r="N18" i="1" s="1"/>
  <c r="O112" i="1"/>
  <c r="N112" i="1" s="1"/>
  <c r="O14" i="1"/>
  <c r="N14" i="1" s="1"/>
  <c r="O20" i="1"/>
  <c r="N20" i="1" s="1"/>
  <c r="O27" i="1"/>
  <c r="N27" i="1" s="1"/>
  <c r="O33" i="1"/>
  <c r="N33" i="1" s="1"/>
  <c r="O46" i="1"/>
  <c r="N46" i="1" s="1"/>
  <c r="O52" i="1"/>
  <c r="N52" i="1" s="1"/>
  <c r="O59" i="1"/>
  <c r="N59" i="1" s="1"/>
  <c r="O67" i="1"/>
  <c r="N67" i="1" s="1"/>
  <c r="O75" i="1"/>
  <c r="N75" i="1" s="1"/>
  <c r="O83" i="1"/>
  <c r="N83" i="1" s="1"/>
  <c r="O91" i="1"/>
  <c r="N91" i="1" s="1"/>
  <c r="O99" i="1"/>
  <c r="N99" i="1" s="1"/>
  <c r="O107" i="1"/>
  <c r="N107" i="1" s="1"/>
  <c r="O115" i="1"/>
  <c r="N115" i="1" s="1"/>
  <c r="O123" i="1"/>
  <c r="N123" i="1" s="1"/>
  <c r="O31" i="1"/>
  <c r="N31" i="1" s="1"/>
  <c r="O56" i="1"/>
  <c r="O104" i="1"/>
  <c r="N104" i="1" s="1"/>
  <c r="O128" i="1"/>
  <c r="N128" i="1" s="1"/>
  <c r="O8" i="1"/>
  <c r="N8" i="1" s="1"/>
  <c r="O15" i="1"/>
  <c r="N15" i="1" s="1"/>
  <c r="O21" i="1"/>
  <c r="N21" i="1" s="1"/>
  <c r="O34" i="1"/>
  <c r="N34" i="1" s="1"/>
  <c r="O40" i="1"/>
  <c r="N40" i="1" s="1"/>
  <c r="O47" i="1"/>
  <c r="N47" i="1" s="1"/>
  <c r="O53" i="1"/>
  <c r="N53" i="1" s="1"/>
  <c r="O60" i="1"/>
  <c r="N60" i="1" s="1"/>
  <c r="O68" i="1"/>
  <c r="N68" i="1" s="1"/>
  <c r="O76" i="1"/>
  <c r="N76" i="1" s="1"/>
  <c r="O84" i="1"/>
  <c r="N84" i="1" s="1"/>
  <c r="O92" i="1"/>
  <c r="N92" i="1" s="1"/>
  <c r="O100" i="1"/>
  <c r="N100" i="1" s="1"/>
  <c r="O108" i="1"/>
  <c r="N108" i="1" s="1"/>
  <c r="O116" i="1"/>
  <c r="N116" i="1" s="1"/>
  <c r="O124" i="1"/>
  <c r="N124" i="1" s="1"/>
  <c r="O24" i="1"/>
  <c r="O50" i="1"/>
  <c r="N50" i="1" s="1"/>
  <c r="O96" i="1"/>
  <c r="N96" i="1" s="1"/>
  <c r="O3" i="1"/>
  <c r="N3" i="1" s="1"/>
  <c r="O9" i="1"/>
  <c r="N9" i="1" s="1"/>
  <c r="O22" i="1"/>
  <c r="N22" i="1" s="1"/>
  <c r="O28" i="1"/>
  <c r="N28" i="1" s="1"/>
  <c r="O35" i="1"/>
  <c r="N35" i="1" s="1"/>
  <c r="O41" i="1"/>
  <c r="N41" i="1" s="1"/>
  <c r="O54" i="1"/>
  <c r="N54" i="1" s="1"/>
  <c r="O61" i="1"/>
  <c r="N61" i="1" s="1"/>
  <c r="O69" i="1"/>
  <c r="N69" i="1" s="1"/>
  <c r="O77" i="1"/>
  <c r="N77" i="1" s="1"/>
  <c r="O85" i="1"/>
  <c r="N85" i="1" s="1"/>
  <c r="O93" i="1"/>
  <c r="N93" i="1" s="1"/>
  <c r="O101" i="1"/>
  <c r="N101" i="1" s="1"/>
  <c r="O109" i="1"/>
  <c r="N109" i="1" s="1"/>
  <c r="O117" i="1"/>
  <c r="N117" i="1" s="1"/>
  <c r="O125" i="1"/>
  <c r="N125" i="1" s="1"/>
  <c r="O72" i="1"/>
  <c r="N72" i="1" s="1"/>
  <c r="O10" i="1"/>
  <c r="N10" i="1" s="1"/>
  <c r="O16" i="1"/>
  <c r="N16" i="1" s="1"/>
  <c r="O23" i="1"/>
  <c r="N23" i="1" s="1"/>
  <c r="O29" i="1"/>
  <c r="N29" i="1" s="1"/>
  <c r="O42" i="1"/>
  <c r="N42" i="1" s="1"/>
  <c r="O48" i="1"/>
  <c r="N48" i="1" s="1"/>
  <c r="O55" i="1"/>
  <c r="N55" i="1" s="1"/>
  <c r="O62" i="1"/>
  <c r="N62" i="1" s="1"/>
  <c r="O70" i="1"/>
  <c r="N70" i="1" s="1"/>
  <c r="O78" i="1"/>
  <c r="N78" i="1" s="1"/>
  <c r="O86" i="1"/>
  <c r="N86" i="1" s="1"/>
  <c r="O94" i="1"/>
  <c r="N94" i="1" s="1"/>
  <c r="O102" i="1"/>
  <c r="N102" i="1" s="1"/>
  <c r="O110" i="1"/>
  <c r="N110" i="1" s="1"/>
  <c r="O118" i="1"/>
  <c r="N118" i="1" s="1"/>
  <c r="O126" i="1"/>
  <c r="N126" i="1" s="1"/>
  <c r="O80" i="1"/>
  <c r="N80" i="1" s="1"/>
  <c r="O4" i="1"/>
  <c r="N4" i="1" s="1"/>
  <c r="O11" i="1"/>
  <c r="N11" i="1" s="1"/>
  <c r="O17" i="1"/>
  <c r="N17" i="1" s="1"/>
  <c r="N24" i="1"/>
  <c r="O30" i="1"/>
  <c r="N30" i="1" s="1"/>
  <c r="O36" i="1"/>
  <c r="N36" i="1" s="1"/>
  <c r="O43" i="1"/>
  <c r="N43" i="1" s="1"/>
  <c r="O49" i="1"/>
  <c r="N49" i="1" s="1"/>
  <c r="N56" i="1"/>
  <c r="O63" i="1"/>
  <c r="N63" i="1" s="1"/>
  <c r="O71" i="1"/>
  <c r="N71" i="1" s="1"/>
  <c r="O79" i="1"/>
  <c r="N79" i="1" s="1"/>
  <c r="O87" i="1"/>
  <c r="N87" i="1" s="1"/>
  <c r="O95" i="1"/>
  <c r="N95" i="1" s="1"/>
  <c r="O103" i="1"/>
  <c r="N103" i="1" s="1"/>
  <c r="O111" i="1"/>
  <c r="N111" i="1" s="1"/>
  <c r="O119" i="1"/>
  <c r="N119" i="1" s="1"/>
  <c r="O127" i="1"/>
  <c r="N127" i="1" s="1"/>
  <c r="O5" i="1"/>
  <c r="N5" i="1" s="1"/>
  <c r="O37" i="1"/>
  <c r="N37" i="1" s="1"/>
  <c r="O88" i="1"/>
  <c r="N88" i="1" s="1"/>
  <c r="O6" i="1"/>
  <c r="N6" i="1" s="1"/>
  <c r="O12" i="1"/>
  <c r="N12" i="1" s="1"/>
  <c r="O19" i="1"/>
  <c r="N19" i="1" s="1"/>
  <c r="O25" i="1"/>
  <c r="N25" i="1" s="1"/>
  <c r="O38" i="1"/>
  <c r="N38" i="1" s="1"/>
  <c r="O44" i="1"/>
  <c r="N44" i="1" s="1"/>
  <c r="O51" i="1"/>
  <c r="N51" i="1" s="1"/>
  <c r="O57" i="1"/>
  <c r="N57" i="1" s="1"/>
  <c r="O65" i="1"/>
  <c r="N65" i="1" s="1"/>
  <c r="O73" i="1"/>
  <c r="N73" i="1" s="1"/>
  <c r="O81" i="1"/>
  <c r="N81" i="1" s="1"/>
  <c r="O89" i="1"/>
  <c r="N89" i="1" s="1"/>
  <c r="O97" i="1"/>
  <c r="N97" i="1" s="1"/>
  <c r="O105" i="1"/>
  <c r="N105" i="1" s="1"/>
  <c r="O113" i="1"/>
  <c r="N113" i="1" s="1"/>
  <c r="O121" i="1"/>
  <c r="N121" i="1" s="1"/>
  <c r="O129" i="1"/>
  <c r="N129" i="1" s="1"/>
  <c r="O64" i="1"/>
  <c r="N64" i="1" s="1"/>
  <c r="O120" i="1"/>
  <c r="N120" i="1" s="1"/>
  <c r="G90" i="1"/>
  <c r="F90" i="1"/>
  <c r="G73" i="1"/>
  <c r="F73" i="1"/>
  <c r="G108" i="1"/>
  <c r="F108" i="1"/>
  <c r="G79" i="1"/>
  <c r="F79" i="1"/>
  <c r="G101" i="1"/>
  <c r="F101" i="1"/>
  <c r="G87" i="1"/>
  <c r="F87" i="1"/>
  <c r="G7" i="1"/>
  <c r="F7" i="1"/>
  <c r="G3" i="1"/>
  <c r="F3" i="1"/>
  <c r="G84" i="1"/>
  <c r="F84" i="1"/>
  <c r="G10" i="1"/>
  <c r="F10" i="1"/>
  <c r="G85" i="1"/>
  <c r="F85" i="1"/>
  <c r="G83" i="1"/>
  <c r="F83" i="1"/>
  <c r="G9" i="1"/>
  <c r="F9" i="1"/>
  <c r="G112" i="1"/>
  <c r="F112" i="1"/>
  <c r="G72" i="1"/>
  <c r="F72" i="1"/>
  <c r="G62" i="1"/>
  <c r="F62" i="1"/>
  <c r="G117" i="1"/>
  <c r="F117" i="1"/>
  <c r="G38" i="1"/>
  <c r="F38" i="1"/>
  <c r="G86" i="1"/>
  <c r="F86" i="1"/>
  <c r="G34" i="1"/>
  <c r="F34" i="1"/>
  <c r="G24" i="1"/>
  <c r="F24" i="1"/>
  <c r="G37" i="1"/>
  <c r="F37" i="1"/>
  <c r="G6" i="1"/>
  <c r="F6" i="1"/>
  <c r="G103" i="1"/>
  <c r="F103" i="1"/>
  <c r="G91" i="1"/>
  <c r="F91" i="1"/>
  <c r="G126" i="1"/>
  <c r="F126" i="1"/>
  <c r="G13" i="1"/>
  <c r="F13" i="1"/>
  <c r="G94" i="1"/>
  <c r="F94" i="1"/>
  <c r="G41" i="1"/>
  <c r="F41" i="1"/>
  <c r="G51" i="1"/>
  <c r="F51" i="1"/>
  <c r="G123" i="1"/>
  <c r="F123" i="1"/>
  <c r="G32" i="1"/>
  <c r="F32" i="1"/>
  <c r="G50" i="1"/>
  <c r="F50" i="1"/>
  <c r="G16" i="1"/>
  <c r="F16" i="1"/>
  <c r="G57" i="1"/>
  <c r="F57" i="1"/>
  <c r="G42" i="1"/>
  <c r="F42" i="1"/>
  <c r="G77" i="1"/>
  <c r="F77" i="1"/>
  <c r="G48" i="1"/>
  <c r="F48" i="1"/>
  <c r="G128" i="1"/>
  <c r="F128" i="1"/>
  <c r="G95" i="1"/>
  <c r="F95" i="1"/>
  <c r="G47" i="1"/>
  <c r="F47" i="1"/>
  <c r="G8" i="1"/>
  <c r="F8" i="1"/>
  <c r="G124" i="1"/>
  <c r="F124" i="1"/>
  <c r="G53" i="1"/>
  <c r="F53" i="1"/>
  <c r="G43" i="1"/>
  <c r="F43" i="1"/>
  <c r="G28" i="1"/>
  <c r="F28" i="1"/>
  <c r="G129" i="1"/>
  <c r="F129" i="1"/>
  <c r="G31" i="1"/>
  <c r="F31" i="1"/>
  <c r="G70" i="1"/>
  <c r="F70" i="1"/>
  <c r="G18" i="1"/>
  <c r="F18" i="1"/>
  <c r="G55" i="1"/>
  <c r="F55" i="1"/>
  <c r="G22" i="1"/>
  <c r="F22" i="1"/>
  <c r="G102" i="1"/>
  <c r="F102" i="1"/>
  <c r="G127" i="1"/>
  <c r="F127" i="1"/>
  <c r="G99" i="1"/>
  <c r="F99" i="1"/>
  <c r="G100" i="1"/>
  <c r="F100" i="1"/>
  <c r="G120" i="1"/>
  <c r="F120" i="1"/>
  <c r="G75" i="1"/>
  <c r="F75" i="1"/>
  <c r="G68" i="1"/>
  <c r="F68" i="1"/>
  <c r="G78" i="1"/>
  <c r="F78" i="1"/>
  <c r="G65" i="1"/>
  <c r="F65" i="1"/>
  <c r="G20" i="1"/>
  <c r="F20" i="1"/>
  <c r="G105" i="1"/>
  <c r="F105" i="1"/>
  <c r="G114" i="1"/>
  <c r="F114" i="1"/>
  <c r="G44" i="1"/>
  <c r="F44" i="1"/>
  <c r="G12" i="1"/>
  <c r="G59" i="1"/>
  <c r="F59" i="1"/>
  <c r="G5" i="1"/>
  <c r="F5" i="1"/>
  <c r="G46" i="1"/>
  <c r="F46" i="1"/>
  <c r="G40" i="1"/>
  <c r="F40" i="1"/>
  <c r="G36" i="1"/>
  <c r="F36" i="1"/>
  <c r="G98" i="1"/>
  <c r="F98" i="1"/>
  <c r="G25" i="1"/>
  <c r="F25" i="1"/>
  <c r="G26" i="1"/>
  <c r="F26" i="1"/>
  <c r="G71" i="1"/>
  <c r="F71" i="1"/>
  <c r="G23" i="1"/>
  <c r="F23" i="1"/>
  <c r="G89" i="1"/>
  <c r="F89" i="1"/>
  <c r="G15" i="1"/>
  <c r="F15" i="1"/>
  <c r="G33" i="1"/>
  <c r="F33" i="1"/>
  <c r="G39" i="1"/>
  <c r="F39" i="1"/>
  <c r="G45" i="1"/>
  <c r="F45" i="1"/>
  <c r="G74" i="1"/>
  <c r="F74" i="1"/>
  <c r="G119" i="1"/>
  <c r="F119" i="1"/>
  <c r="G11" i="1"/>
  <c r="F11" i="1"/>
  <c r="G58" i="1"/>
  <c r="F58" i="1"/>
  <c r="G14" i="1"/>
  <c r="F14" i="1"/>
  <c r="G82" i="1"/>
  <c r="F82" i="1"/>
  <c r="G122" i="1"/>
  <c r="F122" i="1"/>
  <c r="G116" i="1"/>
  <c r="F116" i="1"/>
  <c r="G92" i="1"/>
  <c r="F92" i="1"/>
  <c r="G81" i="1"/>
  <c r="F81" i="1"/>
  <c r="G93" i="1"/>
  <c r="F93" i="1"/>
  <c r="G69" i="1"/>
  <c r="F69" i="1"/>
  <c r="G125" i="1"/>
  <c r="F125" i="1"/>
  <c r="G80" i="1"/>
  <c r="F80" i="1"/>
  <c r="G109" i="1"/>
  <c r="F109" i="1"/>
  <c r="G118" i="1"/>
  <c r="F118" i="1"/>
  <c r="G49" i="1"/>
  <c r="F49" i="1"/>
  <c r="G107" i="1"/>
  <c r="F107" i="1"/>
  <c r="G97" i="1"/>
  <c r="F97" i="1"/>
  <c r="G21" i="1"/>
  <c r="F21" i="1"/>
  <c r="G88" i="1"/>
  <c r="F88" i="1"/>
  <c r="G4" i="1"/>
  <c r="F4" i="1"/>
  <c r="G111" i="1"/>
  <c r="F111" i="1"/>
  <c r="G17" i="1"/>
  <c r="F17" i="1"/>
  <c r="G27" i="1"/>
  <c r="F27" i="1"/>
  <c r="G19" i="1"/>
  <c r="F19" i="1"/>
  <c r="G96" i="1"/>
  <c r="F96" i="1"/>
  <c r="G121" i="1"/>
  <c r="F121" i="1"/>
  <c r="G64" i="1"/>
  <c r="F64" i="1"/>
  <c r="G35" i="1"/>
  <c r="F35" i="1"/>
  <c r="G110" i="1"/>
  <c r="F110" i="1"/>
  <c r="G54" i="1"/>
  <c r="F54" i="1"/>
  <c r="G60" i="1"/>
  <c r="F60" i="1"/>
  <c r="G66" i="1"/>
  <c r="F66" i="1"/>
  <c r="G30" i="1"/>
  <c r="F30" i="1"/>
  <c r="G104" i="1"/>
  <c r="F104" i="1"/>
  <c r="G61" i="1"/>
  <c r="F61" i="1"/>
  <c r="G76" i="1"/>
  <c r="F76" i="1"/>
  <c r="G115" i="1"/>
  <c r="F115" i="1"/>
  <c r="G52" i="1"/>
  <c r="F52" i="1"/>
  <c r="G63" i="1"/>
  <c r="F63" i="1"/>
  <c r="G113" i="1"/>
  <c r="F113" i="1"/>
  <c r="G106" i="1"/>
  <c r="F106" i="1"/>
  <c r="G56" i="1"/>
  <c r="F56" i="1"/>
  <c r="G29" i="1"/>
  <c r="F29" i="1"/>
  <c r="G67" i="1"/>
  <c r="F67" i="1"/>
  <c r="T6" i="1" l="1"/>
  <c r="P35" i="1"/>
  <c r="Q16" i="1"/>
  <c r="U6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79" i="1"/>
  <c r="Q8" i="1"/>
  <c r="Q48" i="1"/>
  <c r="Q88" i="1"/>
  <c r="Q120" i="1"/>
  <c r="Q4" i="1"/>
  <c r="Q12" i="1"/>
  <c r="Q20" i="1"/>
  <c r="Q28" i="1"/>
  <c r="Q36" i="1"/>
  <c r="Q44" i="1"/>
  <c r="Q52" i="1"/>
  <c r="Q60" i="1"/>
  <c r="Q68" i="1"/>
  <c r="Q76" i="1"/>
  <c r="Q84" i="1"/>
  <c r="Q92" i="1"/>
  <c r="Q100" i="1"/>
  <c r="Q108" i="1"/>
  <c r="Q116" i="1"/>
  <c r="Q124" i="1"/>
  <c r="Q14" i="1"/>
  <c r="Q38" i="1"/>
  <c r="Q62" i="1"/>
  <c r="Q78" i="1"/>
  <c r="Q94" i="1"/>
  <c r="Q110" i="1"/>
  <c r="Q126" i="1"/>
  <c r="Q7" i="1"/>
  <c r="Q39" i="1"/>
  <c r="Q55" i="1"/>
  <c r="Q71" i="1"/>
  <c r="Q95" i="1"/>
  <c r="Q111" i="1"/>
  <c r="Q40" i="1"/>
  <c r="Q96" i="1"/>
  <c r="Q128" i="1"/>
  <c r="Q5" i="1"/>
  <c r="Q13" i="1"/>
  <c r="Q21" i="1"/>
  <c r="Q29" i="1"/>
  <c r="Q37" i="1"/>
  <c r="Q45" i="1"/>
  <c r="Q53" i="1"/>
  <c r="Q61" i="1"/>
  <c r="Q69" i="1"/>
  <c r="Q77" i="1"/>
  <c r="Q85" i="1"/>
  <c r="Q93" i="1"/>
  <c r="Q101" i="1"/>
  <c r="Q109" i="1"/>
  <c r="Q117" i="1"/>
  <c r="Q125" i="1"/>
  <c r="Q6" i="1"/>
  <c r="Q22" i="1"/>
  <c r="Q30" i="1"/>
  <c r="Q46" i="1"/>
  <c r="Q54" i="1"/>
  <c r="Q70" i="1"/>
  <c r="Q86" i="1"/>
  <c r="Q102" i="1"/>
  <c r="Q118" i="1"/>
  <c r="Q15" i="1"/>
  <c r="Q23" i="1"/>
  <c r="Q31" i="1"/>
  <c r="Q47" i="1"/>
  <c r="Q63" i="1"/>
  <c r="Q87" i="1"/>
  <c r="Q103" i="1"/>
  <c r="Q119" i="1"/>
  <c r="Q32" i="1"/>
  <c r="Q80" i="1"/>
  <c r="Q104" i="1"/>
  <c r="Q64" i="1"/>
  <c r="Q9" i="1"/>
  <c r="Q17" i="1"/>
  <c r="Q25" i="1"/>
  <c r="Q33" i="1"/>
  <c r="Q41" i="1"/>
  <c r="Q49" i="1"/>
  <c r="Q57" i="1"/>
  <c r="Q65" i="1"/>
  <c r="Q73" i="1"/>
  <c r="Q81" i="1"/>
  <c r="Q89" i="1"/>
  <c r="Q97" i="1"/>
  <c r="Q105" i="1"/>
  <c r="Q113" i="1"/>
  <c r="Q121" i="1"/>
  <c r="Q129" i="1"/>
  <c r="Q56" i="1"/>
  <c r="Q10" i="1"/>
  <c r="Q18" i="1"/>
  <c r="Q26" i="1"/>
  <c r="Q34" i="1"/>
  <c r="Q42" i="1"/>
  <c r="Q50" i="1"/>
  <c r="Q58" i="1"/>
  <c r="Q66" i="1"/>
  <c r="Q74" i="1"/>
  <c r="Q82" i="1"/>
  <c r="Q90" i="1"/>
  <c r="Q98" i="1"/>
  <c r="Q106" i="1"/>
  <c r="Q114" i="1"/>
  <c r="Q122" i="1"/>
  <c r="Q3" i="1"/>
  <c r="Q127" i="1"/>
  <c r="Q24" i="1"/>
  <c r="Q72" i="1"/>
  <c r="Q112" i="1"/>
  <c r="P32" i="1" l="1"/>
  <c r="P25" i="1"/>
  <c r="P56" i="1"/>
  <c r="P122" i="1"/>
  <c r="P9" i="1"/>
  <c r="P119" i="1"/>
  <c r="P74" i="1"/>
  <c r="P102" i="1"/>
  <c r="P110" i="1"/>
  <c r="P58" i="1"/>
  <c r="P62" i="1"/>
  <c r="P124" i="1"/>
  <c r="P10" i="1"/>
  <c r="P40" i="1"/>
  <c r="P93" i="1"/>
  <c r="P60" i="1"/>
  <c r="P89" i="1"/>
  <c r="P45" i="1"/>
  <c r="P109" i="1"/>
  <c r="P73" i="1"/>
  <c r="P29" i="1"/>
  <c r="P95" i="1"/>
  <c r="P66" i="1"/>
  <c r="P104" i="1"/>
  <c r="P81" i="1"/>
  <c r="P17" i="1"/>
  <c r="P86" i="1"/>
  <c r="P101" i="1"/>
  <c r="P37" i="1"/>
  <c r="P16" i="1"/>
  <c r="P126" i="1"/>
  <c r="P14" i="1"/>
  <c r="P68" i="1"/>
  <c r="P4" i="1"/>
  <c r="P71" i="1"/>
  <c r="P91" i="1"/>
  <c r="P27" i="1"/>
  <c r="P128" i="1"/>
  <c r="P55" i="1"/>
  <c r="P83" i="1"/>
  <c r="P19" i="1"/>
  <c r="P114" i="1"/>
  <c r="P50" i="1"/>
  <c r="P129" i="1"/>
  <c r="P65" i="1"/>
  <c r="P96" i="1"/>
  <c r="P46" i="1"/>
  <c r="P85" i="1"/>
  <c r="P21" i="1"/>
  <c r="P103" i="1"/>
  <c r="P94" i="1"/>
  <c r="P116" i="1"/>
  <c r="P52" i="1"/>
  <c r="P88" i="1"/>
  <c r="P39" i="1"/>
  <c r="P75" i="1"/>
  <c r="P11" i="1"/>
  <c r="P106" i="1"/>
  <c r="P48" i="1"/>
  <c r="P42" i="1"/>
  <c r="P64" i="1"/>
  <c r="P13" i="1"/>
  <c r="P108" i="1"/>
  <c r="P44" i="1"/>
  <c r="P15" i="1"/>
  <c r="P98" i="1"/>
  <c r="P34" i="1"/>
  <c r="P113" i="1"/>
  <c r="P49" i="1"/>
  <c r="P24" i="1"/>
  <c r="P6" i="1"/>
  <c r="P69" i="1"/>
  <c r="P5" i="1"/>
  <c r="P63" i="1"/>
  <c r="P70" i="1"/>
  <c r="P100" i="1"/>
  <c r="P36" i="1"/>
  <c r="P8" i="1"/>
  <c r="P123" i="1"/>
  <c r="P59" i="1"/>
  <c r="P57" i="1"/>
  <c r="P30" i="1"/>
  <c r="P78" i="1"/>
  <c r="P67" i="1"/>
  <c r="P112" i="1"/>
  <c r="P90" i="1"/>
  <c r="P26" i="1"/>
  <c r="P105" i="1"/>
  <c r="P41" i="1"/>
  <c r="P23" i="1"/>
  <c r="P125" i="1"/>
  <c r="P61" i="1"/>
  <c r="P120" i="1"/>
  <c r="P47" i="1"/>
  <c r="P54" i="1"/>
  <c r="P92" i="1"/>
  <c r="P28" i="1"/>
  <c r="P127" i="1"/>
  <c r="P115" i="1"/>
  <c r="P51" i="1"/>
  <c r="P121" i="1"/>
  <c r="P77" i="1"/>
  <c r="P79" i="1"/>
  <c r="P3" i="1"/>
  <c r="P72" i="1"/>
  <c r="P82" i="1"/>
  <c r="P18" i="1"/>
  <c r="P97" i="1"/>
  <c r="P33" i="1"/>
  <c r="P118" i="1"/>
  <c r="P117" i="1"/>
  <c r="P53" i="1"/>
  <c r="P80" i="1"/>
  <c r="P31" i="1"/>
  <c r="P38" i="1"/>
  <c r="P84" i="1"/>
  <c r="P20" i="1"/>
  <c r="P111" i="1"/>
  <c r="P107" i="1"/>
  <c r="P43" i="1"/>
  <c r="P7" i="1"/>
  <c r="P22" i="1"/>
  <c r="P76" i="1"/>
  <c r="P12" i="1"/>
  <c r="P87" i="1"/>
  <c r="P99" i="1"/>
</calcChain>
</file>

<file path=xl/sharedStrings.xml><?xml version="1.0" encoding="utf-8"?>
<sst xmlns="http://schemas.openxmlformats.org/spreadsheetml/2006/main" count="165" uniqueCount="40">
  <si>
    <t>Dochody</t>
  </si>
  <si>
    <t>Wiek</t>
  </si>
  <si>
    <t>Wydatek</t>
  </si>
  <si>
    <t>Raty</t>
  </si>
  <si>
    <t>N</t>
  </si>
  <si>
    <t>T</t>
  </si>
  <si>
    <t>Raty(bin)</t>
  </si>
  <si>
    <t>a</t>
  </si>
  <si>
    <t>b</t>
  </si>
  <si>
    <t>c</t>
  </si>
  <si>
    <t>Ile 0 (PN)</t>
  </si>
  <si>
    <t>Ile 1 (FN)</t>
  </si>
  <si>
    <t>1-spec</t>
  </si>
  <si>
    <t>czułość</t>
  </si>
  <si>
    <t>PP</t>
  </si>
  <si>
    <t>Test</t>
  </si>
  <si>
    <t>FP</t>
  </si>
  <si>
    <t>FN</t>
  </si>
  <si>
    <t>PN</t>
  </si>
  <si>
    <t>1. Tworzymy kolumne wartośi p</t>
  </si>
  <si>
    <t>2. Tworzymy kolumnę wairygodności</t>
  </si>
  <si>
    <t>3. Maksymalizujemy sumę wiarygodności przez oszacowanie (solver) współczynników</t>
  </si>
  <si>
    <t>Krzywa logistyczna</t>
  </si>
  <si>
    <t>4. Tworzymy krzywą logistyczną</t>
  </si>
  <si>
    <t>5. Wyliczamy ilość Prawdziwie Negatywnych i Fałszywnie Negatywnych wyników</t>
  </si>
  <si>
    <t>6. Obliczamy FPR(1-spec) oraz TPR(czułość)</t>
  </si>
  <si>
    <t>7. Rysujemy krzywą ROC w celu oceny klasyfikatora</t>
  </si>
  <si>
    <t>MinWy</t>
  </si>
  <si>
    <t>P (Wy+Wi)</t>
  </si>
  <si>
    <t>Wiar (Wy+Wi)</t>
  </si>
  <si>
    <t>(a*Wy+b*Wi+c)</t>
  </si>
  <si>
    <t>Wiar (Wy)</t>
  </si>
  <si>
    <t>P (Wy)</t>
  </si>
  <si>
    <t>(a*Wy+b)</t>
  </si>
  <si>
    <t>Sumy</t>
  </si>
  <si>
    <t>MaxWy</t>
  </si>
  <si>
    <t>MinWi</t>
  </si>
  <si>
    <t>MaxWi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</si>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</sst>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double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9" fillId="5" borderId="4" xfId="9"/>
    <xf numFmtId="0" fontId="8" fillId="4" borderId="16" xfId="8" applyBorder="1"/>
    <xf numFmtId="0" fontId="8" fillId="4" borderId="14" xfId="8" applyBorder="1"/>
    <xf numFmtId="0" fontId="10" fillId="6" borderId="5" xfId="10"/>
    <xf numFmtId="0" fontId="10" fillId="6" borderId="5" xfId="10" applyAlignment="1">
      <alignment horizontal="center"/>
    </xf>
    <xf numFmtId="0" fontId="10" fillId="6" borderId="18" xfId="10" applyBorder="1" applyAlignment="1">
      <alignment horizontal="center"/>
    </xf>
    <xf numFmtId="0" fontId="10" fillId="6" borderId="17" xfId="10" applyBorder="1" applyAlignment="1">
      <alignment horizontal="center"/>
    </xf>
    <xf numFmtId="0" fontId="8" fillId="4" borderId="10" xfId="8" applyBorder="1" applyAlignment="1">
      <alignment horizontal="center"/>
    </xf>
    <xf numFmtId="0" fontId="9" fillId="5" borderId="10" xfId="9" applyBorder="1" applyAlignment="1">
      <alignment horizontal="center"/>
    </xf>
    <xf numFmtId="0" fontId="8" fillId="4" borderId="15" xfId="8" applyBorder="1"/>
    <xf numFmtId="0" fontId="15" fillId="0" borderId="0" xfId="16"/>
    <xf numFmtId="0" fontId="0" fillId="0" borderId="2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9" fillId="5" borderId="20" xfId="9" applyBorder="1" applyAlignment="1">
      <alignment horizontal="center"/>
    </xf>
    <xf numFmtId="0" fontId="9" fillId="5" borderId="4" xfId="9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24" xfId="0" applyBorder="1"/>
    <xf numFmtId="0" fontId="0" fillId="0" borderId="13" xfId="0" applyBorder="1"/>
    <xf numFmtId="0" fontId="10" fillId="6" borderId="26" xfId="10" applyBorder="1" applyAlignment="1">
      <alignment horizontal="center"/>
    </xf>
    <xf numFmtId="0" fontId="10" fillId="6" borderId="27" xfId="1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0" fillId="6" borderId="26" xfId="10" applyBorder="1" applyAlignment="1">
      <alignment horizontal="center"/>
    </xf>
    <xf numFmtId="0" fontId="10" fillId="6" borderId="19" xfId="10" applyBorder="1" applyAlignment="1">
      <alignment horizontal="center"/>
    </xf>
    <xf numFmtId="0" fontId="10" fillId="6" borderId="28" xfId="10" applyBorder="1" applyAlignment="1">
      <alignment horizontal="center"/>
    </xf>
    <xf numFmtId="0" fontId="0" fillId="0" borderId="16" xfId="0" applyBorder="1"/>
    <xf numFmtId="0" fontId="0" fillId="0" borderId="29" xfId="0" applyBorder="1"/>
    <xf numFmtId="0" fontId="0" fillId="0" borderId="14" xfId="0" applyBorder="1"/>
    <xf numFmtId="0" fontId="10" fillId="6" borderId="15" xfId="10" applyBorder="1" applyAlignment="1">
      <alignment horizontal="center"/>
    </xf>
    <xf numFmtId="0" fontId="8" fillId="4" borderId="23" xfId="8" applyBorder="1" applyAlignment="1">
      <alignment horizontal="center"/>
    </xf>
    <xf numFmtId="0" fontId="8" fillId="4" borderId="0" xfId="8" applyBorder="1" applyAlignment="1">
      <alignment horizontal="center"/>
    </xf>
    <xf numFmtId="0" fontId="9" fillId="5" borderId="30" xfId="9" applyBorder="1" applyAlignment="1">
      <alignment horizontal="center"/>
    </xf>
    <xf numFmtId="0" fontId="9" fillId="5" borderId="31" xfId="9" applyBorder="1" applyAlignment="1">
      <alignment horizontal="center"/>
    </xf>
    <xf numFmtId="0" fontId="8" fillId="4" borderId="24" xfId="8" applyBorder="1" applyAlignment="1">
      <alignment horizontal="center"/>
    </xf>
    <xf numFmtId="0" fontId="9" fillId="5" borderId="32" xfId="9" applyBorder="1" applyAlignment="1">
      <alignment horizontal="center"/>
    </xf>
    <xf numFmtId="0" fontId="8" fillId="4" borderId="12" xfId="8" applyBorder="1" applyAlignment="1">
      <alignment horizontal="center"/>
    </xf>
    <xf numFmtId="0" fontId="9" fillId="5" borderId="33" xfId="9" applyBorder="1" applyAlignment="1">
      <alignment horizontal="center"/>
    </xf>
    <xf numFmtId="0" fontId="10" fillId="6" borderId="34" xfId="1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Krzywa</a:t>
            </a:r>
            <a:r>
              <a:rPr lang="pl-PL" baseline="0"/>
              <a:t> ROC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'BL8'!$P$2:$P$129</c:f>
              <c:numCache>
                <c:formatCode>General</c:formatCode>
                <c:ptCount val="128"/>
                <c:pt idx="0">
                  <c:v>1</c:v>
                </c:pt>
                <c:pt idx="1">
                  <c:v>0.984375</c:v>
                </c:pt>
                <c:pt idx="2">
                  <c:v>0.96875</c:v>
                </c:pt>
                <c:pt idx="3">
                  <c:v>0.953125</c:v>
                </c:pt>
                <c:pt idx="4">
                  <c:v>0.9375</c:v>
                </c:pt>
                <c:pt idx="5">
                  <c:v>0.9375</c:v>
                </c:pt>
                <c:pt idx="6">
                  <c:v>0.9375</c:v>
                </c:pt>
                <c:pt idx="7">
                  <c:v>0.921875</c:v>
                </c:pt>
                <c:pt idx="8">
                  <c:v>0.921875</c:v>
                </c:pt>
                <c:pt idx="9">
                  <c:v>0.921875</c:v>
                </c:pt>
                <c:pt idx="10">
                  <c:v>0.90625</c:v>
                </c:pt>
                <c:pt idx="11">
                  <c:v>0.90625</c:v>
                </c:pt>
                <c:pt idx="12">
                  <c:v>0.90625</c:v>
                </c:pt>
                <c:pt idx="13">
                  <c:v>0.90625</c:v>
                </c:pt>
                <c:pt idx="14">
                  <c:v>0.890625</c:v>
                </c:pt>
                <c:pt idx="15">
                  <c:v>0.890625</c:v>
                </c:pt>
                <c:pt idx="16">
                  <c:v>0.875</c:v>
                </c:pt>
                <c:pt idx="17">
                  <c:v>0.875</c:v>
                </c:pt>
                <c:pt idx="18">
                  <c:v>0.859375</c:v>
                </c:pt>
                <c:pt idx="19">
                  <c:v>0.84375</c:v>
                </c:pt>
                <c:pt idx="20">
                  <c:v>0.84375</c:v>
                </c:pt>
                <c:pt idx="21">
                  <c:v>0.828125</c:v>
                </c:pt>
                <c:pt idx="22">
                  <c:v>0.8125</c:v>
                </c:pt>
                <c:pt idx="23">
                  <c:v>0.796875</c:v>
                </c:pt>
                <c:pt idx="24">
                  <c:v>0.78125</c:v>
                </c:pt>
                <c:pt idx="25">
                  <c:v>0.78125</c:v>
                </c:pt>
                <c:pt idx="26">
                  <c:v>0.765625</c:v>
                </c:pt>
                <c:pt idx="27">
                  <c:v>0.765625</c:v>
                </c:pt>
                <c:pt idx="28">
                  <c:v>0.75</c:v>
                </c:pt>
                <c:pt idx="29">
                  <c:v>0.734375</c:v>
                </c:pt>
                <c:pt idx="30">
                  <c:v>0.71875</c:v>
                </c:pt>
                <c:pt idx="31">
                  <c:v>0.71875</c:v>
                </c:pt>
                <c:pt idx="32">
                  <c:v>0.71875</c:v>
                </c:pt>
                <c:pt idx="33">
                  <c:v>0.703125</c:v>
                </c:pt>
                <c:pt idx="34">
                  <c:v>0.6875</c:v>
                </c:pt>
                <c:pt idx="35">
                  <c:v>0.671875</c:v>
                </c:pt>
                <c:pt idx="36">
                  <c:v>0.65625</c:v>
                </c:pt>
                <c:pt idx="37">
                  <c:v>0.640625</c:v>
                </c:pt>
                <c:pt idx="38">
                  <c:v>0.625</c:v>
                </c:pt>
                <c:pt idx="39">
                  <c:v>0.609375</c:v>
                </c:pt>
                <c:pt idx="40">
                  <c:v>0.59375</c:v>
                </c:pt>
                <c:pt idx="41">
                  <c:v>0.578125</c:v>
                </c:pt>
                <c:pt idx="42">
                  <c:v>0.5625</c:v>
                </c:pt>
                <c:pt idx="43">
                  <c:v>0.546875</c:v>
                </c:pt>
                <c:pt idx="44">
                  <c:v>0.546875</c:v>
                </c:pt>
                <c:pt idx="45">
                  <c:v>0.546875</c:v>
                </c:pt>
                <c:pt idx="46">
                  <c:v>0.546875</c:v>
                </c:pt>
                <c:pt idx="47">
                  <c:v>0.53125</c:v>
                </c:pt>
                <c:pt idx="48">
                  <c:v>0.53125</c:v>
                </c:pt>
                <c:pt idx="49">
                  <c:v>0.515625</c:v>
                </c:pt>
                <c:pt idx="50">
                  <c:v>0.5</c:v>
                </c:pt>
                <c:pt idx="51">
                  <c:v>0.5</c:v>
                </c:pt>
                <c:pt idx="52">
                  <c:v>0.484375</c:v>
                </c:pt>
                <c:pt idx="53">
                  <c:v>0.46875</c:v>
                </c:pt>
                <c:pt idx="54">
                  <c:v>0.453125</c:v>
                </c:pt>
                <c:pt idx="55">
                  <c:v>0.4375</c:v>
                </c:pt>
                <c:pt idx="56">
                  <c:v>0.421875</c:v>
                </c:pt>
                <c:pt idx="57">
                  <c:v>0.40625</c:v>
                </c:pt>
                <c:pt idx="58">
                  <c:v>0.40625</c:v>
                </c:pt>
                <c:pt idx="59">
                  <c:v>0.40625</c:v>
                </c:pt>
                <c:pt idx="60">
                  <c:v>0.390625</c:v>
                </c:pt>
                <c:pt idx="61">
                  <c:v>0.375</c:v>
                </c:pt>
                <c:pt idx="62">
                  <c:v>0.359375</c:v>
                </c:pt>
                <c:pt idx="63">
                  <c:v>0.359375</c:v>
                </c:pt>
                <c:pt idx="64">
                  <c:v>0.34375</c:v>
                </c:pt>
                <c:pt idx="65">
                  <c:v>0.34375</c:v>
                </c:pt>
                <c:pt idx="66">
                  <c:v>0.328125</c:v>
                </c:pt>
                <c:pt idx="67">
                  <c:v>0.328125</c:v>
                </c:pt>
                <c:pt idx="68">
                  <c:v>0.3125</c:v>
                </c:pt>
                <c:pt idx="69">
                  <c:v>0.3125</c:v>
                </c:pt>
                <c:pt idx="70">
                  <c:v>0.3125</c:v>
                </c:pt>
                <c:pt idx="71">
                  <c:v>0.296875</c:v>
                </c:pt>
                <c:pt idx="72">
                  <c:v>0.296875</c:v>
                </c:pt>
                <c:pt idx="73">
                  <c:v>0.296875</c:v>
                </c:pt>
                <c:pt idx="74">
                  <c:v>0.296875</c:v>
                </c:pt>
                <c:pt idx="75">
                  <c:v>0.296875</c:v>
                </c:pt>
                <c:pt idx="76">
                  <c:v>0.296875</c:v>
                </c:pt>
                <c:pt idx="77">
                  <c:v>0.296875</c:v>
                </c:pt>
                <c:pt idx="78">
                  <c:v>0.28125</c:v>
                </c:pt>
                <c:pt idx="79">
                  <c:v>0.265625</c:v>
                </c:pt>
                <c:pt idx="80">
                  <c:v>0.25</c:v>
                </c:pt>
                <c:pt idx="81">
                  <c:v>0.234375</c:v>
                </c:pt>
                <c:pt idx="82">
                  <c:v>0.234375</c:v>
                </c:pt>
                <c:pt idx="83">
                  <c:v>0.234375</c:v>
                </c:pt>
                <c:pt idx="84">
                  <c:v>0.21875</c:v>
                </c:pt>
                <c:pt idx="85">
                  <c:v>0.21875</c:v>
                </c:pt>
                <c:pt idx="86">
                  <c:v>0.203125</c:v>
                </c:pt>
                <c:pt idx="87">
                  <c:v>0.203125</c:v>
                </c:pt>
                <c:pt idx="88">
                  <c:v>0.203125</c:v>
                </c:pt>
                <c:pt idx="89">
                  <c:v>0.1875</c:v>
                </c:pt>
                <c:pt idx="90">
                  <c:v>0.171875</c:v>
                </c:pt>
                <c:pt idx="91">
                  <c:v>0.171875</c:v>
                </c:pt>
                <c:pt idx="92">
                  <c:v>0.15625</c:v>
                </c:pt>
                <c:pt idx="93">
                  <c:v>0.15625</c:v>
                </c:pt>
                <c:pt idx="94">
                  <c:v>0.15625</c:v>
                </c:pt>
                <c:pt idx="95">
                  <c:v>0.15625</c:v>
                </c:pt>
                <c:pt idx="96">
                  <c:v>0.15625</c:v>
                </c:pt>
                <c:pt idx="97">
                  <c:v>0.15625</c:v>
                </c:pt>
                <c:pt idx="98">
                  <c:v>0.15625</c:v>
                </c:pt>
                <c:pt idx="99">
                  <c:v>0.15625</c:v>
                </c:pt>
                <c:pt idx="100">
                  <c:v>0.15625</c:v>
                </c:pt>
                <c:pt idx="101">
                  <c:v>0.15625</c:v>
                </c:pt>
                <c:pt idx="102">
                  <c:v>0.15625</c:v>
                </c:pt>
                <c:pt idx="103">
                  <c:v>0.140625</c:v>
                </c:pt>
                <c:pt idx="104">
                  <c:v>0.140625</c:v>
                </c:pt>
                <c:pt idx="105">
                  <c:v>0.140625</c:v>
                </c:pt>
                <c:pt idx="106">
                  <c:v>0.140625</c:v>
                </c:pt>
                <c:pt idx="107">
                  <c:v>0.140625</c:v>
                </c:pt>
                <c:pt idx="108">
                  <c:v>0.140625</c:v>
                </c:pt>
                <c:pt idx="109">
                  <c:v>0.125</c:v>
                </c:pt>
                <c:pt idx="110">
                  <c:v>0.125</c:v>
                </c:pt>
                <c:pt idx="111">
                  <c:v>0.125</c:v>
                </c:pt>
                <c:pt idx="112">
                  <c:v>0.125</c:v>
                </c:pt>
                <c:pt idx="113">
                  <c:v>0.125</c:v>
                </c:pt>
                <c:pt idx="114">
                  <c:v>0.109375</c:v>
                </c:pt>
                <c:pt idx="115">
                  <c:v>9.375E-2</c:v>
                </c:pt>
                <c:pt idx="116">
                  <c:v>7.8125E-2</c:v>
                </c:pt>
                <c:pt idx="117">
                  <c:v>7.8125E-2</c:v>
                </c:pt>
                <c:pt idx="118">
                  <c:v>6.25E-2</c:v>
                </c:pt>
                <c:pt idx="119">
                  <c:v>4.6875E-2</c:v>
                </c:pt>
                <c:pt idx="120">
                  <c:v>3.125E-2</c:v>
                </c:pt>
                <c:pt idx="121">
                  <c:v>1.5625E-2</c:v>
                </c:pt>
                <c:pt idx="122">
                  <c:v>1.5625E-2</c:v>
                </c:pt>
                <c:pt idx="123">
                  <c:v>1.5625E-2</c:v>
                </c:pt>
                <c:pt idx="124">
                  <c:v>1.5625E-2</c:v>
                </c:pt>
                <c:pt idx="125">
                  <c:v>1.5625E-2</c:v>
                </c:pt>
                <c:pt idx="126">
                  <c:v>1.5625E-2</c:v>
                </c:pt>
                <c:pt idx="127">
                  <c:v>0</c:v>
                </c:pt>
              </c:numCache>
            </c:numRef>
          </c:xVal>
          <c:yVal>
            <c:numRef>
              <c:f>'BL8'!$Q$2:$Q$129</c:f>
              <c:numCache>
                <c:formatCode>General</c:formatCode>
                <c:ptCount val="1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0.98412698412698407</c:v>
                </c:pt>
                <c:pt idx="6">
                  <c:v>0.96825396825396826</c:v>
                </c:pt>
                <c:pt idx="7">
                  <c:v>0.96825396825396826</c:v>
                </c:pt>
                <c:pt idx="8">
                  <c:v>0.95238095238095233</c:v>
                </c:pt>
                <c:pt idx="9">
                  <c:v>0.93650793650793651</c:v>
                </c:pt>
                <c:pt idx="10">
                  <c:v>0.93650793650793651</c:v>
                </c:pt>
                <c:pt idx="11">
                  <c:v>0.92063492063492058</c:v>
                </c:pt>
                <c:pt idx="12">
                  <c:v>0.90476190476190477</c:v>
                </c:pt>
                <c:pt idx="13">
                  <c:v>0.88888888888888884</c:v>
                </c:pt>
                <c:pt idx="14">
                  <c:v>0.88888888888888884</c:v>
                </c:pt>
                <c:pt idx="15">
                  <c:v>0.87301587301587302</c:v>
                </c:pt>
                <c:pt idx="16">
                  <c:v>0.87301587301587302</c:v>
                </c:pt>
                <c:pt idx="17">
                  <c:v>0.8571428571428571</c:v>
                </c:pt>
                <c:pt idx="18">
                  <c:v>0.8571428571428571</c:v>
                </c:pt>
                <c:pt idx="19">
                  <c:v>0.8571428571428571</c:v>
                </c:pt>
                <c:pt idx="20">
                  <c:v>0.84126984126984128</c:v>
                </c:pt>
                <c:pt idx="21">
                  <c:v>0.84126984126984128</c:v>
                </c:pt>
                <c:pt idx="22">
                  <c:v>0.84126984126984128</c:v>
                </c:pt>
                <c:pt idx="23">
                  <c:v>0.84126984126984128</c:v>
                </c:pt>
                <c:pt idx="24">
                  <c:v>0.84126984126984128</c:v>
                </c:pt>
                <c:pt idx="25">
                  <c:v>0.82539682539682535</c:v>
                </c:pt>
                <c:pt idx="26">
                  <c:v>0.82539682539682535</c:v>
                </c:pt>
                <c:pt idx="27">
                  <c:v>0.80952380952380953</c:v>
                </c:pt>
                <c:pt idx="28">
                  <c:v>0.80952380952380953</c:v>
                </c:pt>
                <c:pt idx="29">
                  <c:v>0.80952380952380953</c:v>
                </c:pt>
                <c:pt idx="30">
                  <c:v>0.80952380952380953</c:v>
                </c:pt>
                <c:pt idx="31">
                  <c:v>0.79365079365079361</c:v>
                </c:pt>
                <c:pt idx="32">
                  <c:v>0.77777777777777779</c:v>
                </c:pt>
                <c:pt idx="33">
                  <c:v>0.77777777777777779</c:v>
                </c:pt>
                <c:pt idx="34">
                  <c:v>0.77777777777777779</c:v>
                </c:pt>
                <c:pt idx="35">
                  <c:v>0.77777777777777779</c:v>
                </c:pt>
                <c:pt idx="36">
                  <c:v>0.77777777777777779</c:v>
                </c:pt>
                <c:pt idx="37">
                  <c:v>0.77777777777777779</c:v>
                </c:pt>
                <c:pt idx="38">
                  <c:v>0.77777777777777779</c:v>
                </c:pt>
                <c:pt idx="39">
                  <c:v>0.77777777777777779</c:v>
                </c:pt>
                <c:pt idx="40">
                  <c:v>0.77777777777777779</c:v>
                </c:pt>
                <c:pt idx="41">
                  <c:v>0.77777777777777779</c:v>
                </c:pt>
                <c:pt idx="42">
                  <c:v>0.77777777777777779</c:v>
                </c:pt>
                <c:pt idx="43">
                  <c:v>0.77777777777777779</c:v>
                </c:pt>
                <c:pt idx="44">
                  <c:v>0.76190476190476186</c:v>
                </c:pt>
                <c:pt idx="45">
                  <c:v>0.74603174603174605</c:v>
                </c:pt>
                <c:pt idx="46">
                  <c:v>0.73015873015873012</c:v>
                </c:pt>
                <c:pt idx="47">
                  <c:v>0.73015873015873012</c:v>
                </c:pt>
                <c:pt idx="48">
                  <c:v>0.7142857142857143</c:v>
                </c:pt>
                <c:pt idx="49">
                  <c:v>0.7142857142857143</c:v>
                </c:pt>
                <c:pt idx="50">
                  <c:v>0.7142857142857143</c:v>
                </c:pt>
                <c:pt idx="51">
                  <c:v>0.69841269841269837</c:v>
                </c:pt>
                <c:pt idx="52">
                  <c:v>0.69841269841269837</c:v>
                </c:pt>
                <c:pt idx="53">
                  <c:v>0.69841269841269837</c:v>
                </c:pt>
                <c:pt idx="54">
                  <c:v>0.69841269841269837</c:v>
                </c:pt>
                <c:pt idx="55">
                  <c:v>0.69841269841269837</c:v>
                </c:pt>
                <c:pt idx="56">
                  <c:v>0.69841269841269837</c:v>
                </c:pt>
                <c:pt idx="57">
                  <c:v>0.69841269841269837</c:v>
                </c:pt>
                <c:pt idx="58">
                  <c:v>0.68253968253968256</c:v>
                </c:pt>
                <c:pt idx="59">
                  <c:v>0.66666666666666663</c:v>
                </c:pt>
                <c:pt idx="60">
                  <c:v>0.66666666666666663</c:v>
                </c:pt>
                <c:pt idx="61">
                  <c:v>0.66666666666666663</c:v>
                </c:pt>
                <c:pt idx="62">
                  <c:v>0.66666666666666663</c:v>
                </c:pt>
                <c:pt idx="63">
                  <c:v>0.65079365079365081</c:v>
                </c:pt>
                <c:pt idx="64">
                  <c:v>0.65079365079365081</c:v>
                </c:pt>
                <c:pt idx="65">
                  <c:v>0.63492063492063489</c:v>
                </c:pt>
                <c:pt idx="66">
                  <c:v>0.63492063492063489</c:v>
                </c:pt>
                <c:pt idx="67">
                  <c:v>0.61904761904761907</c:v>
                </c:pt>
                <c:pt idx="68">
                  <c:v>0.61904761904761907</c:v>
                </c:pt>
                <c:pt idx="69">
                  <c:v>0.60317460317460314</c:v>
                </c:pt>
                <c:pt idx="70">
                  <c:v>0.58730158730158732</c:v>
                </c:pt>
                <c:pt idx="71">
                  <c:v>0.58730158730158732</c:v>
                </c:pt>
                <c:pt idx="72">
                  <c:v>0.5714285714285714</c:v>
                </c:pt>
                <c:pt idx="73">
                  <c:v>0.55555555555555558</c:v>
                </c:pt>
                <c:pt idx="74">
                  <c:v>0.53968253968253965</c:v>
                </c:pt>
                <c:pt idx="75">
                  <c:v>0.52380952380952384</c:v>
                </c:pt>
                <c:pt idx="76">
                  <c:v>0.50793650793650791</c:v>
                </c:pt>
                <c:pt idx="77">
                  <c:v>0.49206349206349204</c:v>
                </c:pt>
                <c:pt idx="78">
                  <c:v>0.49206349206349204</c:v>
                </c:pt>
                <c:pt idx="79">
                  <c:v>0.49206349206349204</c:v>
                </c:pt>
                <c:pt idx="80">
                  <c:v>0.49206349206349204</c:v>
                </c:pt>
                <c:pt idx="81">
                  <c:v>0.49206349206349204</c:v>
                </c:pt>
                <c:pt idx="82">
                  <c:v>0.47619047619047616</c:v>
                </c:pt>
                <c:pt idx="83">
                  <c:v>0.46031746031746029</c:v>
                </c:pt>
                <c:pt idx="84">
                  <c:v>0.46031746031746029</c:v>
                </c:pt>
                <c:pt idx="85">
                  <c:v>0.44444444444444442</c:v>
                </c:pt>
                <c:pt idx="86">
                  <c:v>0.44444444444444442</c:v>
                </c:pt>
                <c:pt idx="87">
                  <c:v>0.42857142857142855</c:v>
                </c:pt>
                <c:pt idx="88">
                  <c:v>0.41269841269841268</c:v>
                </c:pt>
                <c:pt idx="89">
                  <c:v>0.41269841269841268</c:v>
                </c:pt>
                <c:pt idx="90">
                  <c:v>0.41269841269841268</c:v>
                </c:pt>
                <c:pt idx="91">
                  <c:v>0.3968253968253968</c:v>
                </c:pt>
                <c:pt idx="92">
                  <c:v>0.3968253968253968</c:v>
                </c:pt>
                <c:pt idx="93">
                  <c:v>0.38095238095238093</c:v>
                </c:pt>
                <c:pt idx="94">
                  <c:v>0.36507936507936506</c:v>
                </c:pt>
                <c:pt idx="95">
                  <c:v>0.34920634920634919</c:v>
                </c:pt>
                <c:pt idx="96">
                  <c:v>0.33333333333333331</c:v>
                </c:pt>
                <c:pt idx="97">
                  <c:v>0.31746031746031744</c:v>
                </c:pt>
                <c:pt idx="98">
                  <c:v>0.30158730158730157</c:v>
                </c:pt>
                <c:pt idx="99">
                  <c:v>0.2857142857142857</c:v>
                </c:pt>
                <c:pt idx="100">
                  <c:v>0.26984126984126983</c:v>
                </c:pt>
                <c:pt idx="101">
                  <c:v>0.25396825396825395</c:v>
                </c:pt>
                <c:pt idx="102">
                  <c:v>0.23809523809523808</c:v>
                </c:pt>
                <c:pt idx="103">
                  <c:v>0.23809523809523808</c:v>
                </c:pt>
                <c:pt idx="104">
                  <c:v>0.22222222222222221</c:v>
                </c:pt>
                <c:pt idx="105">
                  <c:v>0.20634920634920634</c:v>
                </c:pt>
                <c:pt idx="106">
                  <c:v>0.19047619047619047</c:v>
                </c:pt>
                <c:pt idx="107">
                  <c:v>0.17460317460317459</c:v>
                </c:pt>
                <c:pt idx="108">
                  <c:v>0.15873015873015872</c:v>
                </c:pt>
                <c:pt idx="109">
                  <c:v>0.15873015873015872</c:v>
                </c:pt>
                <c:pt idx="110">
                  <c:v>0.14285714285714285</c:v>
                </c:pt>
                <c:pt idx="111">
                  <c:v>0.12698412698412698</c:v>
                </c:pt>
                <c:pt idx="112">
                  <c:v>0.1111111111111111</c:v>
                </c:pt>
                <c:pt idx="113">
                  <c:v>9.5238095238095233E-2</c:v>
                </c:pt>
                <c:pt idx="114">
                  <c:v>9.5238095238095233E-2</c:v>
                </c:pt>
                <c:pt idx="115">
                  <c:v>9.5238095238095233E-2</c:v>
                </c:pt>
                <c:pt idx="116">
                  <c:v>9.5238095238095233E-2</c:v>
                </c:pt>
                <c:pt idx="117">
                  <c:v>7.9365079365079361E-2</c:v>
                </c:pt>
                <c:pt idx="118">
                  <c:v>7.9365079365079361E-2</c:v>
                </c:pt>
                <c:pt idx="119">
                  <c:v>7.9365079365079361E-2</c:v>
                </c:pt>
                <c:pt idx="120">
                  <c:v>7.9365079365079361E-2</c:v>
                </c:pt>
                <c:pt idx="121">
                  <c:v>7.9365079365079361E-2</c:v>
                </c:pt>
                <c:pt idx="122">
                  <c:v>6.3492063492063489E-2</c:v>
                </c:pt>
                <c:pt idx="123">
                  <c:v>4.7619047619047616E-2</c:v>
                </c:pt>
                <c:pt idx="124">
                  <c:v>3.1746031746031744E-2</c:v>
                </c:pt>
                <c:pt idx="125">
                  <c:v>1.5873015873015872E-2</c:v>
                </c:pt>
                <c:pt idx="126">
                  <c:v>0</c:v>
                </c:pt>
                <c:pt idx="1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40-485C-A1CB-953934C5C8E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'BL8'!$T$8:$U$8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'BL8'!$S$9:$S$10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B40-485C-A1CB-953934C5C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74192"/>
        <c:axId val="376684816"/>
      </c:scatterChart>
      <c:valAx>
        <c:axId val="828741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1-spec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76684816"/>
        <c:crosses val="autoZero"/>
        <c:crossBetween val="midCat"/>
      </c:valAx>
      <c:valAx>
        <c:axId val="3766848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czułość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287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'BL8'!$K$3:$K$129</c:f>
              <c:numCache>
                <c:formatCode>General</c:formatCode>
                <c:ptCount val="127"/>
                <c:pt idx="0">
                  <c:v>-0.89889794127695632</c:v>
                </c:pt>
                <c:pt idx="1">
                  <c:v>-0.86339374528811719</c:v>
                </c:pt>
                <c:pt idx="2">
                  <c:v>-0.84944345201420723</c:v>
                </c:pt>
                <c:pt idx="3">
                  <c:v>-0.80437985062918871</c:v>
                </c:pt>
                <c:pt idx="4">
                  <c:v>-0.7753815803233236</c:v>
                </c:pt>
                <c:pt idx="5">
                  <c:v>-0.77523965335687883</c:v>
                </c:pt>
                <c:pt idx="6">
                  <c:v>-0.77283995709612319</c:v>
                </c:pt>
                <c:pt idx="7">
                  <c:v>-0.76193758913322973</c:v>
                </c:pt>
                <c:pt idx="8">
                  <c:v>-0.74457043702500036</c:v>
                </c:pt>
                <c:pt idx="9">
                  <c:v>-0.70330714636610603</c:v>
                </c:pt>
                <c:pt idx="10">
                  <c:v>-0.68570264479117948</c:v>
                </c:pt>
                <c:pt idx="11">
                  <c:v>-0.62229587026200628</c:v>
                </c:pt>
                <c:pt idx="12">
                  <c:v>-0.6019112085232905</c:v>
                </c:pt>
                <c:pt idx="13">
                  <c:v>-0.58032888212034539</c:v>
                </c:pt>
                <c:pt idx="14">
                  <c:v>-0.53266064268091806</c:v>
                </c:pt>
                <c:pt idx="15">
                  <c:v>-0.53040467390548685</c:v>
                </c:pt>
                <c:pt idx="16">
                  <c:v>-0.508246288719437</c:v>
                </c:pt>
                <c:pt idx="17">
                  <c:v>-0.49210541643708727</c:v>
                </c:pt>
                <c:pt idx="18">
                  <c:v>-0.48561856752854704</c:v>
                </c:pt>
                <c:pt idx="19">
                  <c:v>-0.48067625204433395</c:v>
                </c:pt>
                <c:pt idx="20">
                  <c:v>-0.45687634051654369</c:v>
                </c:pt>
                <c:pt idx="21">
                  <c:v>-0.45508193124953122</c:v>
                </c:pt>
                <c:pt idx="22">
                  <c:v>-0.42160711905461856</c:v>
                </c:pt>
                <c:pt idx="23">
                  <c:v>-0.41998225591944449</c:v>
                </c:pt>
                <c:pt idx="24">
                  <c:v>-0.41433628158054914</c:v>
                </c:pt>
                <c:pt idx="25">
                  <c:v>-0.40081016016072879</c:v>
                </c:pt>
                <c:pt idx="26">
                  <c:v>-0.39082497386521486</c:v>
                </c:pt>
                <c:pt idx="27">
                  <c:v>-0.387425812861803</c:v>
                </c:pt>
                <c:pt idx="28">
                  <c:v>-0.36099260948986933</c:v>
                </c:pt>
                <c:pt idx="29">
                  <c:v>-0.34316271040332968</c:v>
                </c:pt>
                <c:pt idx="30">
                  <c:v>-0.33806892956545487</c:v>
                </c:pt>
                <c:pt idx="31">
                  <c:v>-0.33690405552153879</c:v>
                </c:pt>
                <c:pt idx="32">
                  <c:v>-0.31514601553557875</c:v>
                </c:pt>
                <c:pt idx="33">
                  <c:v>-0.30363836057894222</c:v>
                </c:pt>
                <c:pt idx="34">
                  <c:v>-0.282062584574443</c:v>
                </c:pt>
                <c:pt idx="35">
                  <c:v>-0.27743097629397473</c:v>
                </c:pt>
                <c:pt idx="36">
                  <c:v>-0.27349210953744607</c:v>
                </c:pt>
                <c:pt idx="37">
                  <c:v>-0.26842181103438623</c:v>
                </c:pt>
                <c:pt idx="38">
                  <c:v>-0.26560824720129594</c:v>
                </c:pt>
                <c:pt idx="39">
                  <c:v>-0.24511464059008289</c:v>
                </c:pt>
                <c:pt idx="40">
                  <c:v>-0.24237543049029739</c:v>
                </c:pt>
                <c:pt idx="41">
                  <c:v>-0.23918619126182397</c:v>
                </c:pt>
                <c:pt idx="42">
                  <c:v>-0.23338553347877708</c:v>
                </c:pt>
                <c:pt idx="43">
                  <c:v>-0.21960559085932771</c:v>
                </c:pt>
                <c:pt idx="44">
                  <c:v>-0.18179137523416214</c:v>
                </c:pt>
                <c:pt idx="45">
                  <c:v>-0.18173908626406207</c:v>
                </c:pt>
                <c:pt idx="46">
                  <c:v>-0.18161225208702278</c:v>
                </c:pt>
                <c:pt idx="47">
                  <c:v>-0.16160269132278646</c:v>
                </c:pt>
                <c:pt idx="48">
                  <c:v>-0.16013707003769559</c:v>
                </c:pt>
                <c:pt idx="49">
                  <c:v>-0.14579279048850699</c:v>
                </c:pt>
                <c:pt idx="50">
                  <c:v>-0.14205848257836237</c:v>
                </c:pt>
                <c:pt idx="51">
                  <c:v>-0.12018176785905374</c:v>
                </c:pt>
                <c:pt idx="52">
                  <c:v>-0.10182687286153355</c:v>
                </c:pt>
                <c:pt idx="53">
                  <c:v>-9.68050708171804E-2</c:v>
                </c:pt>
                <c:pt idx="54">
                  <c:v>-9.6262760022561483E-2</c:v>
                </c:pt>
                <c:pt idx="55">
                  <c:v>-7.5932379246459875E-2</c:v>
                </c:pt>
                <c:pt idx="56">
                  <c:v>-6.2896892700146284E-2</c:v>
                </c:pt>
                <c:pt idx="57">
                  <c:v>-5.674756563812175E-2</c:v>
                </c:pt>
                <c:pt idx="58">
                  <c:v>-3.7002590558706999E-2</c:v>
                </c:pt>
                <c:pt idx="59">
                  <c:v>-3.6776158422752697E-2</c:v>
                </c:pt>
                <c:pt idx="60">
                  <c:v>-8.7175561228252929E-3</c:v>
                </c:pt>
                <c:pt idx="61">
                  <c:v>-2.6660265008363326E-3</c:v>
                </c:pt>
                <c:pt idx="62">
                  <c:v>3.8664868974649935E-4</c:v>
                </c:pt>
                <c:pt idx="63">
                  <c:v>5.9706428257747801E-3</c:v>
                </c:pt>
                <c:pt idx="64">
                  <c:v>1.4934069513708986E-2</c:v>
                </c:pt>
                <c:pt idx="65">
                  <c:v>1.8871365853076943E-2</c:v>
                </c:pt>
                <c:pt idx="66">
                  <c:v>5.1680672742174499E-2</c:v>
                </c:pt>
                <c:pt idx="67">
                  <c:v>5.2472016228771873E-2</c:v>
                </c:pt>
                <c:pt idx="68">
                  <c:v>5.5105077971196598E-2</c:v>
                </c:pt>
                <c:pt idx="69">
                  <c:v>6.311022008219716E-2</c:v>
                </c:pt>
                <c:pt idx="70">
                  <c:v>7.1735933449980888E-2</c:v>
                </c:pt>
                <c:pt idx="71">
                  <c:v>7.6991944126709871E-2</c:v>
                </c:pt>
                <c:pt idx="72">
                  <c:v>8.6492893101612595E-2</c:v>
                </c:pt>
                <c:pt idx="73">
                  <c:v>0.11672617709795166</c:v>
                </c:pt>
                <c:pt idx="74">
                  <c:v>0.12521754852207748</c:v>
                </c:pt>
                <c:pt idx="75">
                  <c:v>0.13128298346358061</c:v>
                </c:pt>
                <c:pt idx="76">
                  <c:v>0.13206260509681247</c:v>
                </c:pt>
                <c:pt idx="77">
                  <c:v>0.13617718543635607</c:v>
                </c:pt>
                <c:pt idx="78">
                  <c:v>0.14155321116187577</c:v>
                </c:pt>
                <c:pt idx="79">
                  <c:v>0.14275386381487601</c:v>
                </c:pt>
                <c:pt idx="80">
                  <c:v>0.15070016655733079</c:v>
                </c:pt>
                <c:pt idx="81">
                  <c:v>0.15387212953025001</c:v>
                </c:pt>
                <c:pt idx="82">
                  <c:v>0.15866654207047606</c:v>
                </c:pt>
                <c:pt idx="83">
                  <c:v>0.16668141404232786</c:v>
                </c:pt>
                <c:pt idx="84">
                  <c:v>0.20766602222325239</c:v>
                </c:pt>
                <c:pt idx="85">
                  <c:v>0.2131796079829196</c:v>
                </c:pt>
                <c:pt idx="86">
                  <c:v>0.21486568542642273</c:v>
                </c:pt>
                <c:pt idx="87">
                  <c:v>0.22200195085511568</c:v>
                </c:pt>
                <c:pt idx="88">
                  <c:v>0.23023149448147226</c:v>
                </c:pt>
                <c:pt idx="89">
                  <c:v>0.2304811788505228</c:v>
                </c:pt>
                <c:pt idx="90">
                  <c:v>0.23597767982827048</c:v>
                </c:pt>
                <c:pt idx="91">
                  <c:v>0.26272396534373232</c:v>
                </c:pt>
                <c:pt idx="92">
                  <c:v>0.26539498916138982</c:v>
                </c:pt>
                <c:pt idx="93">
                  <c:v>0.2785137934073213</c:v>
                </c:pt>
                <c:pt idx="94">
                  <c:v>0.28720669706097601</c:v>
                </c:pt>
                <c:pt idx="95">
                  <c:v>0.29446818762146332</c:v>
                </c:pt>
                <c:pt idx="96">
                  <c:v>0.29766263693294048</c:v>
                </c:pt>
                <c:pt idx="97">
                  <c:v>0.31791885544937215</c:v>
                </c:pt>
                <c:pt idx="98">
                  <c:v>0.32264232382041791</c:v>
                </c:pt>
                <c:pt idx="99">
                  <c:v>0.33045164094962864</c:v>
                </c:pt>
                <c:pt idx="100">
                  <c:v>0.332859879601344</c:v>
                </c:pt>
                <c:pt idx="101">
                  <c:v>0.33701445263671859</c:v>
                </c:pt>
                <c:pt idx="102">
                  <c:v>0.3406403900952697</c:v>
                </c:pt>
                <c:pt idx="103">
                  <c:v>0.36546485774577619</c:v>
                </c:pt>
                <c:pt idx="104">
                  <c:v>0.39911201258766338</c:v>
                </c:pt>
                <c:pt idx="105">
                  <c:v>0.40915764729696802</c:v>
                </c:pt>
                <c:pt idx="106">
                  <c:v>0.41642672288024241</c:v>
                </c:pt>
                <c:pt idx="107">
                  <c:v>0.43140927151712172</c:v>
                </c:pt>
                <c:pt idx="108">
                  <c:v>0.43207638586818153</c:v>
                </c:pt>
                <c:pt idx="109">
                  <c:v>0.43952312839890084</c:v>
                </c:pt>
                <c:pt idx="110">
                  <c:v>0.4527375466187189</c:v>
                </c:pt>
                <c:pt idx="111">
                  <c:v>0.47078633144651005</c:v>
                </c:pt>
                <c:pt idx="112">
                  <c:v>0.48891460283444144</c:v>
                </c:pt>
                <c:pt idx="113">
                  <c:v>0.52013685581804703</c:v>
                </c:pt>
                <c:pt idx="114">
                  <c:v>0.52344775776864028</c:v>
                </c:pt>
                <c:pt idx="115">
                  <c:v>0.53498046547725242</c:v>
                </c:pt>
                <c:pt idx="116">
                  <c:v>0.56083519649821423</c:v>
                </c:pt>
                <c:pt idx="117">
                  <c:v>0.56234494730971452</c:v>
                </c:pt>
                <c:pt idx="118">
                  <c:v>0.65331179855142063</c:v>
                </c:pt>
                <c:pt idx="119">
                  <c:v>0.6760941645583779</c:v>
                </c:pt>
                <c:pt idx="120">
                  <c:v>0.67879640857918777</c:v>
                </c:pt>
                <c:pt idx="121">
                  <c:v>0.70220018899363523</c:v>
                </c:pt>
                <c:pt idx="122">
                  <c:v>0.74353243182919582</c:v>
                </c:pt>
                <c:pt idx="123">
                  <c:v>0.76481339794197822</c:v>
                </c:pt>
                <c:pt idx="124">
                  <c:v>0.79165648490121865</c:v>
                </c:pt>
                <c:pt idx="125">
                  <c:v>0.81032465351590155</c:v>
                </c:pt>
                <c:pt idx="126">
                  <c:v>0.96932992619533309</c:v>
                </c:pt>
              </c:numCache>
            </c:numRef>
          </c:xVal>
          <c:yVal>
            <c:numRef>
              <c:f>'BL8'!$E$3:$E$129</c:f>
              <c:numCache>
                <c:formatCode>General</c:formatCode>
                <c:ptCount val="1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0-4EA5-B4B8-9D8BBD37E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516992"/>
        <c:axId val="1061964928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'BL8'!$L$2:$L$202</c:f>
              <c:numCache>
                <c:formatCode>General</c:formatCode>
                <c:ptCount val="201"/>
                <c:pt idx="0">
                  <c:v>-5</c:v>
                </c:pt>
                <c:pt idx="1">
                  <c:v>-4.95</c:v>
                </c:pt>
                <c:pt idx="2">
                  <c:v>-4.9000000000000004</c:v>
                </c:pt>
                <c:pt idx="3">
                  <c:v>-4.8499999999999996</c:v>
                </c:pt>
                <c:pt idx="4">
                  <c:v>-4.8</c:v>
                </c:pt>
                <c:pt idx="5">
                  <c:v>-4.75</c:v>
                </c:pt>
                <c:pt idx="6">
                  <c:v>-4.7</c:v>
                </c:pt>
                <c:pt idx="7">
                  <c:v>-4.6500000000000004</c:v>
                </c:pt>
                <c:pt idx="8">
                  <c:v>-4.5999999999999996</c:v>
                </c:pt>
                <c:pt idx="9">
                  <c:v>-4.55</c:v>
                </c:pt>
                <c:pt idx="10">
                  <c:v>-4.5</c:v>
                </c:pt>
                <c:pt idx="11">
                  <c:v>-4.45</c:v>
                </c:pt>
                <c:pt idx="12">
                  <c:v>-4.4000000000000004</c:v>
                </c:pt>
                <c:pt idx="13">
                  <c:v>-4.3499999999999996</c:v>
                </c:pt>
                <c:pt idx="14">
                  <c:v>-4.3</c:v>
                </c:pt>
                <c:pt idx="15">
                  <c:v>-4.25</c:v>
                </c:pt>
                <c:pt idx="16">
                  <c:v>-4.2</c:v>
                </c:pt>
                <c:pt idx="17">
                  <c:v>-4.1500000000000004</c:v>
                </c:pt>
                <c:pt idx="18">
                  <c:v>-4.0999999999999996</c:v>
                </c:pt>
                <c:pt idx="19">
                  <c:v>-4.05</c:v>
                </c:pt>
                <c:pt idx="20">
                  <c:v>-4</c:v>
                </c:pt>
                <c:pt idx="21">
                  <c:v>-3.95</c:v>
                </c:pt>
                <c:pt idx="22">
                  <c:v>-3.9</c:v>
                </c:pt>
                <c:pt idx="23">
                  <c:v>-3.85</c:v>
                </c:pt>
                <c:pt idx="24">
                  <c:v>-3.8</c:v>
                </c:pt>
                <c:pt idx="25">
                  <c:v>-3.75</c:v>
                </c:pt>
                <c:pt idx="26">
                  <c:v>-3.7</c:v>
                </c:pt>
                <c:pt idx="27">
                  <c:v>-3.65</c:v>
                </c:pt>
                <c:pt idx="28">
                  <c:v>-3.6</c:v>
                </c:pt>
                <c:pt idx="29">
                  <c:v>-3.55000000000001</c:v>
                </c:pt>
                <c:pt idx="30">
                  <c:v>-3.5000000000000102</c:v>
                </c:pt>
                <c:pt idx="31">
                  <c:v>-3.4500000000000099</c:v>
                </c:pt>
                <c:pt idx="32">
                  <c:v>-3.4000000000000101</c:v>
                </c:pt>
                <c:pt idx="33">
                  <c:v>-3.3500000000000099</c:v>
                </c:pt>
                <c:pt idx="34">
                  <c:v>-3.30000000000001</c:v>
                </c:pt>
                <c:pt idx="35">
                  <c:v>-3.2500000000000102</c:v>
                </c:pt>
                <c:pt idx="36">
                  <c:v>-3.2000000000000099</c:v>
                </c:pt>
                <c:pt idx="37">
                  <c:v>-3.1500000000000101</c:v>
                </c:pt>
                <c:pt idx="38">
                  <c:v>-3.1000000000000099</c:v>
                </c:pt>
                <c:pt idx="39">
                  <c:v>-3.05000000000001</c:v>
                </c:pt>
                <c:pt idx="40">
                  <c:v>-3.0000000000000102</c:v>
                </c:pt>
                <c:pt idx="41">
                  <c:v>-2.9500000000000099</c:v>
                </c:pt>
                <c:pt idx="42">
                  <c:v>-2.9000000000000101</c:v>
                </c:pt>
                <c:pt idx="43">
                  <c:v>-2.8500000000000099</c:v>
                </c:pt>
                <c:pt idx="44">
                  <c:v>-2.80000000000001</c:v>
                </c:pt>
                <c:pt idx="45">
                  <c:v>-2.7500000000000102</c:v>
                </c:pt>
                <c:pt idx="46">
                  <c:v>-2.7000000000000099</c:v>
                </c:pt>
                <c:pt idx="47">
                  <c:v>-2.6500000000000101</c:v>
                </c:pt>
                <c:pt idx="48">
                  <c:v>-2.6000000000000099</c:v>
                </c:pt>
                <c:pt idx="49">
                  <c:v>-2.55000000000001</c:v>
                </c:pt>
                <c:pt idx="50">
                  <c:v>-2.5000000000000102</c:v>
                </c:pt>
                <c:pt idx="51">
                  <c:v>-2.4500000000000099</c:v>
                </c:pt>
                <c:pt idx="52">
                  <c:v>-2.4000000000000101</c:v>
                </c:pt>
                <c:pt idx="53">
                  <c:v>-2.3500000000000099</c:v>
                </c:pt>
                <c:pt idx="54">
                  <c:v>-2.30000000000001</c:v>
                </c:pt>
                <c:pt idx="55">
                  <c:v>-2.2500000000000102</c:v>
                </c:pt>
                <c:pt idx="56">
                  <c:v>-2.2000000000000099</c:v>
                </c:pt>
                <c:pt idx="57">
                  <c:v>-2.1500000000000101</c:v>
                </c:pt>
                <c:pt idx="58">
                  <c:v>-2.1000000000000099</c:v>
                </c:pt>
                <c:pt idx="59">
                  <c:v>-2.05000000000001</c:v>
                </c:pt>
                <c:pt idx="60">
                  <c:v>-2.0000000000000102</c:v>
                </c:pt>
                <c:pt idx="61">
                  <c:v>-1.9500000000000099</c:v>
                </c:pt>
                <c:pt idx="62">
                  <c:v>-1.9000000000000099</c:v>
                </c:pt>
                <c:pt idx="63">
                  <c:v>-1.8500000000000101</c:v>
                </c:pt>
                <c:pt idx="64">
                  <c:v>-1.80000000000001</c:v>
                </c:pt>
                <c:pt idx="65">
                  <c:v>-1.75000000000001</c:v>
                </c:pt>
                <c:pt idx="66">
                  <c:v>-1.7000000000000099</c:v>
                </c:pt>
                <c:pt idx="67">
                  <c:v>-1.6500000000000099</c:v>
                </c:pt>
                <c:pt idx="68">
                  <c:v>-1.6000000000000101</c:v>
                </c:pt>
                <c:pt idx="69">
                  <c:v>-1.55000000000001</c:v>
                </c:pt>
                <c:pt idx="70">
                  <c:v>-1.50000000000001</c:v>
                </c:pt>
                <c:pt idx="71">
                  <c:v>-1.4500000000000099</c:v>
                </c:pt>
                <c:pt idx="72">
                  <c:v>-1.4000000000000099</c:v>
                </c:pt>
                <c:pt idx="73">
                  <c:v>-1.3500000000000101</c:v>
                </c:pt>
                <c:pt idx="74">
                  <c:v>-1.30000000000001</c:v>
                </c:pt>
                <c:pt idx="75">
                  <c:v>-1.25000000000001</c:v>
                </c:pt>
                <c:pt idx="76">
                  <c:v>-1.2000000000000099</c:v>
                </c:pt>
                <c:pt idx="77">
                  <c:v>-1.1500000000000099</c:v>
                </c:pt>
                <c:pt idx="78">
                  <c:v>-1.1000000000000101</c:v>
                </c:pt>
                <c:pt idx="79">
                  <c:v>-1.05000000000001</c:v>
                </c:pt>
                <c:pt idx="80">
                  <c:v>-1.00000000000001</c:v>
                </c:pt>
                <c:pt idx="81">
                  <c:v>-0.95000000000000995</c:v>
                </c:pt>
                <c:pt idx="82">
                  <c:v>-0.90000000000001001</c:v>
                </c:pt>
                <c:pt idx="83">
                  <c:v>-0.85000000000000997</c:v>
                </c:pt>
                <c:pt idx="84">
                  <c:v>-0.80000000000001004</c:v>
                </c:pt>
                <c:pt idx="85">
                  <c:v>-0.75000000000001998</c:v>
                </c:pt>
                <c:pt idx="86">
                  <c:v>-0.70000000000002005</c:v>
                </c:pt>
                <c:pt idx="87">
                  <c:v>-0.65000000000002001</c:v>
                </c:pt>
                <c:pt idx="88">
                  <c:v>-0.60000000000001996</c:v>
                </c:pt>
                <c:pt idx="89">
                  <c:v>-0.55000000000002003</c:v>
                </c:pt>
                <c:pt idx="90">
                  <c:v>-0.50000000000001998</c:v>
                </c:pt>
                <c:pt idx="91">
                  <c:v>-0.45000000000002</c:v>
                </c:pt>
                <c:pt idx="92">
                  <c:v>-0.40000000000002001</c:v>
                </c:pt>
                <c:pt idx="93">
                  <c:v>-0.35000000000002002</c:v>
                </c:pt>
                <c:pt idx="94">
                  <c:v>-0.30000000000001997</c:v>
                </c:pt>
                <c:pt idx="95">
                  <c:v>-0.25000000000001998</c:v>
                </c:pt>
                <c:pt idx="96">
                  <c:v>-0.20000000000002</c:v>
                </c:pt>
                <c:pt idx="97">
                  <c:v>-0.15000000000002001</c:v>
                </c:pt>
                <c:pt idx="98">
                  <c:v>-0.10000000000002</c:v>
                </c:pt>
                <c:pt idx="99">
                  <c:v>-5.0000000000020299E-2</c:v>
                </c:pt>
                <c:pt idx="100">
                  <c:v>-2.0428103653102899E-14</c:v>
                </c:pt>
                <c:pt idx="101">
                  <c:v>4.9999999999980303E-2</c:v>
                </c:pt>
                <c:pt idx="102">
                  <c:v>9.9999999999980105E-2</c:v>
                </c:pt>
                <c:pt idx="103">
                  <c:v>0.14999999999998001</c:v>
                </c:pt>
                <c:pt idx="104">
                  <c:v>0.19999999999998</c:v>
                </c:pt>
                <c:pt idx="105">
                  <c:v>0.24999999999997999</c:v>
                </c:pt>
                <c:pt idx="106">
                  <c:v>0.29999999999998</c:v>
                </c:pt>
                <c:pt idx="107">
                  <c:v>0.34999999999997999</c:v>
                </c:pt>
                <c:pt idx="108">
                  <c:v>0.39999999999997998</c:v>
                </c:pt>
                <c:pt idx="109">
                  <c:v>0.44999999999998003</c:v>
                </c:pt>
                <c:pt idx="110">
                  <c:v>0.49999999999998002</c:v>
                </c:pt>
                <c:pt idx="111">
                  <c:v>0.54999999999997995</c:v>
                </c:pt>
                <c:pt idx="112">
                  <c:v>0.59999999999997999</c:v>
                </c:pt>
                <c:pt idx="113">
                  <c:v>0.64999999999998004</c:v>
                </c:pt>
                <c:pt idx="114">
                  <c:v>0.69999999999997997</c:v>
                </c:pt>
                <c:pt idx="115">
                  <c:v>0.74999999999998002</c:v>
                </c:pt>
                <c:pt idx="116">
                  <c:v>0.79999999999997995</c:v>
                </c:pt>
                <c:pt idx="117">
                  <c:v>0.84999999999997999</c:v>
                </c:pt>
                <c:pt idx="118">
                  <c:v>0.89999999999998004</c:v>
                </c:pt>
                <c:pt idx="119">
                  <c:v>0.94999999999997997</c:v>
                </c:pt>
                <c:pt idx="120">
                  <c:v>0.99999999999998002</c:v>
                </c:pt>
                <c:pt idx="121">
                  <c:v>1.0499999999999801</c:v>
                </c:pt>
                <c:pt idx="122">
                  <c:v>1.0999999999999801</c:v>
                </c:pt>
                <c:pt idx="123">
                  <c:v>1.1499999999999799</c:v>
                </c:pt>
                <c:pt idx="124">
                  <c:v>1.19999999999998</c:v>
                </c:pt>
                <c:pt idx="125">
                  <c:v>1.24999999999998</c:v>
                </c:pt>
                <c:pt idx="126">
                  <c:v>1.2999999999999801</c:v>
                </c:pt>
                <c:pt idx="127">
                  <c:v>1.3499999999999801</c:v>
                </c:pt>
                <c:pt idx="128">
                  <c:v>1.3999999999999799</c:v>
                </c:pt>
                <c:pt idx="129">
                  <c:v>1.44999999999998</c:v>
                </c:pt>
                <c:pt idx="130">
                  <c:v>1.49999999999998</c:v>
                </c:pt>
                <c:pt idx="131">
                  <c:v>1.5499999999999801</c:v>
                </c:pt>
                <c:pt idx="132">
                  <c:v>1.5999999999999801</c:v>
                </c:pt>
                <c:pt idx="133">
                  <c:v>1.6499999999999799</c:v>
                </c:pt>
                <c:pt idx="134">
                  <c:v>1.69999999999998</c:v>
                </c:pt>
                <c:pt idx="135">
                  <c:v>1.74999999999998</c:v>
                </c:pt>
                <c:pt idx="136">
                  <c:v>1.7999999999999801</c:v>
                </c:pt>
                <c:pt idx="137">
                  <c:v>1.8499999999999801</c:v>
                </c:pt>
                <c:pt idx="138">
                  <c:v>1.8999999999999799</c:v>
                </c:pt>
                <c:pt idx="139">
                  <c:v>1.94999999999998</c:v>
                </c:pt>
                <c:pt idx="140">
                  <c:v>1.99999999999998</c:v>
                </c:pt>
                <c:pt idx="141">
                  <c:v>2.0499999999999701</c:v>
                </c:pt>
                <c:pt idx="142">
                  <c:v>2.0999999999999699</c:v>
                </c:pt>
                <c:pt idx="143">
                  <c:v>2.1499999999999702</c:v>
                </c:pt>
                <c:pt idx="144">
                  <c:v>2.19999999999997</c:v>
                </c:pt>
                <c:pt idx="145">
                  <c:v>2.2499999999999698</c:v>
                </c:pt>
                <c:pt idx="146">
                  <c:v>2.2999999999999701</c:v>
                </c:pt>
                <c:pt idx="147">
                  <c:v>2.3499999999999699</c:v>
                </c:pt>
                <c:pt idx="148">
                  <c:v>2.3999999999999702</c:v>
                </c:pt>
                <c:pt idx="149">
                  <c:v>2.44999999999997</c:v>
                </c:pt>
                <c:pt idx="150">
                  <c:v>2.4999999999999698</c:v>
                </c:pt>
                <c:pt idx="151">
                  <c:v>2.5499999999999701</c:v>
                </c:pt>
                <c:pt idx="152">
                  <c:v>2.5999999999999699</c:v>
                </c:pt>
                <c:pt idx="153">
                  <c:v>2.6499999999999702</c:v>
                </c:pt>
                <c:pt idx="154">
                  <c:v>2.69999999999997</c:v>
                </c:pt>
                <c:pt idx="155">
                  <c:v>2.7499999999999698</c:v>
                </c:pt>
                <c:pt idx="156">
                  <c:v>2.7999999999999701</c:v>
                </c:pt>
                <c:pt idx="157">
                  <c:v>2.8499999999999699</c:v>
                </c:pt>
                <c:pt idx="158">
                  <c:v>2.8999999999999702</c:v>
                </c:pt>
                <c:pt idx="159">
                  <c:v>2.94999999999997</c:v>
                </c:pt>
                <c:pt idx="160">
                  <c:v>2.9999999999999698</c:v>
                </c:pt>
                <c:pt idx="161">
                  <c:v>3.0499999999999701</c:v>
                </c:pt>
                <c:pt idx="162">
                  <c:v>3.0999999999999699</c:v>
                </c:pt>
                <c:pt idx="163">
                  <c:v>3.1499999999999702</c:v>
                </c:pt>
                <c:pt idx="164">
                  <c:v>3.19999999999997</c:v>
                </c:pt>
                <c:pt idx="165">
                  <c:v>3.2499999999999698</c:v>
                </c:pt>
                <c:pt idx="166">
                  <c:v>3.2999999999999701</c:v>
                </c:pt>
                <c:pt idx="167">
                  <c:v>3.3499999999999699</c:v>
                </c:pt>
                <c:pt idx="168">
                  <c:v>3.3999999999999702</c:v>
                </c:pt>
                <c:pt idx="169">
                  <c:v>3.44999999999997</c:v>
                </c:pt>
                <c:pt idx="170">
                  <c:v>3.4999999999999698</c:v>
                </c:pt>
                <c:pt idx="171">
                  <c:v>3.5499999999999701</c:v>
                </c:pt>
                <c:pt idx="172">
                  <c:v>3.5999999999999699</c:v>
                </c:pt>
                <c:pt idx="173">
                  <c:v>3.6499999999999702</c:v>
                </c:pt>
                <c:pt idx="174">
                  <c:v>3.69999999999997</c:v>
                </c:pt>
                <c:pt idx="175">
                  <c:v>3.7499999999999698</c:v>
                </c:pt>
                <c:pt idx="176">
                  <c:v>3.7999999999999701</c:v>
                </c:pt>
                <c:pt idx="177">
                  <c:v>3.8499999999999699</c:v>
                </c:pt>
                <c:pt idx="178">
                  <c:v>3.8999999999999702</c:v>
                </c:pt>
                <c:pt idx="179">
                  <c:v>3.94999999999997</c:v>
                </c:pt>
                <c:pt idx="180">
                  <c:v>3.9999999999999698</c:v>
                </c:pt>
                <c:pt idx="181">
                  <c:v>4.0499999999999696</c:v>
                </c:pt>
                <c:pt idx="182">
                  <c:v>4.0999999999999703</c:v>
                </c:pt>
                <c:pt idx="183">
                  <c:v>4.1499999999999702</c:v>
                </c:pt>
                <c:pt idx="184">
                  <c:v>4.19999999999997</c:v>
                </c:pt>
                <c:pt idx="185">
                  <c:v>4.2499999999999698</c:v>
                </c:pt>
                <c:pt idx="186">
                  <c:v>4.2999999999999696</c:v>
                </c:pt>
                <c:pt idx="187">
                  <c:v>4.3499999999999703</c:v>
                </c:pt>
                <c:pt idx="188">
                  <c:v>4.3999999999999702</c:v>
                </c:pt>
                <c:pt idx="189">
                  <c:v>4.44999999999997</c:v>
                </c:pt>
                <c:pt idx="190">
                  <c:v>4.4999999999999698</c:v>
                </c:pt>
                <c:pt idx="191">
                  <c:v>4.5499999999999696</c:v>
                </c:pt>
                <c:pt idx="192">
                  <c:v>4.5999999999999703</c:v>
                </c:pt>
                <c:pt idx="193">
                  <c:v>4.6499999999999702</c:v>
                </c:pt>
                <c:pt idx="194">
                  <c:v>4.69999999999997</c:v>
                </c:pt>
                <c:pt idx="195">
                  <c:v>4.74999999999996</c:v>
                </c:pt>
                <c:pt idx="196">
                  <c:v>4.7999999999999696</c:v>
                </c:pt>
                <c:pt idx="197">
                  <c:v>4.8499999999999703</c:v>
                </c:pt>
                <c:pt idx="198">
                  <c:v>4.8999999999999604</c:v>
                </c:pt>
                <c:pt idx="199">
                  <c:v>4.9499999999999602</c:v>
                </c:pt>
                <c:pt idx="200">
                  <c:v>4.99999999999996</c:v>
                </c:pt>
              </c:numCache>
            </c:numRef>
          </c:xVal>
          <c:yVal>
            <c:numRef>
              <c:f>'BL8'!$M$2:$M$202</c:f>
              <c:numCache>
                <c:formatCode>General</c:formatCode>
                <c:ptCount val="201"/>
                <c:pt idx="0">
                  <c:v>6.6928509242848554E-3</c:v>
                </c:pt>
                <c:pt idx="1">
                  <c:v>7.0335871549951608E-3</c:v>
                </c:pt>
                <c:pt idx="2">
                  <c:v>7.3915413442819707E-3</c:v>
                </c:pt>
                <c:pt idx="3">
                  <c:v>7.7675700780150047E-3</c:v>
                </c:pt>
                <c:pt idx="4">
                  <c:v>8.1625711531598966E-3</c:v>
                </c:pt>
                <c:pt idx="5">
                  <c:v>8.5774854137119841E-3</c:v>
                </c:pt>
                <c:pt idx="6">
                  <c:v>9.0132986528478221E-3</c:v>
                </c:pt>
                <c:pt idx="7">
                  <c:v>9.4710435819461078E-3</c:v>
                </c:pt>
                <c:pt idx="8">
                  <c:v>9.9518018669043241E-3</c:v>
                </c:pt>
                <c:pt idx="9">
                  <c:v>1.0456706231918071E-2</c:v>
                </c:pt>
                <c:pt idx="10">
                  <c:v>1.098694263059318E-2</c:v>
                </c:pt>
                <c:pt idx="11">
                  <c:v>1.1543752483922289E-2</c:v>
                </c:pt>
                <c:pt idx="12">
                  <c:v>1.2128434984274237E-2</c:v>
                </c:pt>
                <c:pt idx="13">
                  <c:v>1.2742349464111609E-2</c:v>
                </c:pt>
                <c:pt idx="14">
                  <c:v>1.3386917827664779E-2</c:v>
                </c:pt>
                <c:pt idx="15">
                  <c:v>1.4063627043245475E-2</c:v>
                </c:pt>
                <c:pt idx="16">
                  <c:v>1.4774031693273055E-2</c:v>
                </c:pt>
                <c:pt idx="17">
                  <c:v>1.5519756578408886E-2</c:v>
                </c:pt>
                <c:pt idx="18">
                  <c:v>1.6302499371440946E-2</c:v>
                </c:pt>
                <c:pt idx="19">
                  <c:v>1.7124033315727736E-2</c:v>
                </c:pt>
                <c:pt idx="20">
                  <c:v>1.7986209962091559E-2</c:v>
                </c:pt>
                <c:pt idx="21">
                  <c:v>1.8890961937039048E-2</c:v>
                </c:pt>
                <c:pt idx="22">
                  <c:v>1.984030573407751E-2</c:v>
                </c:pt>
                <c:pt idx="23">
                  <c:v>2.0836344518680425E-2</c:v>
                </c:pt>
                <c:pt idx="24">
                  <c:v>2.1881270936130476E-2</c:v>
                </c:pt>
                <c:pt idx="25">
                  <c:v>2.2977369910025615E-2</c:v>
                </c:pt>
                <c:pt idx="26">
                  <c:v>2.4127021417669196E-2</c:v>
                </c:pt>
                <c:pt idx="27">
                  <c:v>2.5332703226871731E-2</c:v>
                </c:pt>
                <c:pt idx="28">
                  <c:v>2.6596993576865856E-2</c:v>
                </c:pt>
                <c:pt idx="29">
                  <c:v>2.7922573784072747E-2</c:v>
                </c:pt>
                <c:pt idx="30">
                  <c:v>2.9312230751356028E-2</c:v>
                </c:pt>
                <c:pt idx="31">
                  <c:v>3.0768859357147713E-2</c:v>
                </c:pt>
                <c:pt idx="32">
                  <c:v>3.2295464698450196E-2</c:v>
                </c:pt>
                <c:pt idx="33">
                  <c:v>3.3895164159177829E-2</c:v>
                </c:pt>
                <c:pt idx="34">
                  <c:v>3.5571189272635827E-2</c:v>
                </c:pt>
                <c:pt idx="35">
                  <c:v>3.7326887344129096E-2</c:v>
                </c:pt>
                <c:pt idx="36">
                  <c:v>3.9165722796763981E-2</c:v>
                </c:pt>
                <c:pt idx="37">
                  <c:v>4.1091278200464612E-2</c:v>
                </c:pt>
                <c:pt idx="38">
                  <c:v>4.3107254941085714E-2</c:v>
                </c:pt>
                <c:pt idx="39">
                  <c:v>4.5217473483287057E-2</c:v>
                </c:pt>
                <c:pt idx="40">
                  <c:v>4.7425873177566316E-2</c:v>
                </c:pt>
                <c:pt idx="41">
                  <c:v>4.9736511558556254E-2</c:v>
                </c:pt>
                <c:pt idx="42">
                  <c:v>5.2153563078417231E-2</c:v>
                </c:pt>
                <c:pt idx="43">
                  <c:v>5.4681317215940245E-2</c:v>
                </c:pt>
                <c:pt idx="44">
                  <c:v>5.73241758988682E-2</c:v>
                </c:pt>
                <c:pt idx="45">
                  <c:v>6.0086650174007036E-2</c:v>
                </c:pt>
                <c:pt idx="46">
                  <c:v>6.2973356056995902E-2</c:v>
                </c:pt>
                <c:pt idx="47">
                  <c:v>6.5989009491218151E-2</c:v>
                </c:pt>
                <c:pt idx="48">
                  <c:v>6.9138420343346191E-2</c:v>
                </c:pt>
                <c:pt idx="49">
                  <c:v>7.2426485361517037E-2</c:v>
                </c:pt>
                <c:pt idx="50">
                  <c:v>7.5858180021242838E-2</c:v>
                </c:pt>
                <c:pt idx="51">
                  <c:v>7.943854918397765E-2</c:v>
                </c:pt>
                <c:pt idx="52">
                  <c:v>8.3172696493921602E-2</c:v>
                </c:pt>
                <c:pt idx="53">
                  <c:v>8.7065772440270486E-2</c:v>
                </c:pt>
                <c:pt idx="54">
                  <c:v>9.11229610148553E-2</c:v>
                </c:pt>
                <c:pt idx="55">
                  <c:v>9.5349464899108616E-2</c:v>
                </c:pt>
                <c:pt idx="56">
                  <c:v>9.9750489119684246E-2</c:v>
                </c:pt>
                <c:pt idx="57">
                  <c:v>0.10433122311900037</c:v>
                </c:pt>
                <c:pt idx="58">
                  <c:v>0.109096821195612</c:v>
                </c:pt>
                <c:pt idx="59">
                  <c:v>0.11405238127978984</c:v>
                </c:pt>
                <c:pt idx="60">
                  <c:v>0.11920292202211646</c:v>
                </c:pt>
                <c:pt idx="61">
                  <c:v>0.12455335818741534</c:v>
                </c:pt>
                <c:pt idx="62">
                  <c:v>0.13010847436299672</c:v>
                </c:pt>
                <c:pt idx="63">
                  <c:v>0.13587289700909308</c:v>
                </c:pt>
                <c:pt idx="64">
                  <c:v>0.14185106490048657</c:v>
                </c:pt>
                <c:pt idx="65">
                  <c:v>0.14804719803168823</c:v>
                </c:pt>
                <c:pt idx="66">
                  <c:v>0.15446526508353342</c:v>
                </c:pt>
                <c:pt idx="67">
                  <c:v>0.16110894957658389</c:v>
                </c:pt>
                <c:pt idx="68">
                  <c:v>0.1679816148660741</c:v>
                </c:pt>
                <c:pt idx="69">
                  <c:v>0.17508626816403836</c:v>
                </c:pt>
                <c:pt idx="70">
                  <c:v>0.18242552380635485</c:v>
                </c:pt>
                <c:pt idx="71">
                  <c:v>0.19000156601531146</c:v>
                </c:pt>
                <c:pt idx="72">
                  <c:v>0.1978161114414167</c:v>
                </c:pt>
                <c:pt idx="73">
                  <c:v>0.2058703718009457</c:v>
                </c:pt>
                <c:pt idx="74">
                  <c:v>0.2141650169574397</c:v>
                </c:pt>
                <c:pt idx="75">
                  <c:v>0.22270013882530712</c:v>
                </c:pt>
                <c:pt idx="76">
                  <c:v>0.23147521650098057</c:v>
                </c:pt>
                <c:pt idx="77">
                  <c:v>0.24048908305088712</c:v>
                </c:pt>
                <c:pt idx="78">
                  <c:v>0.24973989440488048</c:v>
                </c:pt>
                <c:pt idx="79">
                  <c:v>0.25922510081784411</c:v>
                </c:pt>
                <c:pt idx="80">
                  <c:v>0.26894142136999316</c:v>
                </c:pt>
                <c:pt idx="81">
                  <c:v>0.27888482197713493</c:v>
                </c:pt>
                <c:pt idx="82">
                  <c:v>0.289050497374994</c:v>
                </c:pt>
                <c:pt idx="83">
                  <c:v>0.29943285752602494</c:v>
                </c:pt>
                <c:pt idx="84">
                  <c:v>0.31002551887238539</c:v>
                </c:pt>
                <c:pt idx="85">
                  <c:v>0.3208213008246027</c:v>
                </c:pt>
                <c:pt idx="86">
                  <c:v>0.33181222783182945</c:v>
                </c:pt>
                <c:pt idx="87">
                  <c:v>0.34298953732649673</c:v>
                </c:pt>
                <c:pt idx="88">
                  <c:v>0.35434369377419994</c:v>
                </c:pt>
                <c:pt idx="89">
                  <c:v>0.3658644089891947</c:v>
                </c:pt>
                <c:pt idx="90">
                  <c:v>0.37754066879814074</c:v>
                </c:pt>
                <c:pt idx="91">
                  <c:v>0.38936076605077324</c:v>
                </c:pt>
                <c:pt idx="92">
                  <c:v>0.40131233988754322</c:v>
                </c:pt>
                <c:pt idx="93">
                  <c:v>0.4133824210826651</c:v>
                </c:pt>
                <c:pt idx="94">
                  <c:v>0.42555748318833608</c:v>
                </c:pt>
                <c:pt idx="95">
                  <c:v>0.43782349911419699</c:v>
                </c:pt>
                <c:pt idx="96">
                  <c:v>0.45016600268751711</c:v>
                </c:pt>
                <c:pt idx="97">
                  <c:v>0.4625701546562454</c:v>
                </c:pt>
                <c:pt idx="98">
                  <c:v>0.47502081252105499</c:v>
                </c:pt>
                <c:pt idx="99">
                  <c:v>0.48750260351578451</c:v>
                </c:pt>
                <c:pt idx="100">
                  <c:v>0.49999999999999489</c:v>
                </c:pt>
                <c:pt idx="101">
                  <c:v>0.51249739648420534</c:v>
                </c:pt>
                <c:pt idx="102">
                  <c:v>0.52497918747893502</c:v>
                </c:pt>
                <c:pt idx="103">
                  <c:v>0.53742984534374449</c:v>
                </c:pt>
                <c:pt idx="104">
                  <c:v>0.54983399731247296</c:v>
                </c:pt>
                <c:pt idx="105">
                  <c:v>0.56217650088579318</c:v>
                </c:pt>
                <c:pt idx="106">
                  <c:v>0.57444251681165415</c:v>
                </c:pt>
                <c:pt idx="107">
                  <c:v>0.58661757891732524</c:v>
                </c:pt>
                <c:pt idx="108">
                  <c:v>0.59868766011244712</c:v>
                </c:pt>
                <c:pt idx="109">
                  <c:v>0.61063923394921726</c:v>
                </c:pt>
                <c:pt idx="110">
                  <c:v>0.62245933120184982</c:v>
                </c:pt>
                <c:pt idx="111">
                  <c:v>0.63413559101079608</c:v>
                </c:pt>
                <c:pt idx="112">
                  <c:v>0.64565630622579084</c:v>
                </c:pt>
                <c:pt idx="113">
                  <c:v>0.65701046267349428</c:v>
                </c:pt>
                <c:pt idx="114">
                  <c:v>0.66818777216816172</c:v>
                </c:pt>
                <c:pt idx="115">
                  <c:v>0.67917869917538864</c:v>
                </c:pt>
                <c:pt idx="116">
                  <c:v>0.68997448112760817</c:v>
                </c:pt>
                <c:pt idx="117">
                  <c:v>0.70056714247396878</c:v>
                </c:pt>
                <c:pt idx="118">
                  <c:v>0.7109495026249999</c:v>
                </c:pt>
                <c:pt idx="119">
                  <c:v>0.72111517802285907</c:v>
                </c:pt>
                <c:pt idx="120">
                  <c:v>0.73105857863000101</c:v>
                </c:pt>
                <c:pt idx="121">
                  <c:v>0.74077489918215011</c:v>
                </c:pt>
                <c:pt idx="122">
                  <c:v>0.75026010559511391</c:v>
                </c:pt>
                <c:pt idx="123">
                  <c:v>0.75951091694910744</c:v>
                </c:pt>
                <c:pt idx="124">
                  <c:v>0.7685247834990141</c:v>
                </c:pt>
                <c:pt idx="125">
                  <c:v>0.77729986117468763</c:v>
                </c:pt>
                <c:pt idx="126">
                  <c:v>0.78583498304255528</c:v>
                </c:pt>
                <c:pt idx="127">
                  <c:v>0.79412962819904953</c:v>
                </c:pt>
                <c:pt idx="128">
                  <c:v>0.80218388855857858</c:v>
                </c:pt>
                <c:pt idx="129">
                  <c:v>0.80999843398468396</c:v>
                </c:pt>
                <c:pt idx="130">
                  <c:v>0.81757447619364065</c:v>
                </c:pt>
                <c:pt idx="131">
                  <c:v>0.82491373183595729</c:v>
                </c:pt>
                <c:pt idx="132">
                  <c:v>0.83201838513392168</c:v>
                </c:pt>
                <c:pt idx="133">
                  <c:v>0.83889105042341217</c:v>
                </c:pt>
                <c:pt idx="134">
                  <c:v>0.84553473491646269</c:v>
                </c:pt>
                <c:pt idx="135">
                  <c:v>0.85195280196830803</c:v>
                </c:pt>
                <c:pt idx="136">
                  <c:v>0.85814893509950985</c:v>
                </c:pt>
                <c:pt idx="137">
                  <c:v>0.86412710299090345</c:v>
                </c:pt>
                <c:pt idx="138">
                  <c:v>0.8698915256369999</c:v>
                </c:pt>
                <c:pt idx="139">
                  <c:v>0.87544664181258136</c:v>
                </c:pt>
                <c:pt idx="140">
                  <c:v>0.88079707797788032</c:v>
                </c:pt>
                <c:pt idx="141">
                  <c:v>0.88594761872020611</c:v>
                </c:pt>
                <c:pt idx="142">
                  <c:v>0.89090317880438408</c:v>
                </c:pt>
                <c:pt idx="143">
                  <c:v>0.89566877688099589</c:v>
                </c:pt>
                <c:pt idx="144">
                  <c:v>0.90024951088031213</c:v>
                </c:pt>
                <c:pt idx="145">
                  <c:v>0.90465053510088789</c:v>
                </c:pt>
                <c:pt idx="146">
                  <c:v>0.90887703898514138</c:v>
                </c:pt>
                <c:pt idx="147">
                  <c:v>0.91293422755972631</c:v>
                </c:pt>
                <c:pt idx="148">
                  <c:v>0.91682730350607544</c:v>
                </c:pt>
                <c:pt idx="149">
                  <c:v>0.92056145081601948</c:v>
                </c:pt>
                <c:pt idx="150">
                  <c:v>0.92414181997875444</c:v>
                </c:pt>
                <c:pt idx="151">
                  <c:v>0.92757351463848037</c:v>
                </c:pt>
                <c:pt idx="152">
                  <c:v>0.93086157965665117</c:v>
                </c:pt>
                <c:pt idx="153">
                  <c:v>0.93401099050877934</c:v>
                </c:pt>
                <c:pt idx="154">
                  <c:v>0.93702664394300184</c:v>
                </c:pt>
                <c:pt idx="155">
                  <c:v>0.93991334982599062</c:v>
                </c:pt>
                <c:pt idx="156">
                  <c:v>0.94267582410112971</c:v>
                </c:pt>
                <c:pt idx="157">
                  <c:v>0.94531868278405762</c:v>
                </c:pt>
                <c:pt idx="158">
                  <c:v>0.94784643692158077</c:v>
                </c:pt>
                <c:pt idx="159">
                  <c:v>0.95026348844144182</c:v>
                </c:pt>
                <c:pt idx="160">
                  <c:v>0.95257412682243192</c:v>
                </c:pt>
                <c:pt idx="161">
                  <c:v>0.95478252651671125</c:v>
                </c:pt>
                <c:pt idx="162">
                  <c:v>0.95689274505891264</c:v>
                </c:pt>
                <c:pt idx="163">
                  <c:v>0.95890872179953379</c:v>
                </c:pt>
                <c:pt idx="164">
                  <c:v>0.96083427720323444</c:v>
                </c:pt>
                <c:pt idx="165">
                  <c:v>0.96267311265586941</c:v>
                </c:pt>
                <c:pt idx="166">
                  <c:v>0.96442881072736286</c:v>
                </c:pt>
                <c:pt idx="167">
                  <c:v>0.96610483584082085</c:v>
                </c:pt>
                <c:pt idx="168">
                  <c:v>0.96770453530154854</c:v>
                </c:pt>
                <c:pt idx="169">
                  <c:v>0.96923114064285121</c:v>
                </c:pt>
                <c:pt idx="170">
                  <c:v>0.97068776924864275</c:v>
                </c:pt>
                <c:pt idx="171">
                  <c:v>0.97207742621592619</c:v>
                </c:pt>
                <c:pt idx="172">
                  <c:v>0.97340300642313349</c:v>
                </c:pt>
                <c:pt idx="173">
                  <c:v>0.97466729677312747</c:v>
                </c:pt>
                <c:pt idx="174">
                  <c:v>0.97587297858233013</c:v>
                </c:pt>
                <c:pt idx="175">
                  <c:v>0.9770226300899737</c:v>
                </c:pt>
                <c:pt idx="176">
                  <c:v>0.97811872906386887</c:v>
                </c:pt>
                <c:pt idx="177">
                  <c:v>0.9791636554813189</c:v>
                </c:pt>
                <c:pt idx="178">
                  <c:v>0.98015969426592187</c:v>
                </c:pt>
                <c:pt idx="179">
                  <c:v>0.98110903806296046</c:v>
                </c:pt>
                <c:pt idx="180">
                  <c:v>0.98201379003790801</c:v>
                </c:pt>
                <c:pt idx="181">
                  <c:v>0.98287596668427168</c:v>
                </c:pt>
                <c:pt idx="182">
                  <c:v>0.98369750062855865</c:v>
                </c:pt>
                <c:pt idx="183">
                  <c:v>0.98448024342159068</c:v>
                </c:pt>
                <c:pt idx="184">
                  <c:v>0.98522596830672649</c:v>
                </c:pt>
                <c:pt idx="185">
                  <c:v>0.98593637295675407</c:v>
                </c:pt>
                <c:pt idx="186">
                  <c:v>0.98661308217233468</c:v>
                </c:pt>
                <c:pt idx="187">
                  <c:v>0.98725765053588799</c:v>
                </c:pt>
                <c:pt idx="188">
                  <c:v>0.98787156501572526</c:v>
                </c:pt>
                <c:pt idx="189">
                  <c:v>0.9884562475160773</c:v>
                </c:pt>
                <c:pt idx="190">
                  <c:v>0.98901305736940648</c:v>
                </c:pt>
                <c:pt idx="191">
                  <c:v>0.98954329376808159</c:v>
                </c:pt>
                <c:pt idx="192">
                  <c:v>0.9900481981330953</c:v>
                </c:pt>
                <c:pt idx="193">
                  <c:v>0.99052895641805361</c:v>
                </c:pt>
                <c:pt idx="194">
                  <c:v>0.99098670134715194</c:v>
                </c:pt>
                <c:pt idx="195">
                  <c:v>0.99142251458628761</c:v>
                </c:pt>
                <c:pt idx="196">
                  <c:v>0.9918374288468399</c:v>
                </c:pt>
                <c:pt idx="197">
                  <c:v>0.99223242992198468</c:v>
                </c:pt>
                <c:pt idx="198">
                  <c:v>0.99260845865571767</c:v>
                </c:pt>
                <c:pt idx="199">
                  <c:v>0.99296641284500464</c:v>
                </c:pt>
                <c:pt idx="200">
                  <c:v>0.99330714907571482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70-4EA5-B4B8-9D8BBD37E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516992"/>
        <c:axId val="1061964928"/>
      </c:scatterChart>
      <c:valAx>
        <c:axId val="96151699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61964928"/>
        <c:crosses val="autoZero"/>
        <c:crossBetween val="midCat"/>
      </c:valAx>
      <c:valAx>
        <c:axId val="10619649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6151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'BL8'!$K$3:$K$129</c:f>
              <c:numCache>
                <c:formatCode>General</c:formatCode>
                <c:ptCount val="127"/>
                <c:pt idx="0">
                  <c:v>-0.89889794127695632</c:v>
                </c:pt>
                <c:pt idx="1">
                  <c:v>-0.86339374528811719</c:v>
                </c:pt>
                <c:pt idx="2">
                  <c:v>-0.84944345201420723</c:v>
                </c:pt>
                <c:pt idx="3">
                  <c:v>-0.80437985062918871</c:v>
                </c:pt>
                <c:pt idx="4">
                  <c:v>-0.7753815803233236</c:v>
                </c:pt>
                <c:pt idx="5">
                  <c:v>-0.77523965335687883</c:v>
                </c:pt>
                <c:pt idx="6">
                  <c:v>-0.77283995709612319</c:v>
                </c:pt>
                <c:pt idx="7">
                  <c:v>-0.76193758913322973</c:v>
                </c:pt>
                <c:pt idx="8">
                  <c:v>-0.74457043702500036</c:v>
                </c:pt>
                <c:pt idx="9">
                  <c:v>-0.70330714636610603</c:v>
                </c:pt>
                <c:pt idx="10">
                  <c:v>-0.68570264479117948</c:v>
                </c:pt>
                <c:pt idx="11">
                  <c:v>-0.62229587026200628</c:v>
                </c:pt>
                <c:pt idx="12">
                  <c:v>-0.6019112085232905</c:v>
                </c:pt>
                <c:pt idx="13">
                  <c:v>-0.58032888212034539</c:v>
                </c:pt>
                <c:pt idx="14">
                  <c:v>-0.53266064268091806</c:v>
                </c:pt>
                <c:pt idx="15">
                  <c:v>-0.53040467390548685</c:v>
                </c:pt>
                <c:pt idx="16">
                  <c:v>-0.508246288719437</c:v>
                </c:pt>
                <c:pt idx="17">
                  <c:v>-0.49210541643708727</c:v>
                </c:pt>
                <c:pt idx="18">
                  <c:v>-0.48561856752854704</c:v>
                </c:pt>
                <c:pt idx="19">
                  <c:v>-0.48067625204433395</c:v>
                </c:pt>
                <c:pt idx="20">
                  <c:v>-0.45687634051654369</c:v>
                </c:pt>
                <c:pt idx="21">
                  <c:v>-0.45508193124953122</c:v>
                </c:pt>
                <c:pt idx="22">
                  <c:v>-0.42160711905461856</c:v>
                </c:pt>
                <c:pt idx="23">
                  <c:v>-0.41998225591944449</c:v>
                </c:pt>
                <c:pt idx="24">
                  <c:v>-0.41433628158054914</c:v>
                </c:pt>
                <c:pt idx="25">
                  <c:v>-0.40081016016072879</c:v>
                </c:pt>
                <c:pt idx="26">
                  <c:v>-0.39082497386521486</c:v>
                </c:pt>
                <c:pt idx="27">
                  <c:v>-0.387425812861803</c:v>
                </c:pt>
                <c:pt idx="28">
                  <c:v>-0.36099260948986933</c:v>
                </c:pt>
                <c:pt idx="29">
                  <c:v>-0.34316271040332968</c:v>
                </c:pt>
                <c:pt idx="30">
                  <c:v>-0.33806892956545487</c:v>
                </c:pt>
                <c:pt idx="31">
                  <c:v>-0.33690405552153879</c:v>
                </c:pt>
                <c:pt idx="32">
                  <c:v>-0.31514601553557875</c:v>
                </c:pt>
                <c:pt idx="33">
                  <c:v>-0.30363836057894222</c:v>
                </c:pt>
                <c:pt idx="34">
                  <c:v>-0.282062584574443</c:v>
                </c:pt>
                <c:pt idx="35">
                  <c:v>-0.27743097629397473</c:v>
                </c:pt>
                <c:pt idx="36">
                  <c:v>-0.27349210953744607</c:v>
                </c:pt>
                <c:pt idx="37">
                  <c:v>-0.26842181103438623</c:v>
                </c:pt>
                <c:pt idx="38">
                  <c:v>-0.26560824720129594</c:v>
                </c:pt>
                <c:pt idx="39">
                  <c:v>-0.24511464059008289</c:v>
                </c:pt>
                <c:pt idx="40">
                  <c:v>-0.24237543049029739</c:v>
                </c:pt>
                <c:pt idx="41">
                  <c:v>-0.23918619126182397</c:v>
                </c:pt>
                <c:pt idx="42">
                  <c:v>-0.23338553347877708</c:v>
                </c:pt>
                <c:pt idx="43">
                  <c:v>-0.21960559085932771</c:v>
                </c:pt>
                <c:pt idx="44">
                  <c:v>-0.18179137523416214</c:v>
                </c:pt>
                <c:pt idx="45">
                  <c:v>-0.18173908626406207</c:v>
                </c:pt>
                <c:pt idx="46">
                  <c:v>-0.18161225208702278</c:v>
                </c:pt>
                <c:pt idx="47">
                  <c:v>-0.16160269132278646</c:v>
                </c:pt>
                <c:pt idx="48">
                  <c:v>-0.16013707003769559</c:v>
                </c:pt>
                <c:pt idx="49">
                  <c:v>-0.14579279048850699</c:v>
                </c:pt>
                <c:pt idx="50">
                  <c:v>-0.14205848257836237</c:v>
                </c:pt>
                <c:pt idx="51">
                  <c:v>-0.12018176785905374</c:v>
                </c:pt>
                <c:pt idx="52">
                  <c:v>-0.10182687286153355</c:v>
                </c:pt>
                <c:pt idx="53">
                  <c:v>-9.68050708171804E-2</c:v>
                </c:pt>
                <c:pt idx="54">
                  <c:v>-9.6262760022561483E-2</c:v>
                </c:pt>
                <c:pt idx="55">
                  <c:v>-7.5932379246459875E-2</c:v>
                </c:pt>
                <c:pt idx="56">
                  <c:v>-6.2896892700146284E-2</c:v>
                </c:pt>
                <c:pt idx="57">
                  <c:v>-5.674756563812175E-2</c:v>
                </c:pt>
                <c:pt idx="58">
                  <c:v>-3.7002590558706999E-2</c:v>
                </c:pt>
                <c:pt idx="59">
                  <c:v>-3.6776158422752697E-2</c:v>
                </c:pt>
                <c:pt idx="60">
                  <c:v>-8.7175561228252929E-3</c:v>
                </c:pt>
                <c:pt idx="61">
                  <c:v>-2.6660265008363326E-3</c:v>
                </c:pt>
                <c:pt idx="62">
                  <c:v>3.8664868974649935E-4</c:v>
                </c:pt>
                <c:pt idx="63">
                  <c:v>5.9706428257747801E-3</c:v>
                </c:pt>
                <c:pt idx="64">
                  <c:v>1.4934069513708986E-2</c:v>
                </c:pt>
                <c:pt idx="65">
                  <c:v>1.8871365853076943E-2</c:v>
                </c:pt>
                <c:pt idx="66">
                  <c:v>5.1680672742174499E-2</c:v>
                </c:pt>
                <c:pt idx="67">
                  <c:v>5.2472016228771873E-2</c:v>
                </c:pt>
                <c:pt idx="68">
                  <c:v>5.5105077971196598E-2</c:v>
                </c:pt>
                <c:pt idx="69">
                  <c:v>6.311022008219716E-2</c:v>
                </c:pt>
                <c:pt idx="70">
                  <c:v>7.1735933449980888E-2</c:v>
                </c:pt>
                <c:pt idx="71">
                  <c:v>7.6991944126709871E-2</c:v>
                </c:pt>
                <c:pt idx="72">
                  <c:v>8.6492893101612595E-2</c:v>
                </c:pt>
                <c:pt idx="73">
                  <c:v>0.11672617709795166</c:v>
                </c:pt>
                <c:pt idx="74">
                  <c:v>0.12521754852207748</c:v>
                </c:pt>
                <c:pt idx="75">
                  <c:v>0.13128298346358061</c:v>
                </c:pt>
                <c:pt idx="76">
                  <c:v>0.13206260509681247</c:v>
                </c:pt>
                <c:pt idx="77">
                  <c:v>0.13617718543635607</c:v>
                </c:pt>
                <c:pt idx="78">
                  <c:v>0.14155321116187577</c:v>
                </c:pt>
                <c:pt idx="79">
                  <c:v>0.14275386381487601</c:v>
                </c:pt>
                <c:pt idx="80">
                  <c:v>0.15070016655733079</c:v>
                </c:pt>
                <c:pt idx="81">
                  <c:v>0.15387212953025001</c:v>
                </c:pt>
                <c:pt idx="82">
                  <c:v>0.15866654207047606</c:v>
                </c:pt>
                <c:pt idx="83">
                  <c:v>0.16668141404232786</c:v>
                </c:pt>
                <c:pt idx="84">
                  <c:v>0.20766602222325239</c:v>
                </c:pt>
                <c:pt idx="85">
                  <c:v>0.2131796079829196</c:v>
                </c:pt>
                <c:pt idx="86">
                  <c:v>0.21486568542642273</c:v>
                </c:pt>
                <c:pt idx="87">
                  <c:v>0.22200195085511568</c:v>
                </c:pt>
                <c:pt idx="88">
                  <c:v>0.23023149448147226</c:v>
                </c:pt>
                <c:pt idx="89">
                  <c:v>0.2304811788505228</c:v>
                </c:pt>
                <c:pt idx="90">
                  <c:v>0.23597767982827048</c:v>
                </c:pt>
                <c:pt idx="91">
                  <c:v>0.26272396534373232</c:v>
                </c:pt>
                <c:pt idx="92">
                  <c:v>0.26539498916138982</c:v>
                </c:pt>
                <c:pt idx="93">
                  <c:v>0.2785137934073213</c:v>
                </c:pt>
                <c:pt idx="94">
                  <c:v>0.28720669706097601</c:v>
                </c:pt>
                <c:pt idx="95">
                  <c:v>0.29446818762146332</c:v>
                </c:pt>
                <c:pt idx="96">
                  <c:v>0.29766263693294048</c:v>
                </c:pt>
                <c:pt idx="97">
                  <c:v>0.31791885544937215</c:v>
                </c:pt>
                <c:pt idx="98">
                  <c:v>0.32264232382041791</c:v>
                </c:pt>
                <c:pt idx="99">
                  <c:v>0.33045164094962864</c:v>
                </c:pt>
                <c:pt idx="100">
                  <c:v>0.332859879601344</c:v>
                </c:pt>
                <c:pt idx="101">
                  <c:v>0.33701445263671859</c:v>
                </c:pt>
                <c:pt idx="102">
                  <c:v>0.3406403900952697</c:v>
                </c:pt>
                <c:pt idx="103">
                  <c:v>0.36546485774577619</c:v>
                </c:pt>
                <c:pt idx="104">
                  <c:v>0.39911201258766338</c:v>
                </c:pt>
                <c:pt idx="105">
                  <c:v>0.40915764729696802</c:v>
                </c:pt>
                <c:pt idx="106">
                  <c:v>0.41642672288024241</c:v>
                </c:pt>
                <c:pt idx="107">
                  <c:v>0.43140927151712172</c:v>
                </c:pt>
                <c:pt idx="108">
                  <c:v>0.43207638586818153</c:v>
                </c:pt>
                <c:pt idx="109">
                  <c:v>0.43952312839890084</c:v>
                </c:pt>
                <c:pt idx="110">
                  <c:v>0.4527375466187189</c:v>
                </c:pt>
                <c:pt idx="111">
                  <c:v>0.47078633144651005</c:v>
                </c:pt>
                <c:pt idx="112">
                  <c:v>0.48891460283444144</c:v>
                </c:pt>
                <c:pt idx="113">
                  <c:v>0.52013685581804703</c:v>
                </c:pt>
                <c:pt idx="114">
                  <c:v>0.52344775776864028</c:v>
                </c:pt>
                <c:pt idx="115">
                  <c:v>0.53498046547725242</c:v>
                </c:pt>
                <c:pt idx="116">
                  <c:v>0.56083519649821423</c:v>
                </c:pt>
                <c:pt idx="117">
                  <c:v>0.56234494730971452</c:v>
                </c:pt>
                <c:pt idx="118">
                  <c:v>0.65331179855142063</c:v>
                </c:pt>
                <c:pt idx="119">
                  <c:v>0.6760941645583779</c:v>
                </c:pt>
                <c:pt idx="120">
                  <c:v>0.67879640857918777</c:v>
                </c:pt>
                <c:pt idx="121">
                  <c:v>0.70220018899363523</c:v>
                </c:pt>
                <c:pt idx="122">
                  <c:v>0.74353243182919582</c:v>
                </c:pt>
                <c:pt idx="123">
                  <c:v>0.76481339794197822</c:v>
                </c:pt>
                <c:pt idx="124">
                  <c:v>0.79165648490121865</c:v>
                </c:pt>
                <c:pt idx="125">
                  <c:v>0.81032465351590155</c:v>
                </c:pt>
                <c:pt idx="126">
                  <c:v>0.96932992619533309</c:v>
                </c:pt>
              </c:numCache>
            </c:numRef>
          </c:xVal>
          <c:yVal>
            <c:numRef>
              <c:f>'BL8'!$E$3:$E$129</c:f>
              <c:numCache>
                <c:formatCode>General</c:formatCode>
                <c:ptCount val="1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1-40D2-8829-5EE0899AD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516992"/>
        <c:axId val="1061964928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'BL8'!$L$2:$L$202</c:f>
              <c:numCache>
                <c:formatCode>General</c:formatCode>
                <c:ptCount val="201"/>
                <c:pt idx="0">
                  <c:v>-5</c:v>
                </c:pt>
                <c:pt idx="1">
                  <c:v>-4.95</c:v>
                </c:pt>
                <c:pt idx="2">
                  <c:v>-4.9000000000000004</c:v>
                </c:pt>
                <c:pt idx="3">
                  <c:v>-4.8499999999999996</c:v>
                </c:pt>
                <c:pt idx="4">
                  <c:v>-4.8</c:v>
                </c:pt>
                <c:pt idx="5">
                  <c:v>-4.75</c:v>
                </c:pt>
                <c:pt idx="6">
                  <c:v>-4.7</c:v>
                </c:pt>
                <c:pt idx="7">
                  <c:v>-4.6500000000000004</c:v>
                </c:pt>
                <c:pt idx="8">
                  <c:v>-4.5999999999999996</c:v>
                </c:pt>
                <c:pt idx="9">
                  <c:v>-4.55</c:v>
                </c:pt>
                <c:pt idx="10">
                  <c:v>-4.5</c:v>
                </c:pt>
                <c:pt idx="11">
                  <c:v>-4.45</c:v>
                </c:pt>
                <c:pt idx="12">
                  <c:v>-4.4000000000000004</c:v>
                </c:pt>
                <c:pt idx="13">
                  <c:v>-4.3499999999999996</c:v>
                </c:pt>
                <c:pt idx="14">
                  <c:v>-4.3</c:v>
                </c:pt>
                <c:pt idx="15">
                  <c:v>-4.25</c:v>
                </c:pt>
                <c:pt idx="16">
                  <c:v>-4.2</c:v>
                </c:pt>
                <c:pt idx="17">
                  <c:v>-4.1500000000000004</c:v>
                </c:pt>
                <c:pt idx="18">
                  <c:v>-4.0999999999999996</c:v>
                </c:pt>
                <c:pt idx="19">
                  <c:v>-4.05</c:v>
                </c:pt>
                <c:pt idx="20">
                  <c:v>-4</c:v>
                </c:pt>
                <c:pt idx="21">
                  <c:v>-3.95</c:v>
                </c:pt>
                <c:pt idx="22">
                  <c:v>-3.9</c:v>
                </c:pt>
                <c:pt idx="23">
                  <c:v>-3.85</c:v>
                </c:pt>
                <c:pt idx="24">
                  <c:v>-3.8</c:v>
                </c:pt>
                <c:pt idx="25">
                  <c:v>-3.75</c:v>
                </c:pt>
                <c:pt idx="26">
                  <c:v>-3.7</c:v>
                </c:pt>
                <c:pt idx="27">
                  <c:v>-3.65</c:v>
                </c:pt>
                <c:pt idx="28">
                  <c:v>-3.6</c:v>
                </c:pt>
                <c:pt idx="29">
                  <c:v>-3.55000000000001</c:v>
                </c:pt>
                <c:pt idx="30">
                  <c:v>-3.5000000000000102</c:v>
                </c:pt>
                <c:pt idx="31">
                  <c:v>-3.4500000000000099</c:v>
                </c:pt>
                <c:pt idx="32">
                  <c:v>-3.4000000000000101</c:v>
                </c:pt>
                <c:pt idx="33">
                  <c:v>-3.3500000000000099</c:v>
                </c:pt>
                <c:pt idx="34">
                  <c:v>-3.30000000000001</c:v>
                </c:pt>
                <c:pt idx="35">
                  <c:v>-3.2500000000000102</c:v>
                </c:pt>
                <c:pt idx="36">
                  <c:v>-3.2000000000000099</c:v>
                </c:pt>
                <c:pt idx="37">
                  <c:v>-3.1500000000000101</c:v>
                </c:pt>
                <c:pt idx="38">
                  <c:v>-3.1000000000000099</c:v>
                </c:pt>
                <c:pt idx="39">
                  <c:v>-3.05000000000001</c:v>
                </c:pt>
                <c:pt idx="40">
                  <c:v>-3.0000000000000102</c:v>
                </c:pt>
                <c:pt idx="41">
                  <c:v>-2.9500000000000099</c:v>
                </c:pt>
                <c:pt idx="42">
                  <c:v>-2.9000000000000101</c:v>
                </c:pt>
                <c:pt idx="43">
                  <c:v>-2.8500000000000099</c:v>
                </c:pt>
                <c:pt idx="44">
                  <c:v>-2.80000000000001</c:v>
                </c:pt>
                <c:pt idx="45">
                  <c:v>-2.7500000000000102</c:v>
                </c:pt>
                <c:pt idx="46">
                  <c:v>-2.7000000000000099</c:v>
                </c:pt>
                <c:pt idx="47">
                  <c:v>-2.6500000000000101</c:v>
                </c:pt>
                <c:pt idx="48">
                  <c:v>-2.6000000000000099</c:v>
                </c:pt>
                <c:pt idx="49">
                  <c:v>-2.55000000000001</c:v>
                </c:pt>
                <c:pt idx="50">
                  <c:v>-2.5000000000000102</c:v>
                </c:pt>
                <c:pt idx="51">
                  <c:v>-2.4500000000000099</c:v>
                </c:pt>
                <c:pt idx="52">
                  <c:v>-2.4000000000000101</c:v>
                </c:pt>
                <c:pt idx="53">
                  <c:v>-2.3500000000000099</c:v>
                </c:pt>
                <c:pt idx="54">
                  <c:v>-2.30000000000001</c:v>
                </c:pt>
                <c:pt idx="55">
                  <c:v>-2.2500000000000102</c:v>
                </c:pt>
                <c:pt idx="56">
                  <c:v>-2.2000000000000099</c:v>
                </c:pt>
                <c:pt idx="57">
                  <c:v>-2.1500000000000101</c:v>
                </c:pt>
                <c:pt idx="58">
                  <c:v>-2.1000000000000099</c:v>
                </c:pt>
                <c:pt idx="59">
                  <c:v>-2.05000000000001</c:v>
                </c:pt>
                <c:pt idx="60">
                  <c:v>-2.0000000000000102</c:v>
                </c:pt>
                <c:pt idx="61">
                  <c:v>-1.9500000000000099</c:v>
                </c:pt>
                <c:pt idx="62">
                  <c:v>-1.9000000000000099</c:v>
                </c:pt>
                <c:pt idx="63">
                  <c:v>-1.8500000000000101</c:v>
                </c:pt>
                <c:pt idx="64">
                  <c:v>-1.80000000000001</c:v>
                </c:pt>
                <c:pt idx="65">
                  <c:v>-1.75000000000001</c:v>
                </c:pt>
                <c:pt idx="66">
                  <c:v>-1.7000000000000099</c:v>
                </c:pt>
                <c:pt idx="67">
                  <c:v>-1.6500000000000099</c:v>
                </c:pt>
                <c:pt idx="68">
                  <c:v>-1.6000000000000101</c:v>
                </c:pt>
                <c:pt idx="69">
                  <c:v>-1.55000000000001</c:v>
                </c:pt>
                <c:pt idx="70">
                  <c:v>-1.50000000000001</c:v>
                </c:pt>
                <c:pt idx="71">
                  <c:v>-1.4500000000000099</c:v>
                </c:pt>
                <c:pt idx="72">
                  <c:v>-1.4000000000000099</c:v>
                </c:pt>
                <c:pt idx="73">
                  <c:v>-1.3500000000000101</c:v>
                </c:pt>
                <c:pt idx="74">
                  <c:v>-1.30000000000001</c:v>
                </c:pt>
                <c:pt idx="75">
                  <c:v>-1.25000000000001</c:v>
                </c:pt>
                <c:pt idx="76">
                  <c:v>-1.2000000000000099</c:v>
                </c:pt>
                <c:pt idx="77">
                  <c:v>-1.1500000000000099</c:v>
                </c:pt>
                <c:pt idx="78">
                  <c:v>-1.1000000000000101</c:v>
                </c:pt>
                <c:pt idx="79">
                  <c:v>-1.05000000000001</c:v>
                </c:pt>
                <c:pt idx="80">
                  <c:v>-1.00000000000001</c:v>
                </c:pt>
                <c:pt idx="81">
                  <c:v>-0.95000000000000995</c:v>
                </c:pt>
                <c:pt idx="82">
                  <c:v>-0.90000000000001001</c:v>
                </c:pt>
                <c:pt idx="83">
                  <c:v>-0.85000000000000997</c:v>
                </c:pt>
                <c:pt idx="84">
                  <c:v>-0.80000000000001004</c:v>
                </c:pt>
                <c:pt idx="85">
                  <c:v>-0.75000000000001998</c:v>
                </c:pt>
                <c:pt idx="86">
                  <c:v>-0.70000000000002005</c:v>
                </c:pt>
                <c:pt idx="87">
                  <c:v>-0.65000000000002001</c:v>
                </c:pt>
                <c:pt idx="88">
                  <c:v>-0.60000000000001996</c:v>
                </c:pt>
                <c:pt idx="89">
                  <c:v>-0.55000000000002003</c:v>
                </c:pt>
                <c:pt idx="90">
                  <c:v>-0.50000000000001998</c:v>
                </c:pt>
                <c:pt idx="91">
                  <c:v>-0.45000000000002</c:v>
                </c:pt>
                <c:pt idx="92">
                  <c:v>-0.40000000000002001</c:v>
                </c:pt>
                <c:pt idx="93">
                  <c:v>-0.35000000000002002</c:v>
                </c:pt>
                <c:pt idx="94">
                  <c:v>-0.30000000000001997</c:v>
                </c:pt>
                <c:pt idx="95">
                  <c:v>-0.25000000000001998</c:v>
                </c:pt>
                <c:pt idx="96">
                  <c:v>-0.20000000000002</c:v>
                </c:pt>
                <c:pt idx="97">
                  <c:v>-0.15000000000002001</c:v>
                </c:pt>
                <c:pt idx="98">
                  <c:v>-0.10000000000002</c:v>
                </c:pt>
                <c:pt idx="99">
                  <c:v>-5.0000000000020299E-2</c:v>
                </c:pt>
                <c:pt idx="100">
                  <c:v>-2.0428103653102899E-14</c:v>
                </c:pt>
                <c:pt idx="101">
                  <c:v>4.9999999999980303E-2</c:v>
                </c:pt>
                <c:pt idx="102">
                  <c:v>9.9999999999980105E-2</c:v>
                </c:pt>
                <c:pt idx="103">
                  <c:v>0.14999999999998001</c:v>
                </c:pt>
                <c:pt idx="104">
                  <c:v>0.19999999999998</c:v>
                </c:pt>
                <c:pt idx="105">
                  <c:v>0.24999999999997999</c:v>
                </c:pt>
                <c:pt idx="106">
                  <c:v>0.29999999999998</c:v>
                </c:pt>
                <c:pt idx="107">
                  <c:v>0.34999999999997999</c:v>
                </c:pt>
                <c:pt idx="108">
                  <c:v>0.39999999999997998</c:v>
                </c:pt>
                <c:pt idx="109">
                  <c:v>0.44999999999998003</c:v>
                </c:pt>
                <c:pt idx="110">
                  <c:v>0.49999999999998002</c:v>
                </c:pt>
                <c:pt idx="111">
                  <c:v>0.54999999999997995</c:v>
                </c:pt>
                <c:pt idx="112">
                  <c:v>0.59999999999997999</c:v>
                </c:pt>
                <c:pt idx="113">
                  <c:v>0.64999999999998004</c:v>
                </c:pt>
                <c:pt idx="114">
                  <c:v>0.69999999999997997</c:v>
                </c:pt>
                <c:pt idx="115">
                  <c:v>0.74999999999998002</c:v>
                </c:pt>
                <c:pt idx="116">
                  <c:v>0.79999999999997995</c:v>
                </c:pt>
                <c:pt idx="117">
                  <c:v>0.84999999999997999</c:v>
                </c:pt>
                <c:pt idx="118">
                  <c:v>0.89999999999998004</c:v>
                </c:pt>
                <c:pt idx="119">
                  <c:v>0.94999999999997997</c:v>
                </c:pt>
                <c:pt idx="120">
                  <c:v>0.99999999999998002</c:v>
                </c:pt>
                <c:pt idx="121">
                  <c:v>1.0499999999999801</c:v>
                </c:pt>
                <c:pt idx="122">
                  <c:v>1.0999999999999801</c:v>
                </c:pt>
                <c:pt idx="123">
                  <c:v>1.1499999999999799</c:v>
                </c:pt>
                <c:pt idx="124">
                  <c:v>1.19999999999998</c:v>
                </c:pt>
                <c:pt idx="125">
                  <c:v>1.24999999999998</c:v>
                </c:pt>
                <c:pt idx="126">
                  <c:v>1.2999999999999801</c:v>
                </c:pt>
                <c:pt idx="127">
                  <c:v>1.3499999999999801</c:v>
                </c:pt>
                <c:pt idx="128">
                  <c:v>1.3999999999999799</c:v>
                </c:pt>
                <c:pt idx="129">
                  <c:v>1.44999999999998</c:v>
                </c:pt>
                <c:pt idx="130">
                  <c:v>1.49999999999998</c:v>
                </c:pt>
                <c:pt idx="131">
                  <c:v>1.5499999999999801</c:v>
                </c:pt>
                <c:pt idx="132">
                  <c:v>1.5999999999999801</c:v>
                </c:pt>
                <c:pt idx="133">
                  <c:v>1.6499999999999799</c:v>
                </c:pt>
                <c:pt idx="134">
                  <c:v>1.69999999999998</c:v>
                </c:pt>
                <c:pt idx="135">
                  <c:v>1.74999999999998</c:v>
                </c:pt>
                <c:pt idx="136">
                  <c:v>1.7999999999999801</c:v>
                </c:pt>
                <c:pt idx="137">
                  <c:v>1.8499999999999801</c:v>
                </c:pt>
                <c:pt idx="138">
                  <c:v>1.8999999999999799</c:v>
                </c:pt>
                <c:pt idx="139">
                  <c:v>1.94999999999998</c:v>
                </c:pt>
                <c:pt idx="140">
                  <c:v>1.99999999999998</c:v>
                </c:pt>
                <c:pt idx="141">
                  <c:v>2.0499999999999701</c:v>
                </c:pt>
                <c:pt idx="142">
                  <c:v>2.0999999999999699</c:v>
                </c:pt>
                <c:pt idx="143">
                  <c:v>2.1499999999999702</c:v>
                </c:pt>
                <c:pt idx="144">
                  <c:v>2.19999999999997</c:v>
                </c:pt>
                <c:pt idx="145">
                  <c:v>2.2499999999999698</c:v>
                </c:pt>
                <c:pt idx="146">
                  <c:v>2.2999999999999701</c:v>
                </c:pt>
                <c:pt idx="147">
                  <c:v>2.3499999999999699</c:v>
                </c:pt>
                <c:pt idx="148">
                  <c:v>2.3999999999999702</c:v>
                </c:pt>
                <c:pt idx="149">
                  <c:v>2.44999999999997</c:v>
                </c:pt>
                <c:pt idx="150">
                  <c:v>2.4999999999999698</c:v>
                </c:pt>
                <c:pt idx="151">
                  <c:v>2.5499999999999701</c:v>
                </c:pt>
                <c:pt idx="152">
                  <c:v>2.5999999999999699</c:v>
                </c:pt>
                <c:pt idx="153">
                  <c:v>2.6499999999999702</c:v>
                </c:pt>
                <c:pt idx="154">
                  <c:v>2.69999999999997</c:v>
                </c:pt>
                <c:pt idx="155">
                  <c:v>2.7499999999999698</c:v>
                </c:pt>
                <c:pt idx="156">
                  <c:v>2.7999999999999701</c:v>
                </c:pt>
                <c:pt idx="157">
                  <c:v>2.8499999999999699</c:v>
                </c:pt>
                <c:pt idx="158">
                  <c:v>2.8999999999999702</c:v>
                </c:pt>
                <c:pt idx="159">
                  <c:v>2.94999999999997</c:v>
                </c:pt>
                <c:pt idx="160">
                  <c:v>2.9999999999999698</c:v>
                </c:pt>
                <c:pt idx="161">
                  <c:v>3.0499999999999701</c:v>
                </c:pt>
                <c:pt idx="162">
                  <c:v>3.0999999999999699</c:v>
                </c:pt>
                <c:pt idx="163">
                  <c:v>3.1499999999999702</c:v>
                </c:pt>
                <c:pt idx="164">
                  <c:v>3.19999999999997</c:v>
                </c:pt>
                <c:pt idx="165">
                  <c:v>3.2499999999999698</c:v>
                </c:pt>
                <c:pt idx="166">
                  <c:v>3.2999999999999701</c:v>
                </c:pt>
                <c:pt idx="167">
                  <c:v>3.3499999999999699</c:v>
                </c:pt>
                <c:pt idx="168">
                  <c:v>3.3999999999999702</c:v>
                </c:pt>
                <c:pt idx="169">
                  <c:v>3.44999999999997</c:v>
                </c:pt>
                <c:pt idx="170">
                  <c:v>3.4999999999999698</c:v>
                </c:pt>
                <c:pt idx="171">
                  <c:v>3.5499999999999701</c:v>
                </c:pt>
                <c:pt idx="172">
                  <c:v>3.5999999999999699</c:v>
                </c:pt>
                <c:pt idx="173">
                  <c:v>3.6499999999999702</c:v>
                </c:pt>
                <c:pt idx="174">
                  <c:v>3.69999999999997</c:v>
                </c:pt>
                <c:pt idx="175">
                  <c:v>3.7499999999999698</c:v>
                </c:pt>
                <c:pt idx="176">
                  <c:v>3.7999999999999701</c:v>
                </c:pt>
                <c:pt idx="177">
                  <c:v>3.8499999999999699</c:v>
                </c:pt>
                <c:pt idx="178">
                  <c:v>3.8999999999999702</c:v>
                </c:pt>
                <c:pt idx="179">
                  <c:v>3.94999999999997</c:v>
                </c:pt>
                <c:pt idx="180">
                  <c:v>3.9999999999999698</c:v>
                </c:pt>
                <c:pt idx="181">
                  <c:v>4.0499999999999696</c:v>
                </c:pt>
                <c:pt idx="182">
                  <c:v>4.0999999999999703</c:v>
                </c:pt>
                <c:pt idx="183">
                  <c:v>4.1499999999999702</c:v>
                </c:pt>
                <c:pt idx="184">
                  <c:v>4.19999999999997</c:v>
                </c:pt>
                <c:pt idx="185">
                  <c:v>4.2499999999999698</c:v>
                </c:pt>
                <c:pt idx="186">
                  <c:v>4.2999999999999696</c:v>
                </c:pt>
                <c:pt idx="187">
                  <c:v>4.3499999999999703</c:v>
                </c:pt>
                <c:pt idx="188">
                  <c:v>4.3999999999999702</c:v>
                </c:pt>
                <c:pt idx="189">
                  <c:v>4.44999999999997</c:v>
                </c:pt>
                <c:pt idx="190">
                  <c:v>4.4999999999999698</c:v>
                </c:pt>
                <c:pt idx="191">
                  <c:v>4.5499999999999696</c:v>
                </c:pt>
                <c:pt idx="192">
                  <c:v>4.5999999999999703</c:v>
                </c:pt>
                <c:pt idx="193">
                  <c:v>4.6499999999999702</c:v>
                </c:pt>
                <c:pt idx="194">
                  <c:v>4.69999999999997</c:v>
                </c:pt>
                <c:pt idx="195">
                  <c:v>4.74999999999996</c:v>
                </c:pt>
                <c:pt idx="196">
                  <c:v>4.7999999999999696</c:v>
                </c:pt>
                <c:pt idx="197">
                  <c:v>4.8499999999999703</c:v>
                </c:pt>
                <c:pt idx="198">
                  <c:v>4.8999999999999604</c:v>
                </c:pt>
                <c:pt idx="199">
                  <c:v>4.9499999999999602</c:v>
                </c:pt>
                <c:pt idx="200">
                  <c:v>4.99999999999996</c:v>
                </c:pt>
              </c:numCache>
            </c:numRef>
          </c:xVal>
          <c:yVal>
            <c:numRef>
              <c:f>'BL8'!$M$2:$M$202</c:f>
              <c:numCache>
                <c:formatCode>General</c:formatCode>
                <c:ptCount val="201"/>
                <c:pt idx="0">
                  <c:v>6.6928509242848554E-3</c:v>
                </c:pt>
                <c:pt idx="1">
                  <c:v>7.0335871549951608E-3</c:v>
                </c:pt>
                <c:pt idx="2">
                  <c:v>7.3915413442819707E-3</c:v>
                </c:pt>
                <c:pt idx="3">
                  <c:v>7.7675700780150047E-3</c:v>
                </c:pt>
                <c:pt idx="4">
                  <c:v>8.1625711531598966E-3</c:v>
                </c:pt>
                <c:pt idx="5">
                  <c:v>8.5774854137119841E-3</c:v>
                </c:pt>
                <c:pt idx="6">
                  <c:v>9.0132986528478221E-3</c:v>
                </c:pt>
                <c:pt idx="7">
                  <c:v>9.4710435819461078E-3</c:v>
                </c:pt>
                <c:pt idx="8">
                  <c:v>9.9518018669043241E-3</c:v>
                </c:pt>
                <c:pt idx="9">
                  <c:v>1.0456706231918071E-2</c:v>
                </c:pt>
                <c:pt idx="10">
                  <c:v>1.098694263059318E-2</c:v>
                </c:pt>
                <c:pt idx="11">
                  <c:v>1.1543752483922289E-2</c:v>
                </c:pt>
                <c:pt idx="12">
                  <c:v>1.2128434984274237E-2</c:v>
                </c:pt>
                <c:pt idx="13">
                  <c:v>1.2742349464111609E-2</c:v>
                </c:pt>
                <c:pt idx="14">
                  <c:v>1.3386917827664779E-2</c:v>
                </c:pt>
                <c:pt idx="15">
                  <c:v>1.4063627043245475E-2</c:v>
                </c:pt>
                <c:pt idx="16">
                  <c:v>1.4774031693273055E-2</c:v>
                </c:pt>
                <c:pt idx="17">
                  <c:v>1.5519756578408886E-2</c:v>
                </c:pt>
                <c:pt idx="18">
                  <c:v>1.6302499371440946E-2</c:v>
                </c:pt>
                <c:pt idx="19">
                  <c:v>1.7124033315727736E-2</c:v>
                </c:pt>
                <c:pt idx="20">
                  <c:v>1.7986209962091559E-2</c:v>
                </c:pt>
                <c:pt idx="21">
                  <c:v>1.8890961937039048E-2</c:v>
                </c:pt>
                <c:pt idx="22">
                  <c:v>1.984030573407751E-2</c:v>
                </c:pt>
                <c:pt idx="23">
                  <c:v>2.0836344518680425E-2</c:v>
                </c:pt>
                <c:pt idx="24">
                  <c:v>2.1881270936130476E-2</c:v>
                </c:pt>
                <c:pt idx="25">
                  <c:v>2.2977369910025615E-2</c:v>
                </c:pt>
                <c:pt idx="26">
                  <c:v>2.4127021417669196E-2</c:v>
                </c:pt>
                <c:pt idx="27">
                  <c:v>2.5332703226871731E-2</c:v>
                </c:pt>
                <c:pt idx="28">
                  <c:v>2.6596993576865856E-2</c:v>
                </c:pt>
                <c:pt idx="29">
                  <c:v>2.7922573784072747E-2</c:v>
                </c:pt>
                <c:pt idx="30">
                  <c:v>2.9312230751356028E-2</c:v>
                </c:pt>
                <c:pt idx="31">
                  <c:v>3.0768859357147713E-2</c:v>
                </c:pt>
                <c:pt idx="32">
                  <c:v>3.2295464698450196E-2</c:v>
                </c:pt>
                <c:pt idx="33">
                  <c:v>3.3895164159177829E-2</c:v>
                </c:pt>
                <c:pt idx="34">
                  <c:v>3.5571189272635827E-2</c:v>
                </c:pt>
                <c:pt idx="35">
                  <c:v>3.7326887344129096E-2</c:v>
                </c:pt>
                <c:pt idx="36">
                  <c:v>3.9165722796763981E-2</c:v>
                </c:pt>
                <c:pt idx="37">
                  <c:v>4.1091278200464612E-2</c:v>
                </c:pt>
                <c:pt idx="38">
                  <c:v>4.3107254941085714E-2</c:v>
                </c:pt>
                <c:pt idx="39">
                  <c:v>4.5217473483287057E-2</c:v>
                </c:pt>
                <c:pt idx="40">
                  <c:v>4.7425873177566316E-2</c:v>
                </c:pt>
                <c:pt idx="41">
                  <c:v>4.9736511558556254E-2</c:v>
                </c:pt>
                <c:pt idx="42">
                  <c:v>5.2153563078417231E-2</c:v>
                </c:pt>
                <c:pt idx="43">
                  <c:v>5.4681317215940245E-2</c:v>
                </c:pt>
                <c:pt idx="44">
                  <c:v>5.73241758988682E-2</c:v>
                </c:pt>
                <c:pt idx="45">
                  <c:v>6.0086650174007036E-2</c:v>
                </c:pt>
                <c:pt idx="46">
                  <c:v>6.2973356056995902E-2</c:v>
                </c:pt>
                <c:pt idx="47">
                  <c:v>6.5989009491218151E-2</c:v>
                </c:pt>
                <c:pt idx="48">
                  <c:v>6.9138420343346191E-2</c:v>
                </c:pt>
                <c:pt idx="49">
                  <c:v>7.2426485361517037E-2</c:v>
                </c:pt>
                <c:pt idx="50">
                  <c:v>7.5858180021242838E-2</c:v>
                </c:pt>
                <c:pt idx="51">
                  <c:v>7.943854918397765E-2</c:v>
                </c:pt>
                <c:pt idx="52">
                  <c:v>8.3172696493921602E-2</c:v>
                </c:pt>
                <c:pt idx="53">
                  <c:v>8.7065772440270486E-2</c:v>
                </c:pt>
                <c:pt idx="54">
                  <c:v>9.11229610148553E-2</c:v>
                </c:pt>
                <c:pt idx="55">
                  <c:v>9.5349464899108616E-2</c:v>
                </c:pt>
                <c:pt idx="56">
                  <c:v>9.9750489119684246E-2</c:v>
                </c:pt>
                <c:pt idx="57">
                  <c:v>0.10433122311900037</c:v>
                </c:pt>
                <c:pt idx="58">
                  <c:v>0.109096821195612</c:v>
                </c:pt>
                <c:pt idx="59">
                  <c:v>0.11405238127978984</c:v>
                </c:pt>
                <c:pt idx="60">
                  <c:v>0.11920292202211646</c:v>
                </c:pt>
                <c:pt idx="61">
                  <c:v>0.12455335818741534</c:v>
                </c:pt>
                <c:pt idx="62">
                  <c:v>0.13010847436299672</c:v>
                </c:pt>
                <c:pt idx="63">
                  <c:v>0.13587289700909308</c:v>
                </c:pt>
                <c:pt idx="64">
                  <c:v>0.14185106490048657</c:v>
                </c:pt>
                <c:pt idx="65">
                  <c:v>0.14804719803168823</c:v>
                </c:pt>
                <c:pt idx="66">
                  <c:v>0.15446526508353342</c:v>
                </c:pt>
                <c:pt idx="67">
                  <c:v>0.16110894957658389</c:v>
                </c:pt>
                <c:pt idx="68">
                  <c:v>0.1679816148660741</c:v>
                </c:pt>
                <c:pt idx="69">
                  <c:v>0.17508626816403836</c:v>
                </c:pt>
                <c:pt idx="70">
                  <c:v>0.18242552380635485</c:v>
                </c:pt>
                <c:pt idx="71">
                  <c:v>0.19000156601531146</c:v>
                </c:pt>
                <c:pt idx="72">
                  <c:v>0.1978161114414167</c:v>
                </c:pt>
                <c:pt idx="73">
                  <c:v>0.2058703718009457</c:v>
                </c:pt>
                <c:pt idx="74">
                  <c:v>0.2141650169574397</c:v>
                </c:pt>
                <c:pt idx="75">
                  <c:v>0.22270013882530712</c:v>
                </c:pt>
                <c:pt idx="76">
                  <c:v>0.23147521650098057</c:v>
                </c:pt>
                <c:pt idx="77">
                  <c:v>0.24048908305088712</c:v>
                </c:pt>
                <c:pt idx="78">
                  <c:v>0.24973989440488048</c:v>
                </c:pt>
                <c:pt idx="79">
                  <c:v>0.25922510081784411</c:v>
                </c:pt>
                <c:pt idx="80">
                  <c:v>0.26894142136999316</c:v>
                </c:pt>
                <c:pt idx="81">
                  <c:v>0.27888482197713493</c:v>
                </c:pt>
                <c:pt idx="82">
                  <c:v>0.289050497374994</c:v>
                </c:pt>
                <c:pt idx="83">
                  <c:v>0.29943285752602494</c:v>
                </c:pt>
                <c:pt idx="84">
                  <c:v>0.31002551887238539</c:v>
                </c:pt>
                <c:pt idx="85">
                  <c:v>0.3208213008246027</c:v>
                </c:pt>
                <c:pt idx="86">
                  <c:v>0.33181222783182945</c:v>
                </c:pt>
                <c:pt idx="87">
                  <c:v>0.34298953732649673</c:v>
                </c:pt>
                <c:pt idx="88">
                  <c:v>0.35434369377419994</c:v>
                </c:pt>
                <c:pt idx="89">
                  <c:v>0.3658644089891947</c:v>
                </c:pt>
                <c:pt idx="90">
                  <c:v>0.37754066879814074</c:v>
                </c:pt>
                <c:pt idx="91">
                  <c:v>0.38936076605077324</c:v>
                </c:pt>
                <c:pt idx="92">
                  <c:v>0.40131233988754322</c:v>
                </c:pt>
                <c:pt idx="93">
                  <c:v>0.4133824210826651</c:v>
                </c:pt>
                <c:pt idx="94">
                  <c:v>0.42555748318833608</c:v>
                </c:pt>
                <c:pt idx="95">
                  <c:v>0.43782349911419699</c:v>
                </c:pt>
                <c:pt idx="96">
                  <c:v>0.45016600268751711</c:v>
                </c:pt>
                <c:pt idx="97">
                  <c:v>0.4625701546562454</c:v>
                </c:pt>
                <c:pt idx="98">
                  <c:v>0.47502081252105499</c:v>
                </c:pt>
                <c:pt idx="99">
                  <c:v>0.48750260351578451</c:v>
                </c:pt>
                <c:pt idx="100">
                  <c:v>0.49999999999999489</c:v>
                </c:pt>
                <c:pt idx="101">
                  <c:v>0.51249739648420534</c:v>
                </c:pt>
                <c:pt idx="102">
                  <c:v>0.52497918747893502</c:v>
                </c:pt>
                <c:pt idx="103">
                  <c:v>0.53742984534374449</c:v>
                </c:pt>
                <c:pt idx="104">
                  <c:v>0.54983399731247296</c:v>
                </c:pt>
                <c:pt idx="105">
                  <c:v>0.56217650088579318</c:v>
                </c:pt>
                <c:pt idx="106">
                  <c:v>0.57444251681165415</c:v>
                </c:pt>
                <c:pt idx="107">
                  <c:v>0.58661757891732524</c:v>
                </c:pt>
                <c:pt idx="108">
                  <c:v>0.59868766011244712</c:v>
                </c:pt>
                <c:pt idx="109">
                  <c:v>0.61063923394921726</c:v>
                </c:pt>
                <c:pt idx="110">
                  <c:v>0.62245933120184982</c:v>
                </c:pt>
                <c:pt idx="111">
                  <c:v>0.63413559101079608</c:v>
                </c:pt>
                <c:pt idx="112">
                  <c:v>0.64565630622579084</c:v>
                </c:pt>
                <c:pt idx="113">
                  <c:v>0.65701046267349428</c:v>
                </c:pt>
                <c:pt idx="114">
                  <c:v>0.66818777216816172</c:v>
                </c:pt>
                <c:pt idx="115">
                  <c:v>0.67917869917538864</c:v>
                </c:pt>
                <c:pt idx="116">
                  <c:v>0.68997448112760817</c:v>
                </c:pt>
                <c:pt idx="117">
                  <c:v>0.70056714247396878</c:v>
                </c:pt>
                <c:pt idx="118">
                  <c:v>0.7109495026249999</c:v>
                </c:pt>
                <c:pt idx="119">
                  <c:v>0.72111517802285907</c:v>
                </c:pt>
                <c:pt idx="120">
                  <c:v>0.73105857863000101</c:v>
                </c:pt>
                <c:pt idx="121">
                  <c:v>0.74077489918215011</c:v>
                </c:pt>
                <c:pt idx="122">
                  <c:v>0.75026010559511391</c:v>
                </c:pt>
                <c:pt idx="123">
                  <c:v>0.75951091694910744</c:v>
                </c:pt>
                <c:pt idx="124">
                  <c:v>0.7685247834990141</c:v>
                </c:pt>
                <c:pt idx="125">
                  <c:v>0.77729986117468763</c:v>
                </c:pt>
                <c:pt idx="126">
                  <c:v>0.78583498304255528</c:v>
                </c:pt>
                <c:pt idx="127">
                  <c:v>0.79412962819904953</c:v>
                </c:pt>
                <c:pt idx="128">
                  <c:v>0.80218388855857858</c:v>
                </c:pt>
                <c:pt idx="129">
                  <c:v>0.80999843398468396</c:v>
                </c:pt>
                <c:pt idx="130">
                  <c:v>0.81757447619364065</c:v>
                </c:pt>
                <c:pt idx="131">
                  <c:v>0.82491373183595729</c:v>
                </c:pt>
                <c:pt idx="132">
                  <c:v>0.83201838513392168</c:v>
                </c:pt>
                <c:pt idx="133">
                  <c:v>0.83889105042341217</c:v>
                </c:pt>
                <c:pt idx="134">
                  <c:v>0.84553473491646269</c:v>
                </c:pt>
                <c:pt idx="135">
                  <c:v>0.85195280196830803</c:v>
                </c:pt>
                <c:pt idx="136">
                  <c:v>0.85814893509950985</c:v>
                </c:pt>
                <c:pt idx="137">
                  <c:v>0.86412710299090345</c:v>
                </c:pt>
                <c:pt idx="138">
                  <c:v>0.8698915256369999</c:v>
                </c:pt>
                <c:pt idx="139">
                  <c:v>0.87544664181258136</c:v>
                </c:pt>
                <c:pt idx="140">
                  <c:v>0.88079707797788032</c:v>
                </c:pt>
                <c:pt idx="141">
                  <c:v>0.88594761872020611</c:v>
                </c:pt>
                <c:pt idx="142">
                  <c:v>0.89090317880438408</c:v>
                </c:pt>
                <c:pt idx="143">
                  <c:v>0.89566877688099589</c:v>
                </c:pt>
                <c:pt idx="144">
                  <c:v>0.90024951088031213</c:v>
                </c:pt>
                <c:pt idx="145">
                  <c:v>0.90465053510088789</c:v>
                </c:pt>
                <c:pt idx="146">
                  <c:v>0.90887703898514138</c:v>
                </c:pt>
                <c:pt idx="147">
                  <c:v>0.91293422755972631</c:v>
                </c:pt>
                <c:pt idx="148">
                  <c:v>0.91682730350607544</c:v>
                </c:pt>
                <c:pt idx="149">
                  <c:v>0.92056145081601948</c:v>
                </c:pt>
                <c:pt idx="150">
                  <c:v>0.92414181997875444</c:v>
                </c:pt>
                <c:pt idx="151">
                  <c:v>0.92757351463848037</c:v>
                </c:pt>
                <c:pt idx="152">
                  <c:v>0.93086157965665117</c:v>
                </c:pt>
                <c:pt idx="153">
                  <c:v>0.93401099050877934</c:v>
                </c:pt>
                <c:pt idx="154">
                  <c:v>0.93702664394300184</c:v>
                </c:pt>
                <c:pt idx="155">
                  <c:v>0.93991334982599062</c:v>
                </c:pt>
                <c:pt idx="156">
                  <c:v>0.94267582410112971</c:v>
                </c:pt>
                <c:pt idx="157">
                  <c:v>0.94531868278405762</c:v>
                </c:pt>
                <c:pt idx="158">
                  <c:v>0.94784643692158077</c:v>
                </c:pt>
                <c:pt idx="159">
                  <c:v>0.95026348844144182</c:v>
                </c:pt>
                <c:pt idx="160">
                  <c:v>0.95257412682243192</c:v>
                </c:pt>
                <c:pt idx="161">
                  <c:v>0.95478252651671125</c:v>
                </c:pt>
                <c:pt idx="162">
                  <c:v>0.95689274505891264</c:v>
                </c:pt>
                <c:pt idx="163">
                  <c:v>0.95890872179953379</c:v>
                </c:pt>
                <c:pt idx="164">
                  <c:v>0.96083427720323444</c:v>
                </c:pt>
                <c:pt idx="165">
                  <c:v>0.96267311265586941</c:v>
                </c:pt>
                <c:pt idx="166">
                  <c:v>0.96442881072736286</c:v>
                </c:pt>
                <c:pt idx="167">
                  <c:v>0.96610483584082085</c:v>
                </c:pt>
                <c:pt idx="168">
                  <c:v>0.96770453530154854</c:v>
                </c:pt>
                <c:pt idx="169">
                  <c:v>0.96923114064285121</c:v>
                </c:pt>
                <c:pt idx="170">
                  <c:v>0.97068776924864275</c:v>
                </c:pt>
                <c:pt idx="171">
                  <c:v>0.97207742621592619</c:v>
                </c:pt>
                <c:pt idx="172">
                  <c:v>0.97340300642313349</c:v>
                </c:pt>
                <c:pt idx="173">
                  <c:v>0.97466729677312747</c:v>
                </c:pt>
                <c:pt idx="174">
                  <c:v>0.97587297858233013</c:v>
                </c:pt>
                <c:pt idx="175">
                  <c:v>0.9770226300899737</c:v>
                </c:pt>
                <c:pt idx="176">
                  <c:v>0.97811872906386887</c:v>
                </c:pt>
                <c:pt idx="177">
                  <c:v>0.9791636554813189</c:v>
                </c:pt>
                <c:pt idx="178">
                  <c:v>0.98015969426592187</c:v>
                </c:pt>
                <c:pt idx="179">
                  <c:v>0.98110903806296046</c:v>
                </c:pt>
                <c:pt idx="180">
                  <c:v>0.98201379003790801</c:v>
                </c:pt>
                <c:pt idx="181">
                  <c:v>0.98287596668427168</c:v>
                </c:pt>
                <c:pt idx="182">
                  <c:v>0.98369750062855865</c:v>
                </c:pt>
                <c:pt idx="183">
                  <c:v>0.98448024342159068</c:v>
                </c:pt>
                <c:pt idx="184">
                  <c:v>0.98522596830672649</c:v>
                </c:pt>
                <c:pt idx="185">
                  <c:v>0.98593637295675407</c:v>
                </c:pt>
                <c:pt idx="186">
                  <c:v>0.98661308217233468</c:v>
                </c:pt>
                <c:pt idx="187">
                  <c:v>0.98725765053588799</c:v>
                </c:pt>
                <c:pt idx="188">
                  <c:v>0.98787156501572526</c:v>
                </c:pt>
                <c:pt idx="189">
                  <c:v>0.9884562475160773</c:v>
                </c:pt>
                <c:pt idx="190">
                  <c:v>0.98901305736940648</c:v>
                </c:pt>
                <c:pt idx="191">
                  <c:v>0.98954329376808159</c:v>
                </c:pt>
                <c:pt idx="192">
                  <c:v>0.9900481981330953</c:v>
                </c:pt>
                <c:pt idx="193">
                  <c:v>0.99052895641805361</c:v>
                </c:pt>
                <c:pt idx="194">
                  <c:v>0.99098670134715194</c:v>
                </c:pt>
                <c:pt idx="195">
                  <c:v>0.99142251458628761</c:v>
                </c:pt>
                <c:pt idx="196">
                  <c:v>0.9918374288468399</c:v>
                </c:pt>
                <c:pt idx="197">
                  <c:v>0.99223242992198468</c:v>
                </c:pt>
                <c:pt idx="198">
                  <c:v>0.99260845865571767</c:v>
                </c:pt>
                <c:pt idx="199">
                  <c:v>0.99296641284500464</c:v>
                </c:pt>
                <c:pt idx="200">
                  <c:v>0.99330714907571482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41-40D2-8829-5EE0899AD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516992"/>
        <c:axId val="1061964928"/>
      </c:scatterChart>
      <c:valAx>
        <c:axId val="9615169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61964928"/>
        <c:crosses val="autoZero"/>
        <c:crossBetween val="midCat"/>
      </c:valAx>
      <c:valAx>
        <c:axId val="10619649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6151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219074</xdr:colOff>
      <xdr:row>19</xdr:row>
      <xdr:rowOff>28575</xdr:rowOff>
    </xdr:from>
    <xdr:to>
      <xdr:col>25</xdr:col>
      <xdr:colOff>161924</xdr:colOff>
      <xdr:row>35</xdr:row>
      <xdr:rowOff>109537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B1D245D5-97AC-4C7B-854F-BAA8B055F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15</xdr:row>
      <xdr:rowOff>95250</xdr:rowOff>
    </xdr:from>
    <xdr:to>
      <xdr:col>18</xdr:col>
      <xdr:colOff>1047750</xdr:colOff>
      <xdr:row>18</xdr:row>
      <xdr:rowOff>95250</xdr:rowOff>
    </xdr:to>
    <xdr:sp macro="[0]!Wydatek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F6271CC1-C5FE-451C-BCA8-71DCE08A4DFB}"/>
            </a:ext>
          </a:extLst>
        </xdr:cNvPr>
        <xdr:cNvSpPr/>
      </xdr:nvSpPr>
      <xdr:spPr>
        <a:xfrm>
          <a:off x="12782550" y="2990850"/>
          <a:ext cx="100965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2600"/>
            <a:t>W</a:t>
          </a:r>
        </a:p>
      </xdr:txBody>
    </xdr:sp>
    <xdr:clientData/>
  </xdr:twoCellAnchor>
  <xdr:twoCellAnchor>
    <xdr:from>
      <xdr:col>19</xdr:col>
      <xdr:colOff>76200</xdr:colOff>
      <xdr:row>15</xdr:row>
      <xdr:rowOff>95250</xdr:rowOff>
    </xdr:from>
    <xdr:to>
      <xdr:col>20</xdr:col>
      <xdr:colOff>352425</xdr:colOff>
      <xdr:row>18</xdr:row>
      <xdr:rowOff>95250</xdr:rowOff>
    </xdr:to>
    <xdr:sp macro="[0]!WydatekWiek" textlink="">
      <xdr:nvSpPr>
        <xdr:cNvPr id="7" name="Prostokąt: zaokrąglone rogi 6">
          <a:extLst>
            <a:ext uri="{FF2B5EF4-FFF2-40B4-BE49-F238E27FC236}">
              <a16:creationId xmlns:a16="http://schemas.microsoft.com/office/drawing/2014/main" id="{DA36A6C6-7F8C-4C9B-A855-7786F1DCE0A6}"/>
            </a:ext>
          </a:extLst>
        </xdr:cNvPr>
        <xdr:cNvSpPr/>
      </xdr:nvSpPr>
      <xdr:spPr>
        <a:xfrm>
          <a:off x="13896975" y="2990850"/>
          <a:ext cx="100965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pl-PL" sz="1300"/>
            <a:t>Wydatek</a:t>
          </a:r>
        </a:p>
        <a:p>
          <a:pPr lvl="0" algn="ctr"/>
          <a:r>
            <a:rPr lang="pl-PL" sz="1300"/>
            <a:t>+Wiek</a:t>
          </a:r>
        </a:p>
      </xdr:txBody>
    </xdr:sp>
    <xdr:clientData/>
  </xdr:twoCellAnchor>
  <xdr:twoCellAnchor>
    <xdr:from>
      <xdr:col>20</xdr:col>
      <xdr:colOff>533401</xdr:colOff>
      <xdr:row>13</xdr:row>
      <xdr:rowOff>85725</xdr:rowOff>
    </xdr:from>
    <xdr:to>
      <xdr:col>25</xdr:col>
      <xdr:colOff>28576</xdr:colOff>
      <xdr:row>18</xdr:row>
      <xdr:rowOff>28575</xdr:rowOff>
    </xdr:to>
    <xdr:sp macro="" textlink="">
      <xdr:nvSpPr>
        <xdr:cNvPr id="4" name="Dymek mowy: prostokąt z zaokrąglonymi rogami 3">
          <a:extLst>
            <a:ext uri="{FF2B5EF4-FFF2-40B4-BE49-F238E27FC236}">
              <a16:creationId xmlns:a16="http://schemas.microsoft.com/office/drawing/2014/main" id="{65C6189D-BE78-4834-895A-8C22FC8CF198}"/>
            </a:ext>
          </a:extLst>
        </xdr:cNvPr>
        <xdr:cNvSpPr/>
      </xdr:nvSpPr>
      <xdr:spPr>
        <a:xfrm>
          <a:off x="15087601" y="2600325"/>
          <a:ext cx="2647950" cy="895350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Widzimy, że skuteczność przewidywania naszego modelu nie podnosi się przy dodaniu zależności od wieku, przez co nadal pozostaje relatywnie niska.</a:t>
          </a:r>
        </a:p>
      </xdr:txBody>
    </xdr:sp>
    <xdr:clientData/>
  </xdr:twoCellAnchor>
  <xdr:twoCellAnchor>
    <xdr:from>
      <xdr:col>17</xdr:col>
      <xdr:colOff>285750</xdr:colOff>
      <xdr:row>51</xdr:row>
      <xdr:rowOff>95250</xdr:rowOff>
    </xdr:from>
    <xdr:to>
      <xdr:col>25</xdr:col>
      <xdr:colOff>257174</xdr:colOff>
      <xdr:row>66</xdr:row>
      <xdr:rowOff>66675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22B66AE-2BCA-4074-8490-03F4191819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266700</xdr:colOff>
      <xdr:row>36</xdr:row>
      <xdr:rowOff>47625</xdr:rowOff>
    </xdr:from>
    <xdr:to>
      <xdr:col>25</xdr:col>
      <xdr:colOff>238124</xdr:colOff>
      <xdr:row>51</xdr:row>
      <xdr:rowOff>19050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E0672CD5-9D5E-448B-A904-857065791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W302"/>
  <sheetViews>
    <sheetView tabSelected="1" workbookViewId="0">
      <selection activeCell="R5" sqref="R5"/>
    </sheetView>
  </sheetViews>
  <sheetFormatPr defaultRowHeight="15" x14ac:dyDescent="0.25"/>
  <cols>
    <col min="1" max="5" width="9.140625" style="1"/>
    <col min="6" max="6" width="9.5703125" style="1" customWidth="1"/>
    <col min="7" max="7" width="13" style="1" customWidth="1"/>
    <col min="8" max="8" width="9.7109375" style="1" customWidth="1"/>
    <col min="9" max="9" width="10" style="1" customWidth="1"/>
    <col min="10" max="10" width="9.140625" style="1" customWidth="1"/>
    <col min="11" max="11" width="14.85546875" style="1" bestFit="1" customWidth="1"/>
    <col min="12" max="13" width="12.28515625" customWidth="1"/>
    <col min="14" max="15" width="12.28515625" style="1" customWidth="1"/>
    <col min="16" max="17" width="10.42578125" style="1" customWidth="1"/>
    <col min="19" max="19" width="16.140625" customWidth="1"/>
    <col min="20" max="21" width="11" customWidth="1"/>
    <col min="22" max="22" width="8" customWidth="1"/>
    <col min="23" max="23" width="10" customWidth="1"/>
  </cols>
  <sheetData>
    <row r="1" spans="1:23" x14ac:dyDescent="0.25">
      <c r="L1" s="32" t="s">
        <v>22</v>
      </c>
      <c r="M1" s="32"/>
      <c r="P1" s="28" t="s">
        <v>12</v>
      </c>
      <c r="Q1" s="28" t="s">
        <v>13</v>
      </c>
    </row>
    <row r="2" spans="1:23" x14ac:dyDescent="0.25">
      <c r="A2" s="28" t="s">
        <v>0</v>
      </c>
      <c r="B2" s="28" t="s">
        <v>1</v>
      </c>
      <c r="C2" s="28" t="s">
        <v>2</v>
      </c>
      <c r="D2" s="28" t="s">
        <v>3</v>
      </c>
      <c r="E2" s="47" t="s">
        <v>6</v>
      </c>
      <c r="F2" s="14" t="s">
        <v>31</v>
      </c>
      <c r="G2" s="15" t="s">
        <v>29</v>
      </c>
      <c r="H2" s="14" t="s">
        <v>32</v>
      </c>
      <c r="I2" s="15" t="s">
        <v>28</v>
      </c>
      <c r="J2" s="14" t="s">
        <v>33</v>
      </c>
      <c r="K2" s="15" t="s">
        <v>30</v>
      </c>
      <c r="L2" s="22">
        <v>-5</v>
      </c>
      <c r="M2" s="23">
        <f>1/(1+EXP(-L2))</f>
        <v>6.6928509242848554E-3</v>
      </c>
      <c r="N2" s="38" t="s">
        <v>10</v>
      </c>
      <c r="O2" s="29" t="s">
        <v>11</v>
      </c>
      <c r="P2" s="30">
        <v>1</v>
      </c>
      <c r="Q2" s="18">
        <v>1</v>
      </c>
      <c r="R2" s="2"/>
      <c r="S2" s="10" t="s">
        <v>7</v>
      </c>
      <c r="T2" s="7">
        <v>7.3549210682256297E-4</v>
      </c>
      <c r="U2" s="8">
        <v>7.9532129235079731E-4</v>
      </c>
    </row>
    <row r="3" spans="1:23" x14ac:dyDescent="0.25">
      <c r="A3" s="48">
        <v>1728.34</v>
      </c>
      <c r="B3" s="49">
        <v>55</v>
      </c>
      <c r="C3" s="49">
        <v>226.15</v>
      </c>
      <c r="D3" s="49" t="s">
        <v>4</v>
      </c>
      <c r="E3" s="50">
        <f>IF(D3="T",1,0)</f>
        <v>0</v>
      </c>
      <c r="F3" s="39">
        <f>E3*($U$2*C3+$U$3)-LN(1+EXP(($U$2*C3+$U$3)))</f>
        <v>-0.40662597515299392</v>
      </c>
      <c r="G3" s="20">
        <f>E3*($T$2*C3+$T$3*B3+$T$4)-LN(1+EXP(($T$2*C3+$T$3*B3+$T$4)))</f>
        <v>-0.34147255016695471</v>
      </c>
      <c r="H3" s="40">
        <f>1/(1+EXP(-$U$2*C3-$U$3))</f>
        <v>0.33410679566622614</v>
      </c>
      <c r="I3" s="20">
        <f>1/(1+EXP(-$T$2*C3-$T$3*B3-$T$4))</f>
        <v>0.28927702342085337</v>
      </c>
      <c r="J3" s="40">
        <f>$U$2*C3+$U$3</f>
        <v>-0.68966861445711047</v>
      </c>
      <c r="K3" s="41">
        <f>$T$2*C3+$T$3*B3+$T$4</f>
        <v>-0.89889794127695632</v>
      </c>
      <c r="L3" s="24">
        <v>-4.95</v>
      </c>
      <c r="M3" s="25">
        <f t="shared" ref="M3:M66" si="0">1/(1+EXP(-L3))</f>
        <v>7.0335871549951608E-3</v>
      </c>
      <c r="N3" s="3">
        <f>COUNT($E$3:E3)-O3</f>
        <v>1</v>
      </c>
      <c r="O3" s="3">
        <f>SUM($E$3:E3)</f>
        <v>0</v>
      </c>
      <c r="P3" s="3">
        <f>($N$129-N3)/$N$129</f>
        <v>0.984375</v>
      </c>
      <c r="Q3" s="4">
        <f>($O$129-O3)/O$129</f>
        <v>1</v>
      </c>
      <c r="S3" s="10" t="s">
        <v>8</v>
      </c>
      <c r="T3" s="7">
        <v>-1.7390212867690994E-2</v>
      </c>
      <c r="U3" s="9">
        <v>-0.86953052472224335</v>
      </c>
      <c r="W3" s="17" t="s">
        <v>19</v>
      </c>
    </row>
    <row r="4" spans="1:23" x14ac:dyDescent="0.25">
      <c r="A4" s="19">
        <v>1152.1400000000001</v>
      </c>
      <c r="B4" s="3">
        <v>59</v>
      </c>
      <c r="C4" s="3">
        <v>369</v>
      </c>
      <c r="D4" s="3" t="s">
        <v>4</v>
      </c>
      <c r="E4" s="4">
        <f>IF(D4="T",1,0)</f>
        <v>0</v>
      </c>
      <c r="F4" s="39">
        <f>E4*($U$2*C4+$U$3)-LN(1+EXP(($U$2*C4+$U$3)))</f>
        <v>-0.4460377416624155</v>
      </c>
      <c r="G4" s="21">
        <f>E4*($T$2*C4+$T$3*B4+$T$4)-LN(1+EXP(($T$2*C4+$T$3*B4+$T$4)))</f>
        <v>-0.35187332307439018</v>
      </c>
      <c r="H4" s="40">
        <f>1/(1+EXP(-$U$2*C4-$U$3))</f>
        <v>0.35984038908221821</v>
      </c>
      <c r="I4" s="21">
        <f>1/(1+EXP(-$T$2*C4-$T$3*B4-$T$4))</f>
        <v>0.29663078301694296</v>
      </c>
      <c r="J4" s="40">
        <f>$U$2*C4+$U$3</f>
        <v>-0.57605696784479909</v>
      </c>
      <c r="K4" s="42">
        <f>$T$2*C4+$T$3*B4+$T$4</f>
        <v>-0.86339374528811719</v>
      </c>
      <c r="L4" s="24">
        <v>-4.9000000000000004</v>
      </c>
      <c r="M4" s="25">
        <f t="shared" si="0"/>
        <v>7.3915413442819707E-3</v>
      </c>
      <c r="N4" s="3">
        <f>COUNT($E$3:E4)-O4</f>
        <v>2</v>
      </c>
      <c r="O4" s="3">
        <f>SUM($E$3:E4)</f>
        <v>0</v>
      </c>
      <c r="P4" s="3">
        <f t="shared" ref="P4:P67" si="1">($N$129-N4)/$N$129</f>
        <v>0.96875</v>
      </c>
      <c r="Q4" s="4">
        <f t="shared" ref="Q4:Q67" si="2">($O$129-O4)/O$129</f>
        <v>1</v>
      </c>
      <c r="S4" s="10" t="s">
        <v>9</v>
      </c>
      <c r="T4" s="7">
        <v>-0.10876777351187425</v>
      </c>
      <c r="W4" s="17" t="s">
        <v>20</v>
      </c>
    </row>
    <row r="5" spans="1:23" x14ac:dyDescent="0.25">
      <c r="A5" s="19">
        <v>1784.74</v>
      </c>
      <c r="B5" s="3">
        <v>55</v>
      </c>
      <c r="C5" s="3">
        <v>293.39</v>
      </c>
      <c r="D5" s="3" t="s">
        <v>4</v>
      </c>
      <c r="E5" s="4">
        <f>IF(D5="T",1,0)</f>
        <v>0</v>
      </c>
      <c r="F5" s="39">
        <f>E5*($U$2*C5+$U$3)-LN(1+EXP(($U$2*C5+$U$3)))</f>
        <v>-0.42481312182022019</v>
      </c>
      <c r="G5" s="21">
        <f>E5*($T$2*C5+$T$3*B5+$T$4)-LN(1+EXP(($T$2*C5+$T$3*B5+$T$4)))</f>
        <v>-0.35603174968646017</v>
      </c>
      <c r="H5" s="40">
        <f>1/(1+EXP(-$U$2*C5-$U$3))</f>
        <v>0.3461080281460519</v>
      </c>
      <c r="I5" s="21">
        <f>1/(1+EXP(-$T$2*C5-$T$3*B5-$T$4))</f>
        <v>0.29954961919776457</v>
      </c>
      <c r="J5" s="40">
        <f>$U$2*C5+$U$3</f>
        <v>-0.63619121075944296</v>
      </c>
      <c r="K5" s="42">
        <f>$T$2*C5+$T$3*B5+$T$4</f>
        <v>-0.84944345201420723</v>
      </c>
      <c r="L5" s="24">
        <v>-4.8499999999999996</v>
      </c>
      <c r="M5" s="25">
        <f t="shared" si="0"/>
        <v>7.7675700780150047E-3</v>
      </c>
      <c r="N5" s="3">
        <f>COUNT($E$3:E5)-O5</f>
        <v>3</v>
      </c>
      <c r="O5" s="3">
        <f>SUM($E$3:E5)</f>
        <v>0</v>
      </c>
      <c r="P5" s="3">
        <f t="shared" si="1"/>
        <v>0.953125</v>
      </c>
      <c r="Q5" s="4">
        <f t="shared" si="2"/>
        <v>1</v>
      </c>
      <c r="W5" s="17" t="s">
        <v>21</v>
      </c>
    </row>
    <row r="6" spans="1:23" ht="15.75" thickBot="1" x14ac:dyDescent="0.3">
      <c r="A6" s="19">
        <v>1932.75</v>
      </c>
      <c r="B6" s="3">
        <v>55</v>
      </c>
      <c r="C6" s="3">
        <v>354.66</v>
      </c>
      <c r="D6" s="3" t="s">
        <v>4</v>
      </c>
      <c r="E6" s="4">
        <f>IF(D6="T",1,0)</f>
        <v>0</v>
      </c>
      <c r="F6" s="39">
        <f>E6*($U$2*C6+$U$3)-LN(1+EXP(($U$2*C6+$U$3)))</f>
        <v>-0.44194876071940803</v>
      </c>
      <c r="G6" s="21">
        <f>E6*($T$2*C6+$T$3*B6+$T$4)-LN(1+EXP(($T$2*C6+$T$3*B6+$T$4)))</f>
        <v>-0.3697448510694909</v>
      </c>
      <c r="H6" s="40">
        <f>1/(1+EXP(-$U$2*C6-$U$3))</f>
        <v>0.35721742967177494</v>
      </c>
      <c r="I6" s="21">
        <f>1/(1+EXP(-$T$2*C6-$T$3*B6-$T$4))</f>
        <v>0.30908940675126523</v>
      </c>
      <c r="J6" s="40">
        <f>$U$2*C6+$U$3</f>
        <v>-0.58746187517710957</v>
      </c>
      <c r="K6" s="42">
        <f>$T$2*C6+$T$3*B6+$T$4</f>
        <v>-0.80437985062918871</v>
      </c>
      <c r="L6" s="24">
        <v>-4.8</v>
      </c>
      <c r="M6" s="25">
        <f t="shared" si="0"/>
        <v>8.1625711531598966E-3</v>
      </c>
      <c r="N6" s="3">
        <f>COUNT($E$3:E6)-O6</f>
        <v>4</v>
      </c>
      <c r="O6" s="3">
        <f>SUM($E$3:E6)</f>
        <v>0</v>
      </c>
      <c r="P6" s="3">
        <f t="shared" si="1"/>
        <v>0.9375</v>
      </c>
      <c r="Q6" s="4">
        <f t="shared" si="2"/>
        <v>1</v>
      </c>
      <c r="S6" s="33" t="s">
        <v>34</v>
      </c>
      <c r="T6" s="7">
        <f>SUM(G3:G129)</f>
        <v>-85.33721419054703</v>
      </c>
      <c r="U6" s="16">
        <f>SUM(F3:F129)</f>
        <v>-85.89288084767395</v>
      </c>
      <c r="W6" s="17" t="s">
        <v>23</v>
      </c>
    </row>
    <row r="7" spans="1:23" ht="15.75" thickTop="1" x14ac:dyDescent="0.25">
      <c r="A7" s="19">
        <v>1594.6</v>
      </c>
      <c r="B7" s="3">
        <v>58</v>
      </c>
      <c r="C7" s="3">
        <v>465.02</v>
      </c>
      <c r="D7" s="3" t="s">
        <v>5</v>
      </c>
      <c r="E7" s="4">
        <f>IF(D7="T",1,0)</f>
        <v>1</v>
      </c>
      <c r="F7" s="39">
        <f>E7*($U$2*C7+$U$3)-LN(1+EXP(($U$2*C7+$U$3)))</f>
        <v>-0.97388416835739333</v>
      </c>
      <c r="G7" s="21">
        <f>E7*($T$2*C7+$T$3*B7+$T$4)-LN(1+EXP(($T$2*C7+$T$3*B7+$T$4)))</f>
        <v>-1.1541796075361705</v>
      </c>
      <c r="H7" s="40">
        <f>1/(1+EXP(-$U$2*C7-$U$3))</f>
        <v>0.37761347163135101</v>
      </c>
      <c r="I7" s="21">
        <f>1/(1+EXP(-$T$2*C7-$T$3*B7-$T$4))</f>
        <v>0.31531611378512125</v>
      </c>
      <c r="J7" s="40">
        <f>$U$2*C7+$U$3</f>
        <v>-0.49969021735327562</v>
      </c>
      <c r="K7" s="42">
        <f>$T$2*C7+$T$3*B7+$T$4</f>
        <v>-0.7753815803233236</v>
      </c>
      <c r="L7" s="24">
        <v>-4.75</v>
      </c>
      <c r="M7" s="25">
        <f t="shared" si="0"/>
        <v>8.5774854137119841E-3</v>
      </c>
      <c r="N7" s="3">
        <f>COUNT($E$3:E7)-O7</f>
        <v>4</v>
      </c>
      <c r="O7" s="3">
        <f>SUM($E$3:E7)</f>
        <v>1</v>
      </c>
      <c r="P7" s="3">
        <f t="shared" si="1"/>
        <v>0.9375</v>
      </c>
      <c r="Q7" s="4">
        <f t="shared" si="2"/>
        <v>0.98412698412698407</v>
      </c>
      <c r="W7" s="17" t="s">
        <v>24</v>
      </c>
    </row>
    <row r="8" spans="1:23" ht="15.75" thickBot="1" x14ac:dyDescent="0.3">
      <c r="A8" s="19">
        <v>2252.5100000000002</v>
      </c>
      <c r="B8" s="3">
        <v>55</v>
      </c>
      <c r="C8" s="3">
        <v>394.28</v>
      </c>
      <c r="D8" s="3" t="s">
        <v>5</v>
      </c>
      <c r="E8" s="4">
        <f>IF(D8="T",1,0)</f>
        <v>1</v>
      </c>
      <c r="F8" s="39">
        <f>E8*($U$2*C8+$U$3)-LN(1+EXP(($U$2*C8+$U$3)))</f>
        <v>-1.0092704844464437</v>
      </c>
      <c r="G8" s="21">
        <f>E8*($T$2*C8+$T$3*B8+$T$4)-LN(1+EXP(($T$2*C8+$T$3*B8+$T$4)))</f>
        <v>-1.1540824346036478</v>
      </c>
      <c r="H8" s="40">
        <f>1/(1+EXP(-$U$2*C8-$U$3))</f>
        <v>0.36448477992297829</v>
      </c>
      <c r="I8" s="21">
        <f>1/(1+EXP(-$T$2*C8-$T$3*B8-$T$4))</f>
        <v>0.31534675546531626</v>
      </c>
      <c r="J8" s="40">
        <f>$U$2*C8+$U$3</f>
        <v>-0.55595124557417108</v>
      </c>
      <c r="K8" s="42">
        <f>$T$2*C8+$T$3*B8+$T$4</f>
        <v>-0.77523965335687883</v>
      </c>
      <c r="L8" s="24">
        <v>-4.7</v>
      </c>
      <c r="M8" s="25">
        <f t="shared" si="0"/>
        <v>9.0132986528478221E-3</v>
      </c>
      <c r="N8" s="3">
        <f>COUNT($E$3:E8)-O8</f>
        <v>4</v>
      </c>
      <c r="O8" s="3">
        <f>SUM($E$3:E8)</f>
        <v>2</v>
      </c>
      <c r="P8" s="3">
        <f t="shared" si="1"/>
        <v>0.9375</v>
      </c>
      <c r="Q8" s="4">
        <f t="shared" si="2"/>
        <v>0.96825396825396826</v>
      </c>
      <c r="S8" s="13" t="s">
        <v>15</v>
      </c>
      <c r="T8" s="11">
        <v>1</v>
      </c>
      <c r="U8" s="11">
        <v>0</v>
      </c>
      <c r="W8" s="17" t="s">
        <v>25</v>
      </c>
    </row>
    <row r="9" spans="1:23" ht="15.75" thickTop="1" x14ac:dyDescent="0.25">
      <c r="A9" s="19">
        <v>1762.31</v>
      </c>
      <c r="B9" s="3">
        <v>59</v>
      </c>
      <c r="C9" s="3">
        <v>492.12</v>
      </c>
      <c r="D9" s="3" t="s">
        <v>4</v>
      </c>
      <c r="E9" s="4">
        <f>IF(D9="T",1,0)</f>
        <v>0</v>
      </c>
      <c r="F9" s="39">
        <f>E9*($U$2*C9+$U$3)-LN(1+EXP(($U$2*C9+$U$3)))</f>
        <v>-0.48238741599727841</v>
      </c>
      <c r="G9" s="21">
        <f>E9*($T$2*C9+$T$3*B9+$T$4)-LN(1+EXP(($T$2*C9+$T$3*B9+$T$4)))</f>
        <v>-0.37960013950402932</v>
      </c>
      <c r="H9" s="40">
        <f>1/(1+EXP(-$U$2*C9-$U$3))</f>
        <v>0.3826921395079283</v>
      </c>
      <c r="I9" s="21">
        <f>1/(1+EXP(-$T$2*C9-$T$3*B9-$T$4))</f>
        <v>0.31586508694733484</v>
      </c>
      <c r="J9" s="40">
        <f>$U$2*C9+$U$3</f>
        <v>-0.47813701033056899</v>
      </c>
      <c r="K9" s="42">
        <f>$T$2*C9+$T$3*B9+$T$4</f>
        <v>-0.77283995709612319</v>
      </c>
      <c r="L9" s="24">
        <v>-4.6500000000000004</v>
      </c>
      <c r="M9" s="25">
        <f t="shared" si="0"/>
        <v>9.4710435819461078E-3</v>
      </c>
      <c r="N9" s="3">
        <f>COUNT($E$3:E9)-O9</f>
        <v>5</v>
      </c>
      <c r="O9" s="3">
        <f>SUM($E$3:E9)</f>
        <v>2</v>
      </c>
      <c r="P9" s="3">
        <f t="shared" si="1"/>
        <v>0.921875</v>
      </c>
      <c r="Q9" s="4">
        <f t="shared" si="2"/>
        <v>0.96825396825396826</v>
      </c>
      <c r="S9" s="12">
        <v>1</v>
      </c>
      <c r="T9" s="3" t="s">
        <v>14</v>
      </c>
      <c r="U9" s="4" t="s">
        <v>16</v>
      </c>
      <c r="W9" s="17" t="s">
        <v>26</v>
      </c>
    </row>
    <row r="10" spans="1:23" x14ac:dyDescent="0.25">
      <c r="A10" s="19">
        <v>1032.5899999999999</v>
      </c>
      <c r="B10" s="3">
        <v>49</v>
      </c>
      <c r="C10" s="3">
        <v>270.5</v>
      </c>
      <c r="D10" s="3" t="s">
        <v>5</v>
      </c>
      <c r="E10" s="4">
        <f>IF(D10="T",1,0)</f>
        <v>1</v>
      </c>
      <c r="F10" s="39">
        <f>E10*($U$2*C10+$U$3)-LN(1+EXP(($U$2*C10+$U$3)))</f>
        <v>-1.0729458058580925</v>
      </c>
      <c r="G10" s="21">
        <f>E10*($T$2*C10+$T$3*B10+$T$4)-LN(1+EXP(($T$2*C10+$T$3*B10+$T$4)))</f>
        <v>-1.1449942658537926</v>
      </c>
      <c r="H10" s="40">
        <f>1/(1+EXP(-$U$2*C10-$U$3))</f>
        <v>0.34199956773328538</v>
      </c>
      <c r="I10" s="21">
        <f>1/(1+EXP(-$T$2*C10-$T$3*B10-$T$4))</f>
        <v>0.31822574253812208</v>
      </c>
      <c r="J10" s="40">
        <f>$U$2*C10+$U$3</f>
        <v>-0.65439611514135265</v>
      </c>
      <c r="K10" s="42">
        <f>$T$2*C10+$T$3*B10+$T$4</f>
        <v>-0.76193758913322973</v>
      </c>
      <c r="L10" s="24">
        <v>-4.5999999999999996</v>
      </c>
      <c r="M10" s="25">
        <f t="shared" si="0"/>
        <v>9.9518018669043241E-3</v>
      </c>
      <c r="N10" s="3">
        <f>COUNT($E$3:E10)-O10</f>
        <v>5</v>
      </c>
      <c r="O10" s="3">
        <f>SUM($E$3:E10)</f>
        <v>3</v>
      </c>
      <c r="P10" s="3">
        <f t="shared" si="1"/>
        <v>0.921875</v>
      </c>
      <c r="Q10" s="4">
        <f t="shared" si="2"/>
        <v>0.95238095238095233</v>
      </c>
      <c r="S10" s="11">
        <v>0</v>
      </c>
      <c r="T10" s="5" t="s">
        <v>17</v>
      </c>
      <c r="U10" s="6" t="s">
        <v>18</v>
      </c>
    </row>
    <row r="11" spans="1:23" x14ac:dyDescent="0.25">
      <c r="A11" s="19">
        <v>1068.79</v>
      </c>
      <c r="B11" s="3">
        <v>46</v>
      </c>
      <c r="C11" s="3">
        <v>223.18</v>
      </c>
      <c r="D11" s="3" t="s">
        <v>5</v>
      </c>
      <c r="E11" s="4">
        <f>IF(D11="T",1,0)</f>
        <v>1</v>
      </c>
      <c r="F11" s="39">
        <f>E11*($U$2*C11+$U$3)-LN(1+EXP(($U$2*C11+$U$3)))</f>
        <v>-1.0978681192741502</v>
      </c>
      <c r="G11" s="21">
        <f>E11*($T$2*C11+$T$3*B11+$T$4)-LN(1+EXP(($T$2*C11+$T$3*B11+$T$4)))</f>
        <v>-1.1331865764661004</v>
      </c>
      <c r="H11" s="40">
        <f>1/(1+EXP(-$U$2*C11-$U$3))</f>
        <v>0.33358148211890043</v>
      </c>
      <c r="I11" s="21">
        <f>1/(1+EXP(-$T$2*C11-$T$3*B11-$T$4))</f>
        <v>0.32200552459225679</v>
      </c>
      <c r="J11" s="40">
        <f>$U$2*C11+$U$3</f>
        <v>-0.69203071869539245</v>
      </c>
      <c r="K11" s="42">
        <f>$T$2*C11+$T$3*B11+$T$4</f>
        <v>-0.74457043702500036</v>
      </c>
      <c r="L11" s="24">
        <v>-4.55</v>
      </c>
      <c r="M11" s="25">
        <f t="shared" si="0"/>
        <v>1.0456706231918071E-2</v>
      </c>
      <c r="N11" s="3">
        <f>COUNT($E$3:E11)-O11</f>
        <v>5</v>
      </c>
      <c r="O11" s="3">
        <f>SUM($E$3:E11)</f>
        <v>4</v>
      </c>
      <c r="P11" s="3">
        <f t="shared" si="1"/>
        <v>0.921875</v>
      </c>
      <c r="Q11" s="4">
        <f t="shared" si="2"/>
        <v>0.93650793650793651</v>
      </c>
    </row>
    <row r="12" spans="1:23" x14ac:dyDescent="0.25">
      <c r="A12" s="19">
        <v>2597.84</v>
      </c>
      <c r="B12" s="3">
        <v>43</v>
      </c>
      <c r="C12" s="3">
        <v>208.35</v>
      </c>
      <c r="D12" s="3" t="s">
        <v>4</v>
      </c>
      <c r="E12" s="4">
        <f>IF(D12="T",1,0)</f>
        <v>0</v>
      </c>
      <c r="F12" s="39">
        <f>E12*($U$2*C12+$U$3)-LN(1+EXP(($U$2*C12+$U$3)))</f>
        <v>-0.40191837795290419</v>
      </c>
      <c r="G12" s="21">
        <f>E12*($T$2*C12+$T$3*B12+$T$4)-LN(1+EXP(($T$2*C12+$T$3*B12+$T$4)))</f>
        <v>-0.40208990929290495</v>
      </c>
      <c r="H12" s="40">
        <f>1/(1+EXP(-$U$2*C12-$U$3))</f>
        <v>0.33096464850323376</v>
      </c>
      <c r="I12" s="21">
        <f>1/(1+EXP(-$T$2*C12-$T$3*B12-$T$4))</f>
        <v>0.33107939919163282</v>
      </c>
      <c r="J12" s="40">
        <f>$U$2*C12+$U$3</f>
        <v>-0.70382533346095477</v>
      </c>
      <c r="K12" s="42">
        <f>$T$2*C12+$T$3*B12+$T$4</f>
        <v>-0.70330714636610603</v>
      </c>
      <c r="L12" s="24">
        <v>-4.5</v>
      </c>
      <c r="M12" s="25">
        <f t="shared" si="0"/>
        <v>1.098694263059318E-2</v>
      </c>
      <c r="N12" s="3">
        <f>COUNT($E$3:E12)-O12</f>
        <v>6</v>
      </c>
      <c r="O12" s="3">
        <f>SUM($E$3:E12)</f>
        <v>4</v>
      </c>
      <c r="P12" s="3">
        <f t="shared" si="1"/>
        <v>0.90625</v>
      </c>
      <c r="Q12" s="4">
        <f t="shared" si="2"/>
        <v>0.93650793650793651</v>
      </c>
      <c r="S12" s="34" t="s">
        <v>27</v>
      </c>
      <c r="T12" s="35">
        <f>MIN(C3:C129)</f>
        <v>208.35</v>
      </c>
      <c r="V12" s="34" t="s">
        <v>38</v>
      </c>
      <c r="W12" s="35">
        <f>$T$12*$T$2+$T$15*$T$3+$T$4</f>
        <v>-0.99894076511685292</v>
      </c>
    </row>
    <row r="13" spans="1:23" x14ac:dyDescent="0.25">
      <c r="A13" s="19">
        <v>1811.81</v>
      </c>
      <c r="B13" s="3">
        <v>44</v>
      </c>
      <c r="C13" s="3">
        <v>255.93</v>
      </c>
      <c r="D13" s="3" t="s">
        <v>5</v>
      </c>
      <c r="E13" s="4">
        <f>IF(D13="T",1,0)</f>
        <v>1</v>
      </c>
      <c r="F13" s="39">
        <f>E13*($U$2*C13+$U$3)-LN(1+EXP(($U$2*C13+$U$3)))</f>
        <v>-1.0805856939797138</v>
      </c>
      <c r="G13" s="21">
        <f>E13*($T$2*C13+$T$3*B13+$T$4)-LN(1+EXP(($T$2*C13+$T$3*B13+$T$4)))</f>
        <v>-1.0936554278078212</v>
      </c>
      <c r="H13" s="40">
        <f>1/(1+EXP(-$U$2*C13-$U$3))</f>
        <v>0.33939668482565072</v>
      </c>
      <c r="I13" s="21">
        <f>1/(1+EXP(-$T$2*C13-$T$3*B13-$T$4))</f>
        <v>0.33498972213966505</v>
      </c>
      <c r="J13" s="40">
        <f>$U$2*C13+$U$3</f>
        <v>-0.66598394637090375</v>
      </c>
      <c r="K13" s="42">
        <f>$T$2*C13+$T$3*B13+$T$4</f>
        <v>-0.68570264479117948</v>
      </c>
      <c r="L13" s="24">
        <v>-4.45</v>
      </c>
      <c r="M13" s="25">
        <f t="shared" si="0"/>
        <v>1.1543752483922289E-2</v>
      </c>
      <c r="N13" s="3">
        <f>COUNT($E$3:E13)-O13</f>
        <v>6</v>
      </c>
      <c r="O13" s="3">
        <f>SUM($E$3:E13)</f>
        <v>5</v>
      </c>
      <c r="P13" s="3">
        <f t="shared" si="1"/>
        <v>0.90625</v>
      </c>
      <c r="Q13" s="4">
        <f t="shared" si="2"/>
        <v>0.92063492063492058</v>
      </c>
      <c r="S13" s="34" t="s">
        <v>35</v>
      </c>
      <c r="T13" s="36">
        <f>MAX(C3:C129)</f>
        <v>2624.39</v>
      </c>
      <c r="V13" s="34" t="s">
        <v>39</v>
      </c>
      <c r="W13" s="37">
        <f>$T$13*$T$2+$T$14*$T$3+$T$4</f>
        <v>1.4562558864906809</v>
      </c>
    </row>
    <row r="14" spans="1:23" x14ac:dyDescent="0.25">
      <c r="A14" s="19">
        <v>1560.59</v>
      </c>
      <c r="B14" s="3">
        <v>44</v>
      </c>
      <c r="C14" s="3">
        <v>342.14</v>
      </c>
      <c r="D14" s="3" t="s">
        <v>5</v>
      </c>
      <c r="E14" s="4">
        <f>IF(D14="T",1,0)</f>
        <v>1</v>
      </c>
      <c r="F14" s="39">
        <f>E14*($U$2*C14+$U$3)-LN(1+EXP(($U$2*C14+$U$3)))</f>
        <v>-1.0358224658534565</v>
      </c>
      <c r="G14" s="21">
        <f>E14*($T$2*C14+$T$3*B14+$T$4)-LN(1+EXP(($T$2*C14+$T$3*B14+$T$4)))</f>
        <v>-1.0519401607266921</v>
      </c>
      <c r="H14" s="40">
        <f>1/(1+EXP(-$U$2*C14-$U$3))</f>
        <v>0.3549343394699187</v>
      </c>
      <c r="I14" s="21">
        <f>1/(1+EXP(-$T$2*C14-$T$3*B14-$T$4))</f>
        <v>0.34925947182978007</v>
      </c>
      <c r="J14" s="40">
        <f>$U$2*C14+$U$3</f>
        <v>-0.59741929775734159</v>
      </c>
      <c r="K14" s="42">
        <f>$T$2*C14+$T$3*B14+$T$4</f>
        <v>-0.62229587026200628</v>
      </c>
      <c r="L14" s="24">
        <v>-4.4000000000000004</v>
      </c>
      <c r="M14" s="25">
        <f t="shared" si="0"/>
        <v>1.2128434984274237E-2</v>
      </c>
      <c r="N14" s="3">
        <f>COUNT($E$3:E14)-O14</f>
        <v>6</v>
      </c>
      <c r="O14" s="3">
        <f>SUM($E$3:E14)</f>
        <v>6</v>
      </c>
      <c r="P14" s="3">
        <f t="shared" si="1"/>
        <v>0.90625</v>
      </c>
      <c r="Q14" s="4">
        <f t="shared" si="2"/>
        <v>0.90476190476190477</v>
      </c>
      <c r="S14" s="34" t="s">
        <v>36</v>
      </c>
      <c r="T14" s="36">
        <f>MIN(B3:B129)</f>
        <v>21</v>
      </c>
    </row>
    <row r="15" spans="1:23" x14ac:dyDescent="0.25">
      <c r="A15" s="19">
        <v>1035.27</v>
      </c>
      <c r="B15" s="3">
        <v>45</v>
      </c>
      <c r="C15" s="3">
        <v>393.5</v>
      </c>
      <c r="D15" s="3" t="s">
        <v>5</v>
      </c>
      <c r="E15" s="4">
        <f>IF(D15="T",1,0)</f>
        <v>1</v>
      </c>
      <c r="F15" s="39">
        <f>E15*($U$2*C15+$U$3)-LN(1+EXP(($U$2*C15+$U$3)))</f>
        <v>-1.0096647712678684</v>
      </c>
      <c r="G15" s="21">
        <f>E15*($T$2*C15+$T$3*B15+$T$4)-LN(1+EXP(($T$2*C15+$T$3*B15+$T$4)))</f>
        <v>-1.0387223520860263</v>
      </c>
      <c r="H15" s="40">
        <f>1/(1+EXP(-$U$2*C15-$U$3))</f>
        <v>0.3643410967057058</v>
      </c>
      <c r="I15" s="21">
        <f>1/(1+EXP(-$T$2*C15-$T$3*B15-$T$4))</f>
        <v>0.35390656120568764</v>
      </c>
      <c r="J15" s="40">
        <f>$U$2*C15+$U$3</f>
        <v>-0.55657159618220464</v>
      </c>
      <c r="K15" s="42">
        <f>$T$2*C15+$T$3*B15+$T$4</f>
        <v>-0.6019112085232905</v>
      </c>
      <c r="L15" s="24">
        <v>-4.3499999999999996</v>
      </c>
      <c r="M15" s="25">
        <f t="shared" si="0"/>
        <v>1.2742349464111609E-2</v>
      </c>
      <c r="N15" s="3">
        <f>COUNT($E$3:E15)-O15</f>
        <v>6</v>
      </c>
      <c r="O15" s="3">
        <f>SUM($E$3:E15)</f>
        <v>7</v>
      </c>
      <c r="P15" s="3">
        <f t="shared" si="1"/>
        <v>0.90625</v>
      </c>
      <c r="Q15" s="4">
        <f t="shared" si="2"/>
        <v>0.88888888888888884</v>
      </c>
      <c r="S15" s="34" t="s">
        <v>37</v>
      </c>
      <c r="T15" s="37">
        <f>MAX(B3:B129)</f>
        <v>60</v>
      </c>
    </row>
    <row r="16" spans="1:23" x14ac:dyDescent="0.25">
      <c r="A16" s="19">
        <v>1280.25</v>
      </c>
      <c r="B16" s="3">
        <v>51</v>
      </c>
      <c r="C16" s="3">
        <v>564.71</v>
      </c>
      <c r="D16" s="3" t="s">
        <v>4</v>
      </c>
      <c r="E16" s="4">
        <f>IF(D16="T",1,0)</f>
        <v>0</v>
      </c>
      <c r="F16" s="39">
        <f>E16*($U$2*C16+$U$3)-LN(1+EXP(($U$2*C16+$U$3)))</f>
        <v>-0.50487656777373313</v>
      </c>
      <c r="G16" s="21">
        <f>E16*($T$2*C16+$T$3*B16+$T$4)-LN(1+EXP(($T$2*C16+$T$3*B16+$T$4)))</f>
        <v>-0.44450263543290658</v>
      </c>
      <c r="H16" s="40">
        <f>1/(1+EXP(-$U$2*C16-$U$3))</f>
        <v>0.39641992793867192</v>
      </c>
      <c r="I16" s="21">
        <f>1/(1+EXP(-$T$2*C16-$T$3*B16-$T$4))</f>
        <v>0.35885692140507203</v>
      </c>
      <c r="J16" s="40">
        <f>$U$2*C16+$U$3</f>
        <v>-0.42040463771882458</v>
      </c>
      <c r="K16" s="42">
        <f>$T$2*C16+$T$3*B16+$T$4</f>
        <v>-0.58032888212034539</v>
      </c>
      <c r="L16" s="24">
        <v>-4.3</v>
      </c>
      <c r="M16" s="25">
        <f t="shared" si="0"/>
        <v>1.3386917827664779E-2</v>
      </c>
      <c r="N16" s="3">
        <f>COUNT($E$3:E16)-O16</f>
        <v>7</v>
      </c>
      <c r="O16" s="3">
        <f>SUM($E$3:E16)</f>
        <v>7</v>
      </c>
      <c r="P16" s="3">
        <f t="shared" si="1"/>
        <v>0.890625</v>
      </c>
      <c r="Q16" s="4">
        <f>($O$129-O16)/O$129</f>
        <v>0.88888888888888884</v>
      </c>
    </row>
    <row r="17" spans="1:17" x14ac:dyDescent="0.25">
      <c r="A17" s="19">
        <v>2132.9</v>
      </c>
      <c r="B17" s="3">
        <v>53</v>
      </c>
      <c r="C17" s="3">
        <v>676.81</v>
      </c>
      <c r="D17" s="3" t="s">
        <v>5</v>
      </c>
      <c r="E17" s="4">
        <f>IF(D17="T",1,0)</f>
        <v>1</v>
      </c>
      <c r="F17" s="39">
        <f>E17*($U$2*C17+$U$3)-LN(1+EXP(($U$2*C17+$U$3)))</f>
        <v>-0.87242523616893386</v>
      </c>
      <c r="G17" s="21">
        <f>E17*($T$2*C17+$T$3*B17+$T$4)-LN(1+EXP(($T$2*C17+$T$3*B17+$T$4)))</f>
        <v>-0.99453190852965734</v>
      </c>
      <c r="H17" s="40">
        <f>1/(1+EXP(-$U$2*C17-$U$3))</f>
        <v>0.41793672389036757</v>
      </c>
      <c r="I17" s="21">
        <f>1/(1+EXP(-$T$2*C17-$T$3*B17-$T$4))</f>
        <v>0.36989654944613909</v>
      </c>
      <c r="J17" s="40">
        <f>$U$2*C17+$U$3</f>
        <v>-0.33124912084630032</v>
      </c>
      <c r="K17" s="42">
        <f>$T$2*C17+$T$3*B17+$T$4</f>
        <v>-0.53266064268091806</v>
      </c>
      <c r="L17" s="24">
        <v>-4.25</v>
      </c>
      <c r="M17" s="25">
        <f t="shared" si="0"/>
        <v>1.4063627043245475E-2</v>
      </c>
      <c r="N17" s="3">
        <f>COUNT($E$3:E17)-O17</f>
        <v>7</v>
      </c>
      <c r="O17" s="3">
        <f>SUM($E$3:E17)</f>
        <v>8</v>
      </c>
      <c r="P17" s="3">
        <f t="shared" si="1"/>
        <v>0.890625</v>
      </c>
      <c r="Q17" s="4">
        <f t="shared" si="2"/>
        <v>0.87301587301587302</v>
      </c>
    </row>
    <row r="18" spans="1:17" x14ac:dyDescent="0.25">
      <c r="A18" s="19">
        <v>3109.03</v>
      </c>
      <c r="B18" s="3">
        <v>49</v>
      </c>
      <c r="C18" s="3">
        <v>585.29999999999995</v>
      </c>
      <c r="D18" s="3" t="s">
        <v>4</v>
      </c>
      <c r="E18" s="4">
        <f>IF(D18="T",1,0)</f>
        <v>0</v>
      </c>
      <c r="F18" s="39">
        <f>E18*($U$2*C18+$U$3)-LN(1+EXP(($U$2*C18+$U$3)))</f>
        <v>-0.51140032560752913</v>
      </c>
      <c r="G18" s="21">
        <f>E18*($T$2*C18+$T$3*B18+$T$4)-LN(1+EXP(($T$2*C18+$T$3*B18+$T$4)))</f>
        <v>-0.46270633413091139</v>
      </c>
      <c r="H18" s="40">
        <f>1/(1+EXP(-$U$2*C18-$U$3))</f>
        <v>0.40034472203923971</v>
      </c>
      <c r="I18" s="21">
        <f>1/(1+EXP(-$T$2*C18-$T$3*B18-$T$4))</f>
        <v>0.37042250921545888</v>
      </c>
      <c r="J18" s="40">
        <f>$U$2*C18+$U$3</f>
        <v>-0.40402897230932172</v>
      </c>
      <c r="K18" s="42">
        <f>$T$2*C18+$T$3*B18+$T$4</f>
        <v>-0.53040467390548685</v>
      </c>
      <c r="L18" s="24">
        <v>-4.2</v>
      </c>
      <c r="M18" s="25">
        <f t="shared" si="0"/>
        <v>1.4774031693273055E-2</v>
      </c>
      <c r="N18" s="3">
        <f>COUNT($E$3:E18)-O18</f>
        <v>8</v>
      </c>
      <c r="O18" s="3">
        <f>SUM($E$3:E18)</f>
        <v>8</v>
      </c>
      <c r="P18" s="3">
        <f t="shared" si="1"/>
        <v>0.875</v>
      </c>
      <c r="Q18" s="4">
        <f t="shared" si="2"/>
        <v>0.87301587301587302</v>
      </c>
    </row>
    <row r="19" spans="1:17" x14ac:dyDescent="0.25">
      <c r="A19" s="19">
        <v>1527.73</v>
      </c>
      <c r="B19" s="3">
        <v>45</v>
      </c>
      <c r="C19" s="3">
        <v>520.85</v>
      </c>
      <c r="D19" s="3" t="s">
        <v>5</v>
      </c>
      <c r="E19" s="4">
        <f>IF(D19="T",1,0)</f>
        <v>1</v>
      </c>
      <c r="F19" s="39">
        <f>E19*($U$2*C19+$U$3)-LN(1+EXP(($U$2*C19+$U$3)))</f>
        <v>-0.94648098016244719</v>
      </c>
      <c r="G19" s="21">
        <f>E19*($T$2*C19+$T$3*B19+$T$4)-LN(1+EXP(($T$2*C19+$T$3*B19+$T$4)))</f>
        <v>-0.97921794841987286</v>
      </c>
      <c r="H19" s="40">
        <f>1/(1+EXP(-$U$2*C19-$U$3))</f>
        <v>0.38810437020324345</v>
      </c>
      <c r="I19" s="21">
        <f>1/(1+EXP(-$T$2*C19-$T$3*B19-$T$4))</f>
        <v>0.37560472629023156</v>
      </c>
      <c r="J19" s="40">
        <f>$U$2*C19+$U$3</f>
        <v>-0.45528742960133056</v>
      </c>
      <c r="K19" s="42">
        <f>$T$2*C19+$T$3*B19+$T$4</f>
        <v>-0.508246288719437</v>
      </c>
      <c r="L19" s="24">
        <v>-4.1500000000000004</v>
      </c>
      <c r="M19" s="25">
        <f t="shared" si="0"/>
        <v>1.5519756578408886E-2</v>
      </c>
      <c r="N19" s="3">
        <f>COUNT($E$3:E19)-O19</f>
        <v>8</v>
      </c>
      <c r="O19" s="3">
        <f>SUM($E$3:E19)</f>
        <v>9</v>
      </c>
      <c r="P19" s="3">
        <f t="shared" si="1"/>
        <v>0.875</v>
      </c>
      <c r="Q19" s="4">
        <f t="shared" si="2"/>
        <v>0.8571428571428571</v>
      </c>
    </row>
    <row r="20" spans="1:17" x14ac:dyDescent="0.25">
      <c r="A20" s="19">
        <v>1321.66</v>
      </c>
      <c r="B20" s="3">
        <v>46</v>
      </c>
      <c r="C20" s="3">
        <v>566.44000000000005</v>
      </c>
      <c r="D20" s="3" t="s">
        <v>4</v>
      </c>
      <c r="E20" s="4">
        <f>IF(D20="T",1,0)</f>
        <v>0</v>
      </c>
      <c r="F20" s="39">
        <f>E20*($U$2*C20+$U$3)-LN(1+EXP(($U$2*C20+$U$3)))</f>
        <v>-0.50542223077164405</v>
      </c>
      <c r="G20" s="21">
        <f>E20*($T$2*C20+$T$3*B20+$T$4)-LN(1+EXP(($T$2*C20+$T$3*B20+$T$4)))</f>
        <v>-0.47706483848112452</v>
      </c>
      <c r="H20" s="40">
        <f>1/(1+EXP(-$U$2*C20-$U$3))</f>
        <v>0.39674918940920179</v>
      </c>
      <c r="I20" s="21">
        <f>1/(1+EXP(-$T$2*C20-$T$3*B20-$T$4))</f>
        <v>0.37939771092091207</v>
      </c>
      <c r="J20" s="40">
        <f>$U$2*C20+$U$3</f>
        <v>-0.41902873188305767</v>
      </c>
      <c r="K20" s="42">
        <f>$T$2*C20+$T$3*B20+$T$4</f>
        <v>-0.49210541643708727</v>
      </c>
      <c r="L20" s="24">
        <v>-4.0999999999999996</v>
      </c>
      <c r="M20" s="25">
        <f t="shared" si="0"/>
        <v>1.6302499371440946E-2</v>
      </c>
      <c r="N20" s="3">
        <f>COUNT($E$3:E20)-O20</f>
        <v>9</v>
      </c>
      <c r="O20" s="3">
        <f>SUM($E$3:E20)</f>
        <v>9</v>
      </c>
      <c r="P20" s="3">
        <f t="shared" si="1"/>
        <v>0.859375</v>
      </c>
      <c r="Q20" s="4">
        <f t="shared" si="2"/>
        <v>0.8571428571428571</v>
      </c>
    </row>
    <row r="21" spans="1:17" x14ac:dyDescent="0.25">
      <c r="A21" s="19">
        <v>2186.23</v>
      </c>
      <c r="B21" s="3">
        <v>53</v>
      </c>
      <c r="C21" s="3">
        <v>740.77</v>
      </c>
      <c r="D21" s="3" t="s">
        <v>4</v>
      </c>
      <c r="E21" s="4">
        <f>IF(D21="T",1,0)</f>
        <v>0</v>
      </c>
      <c r="F21" s="39">
        <f>E21*($U$2*C21+$U$3)-LN(1+EXP(($U$2*C21+$U$3)))</f>
        <v>-0.56275161916751248</v>
      </c>
      <c r="G21" s="21">
        <f>E21*($T$2*C21+$T$3*B21+$T$4)-LN(1+EXP(($T$2*C21+$T$3*B21+$T$4)))</f>
        <v>-0.47953089056654297</v>
      </c>
      <c r="H21" s="40">
        <f>1/(1+EXP(-$U$2*C21-$U$3))</f>
        <v>0.43036052551350779</v>
      </c>
      <c r="I21" s="21">
        <f>1/(1+EXP(-$T$2*C21-$T$3*B21-$T$4))</f>
        <v>0.38092626297097937</v>
      </c>
      <c r="J21" s="40">
        <f>$U$2*C21+$U$3</f>
        <v>-0.2803803709875432</v>
      </c>
      <c r="K21" s="42">
        <f>$T$2*C21+$T$3*B21+$T$4</f>
        <v>-0.48561856752854704</v>
      </c>
      <c r="L21" s="24">
        <v>-4.05</v>
      </c>
      <c r="M21" s="25">
        <f t="shared" si="0"/>
        <v>1.7124033315727736E-2</v>
      </c>
      <c r="N21" s="3">
        <f>COUNT($E$3:E21)-O21</f>
        <v>10</v>
      </c>
      <c r="O21" s="3">
        <f>SUM($E$3:E21)</f>
        <v>9</v>
      </c>
      <c r="P21" s="3">
        <f t="shared" si="1"/>
        <v>0.84375</v>
      </c>
      <c r="Q21" s="4">
        <f t="shared" si="2"/>
        <v>0.8571428571428571</v>
      </c>
    </row>
    <row r="22" spans="1:17" x14ac:dyDescent="0.25">
      <c r="A22" s="19">
        <v>1450.65</v>
      </c>
      <c r="B22" s="3">
        <v>60</v>
      </c>
      <c r="C22" s="3">
        <v>913</v>
      </c>
      <c r="D22" s="3" t="s">
        <v>5</v>
      </c>
      <c r="E22" s="4">
        <f>IF(D22="T",1,0)</f>
        <v>1</v>
      </c>
      <c r="F22" s="39">
        <f>E22*($U$2*C22+$U$3)-LN(1+EXP(($U$2*C22+$U$3)))</f>
        <v>-0.76741659677360674</v>
      </c>
      <c r="G22" s="21">
        <f>E22*($T$2*C22+$T$3*B22+$T$4)-LN(1+EXP(($T$2*C22+$T$3*B22+$T$4)))</f>
        <v>-0.9620926816504265</v>
      </c>
      <c r="H22" s="40">
        <f>1/(1+EXP(-$U$2*C22-$U$3))</f>
        <v>0.4642107641653167</v>
      </c>
      <c r="I22" s="21">
        <f>1/(1+EXP(-$T$2*C22-$T$3*B22-$T$4))</f>
        <v>0.38209245087858568</v>
      </c>
      <c r="J22" s="40">
        <f>$U$2*C22+$U$3</f>
        <v>-0.14340218480596545</v>
      </c>
      <c r="K22" s="42">
        <f>$T$2*C22+$T$3*B22+$T$4</f>
        <v>-0.48067625204433395</v>
      </c>
      <c r="L22" s="24">
        <v>-4</v>
      </c>
      <c r="M22" s="25">
        <f t="shared" si="0"/>
        <v>1.7986209962091559E-2</v>
      </c>
      <c r="N22" s="3">
        <f>COUNT($E$3:E22)-O22</f>
        <v>10</v>
      </c>
      <c r="O22" s="3">
        <f>SUM($E$3:E22)</f>
        <v>10</v>
      </c>
      <c r="P22" s="3">
        <f t="shared" si="1"/>
        <v>0.84375</v>
      </c>
      <c r="Q22" s="4">
        <f t="shared" si="2"/>
        <v>0.84126984126984128</v>
      </c>
    </row>
    <row r="23" spans="1:17" x14ac:dyDescent="0.25">
      <c r="A23" s="19">
        <v>2505.3000000000002</v>
      </c>
      <c r="B23" s="3">
        <v>44</v>
      </c>
      <c r="C23" s="3">
        <v>567.04999999999995</v>
      </c>
      <c r="D23" s="3" t="s">
        <v>4</v>
      </c>
      <c r="E23" s="4">
        <f>IF(D23="T",1,0)</f>
        <v>0</v>
      </c>
      <c r="F23" s="39">
        <f>E23*($U$2*C23+$U$3)-LN(1+EXP(($U$2*C23+$U$3)))</f>
        <v>-0.50561474021643971</v>
      </c>
      <c r="G23" s="21">
        <f>E23*($T$2*C23+$T$3*B23+$T$4)-LN(1+EXP(($T$2*C23+$T$3*B23+$T$4)))</f>
        <v>-0.49057718703020625</v>
      </c>
      <c r="H23" s="40">
        <f>1/(1+EXP(-$U$2*C23-$U$3))</f>
        <v>0.39686530971033523</v>
      </c>
      <c r="I23" s="21">
        <f>1/(1+EXP(-$T$2*C23-$T$3*B23-$T$4))</f>
        <v>0.38772710379763015</v>
      </c>
      <c r="J23" s="40">
        <f>$U$2*C23+$U$3</f>
        <v>-0.41854358589472379</v>
      </c>
      <c r="K23" s="42">
        <f>$T$2*C23+$T$3*B23+$T$4</f>
        <v>-0.45687634051654369</v>
      </c>
      <c r="L23" s="24">
        <v>-3.95</v>
      </c>
      <c r="M23" s="25">
        <f t="shared" si="0"/>
        <v>1.8890961937039048E-2</v>
      </c>
      <c r="N23" s="3">
        <f>COUNT($E$3:E23)-O23</f>
        <v>11</v>
      </c>
      <c r="O23" s="3">
        <f>SUM($E$3:E23)</f>
        <v>10</v>
      </c>
      <c r="P23" s="3">
        <f t="shared" si="1"/>
        <v>0.828125</v>
      </c>
      <c r="Q23" s="4">
        <f t="shared" si="2"/>
        <v>0.84126984126984128</v>
      </c>
    </row>
    <row r="24" spans="1:17" x14ac:dyDescent="0.25">
      <c r="A24" s="19">
        <v>2441.2199999999998</v>
      </c>
      <c r="B24" s="3">
        <v>51</v>
      </c>
      <c r="C24" s="3">
        <v>735</v>
      </c>
      <c r="D24" s="3" t="s">
        <v>4</v>
      </c>
      <c r="E24" s="4">
        <f>IF(D24="T",1,0)</f>
        <v>0</v>
      </c>
      <c r="F24" s="39">
        <f>E24*($U$2*C24+$U$3)-LN(1+EXP(($U$2*C24+$U$3)))</f>
        <v>-0.56077927380920678</v>
      </c>
      <c r="G24" s="21">
        <f>E24*($T$2*C24+$T$3*B24+$T$4)-LN(1+EXP(($T$2*C24+$T$3*B24+$T$4)))</f>
        <v>-0.49127331038392241</v>
      </c>
      <c r="H24" s="40">
        <f>1/(1+EXP(-$U$2*C24-$U$3))</f>
        <v>0.42923589102086857</v>
      </c>
      <c r="I24" s="21">
        <f>1/(1+EXP(-$T$2*C24-$T$3*B24-$T$4))</f>
        <v>0.38815317294397683</v>
      </c>
      <c r="J24" s="40">
        <f>$U$2*C24+$U$3</f>
        <v>-0.28496937484440732</v>
      </c>
      <c r="K24" s="42">
        <f>$T$2*C24+$T$3*B24+$T$4</f>
        <v>-0.45508193124953122</v>
      </c>
      <c r="L24" s="24">
        <v>-3.9</v>
      </c>
      <c r="M24" s="25">
        <f t="shared" si="0"/>
        <v>1.984030573407751E-2</v>
      </c>
      <c r="N24" s="3">
        <f>COUNT($E$3:E24)-O24</f>
        <v>12</v>
      </c>
      <c r="O24" s="3">
        <f>SUM($E$3:E24)</f>
        <v>10</v>
      </c>
      <c r="P24" s="3">
        <f t="shared" si="1"/>
        <v>0.8125</v>
      </c>
      <c r="Q24" s="4">
        <f t="shared" si="2"/>
        <v>0.84126984126984128</v>
      </c>
    </row>
    <row r="25" spans="1:17" x14ac:dyDescent="0.25">
      <c r="A25" s="19">
        <v>1430.69</v>
      </c>
      <c r="B25" s="3">
        <v>34</v>
      </c>
      <c r="C25" s="3">
        <v>378.56</v>
      </c>
      <c r="D25" s="3" t="s">
        <v>4</v>
      </c>
      <c r="E25" s="4">
        <f>IF(D25="T",1,0)</f>
        <v>0</v>
      </c>
      <c r="F25" s="39">
        <f>E25*($U$2*C25+$U$3)-LN(1+EXP(($U$2*C25+$U$3)))</f>
        <v>-0.44878036896450579</v>
      </c>
      <c r="G25" s="21">
        <f>E25*($T$2*C25+$T$3*B25+$T$4)-LN(1+EXP(($T$2*C25+$T$3*B25+$T$4)))</f>
        <v>-0.50440005318330938</v>
      </c>
      <c r="H25" s="40">
        <f>1/(1+EXP(-$U$2*C25-$U$3))</f>
        <v>0.3615937028666536</v>
      </c>
      <c r="I25" s="21">
        <f>1/(1+EXP(-$T$2*C25-$T$3*B25-$T$4))</f>
        <v>0.39613224469065678</v>
      </c>
      <c r="J25" s="40">
        <f>$U$2*C25+$U$3</f>
        <v>-0.56845369628992559</v>
      </c>
      <c r="K25" s="42">
        <f>$T$2*C25+$T$3*B25+$T$4</f>
        <v>-0.42160711905461856</v>
      </c>
      <c r="L25" s="24">
        <v>-3.85</v>
      </c>
      <c r="M25" s="25">
        <f t="shared" si="0"/>
        <v>2.0836344518680425E-2</v>
      </c>
      <c r="N25" s="3">
        <f>COUNT($E$3:E25)-O25</f>
        <v>13</v>
      </c>
      <c r="O25" s="3">
        <f>SUM($E$3:E25)</f>
        <v>10</v>
      </c>
      <c r="P25" s="3">
        <f t="shared" si="1"/>
        <v>0.796875</v>
      </c>
      <c r="Q25" s="4">
        <f t="shared" si="2"/>
        <v>0.84126984126984128</v>
      </c>
    </row>
    <row r="26" spans="1:17" x14ac:dyDescent="0.25">
      <c r="A26" s="19">
        <v>2405.0300000000002</v>
      </c>
      <c r="B26" s="3">
        <v>55</v>
      </c>
      <c r="C26" s="3">
        <v>877.3</v>
      </c>
      <c r="D26" s="3" t="s">
        <v>4</v>
      </c>
      <c r="E26" s="4">
        <f>IF(D26="T",1,0)</f>
        <v>0</v>
      </c>
      <c r="F26" s="39">
        <f>E26*($U$2*C26+$U$3)-LN(1+EXP(($U$2*C26+$U$3)))</f>
        <v>-0.610934272178009</v>
      </c>
      <c r="G26" s="21">
        <f>E26*($T$2*C26+$T$3*B26+$T$4)-LN(1+EXP(($T$2*C26+$T$3*B26+$T$4)))</f>
        <v>-0.50504402968058049</v>
      </c>
      <c r="H26" s="40">
        <f>1/(1+EXP(-$U$2*C26-$U$3))</f>
        <v>0.4571565314633631</v>
      </c>
      <c r="I26" s="21">
        <f>1/(1+EXP(-$T$2*C26-$T$3*B26-$T$4))</f>
        <v>0.39652099614570085</v>
      </c>
      <c r="J26" s="40">
        <f>$U$2*C26+$U$3</f>
        <v>-0.17179515494288888</v>
      </c>
      <c r="K26" s="42">
        <f>$T$2*C26+$T$3*B26+$T$4</f>
        <v>-0.41998225591944449</v>
      </c>
      <c r="L26" s="24">
        <v>-3.8</v>
      </c>
      <c r="M26" s="25">
        <f t="shared" si="0"/>
        <v>2.1881270936130476E-2</v>
      </c>
      <c r="N26" s="3">
        <f>COUNT($E$3:E26)-O26</f>
        <v>14</v>
      </c>
      <c r="O26" s="3">
        <f>SUM($E$3:E26)</f>
        <v>10</v>
      </c>
      <c r="P26" s="3">
        <f t="shared" si="1"/>
        <v>0.78125</v>
      </c>
      <c r="Q26" s="4">
        <f t="shared" si="2"/>
        <v>0.84126984126984128</v>
      </c>
    </row>
    <row r="27" spans="1:17" x14ac:dyDescent="0.25">
      <c r="A27" s="19">
        <v>1288.79</v>
      </c>
      <c r="B27" s="3">
        <v>35</v>
      </c>
      <c r="C27" s="3">
        <v>412.09</v>
      </c>
      <c r="D27" s="3" t="s">
        <v>5</v>
      </c>
      <c r="E27" s="4">
        <f>IF(D27="T",1,0)</f>
        <v>1</v>
      </c>
      <c r="F27" s="39">
        <f>E27*($U$2*C27+$U$3)-LN(1+EXP(($U$2*C27+$U$3)))</f>
        <v>-1.0002918866971475</v>
      </c>
      <c r="G27" s="21">
        <f>E27*($T$2*C27+$T$3*B27+$T$4)-LN(1+EXP(($T$2*C27+$T$3*B27+$T$4)))</f>
        <v>-0.92162287407150101</v>
      </c>
      <c r="H27" s="40">
        <f>1/(1+EXP(-$U$2*C27-$U$3))</f>
        <v>0.36777207772615339</v>
      </c>
      <c r="I27" s="21">
        <f>1/(1+EXP(-$T$2*C27-$T$3*B27-$T$4))</f>
        <v>0.39787281937579699</v>
      </c>
      <c r="J27" s="40">
        <f>$U$2*C27+$U$3</f>
        <v>-0.54178657335740332</v>
      </c>
      <c r="K27" s="42">
        <f>$T$2*C27+$T$3*B27+$T$4</f>
        <v>-0.41433628158054914</v>
      </c>
      <c r="L27" s="24">
        <v>-3.75</v>
      </c>
      <c r="M27" s="25">
        <f t="shared" si="0"/>
        <v>2.2977369910025615E-2</v>
      </c>
      <c r="N27" s="3">
        <f>COUNT($E$3:E27)-O27</f>
        <v>14</v>
      </c>
      <c r="O27" s="3">
        <f>SUM($E$3:E27)</f>
        <v>11</v>
      </c>
      <c r="P27" s="3">
        <f t="shared" si="1"/>
        <v>0.78125</v>
      </c>
      <c r="Q27" s="4">
        <f t="shared" si="2"/>
        <v>0.82539682539682535</v>
      </c>
    </row>
    <row r="28" spans="1:17" x14ac:dyDescent="0.25">
      <c r="A28" s="19">
        <v>2770.46</v>
      </c>
      <c r="B28" s="3">
        <v>58</v>
      </c>
      <c r="C28" s="3">
        <v>974.3</v>
      </c>
      <c r="D28" s="3" t="s">
        <v>4</v>
      </c>
      <c r="E28" s="4">
        <f>IF(D28="T",1,0)</f>
        <v>0</v>
      </c>
      <c r="F28" s="39">
        <f>E28*($U$2*C28+$U$3)-LN(1+EXP(($U$2*C28+$U$3)))</f>
        <v>-0.64694207193373054</v>
      </c>
      <c r="G28" s="21">
        <f>E28*($T$2*C28+$T$3*B28+$T$4)-LN(1+EXP(($T$2*C28+$T$3*B28+$T$4)))</f>
        <v>-0.51269020397467202</v>
      </c>
      <c r="H28" s="40">
        <f>1/(1+EXP(-$U$2*C28-$U$3))</f>
        <v>0.47635540151130351</v>
      </c>
      <c r="I28" s="21">
        <f>1/(1+EXP(-$T$2*C28-$T$3*B28-$T$4))</f>
        <v>0.40111770577535133</v>
      </c>
      <c r="J28" s="40">
        <f>$U$2*C28+$U$3</f>
        <v>-9.4648989584861565E-2</v>
      </c>
      <c r="K28" s="42">
        <f>$T$2*C28+$T$3*B28+$T$4</f>
        <v>-0.40081016016072879</v>
      </c>
      <c r="L28" s="24">
        <v>-3.7</v>
      </c>
      <c r="M28" s="25">
        <f t="shared" si="0"/>
        <v>2.4127021417669196E-2</v>
      </c>
      <c r="N28" s="3">
        <f>COUNT($E$3:E28)-O28</f>
        <v>15</v>
      </c>
      <c r="O28" s="3">
        <f>SUM($E$3:E28)</f>
        <v>11</v>
      </c>
      <c r="P28" s="3">
        <f t="shared" si="1"/>
        <v>0.765625</v>
      </c>
      <c r="Q28" s="4">
        <f t="shared" si="2"/>
        <v>0.82539682539682535</v>
      </c>
    </row>
    <row r="29" spans="1:17" x14ac:dyDescent="0.25">
      <c r="A29" s="19">
        <v>1170.18</v>
      </c>
      <c r="B29" s="3">
        <v>45</v>
      </c>
      <c r="C29" s="3">
        <v>680.5</v>
      </c>
      <c r="D29" s="3" t="s">
        <v>5</v>
      </c>
      <c r="E29" s="4">
        <f>IF(D29="T",1,0)</f>
        <v>1</v>
      </c>
      <c r="F29" s="39">
        <f>E29*($U$2*C29+$U$3)-LN(1+EXP(($U$2*C29+$U$3)))</f>
        <v>-0.87071808212070356</v>
      </c>
      <c r="G29" s="21">
        <f>E29*($T$2*C29+$T$3*B29+$T$4)-LN(1+EXP(($T$2*C29+$T$3*B29+$T$4)))</f>
        <v>-0.90753239625240245</v>
      </c>
      <c r="H29" s="40">
        <f>1/(1+EXP(-$U$2*C29-$U$3))</f>
        <v>0.41865081561932654</v>
      </c>
      <c r="I29" s="21">
        <f>1/(1+EXP(-$T$2*C29-$T$3*B29-$T$4))</f>
        <v>0.40351872082473467</v>
      </c>
      <c r="J29" s="40">
        <f>$U$2*C29+$U$3</f>
        <v>-0.32831438527752577</v>
      </c>
      <c r="K29" s="42">
        <f>$T$2*C29+$T$3*B29+$T$4</f>
        <v>-0.39082497386521486</v>
      </c>
      <c r="L29" s="24">
        <v>-3.65</v>
      </c>
      <c r="M29" s="25">
        <f t="shared" si="0"/>
        <v>2.5332703226871731E-2</v>
      </c>
      <c r="N29" s="3">
        <f>COUNT($E$3:E29)-O29</f>
        <v>15</v>
      </c>
      <c r="O29" s="3">
        <f>SUM($E$3:E29)</f>
        <v>12</v>
      </c>
      <c r="P29" s="3">
        <f t="shared" si="1"/>
        <v>0.765625</v>
      </c>
      <c r="Q29" s="4">
        <f t="shared" si="2"/>
        <v>0.80952380952380953</v>
      </c>
    </row>
    <row r="30" spans="1:17" x14ac:dyDescent="0.25">
      <c r="A30" s="19">
        <v>1006.95</v>
      </c>
      <c r="B30" s="3">
        <v>40</v>
      </c>
      <c r="C30" s="3">
        <v>566.9</v>
      </c>
      <c r="D30" s="3" t="s">
        <v>4</v>
      </c>
      <c r="E30" s="4">
        <f>IF(D30="T",1,0)</f>
        <v>0</v>
      </c>
      <c r="F30" s="39">
        <f>E30*($U$2*C30+$U$3)-LN(1+EXP(($U$2*C30+$U$3)))</f>
        <v>-0.50556739660509031</v>
      </c>
      <c r="G30" s="21">
        <f>E30*($T$2*C30+$T$3*B30+$T$4)-LN(1+EXP(($T$2*C30+$T$3*B30+$T$4)))</f>
        <v>-0.51808043830015149</v>
      </c>
      <c r="H30" s="40">
        <f>1/(1+EXP(-$U$2*C30-$U$3))</f>
        <v>0.39683675446001787</v>
      </c>
      <c r="I30" s="21">
        <f>1/(1+EXP(-$T$2*C30-$T$3*B30-$T$4))</f>
        <v>0.40433713713494734</v>
      </c>
      <c r="J30" s="40">
        <f>$U$2*C30+$U$3</f>
        <v>-0.41866288408857638</v>
      </c>
      <c r="K30" s="42">
        <f>$T$2*C30+$T$3*B30+$T$4</f>
        <v>-0.387425812861803</v>
      </c>
      <c r="L30" s="24">
        <v>-3.6</v>
      </c>
      <c r="M30" s="25">
        <f t="shared" si="0"/>
        <v>2.6596993576865856E-2</v>
      </c>
      <c r="N30" s="3">
        <f>COUNT($E$3:E30)-O30</f>
        <v>16</v>
      </c>
      <c r="O30" s="3">
        <f>SUM($E$3:E30)</f>
        <v>12</v>
      </c>
      <c r="P30" s="3">
        <f t="shared" si="1"/>
        <v>0.75</v>
      </c>
      <c r="Q30" s="4">
        <f t="shared" si="2"/>
        <v>0.80952380952380953</v>
      </c>
    </row>
    <row r="31" spans="1:17" x14ac:dyDescent="0.25">
      <c r="A31" s="19">
        <v>3392.77</v>
      </c>
      <c r="B31" s="3">
        <v>54</v>
      </c>
      <c r="C31" s="3">
        <v>933.86</v>
      </c>
      <c r="D31" s="3" t="s">
        <v>4</v>
      </c>
      <c r="E31" s="4">
        <f>IF(D31="T",1,0)</f>
        <v>0</v>
      </c>
      <c r="F31" s="39">
        <f>E31*($U$2*C31+$U$3)-LN(1+EXP(($U$2*C31+$U$3)))</f>
        <v>-0.63175009729996079</v>
      </c>
      <c r="G31" s="21">
        <f>E31*($T$2*C31+$T$3*B31+$T$4)-LN(1+EXP(($T$2*C31+$T$3*B31+$T$4)))</f>
        <v>-0.52885264591162473</v>
      </c>
      <c r="H31" s="40">
        <f>1/(1+EXP(-$U$2*C31-$U$3))</f>
        <v>0.46833947131973908</v>
      </c>
      <c r="I31" s="21">
        <f>1/(1+EXP(-$T$2*C31-$T$3*B31-$T$4))</f>
        <v>0.41071930442894183</v>
      </c>
      <c r="J31" s="40">
        <f>$U$2*C31+$U$3</f>
        <v>-0.12681178264752779</v>
      </c>
      <c r="K31" s="42">
        <f>$T$2*C31+$T$3*B31+$T$4</f>
        <v>-0.36099260948986933</v>
      </c>
      <c r="L31" s="24">
        <v>-3.55000000000001</v>
      </c>
      <c r="M31" s="25">
        <f t="shared" si="0"/>
        <v>2.7922573784072747E-2</v>
      </c>
      <c r="N31" s="3">
        <f>COUNT($E$3:E31)-O31</f>
        <v>17</v>
      </c>
      <c r="O31" s="3">
        <f>SUM($E$3:E31)</f>
        <v>12</v>
      </c>
      <c r="P31" s="3">
        <f t="shared" si="1"/>
        <v>0.734375</v>
      </c>
      <c r="Q31" s="4">
        <f t="shared" si="2"/>
        <v>0.80952380952380953</v>
      </c>
    </row>
    <row r="32" spans="1:17" x14ac:dyDescent="0.25">
      <c r="A32" s="19">
        <v>2062.27</v>
      </c>
      <c r="B32" s="3">
        <v>35</v>
      </c>
      <c r="C32" s="3">
        <v>508.86</v>
      </c>
      <c r="D32" s="3" t="s">
        <v>4</v>
      </c>
      <c r="E32" s="4">
        <f>IF(D32="T",1,0)</f>
        <v>0</v>
      </c>
      <c r="F32" s="39">
        <f>E32*($U$2*C32+$U$3)-LN(1+EXP(($U$2*C32+$U$3)))</f>
        <v>-0.48750341489809662</v>
      </c>
      <c r="G32" s="21">
        <f>E32*($T$2*C32+$T$3*B32+$T$4)-LN(1+EXP(($T$2*C32+$T$3*B32+$T$4)))</f>
        <v>-0.53621424117200656</v>
      </c>
      <c r="H32" s="40">
        <f>1/(1+EXP(-$U$2*C32-$U$3))</f>
        <v>0.38584222106607352</v>
      </c>
      <c r="I32" s="21">
        <f>1/(1+EXP(-$T$2*C32-$T$3*B32-$T$4))</f>
        <v>0.41504142204515682</v>
      </c>
      <c r="J32" s="40">
        <f>$U$2*C32+$U$3</f>
        <v>-0.46482333189661662</v>
      </c>
      <c r="K32" s="42">
        <f>$T$2*C32+$T$3*B32+$T$4</f>
        <v>-0.34316271040332968</v>
      </c>
      <c r="L32" s="24">
        <v>-3.5000000000000102</v>
      </c>
      <c r="M32" s="25">
        <f t="shared" si="0"/>
        <v>2.9312230751356028E-2</v>
      </c>
      <c r="N32" s="3">
        <f>COUNT($E$3:E32)-O32</f>
        <v>18</v>
      </c>
      <c r="O32" s="3">
        <f>SUM($E$3:E32)</f>
        <v>12</v>
      </c>
      <c r="P32" s="3">
        <f t="shared" si="1"/>
        <v>0.71875</v>
      </c>
      <c r="Q32" s="4">
        <f t="shared" si="2"/>
        <v>0.80952380952380953</v>
      </c>
    </row>
    <row r="33" spans="1:17" x14ac:dyDescent="0.25">
      <c r="A33" s="19">
        <v>1910.99</v>
      </c>
      <c r="B33" s="3">
        <v>36</v>
      </c>
      <c r="C33" s="3">
        <v>539.42999999999995</v>
      </c>
      <c r="D33" s="3" t="s">
        <v>5</v>
      </c>
      <c r="E33" s="4">
        <f>IF(D33="T",1,0)</f>
        <v>1</v>
      </c>
      <c r="F33" s="39">
        <f>E33*($U$2*C33+$U$3)-LN(1+EXP(($U$2*C33+$U$3)))</f>
        <v>-0.93746491243555696</v>
      </c>
      <c r="G33" s="21">
        <f>E33*($T$2*C33+$T$3*B33+$T$4)-LN(1+EXP(($T$2*C33+$T$3*B33+$T$4)))</f>
        <v>-0.87640045137022404</v>
      </c>
      <c r="H33" s="40">
        <f>1/(1+EXP(-$U$2*C33-$U$3))</f>
        <v>0.39161936740552422</v>
      </c>
      <c r="I33" s="21">
        <f>1/(1+EXP(-$T$2*C33-$T$3*B33-$T$4))</f>
        <v>0.41627863328933723</v>
      </c>
      <c r="J33" s="40">
        <f>$U$2*C33+$U$3</f>
        <v>-0.44051035998945282</v>
      </c>
      <c r="K33" s="42">
        <f>$T$2*C33+$T$3*B33+$T$4</f>
        <v>-0.33806892956545487</v>
      </c>
      <c r="L33" s="24">
        <v>-3.4500000000000099</v>
      </c>
      <c r="M33" s="25">
        <f t="shared" si="0"/>
        <v>3.0768859357147713E-2</v>
      </c>
      <c r="N33" s="3">
        <f>COUNT($E$3:E33)-O33</f>
        <v>18</v>
      </c>
      <c r="O33" s="3">
        <f>SUM($E$3:E33)</f>
        <v>13</v>
      </c>
      <c r="P33" s="3">
        <f t="shared" si="1"/>
        <v>0.71875</v>
      </c>
      <c r="Q33" s="4">
        <f t="shared" si="2"/>
        <v>0.79365079365079361</v>
      </c>
    </row>
    <row r="34" spans="1:17" x14ac:dyDescent="0.25">
      <c r="A34" s="19">
        <v>2147.48</v>
      </c>
      <c r="B34" s="3">
        <v>49</v>
      </c>
      <c r="C34" s="3">
        <v>848.39</v>
      </c>
      <c r="D34" s="3" t="s">
        <v>5</v>
      </c>
      <c r="E34" s="4">
        <f>IF(D34="T",1,0)</f>
        <v>1</v>
      </c>
      <c r="F34" s="39">
        <f>E34*($U$2*C34+$U$3)-LN(1+EXP(($U$2*C34+$U$3)))</f>
        <v>-0.79527643863566988</v>
      </c>
      <c r="G34" s="21">
        <f>E34*($T$2*C34+$T$3*B34+$T$4)-LN(1+EXP(($T$2*C34+$T$3*B34+$T$4)))</f>
        <v>-0.87572065437286806</v>
      </c>
      <c r="H34" s="40">
        <f>1/(1+EXP(-$U$2*C34-$U$3))</f>
        <v>0.45145641767506584</v>
      </c>
      <c r="I34" s="21">
        <f>1/(1+EXP(-$T$2*C34-$T$3*B34-$T$4))</f>
        <v>0.41656171446227491</v>
      </c>
      <c r="J34" s="40">
        <f>$U$2*C34+$U$3</f>
        <v>-0.19478789350475045</v>
      </c>
      <c r="K34" s="42">
        <f>$T$2*C34+$T$3*B34+$T$4</f>
        <v>-0.33690405552153879</v>
      </c>
      <c r="L34" s="24">
        <v>-3.4000000000000101</v>
      </c>
      <c r="M34" s="25">
        <f t="shared" si="0"/>
        <v>3.2295464698450196E-2</v>
      </c>
      <c r="N34" s="3">
        <f>COUNT($E$3:E34)-O34</f>
        <v>18</v>
      </c>
      <c r="O34" s="3">
        <f>SUM($E$3:E34)</f>
        <v>14</v>
      </c>
      <c r="P34" s="3">
        <f t="shared" si="1"/>
        <v>0.71875</v>
      </c>
      <c r="Q34" s="4">
        <f t="shared" si="2"/>
        <v>0.77777777777777779</v>
      </c>
    </row>
    <row r="35" spans="1:17" x14ac:dyDescent="0.25">
      <c r="A35" s="19">
        <v>1823.4</v>
      </c>
      <c r="B35" s="3">
        <v>46</v>
      </c>
      <c r="C35" s="3">
        <v>807.04</v>
      </c>
      <c r="D35" s="3" t="s">
        <v>4</v>
      </c>
      <c r="E35" s="4">
        <f>IF(D35="T",1,0)</f>
        <v>0</v>
      </c>
      <c r="F35" s="39">
        <f>E35*($U$2*C35+$U$3)-LN(1+EXP(($U$2*C35+$U$3)))</f>
        <v>-0.58577547551013753</v>
      </c>
      <c r="G35" s="21">
        <f>E35*($T$2*C35+$T$3*B35+$T$4)-LN(1+EXP(($T$2*C35+$T$3*B35+$T$4)))</f>
        <v>-0.54793776247731762</v>
      </c>
      <c r="H35" s="40">
        <f>1/(1+EXP(-$U$2*C35-$U$3))</f>
        <v>0.4433259926722854</v>
      </c>
      <c r="I35" s="21">
        <f>1/(1+EXP(-$T$2*C35-$T$3*B35-$T$4))</f>
        <v>0.42185915439518212</v>
      </c>
      <c r="J35" s="40">
        <f>$U$2*C35+$U$3</f>
        <v>-0.22767442894345591</v>
      </c>
      <c r="K35" s="42">
        <f>$T$2*C35+$T$3*B35+$T$4</f>
        <v>-0.31514601553557875</v>
      </c>
      <c r="L35" s="24">
        <v>-3.3500000000000099</v>
      </c>
      <c r="M35" s="25">
        <f t="shared" si="0"/>
        <v>3.3895164159177829E-2</v>
      </c>
      <c r="N35" s="3">
        <f>COUNT($E$3:E35)-O35</f>
        <v>19</v>
      </c>
      <c r="O35" s="3">
        <f>SUM($E$3:E35)</f>
        <v>14</v>
      </c>
      <c r="P35" s="3">
        <f t="shared" si="1"/>
        <v>0.703125</v>
      </c>
      <c r="Q35" s="4">
        <f t="shared" si="2"/>
        <v>0.77777777777777779</v>
      </c>
    </row>
    <row r="36" spans="1:17" x14ac:dyDescent="0.25">
      <c r="A36" s="19">
        <v>2595.9299999999998</v>
      </c>
      <c r="B36" s="3">
        <v>33</v>
      </c>
      <c r="C36" s="3">
        <v>515.30999999999995</v>
      </c>
      <c r="D36" s="3" t="s">
        <v>4</v>
      </c>
      <c r="E36" s="4">
        <f>IF(D36="T",1,0)</f>
        <v>0</v>
      </c>
      <c r="F36" s="39">
        <f>E36*($U$2*C36+$U$3)-LN(1+EXP(($U$2*C36+$U$3)))</f>
        <v>-0.4894858360717555</v>
      </c>
      <c r="G36" s="21">
        <f>E36*($T$2*C36+$T$3*B36+$T$4)-LN(1+EXP(($T$2*C36+$T$3*B36+$T$4)))</f>
        <v>-0.55280853063357593</v>
      </c>
      <c r="H36" s="40">
        <f>1/(1+EXP(-$U$2*C36-$U$3))</f>
        <v>0.38705853442997429</v>
      </c>
      <c r="I36" s="21">
        <f>1/(1+EXP(-$T$2*C36-$T$3*B36-$T$4))</f>
        <v>0.42466829751958479</v>
      </c>
      <c r="J36" s="40">
        <f>$U$2*C36+$U$3</f>
        <v>-0.45969350956095401</v>
      </c>
      <c r="K36" s="42">
        <f>$T$2*C36+$T$3*B36+$T$4</f>
        <v>-0.30363836057894222</v>
      </c>
      <c r="L36" s="24">
        <v>-3.30000000000001</v>
      </c>
      <c r="M36" s="25">
        <f t="shared" si="0"/>
        <v>3.5571189272635827E-2</v>
      </c>
      <c r="N36" s="3">
        <f>COUNT($E$3:E36)-O36</f>
        <v>20</v>
      </c>
      <c r="O36" s="3">
        <f>SUM($E$3:E36)</f>
        <v>14</v>
      </c>
      <c r="P36" s="3">
        <f t="shared" si="1"/>
        <v>0.6875</v>
      </c>
      <c r="Q36" s="4">
        <f t="shared" si="2"/>
        <v>0.77777777777777779</v>
      </c>
    </row>
    <row r="37" spans="1:17" x14ac:dyDescent="0.25">
      <c r="A37" s="19">
        <v>2179.09</v>
      </c>
      <c r="B37" s="3">
        <v>48</v>
      </c>
      <c r="C37" s="3">
        <v>899.31</v>
      </c>
      <c r="D37" s="3" t="s">
        <v>4</v>
      </c>
      <c r="E37" s="4">
        <f>IF(D37="T",1,0)</f>
        <v>0</v>
      </c>
      <c r="F37" s="39">
        <f>E37*($U$2*C37+$U$3)-LN(1+EXP(($U$2*C37+$U$3)))</f>
        <v>-0.61897484768228284</v>
      </c>
      <c r="G37" s="21">
        <f>E37*($T$2*C37+$T$3*B37+$T$4)-LN(1+EXP(($T$2*C37+$T$3*B37+$T$4)))</f>
        <v>-0.56202800768553662</v>
      </c>
      <c r="H37" s="40">
        <f>1/(1+EXP(-$U$2*C37-$U$3))</f>
        <v>0.46150380464877266</v>
      </c>
      <c r="I37" s="21">
        <f>1/(1+EXP(-$T$2*C37-$T$3*B37-$T$4))</f>
        <v>0.42994817867772273</v>
      </c>
      <c r="J37" s="40">
        <f>$U$2*C37+$U$3</f>
        <v>-0.15429013329824781</v>
      </c>
      <c r="K37" s="42">
        <f>$T$2*C37+$T$3*B37+$T$4</f>
        <v>-0.282062584574443</v>
      </c>
      <c r="L37" s="24">
        <v>-3.2500000000000102</v>
      </c>
      <c r="M37" s="25">
        <f t="shared" si="0"/>
        <v>3.7326887344129096E-2</v>
      </c>
      <c r="N37" s="3">
        <f>COUNT($E$3:E37)-O37</f>
        <v>21</v>
      </c>
      <c r="O37" s="3">
        <f>SUM($E$3:E37)</f>
        <v>14</v>
      </c>
      <c r="P37" s="3">
        <f t="shared" si="1"/>
        <v>0.671875</v>
      </c>
      <c r="Q37" s="4">
        <f t="shared" si="2"/>
        <v>0.77777777777777779</v>
      </c>
    </row>
    <row r="38" spans="1:17" x14ac:dyDescent="0.25">
      <c r="A38" s="19">
        <v>2115.9</v>
      </c>
      <c r="B38" s="3">
        <v>44</v>
      </c>
      <c r="C38" s="3">
        <v>811.03</v>
      </c>
      <c r="D38" s="3" t="s">
        <v>4</v>
      </c>
      <c r="E38" s="4">
        <f>IF(D38="T",1,0)</f>
        <v>0</v>
      </c>
      <c r="F38" s="39">
        <f>E38*($U$2*C38+$U$3)-LN(1+EXP(($U$2*C38+$U$3)))</f>
        <v>-0.58718353878057528</v>
      </c>
      <c r="G38" s="21">
        <f>E38*($T$2*C38+$T$3*B38+$T$4)-LN(1+EXP(($T$2*C38+$T$3*B38+$T$4)))</f>
        <v>-0.56402198863614716</v>
      </c>
      <c r="H38" s="40">
        <f>1/(1+EXP(-$U$2*C38-$U$3))</f>
        <v>0.44410927331184769</v>
      </c>
      <c r="I38" s="21">
        <f>1/(1+EXP(-$T$2*C38-$T$3*B38-$T$4))</f>
        <v>0.43108371865152356</v>
      </c>
      <c r="J38" s="40">
        <f>$U$2*C38+$U$3</f>
        <v>-0.22450109698697618</v>
      </c>
      <c r="K38" s="42">
        <f>$T$2*C38+$T$3*B38+$T$4</f>
        <v>-0.27743097629397473</v>
      </c>
      <c r="L38" s="24">
        <v>-3.2000000000000099</v>
      </c>
      <c r="M38" s="25">
        <f t="shared" si="0"/>
        <v>3.9165722796763981E-2</v>
      </c>
      <c r="N38" s="3">
        <f>COUNT($E$3:E38)-O38</f>
        <v>22</v>
      </c>
      <c r="O38" s="3">
        <f>SUM($E$3:E38)</f>
        <v>14</v>
      </c>
      <c r="P38" s="3">
        <f t="shared" si="1"/>
        <v>0.65625</v>
      </c>
      <c r="Q38" s="4">
        <f t="shared" si="2"/>
        <v>0.77777777777777779</v>
      </c>
    </row>
    <row r="39" spans="1:17" x14ac:dyDescent="0.25">
      <c r="A39" s="19">
        <v>3057.41</v>
      </c>
      <c r="B39" s="3">
        <v>52</v>
      </c>
      <c r="C39" s="3">
        <v>1005.54</v>
      </c>
      <c r="D39" s="3" t="s">
        <v>4</v>
      </c>
      <c r="E39" s="4">
        <f>IF(D39="T",1,0)</f>
        <v>0</v>
      </c>
      <c r="F39" s="39">
        <f>E39*($U$2*C39+$U$3)-LN(1+EXP(($U$2*C39+$U$3)))</f>
        <v>-0.65885454075364791</v>
      </c>
      <c r="G39" s="21">
        <f>E39*($T$2*C39+$T$3*B39+$T$4)-LN(1+EXP(($T$2*C39+$T$3*B39+$T$4)))</f>
        <v>-0.56572187279876229</v>
      </c>
      <c r="H39" s="40">
        <f>1/(1+EXP(-$U$2*C39-$U$3))</f>
        <v>0.4825562941643709</v>
      </c>
      <c r="I39" s="21">
        <f>1/(1+EXP(-$T$2*C39-$T$3*B39-$T$4))</f>
        <v>0.43204998892159896</v>
      </c>
      <c r="J39" s="40">
        <f>$U$2*C39+$U$3</f>
        <v>-6.9803152411822667E-2</v>
      </c>
      <c r="K39" s="42">
        <f>$T$2*C39+$T$3*B39+$T$4</f>
        <v>-0.27349210953744607</v>
      </c>
      <c r="L39" s="24">
        <v>-3.1500000000000101</v>
      </c>
      <c r="M39" s="25">
        <f t="shared" si="0"/>
        <v>4.1091278200464612E-2</v>
      </c>
      <c r="N39" s="3">
        <f>COUNT($E$3:E39)-O39</f>
        <v>23</v>
      </c>
      <c r="O39" s="3">
        <f>SUM($E$3:E39)</f>
        <v>14</v>
      </c>
      <c r="P39" s="3">
        <f t="shared" si="1"/>
        <v>0.640625</v>
      </c>
      <c r="Q39" s="4">
        <f t="shared" si="2"/>
        <v>0.77777777777777779</v>
      </c>
    </row>
    <row r="40" spans="1:17" x14ac:dyDescent="0.25">
      <c r="A40" s="19">
        <v>1780.89</v>
      </c>
      <c r="B40" s="3">
        <v>28</v>
      </c>
      <c r="C40" s="3">
        <v>444.97</v>
      </c>
      <c r="D40" s="3" t="s">
        <v>4</v>
      </c>
      <c r="E40" s="4">
        <f>IF(D40="T",1,0)</f>
        <v>0</v>
      </c>
      <c r="F40" s="39">
        <f>E40*($U$2*C40+$U$3)-LN(1+EXP(($U$2*C40+$U$3)))</f>
        <v>-0.46820229574154015</v>
      </c>
      <c r="G40" s="21">
        <f>E40*($T$2*C40+$T$3*B40+$T$4)-LN(1+EXP(($T$2*C40+$T$3*B40+$T$4)))</f>
        <v>-0.56791565007359512</v>
      </c>
      <c r="H40" s="40">
        <f>1/(1+EXP(-$U$2*C40-$U$3))</f>
        <v>0.37387315195000453</v>
      </c>
      <c r="I40" s="21">
        <f>1/(1+EXP(-$T$2*C40-$T$3*B40-$T$4))</f>
        <v>0.43329457907319929</v>
      </c>
      <c r="J40" s="40">
        <f>$U$2*C40+$U$3</f>
        <v>-0.51563640926490906</v>
      </c>
      <c r="K40" s="42">
        <f>$T$2*C40+$T$3*B40+$T$4</f>
        <v>-0.26842181103438623</v>
      </c>
      <c r="L40" s="24">
        <v>-3.1000000000000099</v>
      </c>
      <c r="M40" s="25">
        <f t="shared" si="0"/>
        <v>4.3107254941085714E-2</v>
      </c>
      <c r="N40" s="3">
        <f>COUNT($E$3:E40)-O40</f>
        <v>24</v>
      </c>
      <c r="O40" s="3">
        <f>SUM($E$3:E40)</f>
        <v>14</v>
      </c>
      <c r="P40" s="3">
        <f t="shared" si="1"/>
        <v>0.625</v>
      </c>
      <c r="Q40" s="4">
        <f t="shared" si="2"/>
        <v>0.77777777777777779</v>
      </c>
    </row>
    <row r="41" spans="1:17" x14ac:dyDescent="0.25">
      <c r="A41" s="19">
        <v>2199.21</v>
      </c>
      <c r="B41" s="3">
        <v>36</v>
      </c>
      <c r="C41" s="3">
        <v>637.95000000000005</v>
      </c>
      <c r="D41" s="3" t="s">
        <v>4</v>
      </c>
      <c r="E41" s="4">
        <f>IF(D41="T",1,0)</f>
        <v>0</v>
      </c>
      <c r="F41" s="39">
        <f>E41*($U$2*C41+$U$3)-LN(1+EXP(($U$2*C41+$U$3)))</f>
        <v>-0.52837526748380115</v>
      </c>
      <c r="G41" s="21">
        <f>E41*($T$2*C41+$T$3*B41+$T$4)-LN(1+EXP(($T$2*C41+$T$3*B41+$T$4)))</f>
        <v>-0.5691357240574475</v>
      </c>
      <c r="H41" s="40">
        <f>1/(1+EXP(-$U$2*C41-$U$3))</f>
        <v>0.41043792738062046</v>
      </c>
      <c r="I41" s="21">
        <f>1/(1+EXP(-$T$2*C41-$T$3*B41-$T$4))</f>
        <v>0.43398557999194071</v>
      </c>
      <c r="J41" s="40">
        <f>$U$2*C41+$U$3</f>
        <v>-0.36215530626705217</v>
      </c>
      <c r="K41" s="42">
        <f>$T$2*C41+$T$3*B41+$T$4</f>
        <v>-0.26560824720129594</v>
      </c>
      <c r="L41" s="24">
        <v>-3.05000000000001</v>
      </c>
      <c r="M41" s="25">
        <f t="shared" si="0"/>
        <v>4.5217473483287057E-2</v>
      </c>
      <c r="N41" s="3">
        <f>COUNT($E$3:E41)-O41</f>
        <v>25</v>
      </c>
      <c r="O41" s="3">
        <f>SUM($E$3:E41)</f>
        <v>14</v>
      </c>
      <c r="P41" s="3">
        <f t="shared" si="1"/>
        <v>0.609375</v>
      </c>
      <c r="Q41" s="4">
        <f t="shared" si="2"/>
        <v>0.77777777777777779</v>
      </c>
    </row>
    <row r="42" spans="1:17" x14ac:dyDescent="0.25">
      <c r="A42" s="19">
        <v>3021.9</v>
      </c>
      <c r="B42" s="3">
        <v>49</v>
      </c>
      <c r="C42" s="3">
        <v>973.19</v>
      </c>
      <c r="D42" s="3" t="s">
        <v>4</v>
      </c>
      <c r="E42" s="4">
        <f>IF(D42="T",1,0)</f>
        <v>0</v>
      </c>
      <c r="F42" s="39">
        <f>E42*($U$2*C42+$U$3)-LN(1+EXP(($U$2*C42+$U$3)))</f>
        <v>-0.64652163942412677</v>
      </c>
      <c r="G42" s="21">
        <f>E42*($T$2*C42+$T$3*B42+$T$4)-LN(1+EXP(($T$2*C42+$T$3*B42+$T$4)))</f>
        <v>-0.57808128283078697</v>
      </c>
      <c r="H42" s="40">
        <f>1/(1+EXP(-$U$2*C42-$U$3))</f>
        <v>0.47613519801150905</v>
      </c>
      <c r="I42" s="21">
        <f>1/(1+EXP(-$T$2*C42-$T$3*B42-$T$4))</f>
        <v>0.43902631554009769</v>
      </c>
      <c r="J42" s="40">
        <f>$U$2*C42+$U$3</f>
        <v>-9.5531796219370912E-2</v>
      </c>
      <c r="K42" s="42">
        <f>$T$2*C42+$T$3*B42+$T$4</f>
        <v>-0.24511464059008289</v>
      </c>
      <c r="L42" s="24">
        <v>-3.0000000000000102</v>
      </c>
      <c r="M42" s="25">
        <f t="shared" si="0"/>
        <v>4.7425873177566316E-2</v>
      </c>
      <c r="N42" s="3">
        <f>COUNT($E$3:E42)-O42</f>
        <v>26</v>
      </c>
      <c r="O42" s="3">
        <f>SUM($E$3:E42)</f>
        <v>14</v>
      </c>
      <c r="P42" s="3">
        <f t="shared" si="1"/>
        <v>0.59375</v>
      </c>
      <c r="Q42" s="4">
        <f t="shared" si="2"/>
        <v>0.77777777777777779</v>
      </c>
    </row>
    <row r="43" spans="1:17" x14ac:dyDescent="0.25">
      <c r="A43" s="19">
        <v>2507.8000000000002</v>
      </c>
      <c r="B43" s="3">
        <v>48</v>
      </c>
      <c r="C43" s="3">
        <v>953.27</v>
      </c>
      <c r="D43" s="3" t="s">
        <v>4</v>
      </c>
      <c r="E43" s="4">
        <f>IF(D43="T",1,0)</f>
        <v>0</v>
      </c>
      <c r="F43" s="39">
        <f>E43*($U$2*C43+$U$3)-LN(1+EXP(($U$2*C43+$U$3)))</f>
        <v>-0.63900961924097277</v>
      </c>
      <c r="G43" s="21">
        <f>E43*($T$2*C43+$T$3*B43+$T$4)-LN(1+EXP(($T$2*C43+$T$3*B43+$T$4)))</f>
        <v>-0.57928479221219065</v>
      </c>
      <c r="H43" s="40">
        <f>1/(1+EXP(-$U$2*C43-$U$3))</f>
        <v>0.47218509700195271</v>
      </c>
      <c r="I43" s="21">
        <f>1/(1+EXP(-$T$2*C43-$T$3*B43-$T$4))</f>
        <v>0.43970104652808684</v>
      </c>
      <c r="J43" s="40">
        <f>$U$2*C43+$U$3</f>
        <v>-0.11137459636299885</v>
      </c>
      <c r="K43" s="42">
        <f>$T$2*C43+$T$3*B43+$T$4</f>
        <v>-0.24237543049029739</v>
      </c>
      <c r="L43" s="24">
        <v>-2.9500000000000099</v>
      </c>
      <c r="M43" s="25">
        <f t="shared" si="0"/>
        <v>4.9736511558556254E-2</v>
      </c>
      <c r="N43" s="3">
        <f>COUNT($E$3:E43)-O43</f>
        <v>27</v>
      </c>
      <c r="O43" s="3">
        <f>SUM($E$3:E43)</f>
        <v>14</v>
      </c>
      <c r="P43" s="3">
        <f t="shared" si="1"/>
        <v>0.578125</v>
      </c>
      <c r="Q43" s="4">
        <f t="shared" si="2"/>
        <v>0.77777777777777779</v>
      </c>
    </row>
    <row r="44" spans="1:17" x14ac:dyDescent="0.25">
      <c r="A44" s="19">
        <v>2298.2800000000002</v>
      </c>
      <c r="B44" s="3">
        <v>35</v>
      </c>
      <c r="C44" s="3">
        <v>650.23</v>
      </c>
      <c r="D44" s="3" t="s">
        <v>4</v>
      </c>
      <c r="E44" s="4">
        <f>IF(D44="T",1,0)</f>
        <v>0</v>
      </c>
      <c r="F44" s="39">
        <f>E44*($U$2*C44+$U$3)-LN(1+EXP(($U$2*C44+$U$3)))</f>
        <v>-0.53239537546821514</v>
      </c>
      <c r="G44" s="21">
        <f>E44*($T$2*C44+$T$3*B44+$T$4)-LN(1+EXP(($T$2*C44+$T$3*B44+$T$4)))</f>
        <v>-0.58068835711341538</v>
      </c>
      <c r="H44" s="40">
        <f>1/(1+EXP(-$U$2*C44-$U$3))</f>
        <v>0.41280327291824331</v>
      </c>
      <c r="I44" s="21">
        <f>1/(1+EXP(-$T$2*C44-$T$3*B44-$T$4))</f>
        <v>0.44048691083857888</v>
      </c>
      <c r="J44" s="40">
        <f>$U$2*C44+$U$3</f>
        <v>-0.35238876079698445</v>
      </c>
      <c r="K44" s="42">
        <f>$T$2*C44+$T$3*B44+$T$4</f>
        <v>-0.23918619126182397</v>
      </c>
      <c r="L44" s="24">
        <v>-2.9000000000000101</v>
      </c>
      <c r="M44" s="25">
        <f t="shared" si="0"/>
        <v>5.2153563078417231E-2</v>
      </c>
      <c r="N44" s="3">
        <f>COUNT($E$3:E44)-O44</f>
        <v>28</v>
      </c>
      <c r="O44" s="3">
        <f>SUM($E$3:E44)</f>
        <v>14</v>
      </c>
      <c r="P44" s="3">
        <f t="shared" si="1"/>
        <v>0.5625</v>
      </c>
      <c r="Q44" s="4">
        <f t="shared" si="2"/>
        <v>0.77777777777777779</v>
      </c>
    </row>
    <row r="45" spans="1:17" x14ac:dyDescent="0.25">
      <c r="A45" s="19">
        <v>1427.26</v>
      </c>
      <c r="B45" s="3">
        <v>45</v>
      </c>
      <c r="C45" s="3">
        <v>894.56</v>
      </c>
      <c r="D45" s="3" t="s">
        <v>4</v>
      </c>
      <c r="E45" s="4">
        <f>IF(D45="T",1,0)</f>
        <v>0</v>
      </c>
      <c r="F45" s="39">
        <f>E45*($U$2*C45+$U$3)-LN(1+EXP(($U$2*C45+$U$3)))</f>
        <v>-0.61723316282233243</v>
      </c>
      <c r="G45" s="21">
        <f>E45*($T$2*C45+$T$3*B45+$T$4)-LN(1+EXP(($T$2*C45+$T$3*B45+$T$4)))</f>
        <v>-0.58324761825691052</v>
      </c>
      <c r="H45" s="40">
        <f>1/(1+EXP(-$U$2*C45-$U$3))</f>
        <v>0.4605650967488148</v>
      </c>
      <c r="I45" s="21">
        <f>1/(1+EXP(-$T$2*C45-$T$3*B45-$T$4))</f>
        <v>0.44191702015476525</v>
      </c>
      <c r="J45" s="40">
        <f>$U$2*C45+$U$3</f>
        <v>-0.15806790943691418</v>
      </c>
      <c r="K45" s="42">
        <f>$T$2*C45+$T$3*B45+$T$4</f>
        <v>-0.23338553347877708</v>
      </c>
      <c r="L45" s="24">
        <v>-2.8500000000000099</v>
      </c>
      <c r="M45" s="25">
        <f t="shared" si="0"/>
        <v>5.4681317215940245E-2</v>
      </c>
      <c r="N45" s="3">
        <f>COUNT($E$3:E45)-O45</f>
        <v>29</v>
      </c>
      <c r="O45" s="3">
        <f>SUM($E$3:E45)</f>
        <v>14</v>
      </c>
      <c r="P45" s="3">
        <f t="shared" si="1"/>
        <v>0.546875</v>
      </c>
      <c r="Q45" s="4">
        <f t="shared" si="2"/>
        <v>0.77777777777777779</v>
      </c>
    </row>
    <row r="46" spans="1:17" x14ac:dyDescent="0.25">
      <c r="A46" s="19">
        <v>1444.69</v>
      </c>
      <c r="B46" s="3">
        <v>46</v>
      </c>
      <c r="C46" s="3">
        <v>936.94</v>
      </c>
      <c r="D46" s="3" t="s">
        <v>5</v>
      </c>
      <c r="E46" s="4">
        <f>IF(D46="T",1,0)</f>
        <v>1</v>
      </c>
      <c r="F46" s="39">
        <f>E46*($U$2*C46+$U$3)-LN(1+EXP(($U$2*C46+$U$3)))</f>
        <v>-0.75726027694826925</v>
      </c>
      <c r="G46" s="21">
        <f>E46*($T$2*C46+$T$3*B46+$T$4)-LN(1+EXP(($T$2*C46+$T$3*B46+$T$4)))</f>
        <v>-0.80896622816091102</v>
      </c>
      <c r="H46" s="40">
        <f>1/(1+EXP(-$U$2*C46-$U$3))</f>
        <v>0.46894946027587026</v>
      </c>
      <c r="I46" s="21">
        <f>1/(1+EXP(-$T$2*C46-$T$3*B46-$T$4))</f>
        <v>0.4453181857525233</v>
      </c>
      <c r="J46" s="40">
        <f>$U$2*C46+$U$3</f>
        <v>-0.12436219306708729</v>
      </c>
      <c r="K46" s="42">
        <f>$T$2*C46+$T$3*B46+$T$4</f>
        <v>-0.21960559085932771</v>
      </c>
      <c r="L46" s="24">
        <v>-2.80000000000001</v>
      </c>
      <c r="M46" s="25">
        <f t="shared" si="0"/>
        <v>5.73241758988682E-2</v>
      </c>
      <c r="N46" s="3">
        <f>COUNT($E$3:E46)-O46</f>
        <v>29</v>
      </c>
      <c r="O46" s="3">
        <f>SUM($E$3:E46)</f>
        <v>15</v>
      </c>
      <c r="P46" s="3">
        <f t="shared" si="1"/>
        <v>0.546875</v>
      </c>
      <c r="Q46" s="4">
        <f t="shared" si="2"/>
        <v>0.76190476190476186</v>
      </c>
    </row>
    <row r="47" spans="1:17" x14ac:dyDescent="0.25">
      <c r="A47" s="19">
        <v>1520.52</v>
      </c>
      <c r="B47" s="3">
        <v>29</v>
      </c>
      <c r="C47" s="3">
        <v>586.4</v>
      </c>
      <c r="D47" s="3" t="s">
        <v>5</v>
      </c>
      <c r="E47" s="4">
        <f>IF(D47="T",1,0)</f>
        <v>1</v>
      </c>
      <c r="F47" s="39">
        <f>E47*($U$2*C47+$U$3)-LN(1+EXP(($U$2*C47+$U$3)))</f>
        <v>-0.91490477932105141</v>
      </c>
      <c r="G47" s="21">
        <f>E47*($T$2*C47+$T$3*B47+$T$4)-LN(1+EXP(($T$2*C47+$T$3*B47+$T$4)))</f>
        <v>-0.78816820526930065</v>
      </c>
      <c r="H47" s="40">
        <f>1/(1+EXP(-$U$2*C47-$U$3))</f>
        <v>0.40055476537168067</v>
      </c>
      <c r="I47" s="21">
        <f>1/(1+EXP(-$T$2*C47-$T$3*B47-$T$4))</f>
        <v>0.4546769076837881</v>
      </c>
      <c r="J47" s="40">
        <f>$U$2*C47+$U$3</f>
        <v>-0.40315411888773584</v>
      </c>
      <c r="K47" s="42">
        <f>$T$2*C47+$T$3*B47+$T$4</f>
        <v>-0.18179137523416214</v>
      </c>
      <c r="L47" s="24">
        <v>-2.7500000000000102</v>
      </c>
      <c r="M47" s="25">
        <f t="shared" si="0"/>
        <v>6.0086650174007036E-2</v>
      </c>
      <c r="N47" s="3">
        <f>COUNT($E$3:E47)-O47</f>
        <v>29</v>
      </c>
      <c r="O47" s="3">
        <f>SUM($E$3:E47)</f>
        <v>16</v>
      </c>
      <c r="P47" s="3">
        <f t="shared" si="1"/>
        <v>0.546875</v>
      </c>
      <c r="Q47" s="4">
        <f t="shared" si="2"/>
        <v>0.74603174603174605</v>
      </c>
    </row>
    <row r="48" spans="1:17" x14ac:dyDescent="0.25">
      <c r="A48" s="19">
        <v>2118.6999999999998</v>
      </c>
      <c r="B48" s="3">
        <v>38</v>
      </c>
      <c r="C48" s="3">
        <v>799.27</v>
      </c>
      <c r="D48" s="3" t="s">
        <v>5</v>
      </c>
      <c r="E48" s="4">
        <f>IF(D48="T",1,0)</f>
        <v>1</v>
      </c>
      <c r="F48" s="39">
        <f>E48*($U$2*C48+$U$3)-LN(1+EXP(($U$2*C48+$U$3)))</f>
        <v>-0.81689466406954603</v>
      </c>
      <c r="G48" s="21">
        <f>E48*($T$2*C48+$T$3*B48+$T$4)-LN(1+EXP(($T$2*C48+$T$3*B48+$T$4)))</f>
        <v>-0.78813969122539096</v>
      </c>
      <c r="H48" s="40">
        <f>1/(1+EXP(-$U$2*C48-$U$3))</f>
        <v>0.44180146851320118</v>
      </c>
      <c r="I48" s="21">
        <f>1/(1+EXP(-$T$2*C48-$T$3*B48-$T$4))</f>
        <v>0.45468987254593796</v>
      </c>
      <c r="J48" s="40">
        <f>$U$2*C48+$U$3</f>
        <v>-0.23385407538502156</v>
      </c>
      <c r="K48" s="42">
        <f>$T$2*C48+$T$3*B48+$T$4</f>
        <v>-0.18173908626406207</v>
      </c>
      <c r="L48" s="24">
        <v>-2.7000000000000099</v>
      </c>
      <c r="M48" s="25">
        <f t="shared" si="0"/>
        <v>6.2973356056995902E-2</v>
      </c>
      <c r="N48" s="3">
        <f>COUNT($E$3:E48)-O48</f>
        <v>29</v>
      </c>
      <c r="O48" s="3">
        <f>SUM($E$3:E48)</f>
        <v>17</v>
      </c>
      <c r="P48" s="3">
        <f t="shared" si="1"/>
        <v>0.546875</v>
      </c>
      <c r="Q48" s="4">
        <f t="shared" si="2"/>
        <v>0.73015873015873012</v>
      </c>
    </row>
    <row r="49" spans="1:17" x14ac:dyDescent="0.25">
      <c r="A49" s="19">
        <v>2575</v>
      </c>
      <c r="B49" s="3">
        <v>49</v>
      </c>
      <c r="C49" s="3">
        <v>1059.53</v>
      </c>
      <c r="D49" s="3" t="s">
        <v>4</v>
      </c>
      <c r="E49" s="4">
        <f>IF(D49="T",1,0)</f>
        <v>0</v>
      </c>
      <c r="F49" s="39">
        <f>E49*($U$2*C49+$U$3)-LN(1+EXP(($U$2*C49+$U$3)))</f>
        <v>-0.67980550760091374</v>
      </c>
      <c r="G49" s="21">
        <f>E49*($T$2*C49+$T$3*B49+$T$4)-LN(1+EXP(($T$2*C49+$T$3*B49+$T$4)))</f>
        <v>-0.60645827717147927</v>
      </c>
      <c r="H49" s="40">
        <f>1/(1+EXP(-$U$2*C49-$U$3))</f>
        <v>0.49328446489755129</v>
      </c>
      <c r="I49" s="21">
        <f>1/(1+EXP(-$T$2*C49-$T$3*B49-$T$4))</f>
        <v>0.45472132087934941</v>
      </c>
      <c r="J49" s="40">
        <f>$U$2*C49+$U$3</f>
        <v>-2.6863755837803094E-2</v>
      </c>
      <c r="K49" s="42">
        <f>$T$2*C49+$T$3*B49+$T$4</f>
        <v>-0.18161225208702278</v>
      </c>
      <c r="L49" s="24">
        <v>-2.6500000000000101</v>
      </c>
      <c r="M49" s="25">
        <f t="shared" si="0"/>
        <v>6.5989009491218151E-2</v>
      </c>
      <c r="N49" s="3">
        <f>COUNT($E$3:E49)-O49</f>
        <v>30</v>
      </c>
      <c r="O49" s="3">
        <f>SUM($E$3:E49)</f>
        <v>17</v>
      </c>
      <c r="P49" s="3">
        <f t="shared" si="1"/>
        <v>0.53125</v>
      </c>
      <c r="Q49" s="4">
        <f t="shared" si="2"/>
        <v>0.73015873015873012</v>
      </c>
    </row>
    <row r="50" spans="1:17" x14ac:dyDescent="0.25">
      <c r="A50" s="19">
        <v>1801.69</v>
      </c>
      <c r="B50" s="3">
        <v>50</v>
      </c>
      <c r="C50" s="3">
        <v>1110.3800000000001</v>
      </c>
      <c r="D50" s="3" t="s">
        <v>5</v>
      </c>
      <c r="E50" s="4">
        <f>IF(D50="T",1,0)</f>
        <v>1</v>
      </c>
      <c r="F50" s="39">
        <f>E50*($U$2*C50+$U$3)-LN(1+EXP(($U$2*C50+$U$3)))</f>
        <v>-0.68638106083085904</v>
      </c>
      <c r="G50" s="21">
        <f>E50*($T$2*C50+$T$3*B50+$T$4)-LN(1+EXP(($T$2*C50+$T$3*B50+$T$4)))</f>
        <v>-0.77720940895889568</v>
      </c>
      <c r="H50" s="40">
        <f>1/(1+EXP(-$U$2*C50-$U$3))</f>
        <v>0.50339453081527163</v>
      </c>
      <c r="I50" s="21">
        <f>1/(1+EXP(-$T$2*C50-$T$3*B50-$T$4))</f>
        <v>0.45968702157013336</v>
      </c>
      <c r="J50" s="40">
        <f>$U$2*C50+$U$3</f>
        <v>1.3578331878235095E-2</v>
      </c>
      <c r="K50" s="42">
        <f>$T$2*C50+$T$3*B50+$T$4</f>
        <v>-0.16160269132278646</v>
      </c>
      <c r="L50" s="24">
        <v>-2.6000000000000099</v>
      </c>
      <c r="M50" s="25">
        <f t="shared" si="0"/>
        <v>6.9138420343346191E-2</v>
      </c>
      <c r="N50" s="3">
        <f>COUNT($E$3:E50)-O50</f>
        <v>30</v>
      </c>
      <c r="O50" s="3">
        <f>SUM($E$3:E50)</f>
        <v>18</v>
      </c>
      <c r="P50" s="3">
        <f t="shared" si="1"/>
        <v>0.53125</v>
      </c>
      <c r="Q50" s="4">
        <f t="shared" si="2"/>
        <v>0.7142857142857143</v>
      </c>
    </row>
    <row r="51" spans="1:17" x14ac:dyDescent="0.25">
      <c r="A51" s="19">
        <v>3036.91</v>
      </c>
      <c r="B51" s="3">
        <v>54</v>
      </c>
      <c r="C51" s="3">
        <v>1206.95</v>
      </c>
      <c r="D51" s="3" t="s">
        <v>4</v>
      </c>
      <c r="E51" s="4">
        <f>IF(D51="T",1,0)</f>
        <v>0</v>
      </c>
      <c r="F51" s="39">
        <f>E51*($U$2*C51+$U$3)-LN(1+EXP(($U$2*C51+$U$3)))</f>
        <v>-0.7393592124676025</v>
      </c>
      <c r="G51" s="21">
        <f>E51*($T$2*C51+$T$3*B51+$T$4)-LN(1+EXP(($T$2*C51+$T$3*B51+$T$4)))</f>
        <v>-0.61628071149017172</v>
      </c>
      <c r="H51" s="40">
        <f>1/(1+EXP(-$U$2*C51-$U$3))</f>
        <v>0.52258025785588735</v>
      </c>
      <c r="I51" s="21">
        <f>1/(1+EXP(-$T$2*C51-$T$3*B51-$T$4))</f>
        <v>0.4600510665010612</v>
      </c>
      <c r="J51" s="40">
        <f>$U$2*C51+$U$3</f>
        <v>9.0382509080551454E-2</v>
      </c>
      <c r="K51" s="42">
        <f>$T$2*C51+$T$3*B51+$T$4</f>
        <v>-0.16013707003769559</v>
      </c>
      <c r="L51" s="24">
        <v>-2.55000000000001</v>
      </c>
      <c r="M51" s="25">
        <f t="shared" si="0"/>
        <v>7.2426485361517037E-2</v>
      </c>
      <c r="N51" s="3">
        <f>COUNT($E$3:E51)-O51</f>
        <v>31</v>
      </c>
      <c r="O51" s="3">
        <f>SUM($E$3:E51)</f>
        <v>18</v>
      </c>
      <c r="P51" s="3">
        <f t="shared" si="1"/>
        <v>0.515625</v>
      </c>
      <c r="Q51" s="4">
        <f t="shared" si="2"/>
        <v>0.7142857142857143</v>
      </c>
    </row>
    <row r="52" spans="1:17" x14ac:dyDescent="0.25">
      <c r="A52" s="19">
        <v>2901.29</v>
      </c>
      <c r="B52" s="3">
        <v>51</v>
      </c>
      <c r="C52" s="3">
        <v>1155.52</v>
      </c>
      <c r="D52" s="3" t="s">
        <v>4</v>
      </c>
      <c r="E52" s="4">
        <f>IF(D52="T",1,0)</f>
        <v>0</v>
      </c>
      <c r="F52" s="39">
        <f>E52*($U$2*C52+$U$3)-LN(1+EXP(($U$2*C52+$U$3)))</f>
        <v>-0.71819273995603006</v>
      </c>
      <c r="G52" s="21">
        <f>E52*($T$2*C52+$T$3*B52+$T$4)-LN(1+EXP(($T$2*C52+$T$3*B52+$T$4)))</f>
        <v>-0.62290537775058574</v>
      </c>
      <c r="H52" s="40">
        <f>1/(1+EXP(-$U$2*C52-$U$3))</f>
        <v>0.51236726074503247</v>
      </c>
      <c r="I52" s="21">
        <f>1/(1+EXP(-$T$2*C52-$T$3*B52-$T$4))</f>
        <v>0.46361622594897134</v>
      </c>
      <c r="J52" s="40">
        <f>$U$2*C52+$U$3</f>
        <v>4.9479135014949938E-2</v>
      </c>
      <c r="K52" s="42">
        <f>$T$2*C52+$T$3*B52+$T$4</f>
        <v>-0.14579279048850699</v>
      </c>
      <c r="L52" s="24">
        <v>-2.5000000000000102</v>
      </c>
      <c r="M52" s="25">
        <f t="shared" si="0"/>
        <v>7.5858180021242838E-2</v>
      </c>
      <c r="N52" s="3">
        <f>COUNT($E$3:E52)-O52</f>
        <v>32</v>
      </c>
      <c r="O52" s="3">
        <f>SUM($E$3:E52)</f>
        <v>18</v>
      </c>
      <c r="P52" s="3">
        <f t="shared" si="1"/>
        <v>0.5</v>
      </c>
      <c r="Q52" s="4">
        <f t="shared" si="2"/>
        <v>0.7142857142857143</v>
      </c>
    </row>
    <row r="53" spans="1:17" x14ac:dyDescent="0.25">
      <c r="A53" s="19">
        <v>2263.9</v>
      </c>
      <c r="B53" s="3">
        <v>47</v>
      </c>
      <c r="C53" s="3">
        <v>1066.02</v>
      </c>
      <c r="D53" s="3" t="s">
        <v>5</v>
      </c>
      <c r="E53" s="4">
        <f>IF(D53="T",1,0)</f>
        <v>1</v>
      </c>
      <c r="F53" s="39">
        <f>E53*($U$2*C53+$U$3)-LN(1+EXP(($U$2*C53+$U$3)))</f>
        <v>-0.70405711248496183</v>
      </c>
      <c r="G53" s="21">
        <f>E53*($T$2*C53+$T$3*B53+$T$4)-LN(1+EXP(($T$2*C53+$T$3*B53+$T$4)))</f>
        <v>-0.76669688012670389</v>
      </c>
      <c r="H53" s="40">
        <f>1/(1+EXP(-$U$2*C53-$U$3))</f>
        <v>0.49457468277129862</v>
      </c>
      <c r="I53" s="21">
        <f>1/(1+EXP(-$T$2*C53-$T$3*B53-$T$4))</f>
        <v>0.46454498463754984</v>
      </c>
      <c r="J53" s="40">
        <f>$U$2*C53+$U$3</f>
        <v>-2.170212065044641E-2</v>
      </c>
      <c r="K53" s="42">
        <f>$T$2*C53+$T$3*B53+$T$4</f>
        <v>-0.14205848257836237</v>
      </c>
      <c r="L53" s="24">
        <v>-2.4500000000000099</v>
      </c>
      <c r="M53" s="25">
        <f t="shared" si="0"/>
        <v>7.943854918397765E-2</v>
      </c>
      <c r="N53" s="3">
        <f>COUNT($E$3:E53)-O53</f>
        <v>32</v>
      </c>
      <c r="O53" s="3">
        <f>SUM($E$3:E53)</f>
        <v>19</v>
      </c>
      <c r="P53" s="3">
        <f t="shared" si="1"/>
        <v>0.5</v>
      </c>
      <c r="Q53" s="4">
        <f t="shared" si="2"/>
        <v>0.69841269841269837</v>
      </c>
    </row>
    <row r="54" spans="1:17" x14ac:dyDescent="0.25">
      <c r="A54" s="19">
        <v>2515.5</v>
      </c>
      <c r="B54" s="3">
        <v>46</v>
      </c>
      <c r="C54" s="3">
        <v>1072.1199999999999</v>
      </c>
      <c r="D54" s="3" t="s">
        <v>4</v>
      </c>
      <c r="E54" s="4">
        <f>IF(D54="T",1,0)</f>
        <v>0</v>
      </c>
      <c r="F54" s="39">
        <f>E54*($U$2*C54+$U$3)-LN(1+EXP(($U$2*C54+$U$3)))</f>
        <v>-0.68475734285251599</v>
      </c>
      <c r="G54" s="21">
        <f>E54*($T$2*C54+$T$3*B54+$T$4)-LN(1+EXP(($T$2*C54+$T$3*B54+$T$4)))</f>
        <v>-0.63486066828272181</v>
      </c>
      <c r="H54" s="40">
        <f>1/(1+EXP(-$U$2*C54-$U$3))</f>
        <v>0.49578743448574653</v>
      </c>
      <c r="I54" s="21">
        <f>1/(1+EXP(-$T$2*C54-$T$3*B54-$T$4))</f>
        <v>0.4699906697166531</v>
      </c>
      <c r="J54" s="40">
        <f>$U$2*C54+$U$3</f>
        <v>-1.6850660767106618E-2</v>
      </c>
      <c r="K54" s="42">
        <f>$T$2*C54+$T$3*B54+$T$4</f>
        <v>-0.12018176785905374</v>
      </c>
      <c r="L54" s="24">
        <v>-2.4000000000000101</v>
      </c>
      <c r="M54" s="25">
        <f t="shared" si="0"/>
        <v>8.3172696493921602E-2</v>
      </c>
      <c r="N54" s="3">
        <f>COUNT($E$3:E54)-O54</f>
        <v>33</v>
      </c>
      <c r="O54" s="3">
        <f>SUM($E$3:E54)</f>
        <v>19</v>
      </c>
      <c r="P54" s="3">
        <f t="shared" si="1"/>
        <v>0.484375</v>
      </c>
      <c r="Q54" s="4">
        <f t="shared" si="2"/>
        <v>0.69841269841269837</v>
      </c>
    </row>
    <row r="55" spans="1:17" x14ac:dyDescent="0.25">
      <c r="A55" s="19">
        <v>2436.0300000000002</v>
      </c>
      <c r="B55" s="3">
        <v>40</v>
      </c>
      <c r="C55" s="3">
        <v>955.21</v>
      </c>
      <c r="D55" s="3" t="s">
        <v>4</v>
      </c>
      <c r="E55" s="4">
        <f>IF(D55="T",1,0)</f>
        <v>0</v>
      </c>
      <c r="F55" s="39">
        <f>E55*($U$2*C55+$U$3)-LN(1+EXP(($U$2*C55+$U$3)))</f>
        <v>-0.63973846129652823</v>
      </c>
      <c r="G55" s="21">
        <f>E55*($T$2*C55+$T$3*B55+$T$4)-LN(1+EXP(($T$2*C55+$T$3*B55+$T$4)))</f>
        <v>-0.6435292735716297</v>
      </c>
      <c r="H55" s="40">
        <f>1/(1+EXP(-$U$2*C55-$U$3))</f>
        <v>0.4725696505443861</v>
      </c>
      <c r="I55" s="21">
        <f>1/(1+EXP(-$T$2*C55-$T$3*B55-$T$4))</f>
        <v>0.47456525511643083</v>
      </c>
      <c r="J55" s="40">
        <f>$U$2*C55+$U$3</f>
        <v>-0.10983167305583819</v>
      </c>
      <c r="K55" s="42">
        <f>$T$2*C55+$T$3*B55+$T$4</f>
        <v>-0.10182687286153355</v>
      </c>
      <c r="L55" s="24">
        <v>-2.3500000000000099</v>
      </c>
      <c r="M55" s="25">
        <f t="shared" si="0"/>
        <v>8.7065772440270486E-2</v>
      </c>
      <c r="N55" s="3">
        <f>COUNT($E$3:E55)-O55</f>
        <v>34</v>
      </c>
      <c r="O55" s="3">
        <f>SUM($E$3:E55)</f>
        <v>19</v>
      </c>
      <c r="P55" s="3">
        <f t="shared" si="1"/>
        <v>0.46875</v>
      </c>
      <c r="Q55" s="4">
        <f t="shared" si="2"/>
        <v>0.69841269841269837</v>
      </c>
    </row>
    <row r="56" spans="1:17" x14ac:dyDescent="0.25">
      <c r="A56" s="19">
        <v>1493.55</v>
      </c>
      <c r="B56" s="3">
        <v>22</v>
      </c>
      <c r="C56" s="3">
        <v>536.44000000000005</v>
      </c>
      <c r="D56" s="3" t="s">
        <v>4</v>
      </c>
      <c r="E56" s="4">
        <f>IF(D56="T",1,0)</f>
        <v>0</v>
      </c>
      <c r="F56" s="39">
        <f>E56*($U$2*C56+$U$3)-LN(1+EXP(($U$2*C56+$U$3)))</f>
        <v>-0.49602395095263679</v>
      </c>
      <c r="G56" s="21">
        <f>E56*($T$2*C56+$T$3*B56+$T$4)-LN(1+EXP(($T$2*C56+$T$3*B56+$T$4)))</f>
        <v>-0.6459155907591233</v>
      </c>
      <c r="H56" s="40">
        <f>1/(1+EXP(-$U$2*C56-$U$3))</f>
        <v>0.39105294396386264</v>
      </c>
      <c r="I56" s="21">
        <f>1/(1+EXP(-$T$2*C56-$T$3*B56-$T$4))</f>
        <v>0.47581761422172636</v>
      </c>
      <c r="J56" s="40">
        <f>$U$2*C56+$U$3</f>
        <v>-0.44288837065358161</v>
      </c>
      <c r="K56" s="42">
        <f>$T$2*C56+$T$3*B56+$T$4</f>
        <v>-9.68050708171804E-2</v>
      </c>
      <c r="L56" s="24">
        <v>-2.30000000000001</v>
      </c>
      <c r="M56" s="25">
        <f t="shared" si="0"/>
        <v>9.11229610148553E-2</v>
      </c>
      <c r="N56" s="3">
        <f>COUNT($E$3:E56)-O56</f>
        <v>35</v>
      </c>
      <c r="O56" s="3">
        <f>SUM($E$3:E56)</f>
        <v>19</v>
      </c>
      <c r="P56" s="3">
        <f t="shared" si="1"/>
        <v>0.453125</v>
      </c>
      <c r="Q56" s="4">
        <f t="shared" si="2"/>
        <v>0.69841269841269837</v>
      </c>
    </row>
    <row r="57" spans="1:17" x14ac:dyDescent="0.25">
      <c r="A57" s="19">
        <v>3371.59</v>
      </c>
      <c r="B57" s="3">
        <v>55</v>
      </c>
      <c r="C57" s="3">
        <v>1317.44</v>
      </c>
      <c r="D57" s="3" t="s">
        <v>4</v>
      </c>
      <c r="E57" s="4">
        <f>IF(D57="T",1,0)</f>
        <v>0</v>
      </c>
      <c r="F57" s="39">
        <f>E57*($U$2*C57+$U$3)-LN(1+EXP(($U$2*C57+$U$3)))</f>
        <v>-0.78624268181494106</v>
      </c>
      <c r="G57" s="21">
        <f>E57*($T$2*C57+$T$3*B57+$T$4)-LN(1+EXP(($T$2*C57+$T$3*B57+$T$4)))</f>
        <v>-0.64617366846453728</v>
      </c>
      <c r="H57" s="40">
        <f>1/(1+EXP(-$U$2*C57-$U$3))</f>
        <v>0.54444675783577423</v>
      </c>
      <c r="I57" s="21">
        <f>1/(1+EXP(-$T$2*C57-$T$3*B57-$T$4))</f>
        <v>0.47595287655421947</v>
      </c>
      <c r="J57" s="40">
        <f>$U$2*C57+$U$3</f>
        <v>0.17825755867239113</v>
      </c>
      <c r="K57" s="42">
        <f>$T$2*C57+$T$3*B57+$T$4</f>
        <v>-9.6262760022561483E-2</v>
      </c>
      <c r="L57" s="24">
        <v>-2.2500000000000102</v>
      </c>
      <c r="M57" s="25">
        <f t="shared" si="0"/>
        <v>9.5349464899108616E-2</v>
      </c>
      <c r="N57" s="3">
        <f>COUNT($E$3:E57)-O57</f>
        <v>36</v>
      </c>
      <c r="O57" s="3">
        <f>SUM($E$3:E57)</f>
        <v>19</v>
      </c>
      <c r="P57" s="3">
        <f t="shared" si="1"/>
        <v>0.4375</v>
      </c>
      <c r="Q57" s="4">
        <f t="shared" si="2"/>
        <v>0.69841269841269837</v>
      </c>
    </row>
    <row r="58" spans="1:17" x14ac:dyDescent="0.25">
      <c r="A58" s="19">
        <v>2204.8000000000002</v>
      </c>
      <c r="B58" s="3">
        <v>43</v>
      </c>
      <c r="C58" s="3">
        <v>1061.3499999999999</v>
      </c>
      <c r="D58" s="3" t="s">
        <v>4</v>
      </c>
      <c r="E58" s="4">
        <f>IF(D58="T",1,0)</f>
        <v>0</v>
      </c>
      <c r="F58" s="39">
        <f>E58*($U$2*C58+$U$3)-LN(1+EXP(($U$2*C58+$U$3)))</f>
        <v>-0.68051979119823214</v>
      </c>
      <c r="G58" s="21">
        <f>E58*($T$2*C58+$T$3*B58+$T$4)-LN(1+EXP(($T$2*C58+$T$3*B58+$T$4)))</f>
        <v>-0.6559015336367493</v>
      </c>
      <c r="H58" s="40">
        <f>1/(1+EXP(-$U$2*C58-$U$3))</f>
        <v>0.49364627426015201</v>
      </c>
      <c r="I58" s="21">
        <f>1/(1+EXP(-$T$2*C58-$T$3*B58-$T$4))</f>
        <v>0.48102602087651947</v>
      </c>
      <c r="J58" s="40">
        <f>$U$2*C58+$U$3</f>
        <v>-2.5416271085724751E-2</v>
      </c>
      <c r="K58" s="42">
        <f>$T$2*C58+$T$3*B58+$T$4</f>
        <v>-7.5932379246459875E-2</v>
      </c>
      <c r="L58" s="24">
        <v>-2.2000000000000099</v>
      </c>
      <c r="M58" s="25">
        <f t="shared" si="0"/>
        <v>9.9750489119684246E-2</v>
      </c>
      <c r="N58" s="3">
        <f>COUNT($E$3:E58)-O58</f>
        <v>37</v>
      </c>
      <c r="O58" s="3">
        <f>SUM($E$3:E58)</f>
        <v>19</v>
      </c>
      <c r="P58" s="3">
        <f t="shared" si="1"/>
        <v>0.421875</v>
      </c>
      <c r="Q58" s="4">
        <f t="shared" si="2"/>
        <v>0.69841269841269837</v>
      </c>
    </row>
    <row r="59" spans="1:17" x14ac:dyDescent="0.25">
      <c r="A59" s="19">
        <v>1754</v>
      </c>
      <c r="B59" s="3">
        <v>26</v>
      </c>
      <c r="C59" s="3">
        <v>677.12</v>
      </c>
      <c r="D59" s="3" t="s">
        <v>4</v>
      </c>
      <c r="E59" s="4">
        <f>IF(D59="T",1,0)</f>
        <v>0</v>
      </c>
      <c r="F59" s="39">
        <f>E59*($U$2*C59+$U$3)-LN(1+EXP(($U$2*C59+$U$3)))</f>
        <v>-0.54127916484875449</v>
      </c>
      <c r="G59" s="21">
        <f>E59*($T$2*C59+$T$3*B59+$T$4)-LN(1+EXP(($T$2*C59+$T$3*B59+$T$4)))</f>
        <v>-0.6621931551094089</v>
      </c>
      <c r="H59" s="40">
        <f>1/(1+EXP(-$U$2*C59-$U$3))</f>
        <v>0.41799670214472467</v>
      </c>
      <c r="I59" s="21">
        <f>1/(1+EXP(-$T$2*C59-$T$3*B59-$T$4))</f>
        <v>0.48428095855235442</v>
      </c>
      <c r="J59" s="40">
        <f>$U$2*C59+$U$3</f>
        <v>-0.33100257124567145</v>
      </c>
      <c r="K59" s="42">
        <f>$T$2*C59+$T$3*B59+$T$4</f>
        <v>-6.2896892700146284E-2</v>
      </c>
      <c r="L59" s="24">
        <v>-2.1500000000000101</v>
      </c>
      <c r="M59" s="25">
        <f t="shared" si="0"/>
        <v>0.10433122311900037</v>
      </c>
      <c r="N59" s="3">
        <f>COUNT($E$3:E59)-O59</f>
        <v>38</v>
      </c>
      <c r="O59" s="3">
        <f>SUM($E$3:E59)</f>
        <v>19</v>
      </c>
      <c r="P59" s="3">
        <f t="shared" si="1"/>
        <v>0.40625</v>
      </c>
      <c r="Q59" s="4">
        <f t="shared" si="2"/>
        <v>0.69841269841269837</v>
      </c>
    </row>
    <row r="60" spans="1:17" x14ac:dyDescent="0.25">
      <c r="A60" s="19">
        <v>1959.15</v>
      </c>
      <c r="B60" s="3">
        <v>42</v>
      </c>
      <c r="C60" s="3">
        <v>1063.79</v>
      </c>
      <c r="D60" s="3" t="s">
        <v>5</v>
      </c>
      <c r="E60" s="4">
        <f>IF(D60="T",1,0)</f>
        <v>1</v>
      </c>
      <c r="F60" s="39">
        <f>E60*($U$2*C60+$U$3)-LN(1+EXP(($U$2*C60+$U$3)))</f>
        <v>-0.70495391103011551</v>
      </c>
      <c r="G60" s="21">
        <f>E60*($T$2*C60+$T$3*B60+$T$4)-LN(1+EXP(($T$2*C60+$T$3*B60+$T$4)))</f>
        <v>-0.7219234451546469</v>
      </c>
      <c r="H60" s="40">
        <f>1/(1+EXP(-$U$2*C60-$U$3))</f>
        <v>0.49413134773613926</v>
      </c>
      <c r="I60" s="21">
        <f>1/(1+EXP(-$T$2*C60-$T$3*B60-$T$4))</f>
        <v>0.48581691451908215</v>
      </c>
      <c r="J60" s="40">
        <f>$U$2*C60+$U$3</f>
        <v>-2.3475687132388678E-2</v>
      </c>
      <c r="K60" s="42">
        <f>$T$2*C60+$T$3*B60+$T$4</f>
        <v>-5.674756563812175E-2</v>
      </c>
      <c r="L60" s="24">
        <v>-2.1000000000000099</v>
      </c>
      <c r="M60" s="25">
        <f t="shared" si="0"/>
        <v>0.109096821195612</v>
      </c>
      <c r="N60" s="3">
        <f>COUNT($E$3:E60)-O60</f>
        <v>38</v>
      </c>
      <c r="O60" s="3">
        <f>SUM($E$3:E60)</f>
        <v>20</v>
      </c>
      <c r="P60" s="3">
        <f t="shared" si="1"/>
        <v>0.40625</v>
      </c>
      <c r="Q60" s="4">
        <f t="shared" si="2"/>
        <v>0.68253968253968256</v>
      </c>
    </row>
    <row r="61" spans="1:17" x14ac:dyDescent="0.25">
      <c r="A61" s="19">
        <v>1768.25</v>
      </c>
      <c r="B61" s="3">
        <v>36</v>
      </c>
      <c r="C61" s="3">
        <v>948.77</v>
      </c>
      <c r="D61" s="3" t="s">
        <v>5</v>
      </c>
      <c r="E61" s="4">
        <f>IF(D61="T",1,0)</f>
        <v>1</v>
      </c>
      <c r="F61" s="39">
        <f>E61*($U$2*C61+$U$3)-LN(1+EXP(($U$2*C61+$U$3)))</f>
        <v>-0.75227483258742212</v>
      </c>
      <c r="G61" s="21">
        <f>E61*($T$2*C61+$T$3*B61+$T$4)-LN(1+EXP(($T$2*C61+$T$3*B61+$T$4)))</f>
        <v>-0.7118196150397077</v>
      </c>
      <c r="H61" s="40">
        <f>1/(1+EXP(-$U$2*C61-$U$3))</f>
        <v>0.47129321920354805</v>
      </c>
      <c r="I61" s="21">
        <f>1/(1+EXP(-$T$2*C61-$T$3*B61-$T$4))</f>
        <v>0.49075040770832962</v>
      </c>
      <c r="J61" s="40">
        <f>$U$2*C61+$U$3</f>
        <v>-0.11495354217857745</v>
      </c>
      <c r="K61" s="42">
        <f>$T$2*C61+$T$3*B61+$T$4</f>
        <v>-3.7002590558706999E-2</v>
      </c>
      <c r="L61" s="24">
        <v>-2.05000000000001</v>
      </c>
      <c r="M61" s="25">
        <f t="shared" si="0"/>
        <v>0.11405238127978984</v>
      </c>
      <c r="N61" s="3">
        <f>COUNT($E$3:E61)-O61</f>
        <v>38</v>
      </c>
      <c r="O61" s="3">
        <f>SUM($E$3:E61)</f>
        <v>21</v>
      </c>
      <c r="P61" s="3">
        <f t="shared" si="1"/>
        <v>0.40625</v>
      </c>
      <c r="Q61" s="4">
        <f t="shared" si="2"/>
        <v>0.66666666666666663</v>
      </c>
    </row>
    <row r="62" spans="1:17" x14ac:dyDescent="0.25">
      <c r="A62" s="19">
        <v>3226.92</v>
      </c>
      <c r="B62" s="3">
        <v>55</v>
      </c>
      <c r="C62" s="3">
        <v>1398.32</v>
      </c>
      <c r="D62" s="3" t="s">
        <v>4</v>
      </c>
      <c r="E62" s="4">
        <f>IF(D62="T",1,0)</f>
        <v>0</v>
      </c>
      <c r="F62" s="39">
        <f>E62*($U$2*C62+$U$3)-LN(1+EXP(($U$2*C62+$U$3)))</f>
        <v>-0.8217766101262326</v>
      </c>
      <c r="G62" s="21">
        <f>E62*($T$2*C62+$T$3*B62+$T$4)-LN(1+EXP(($T$2*C62+$T$3*B62+$T$4)))</f>
        <v>-0.67492815255079319</v>
      </c>
      <c r="H62" s="40">
        <f>1/(1+EXP(-$U$2*C62-$U$3))</f>
        <v>0.5603501261659497</v>
      </c>
      <c r="I62" s="21">
        <f>1/(1+EXP(-$T$2*C62-$T$3*B62-$T$4))</f>
        <v>0.49080699648820453</v>
      </c>
      <c r="J62" s="40">
        <f>$U$2*C62+$U$3</f>
        <v>0.24258314479772358</v>
      </c>
      <c r="K62" s="42">
        <f>$T$2*C62+$T$3*B62+$T$4</f>
        <v>-3.6776158422752697E-2</v>
      </c>
      <c r="L62" s="24">
        <v>-2.0000000000000102</v>
      </c>
      <c r="M62" s="25">
        <f t="shared" si="0"/>
        <v>0.11920292202211646</v>
      </c>
      <c r="N62" s="3">
        <f>COUNT($E$3:E62)-O62</f>
        <v>39</v>
      </c>
      <c r="O62" s="3">
        <f>SUM($E$3:E62)</f>
        <v>21</v>
      </c>
      <c r="P62" s="3">
        <f t="shared" si="1"/>
        <v>0.390625</v>
      </c>
      <c r="Q62" s="4">
        <f t="shared" si="2"/>
        <v>0.66666666666666663</v>
      </c>
    </row>
    <row r="63" spans="1:17" x14ac:dyDescent="0.25">
      <c r="A63" s="19">
        <v>3030.75</v>
      </c>
      <c r="B63" s="3">
        <v>32</v>
      </c>
      <c r="C63" s="3">
        <v>892.65</v>
      </c>
      <c r="D63" s="3" t="s">
        <v>4</v>
      </c>
      <c r="E63" s="4">
        <f>IF(D63="T",1,0)</f>
        <v>0</v>
      </c>
      <c r="F63" s="39">
        <f>E63*($U$2*C63+$U$3)-LN(1+EXP(($U$2*C63+$U$3)))</f>
        <v>-0.61653382175550941</v>
      </c>
      <c r="G63" s="21">
        <f>E63*($T$2*C63+$T$3*B63+$T$4)-LN(1+EXP(($T$2*C63+$T$3*B63+$T$4)))</f>
        <v>-0.68879790194154722</v>
      </c>
      <c r="H63" s="40">
        <f>1/(1+EXP(-$U$2*C63-$U$3))</f>
        <v>0.46018771582448514</v>
      </c>
      <c r="I63" s="21">
        <f>1/(1+EXP(-$T$2*C63-$T$3*B63-$T$4))</f>
        <v>0.49782062477122041</v>
      </c>
      <c r="J63" s="40">
        <f>$U$2*C63+$U$3</f>
        <v>-0.15958697310530412</v>
      </c>
      <c r="K63" s="42">
        <f>$T$2*C63+$T$3*B63+$T$4</f>
        <v>-8.7175561228252929E-3</v>
      </c>
      <c r="L63" s="24">
        <v>-1.9500000000000099</v>
      </c>
      <c r="M63" s="25">
        <f t="shared" si="0"/>
        <v>0.12455335818741534</v>
      </c>
      <c r="N63" s="3">
        <f>COUNT($E$3:E63)-O63</f>
        <v>40</v>
      </c>
      <c r="O63" s="3">
        <f>SUM($E$3:E63)</f>
        <v>21</v>
      </c>
      <c r="P63" s="3">
        <f t="shared" si="1"/>
        <v>0.375</v>
      </c>
      <c r="Q63" s="4">
        <f t="shared" si="2"/>
        <v>0.66666666666666663</v>
      </c>
    </row>
    <row r="64" spans="1:17" x14ac:dyDescent="0.25">
      <c r="A64" s="19">
        <v>3341.04</v>
      </c>
      <c r="B64" s="3">
        <v>51</v>
      </c>
      <c r="C64" s="3">
        <v>1350.12</v>
      </c>
      <c r="D64" s="3" t="s">
        <v>4</v>
      </c>
      <c r="E64" s="4">
        <f>IF(D64="T",1,0)</f>
        <v>0</v>
      </c>
      <c r="F64" s="39">
        <f>E64*($U$2*C64+$U$3)-LN(1+EXP(($U$2*C64+$U$3)))</f>
        <v>-0.80047715992752266</v>
      </c>
      <c r="G64" s="21">
        <f>E64*($T$2*C64+$T$3*B64+$T$4)-LN(1+EXP(($T$2*C64+$T$3*B64+$T$4)))</f>
        <v>-0.69181505577142688</v>
      </c>
      <c r="H64" s="40">
        <f>1/(1+EXP(-$U$2*C64-$U$3))</f>
        <v>0.55088538651489738</v>
      </c>
      <c r="I64" s="21">
        <f>1/(1+EXP(-$T$2*C64-$T$3*B64-$T$4))</f>
        <v>0.49933349376956798</v>
      </c>
      <c r="J64" s="40">
        <f>$U$2*C64+$U$3</f>
        <v>0.20424865850641494</v>
      </c>
      <c r="K64" s="42">
        <f>$T$2*C64+$T$3*B64+$T$4</f>
        <v>-2.6660265008363326E-3</v>
      </c>
      <c r="L64" s="24">
        <v>-1.9000000000000099</v>
      </c>
      <c r="M64" s="25">
        <f t="shared" si="0"/>
        <v>0.13010847436299672</v>
      </c>
      <c r="N64" s="3">
        <f>COUNT($E$3:E64)-O64</f>
        <v>41</v>
      </c>
      <c r="O64" s="3">
        <f>SUM($E$3:E64)</f>
        <v>21</v>
      </c>
      <c r="P64" s="3">
        <f t="shared" si="1"/>
        <v>0.359375</v>
      </c>
      <c r="Q64" s="4">
        <f t="shared" si="2"/>
        <v>0.66666666666666663</v>
      </c>
    </row>
    <row r="65" spans="1:17" x14ac:dyDescent="0.25">
      <c r="A65" s="19">
        <v>1484.95</v>
      </c>
      <c r="B65" s="3">
        <v>37</v>
      </c>
      <c r="C65" s="3">
        <v>1023.25</v>
      </c>
      <c r="D65" s="3" t="s">
        <v>5</v>
      </c>
      <c r="E65" s="4">
        <f>IF(D65="T",1,0)</f>
        <v>1</v>
      </c>
      <c r="F65" s="39">
        <f>E65*($U$2*C65+$U$3)-LN(1+EXP(($U$2*C65+$U$3)))</f>
        <v>-0.7213941986472473</v>
      </c>
      <c r="G65" s="21">
        <f>E65*($T$2*C65+$T$3*B65+$T$4)-LN(1+EXP(($T$2*C65+$T$3*B65+$T$4)))</f>
        <v>-0.69295387490222304</v>
      </c>
      <c r="H65" s="40">
        <f>1/(1+EXP(-$U$2*C65-$U$3))</f>
        <v>0.48607409947544389</v>
      </c>
      <c r="I65" s="21">
        <f>1/(1+EXP(-$T$2*C65-$T$3*B65-$T$4))</f>
        <v>0.50009666217123239</v>
      </c>
      <c r="J65" s="40">
        <f>$U$2*C65+$U$3</f>
        <v>-5.5718012324289967E-2</v>
      </c>
      <c r="K65" s="42">
        <f>$T$2*C65+$T$3*B65+$T$4</f>
        <v>3.8664868974649935E-4</v>
      </c>
      <c r="L65" s="24">
        <v>-1.8500000000000101</v>
      </c>
      <c r="M65" s="25">
        <f t="shared" si="0"/>
        <v>0.13587289700909308</v>
      </c>
      <c r="N65" s="3">
        <f>COUNT($E$3:E65)-O65</f>
        <v>41</v>
      </c>
      <c r="O65" s="3">
        <f>SUM($E$3:E65)</f>
        <v>22</v>
      </c>
      <c r="P65" s="3">
        <f t="shared" si="1"/>
        <v>0.359375</v>
      </c>
      <c r="Q65" s="4">
        <f t="shared" si="2"/>
        <v>0.65079365079365081</v>
      </c>
    </row>
    <row r="66" spans="1:17" x14ac:dyDescent="0.25">
      <c r="A66" s="19">
        <v>2862.35</v>
      </c>
      <c r="B66" s="3">
        <v>55</v>
      </c>
      <c r="C66" s="3">
        <v>1456.44</v>
      </c>
      <c r="D66" s="3" t="s">
        <v>4</v>
      </c>
      <c r="E66" s="4">
        <f>IF(D66="T",1,0)</f>
        <v>0</v>
      </c>
      <c r="F66" s="39">
        <f>E66*($U$2*C66+$U$3)-LN(1+EXP(($U$2*C66+$U$3)))</f>
        <v>-0.8479409558834945</v>
      </c>
      <c r="G66" s="21">
        <f>E66*($T$2*C66+$T$3*B66+$T$4)-LN(1+EXP(($T$2*C66+$T$3*B66+$T$4)))</f>
        <v>-0.69613695803818287</v>
      </c>
      <c r="H66" s="40">
        <f>1/(1+EXP(-$U$2*C66-$U$3))</f>
        <v>0.57170409518058685</v>
      </c>
      <c r="I66" s="21">
        <f>1/(1+EXP(-$T$2*C66-$T$3*B66-$T$4))</f>
        <v>0.50149265627219042</v>
      </c>
      <c r="J66" s="40">
        <f>$U$2*C66+$U$3</f>
        <v>0.2888072183091519</v>
      </c>
      <c r="K66" s="42">
        <f>$T$2*C66+$T$3*B66+$T$4</f>
        <v>5.9706428257747801E-3</v>
      </c>
      <c r="L66" s="24">
        <v>-1.80000000000001</v>
      </c>
      <c r="M66" s="25">
        <f t="shared" si="0"/>
        <v>0.14185106490048657</v>
      </c>
      <c r="N66" s="3">
        <f>COUNT($E$3:E66)-O66</f>
        <v>42</v>
      </c>
      <c r="O66" s="3">
        <f>SUM($E$3:E66)</f>
        <v>22</v>
      </c>
      <c r="P66" s="3">
        <f t="shared" si="1"/>
        <v>0.34375</v>
      </c>
      <c r="Q66" s="4">
        <f t="shared" si="2"/>
        <v>0.65079365079365081</v>
      </c>
    </row>
    <row r="67" spans="1:17" x14ac:dyDescent="0.25">
      <c r="A67" s="19">
        <v>1792.57</v>
      </c>
      <c r="B67" s="3">
        <v>21</v>
      </c>
      <c r="C67" s="3">
        <v>664.72</v>
      </c>
      <c r="D67" s="3" t="s">
        <v>5</v>
      </c>
      <c r="E67" s="4">
        <f>IF(D67="T",1,0)</f>
        <v>1</v>
      </c>
      <c r="F67" s="39">
        <f>E67*($U$2*C67+$U$3)-LN(1+EXP(($U$2*C67+$U$3)))</f>
        <v>-0.87803326722916575</v>
      </c>
      <c r="G67" s="21">
        <f>E67*($T$2*C67+$T$3*B67+$T$4)-LN(1+EXP(($T$2*C67+$T$3*B67+$T$4)))</f>
        <v>-0.68570802384805818</v>
      </c>
      <c r="H67" s="40">
        <f>1/(1+EXP(-$U$2*C67-$U$3))</f>
        <v>0.41559948155091819</v>
      </c>
      <c r="I67" s="21">
        <f>1/(1+EXP(-$T$2*C67-$T$3*B67-$T$4))</f>
        <v>0.50373344799055308</v>
      </c>
      <c r="J67" s="40">
        <f>$U$2*C67+$U$3</f>
        <v>-0.34086455527082138</v>
      </c>
      <c r="K67" s="42">
        <f>$T$2*C67+$T$3*B67+$T$4</f>
        <v>1.4934069513708986E-2</v>
      </c>
      <c r="L67" s="24">
        <v>-1.75000000000001</v>
      </c>
      <c r="M67" s="25">
        <f t="shared" ref="M67:M130" si="3">1/(1+EXP(-L67))</f>
        <v>0.14804719803168823</v>
      </c>
      <c r="N67" s="3">
        <f>COUNT($E$3:E67)-O67</f>
        <v>42</v>
      </c>
      <c r="O67" s="3">
        <f>SUM($E$3:E67)</f>
        <v>23</v>
      </c>
      <c r="P67" s="3">
        <f t="shared" si="1"/>
        <v>0.34375</v>
      </c>
      <c r="Q67" s="4">
        <f t="shared" si="2"/>
        <v>0.63492063492063489</v>
      </c>
    </row>
    <row r="68" spans="1:17" x14ac:dyDescent="0.25">
      <c r="A68" s="19">
        <v>2638</v>
      </c>
      <c r="B68" s="3">
        <v>48</v>
      </c>
      <c r="C68" s="3">
        <v>1308.47</v>
      </c>
      <c r="D68" s="3" t="s">
        <v>4</v>
      </c>
      <c r="E68" s="4">
        <f>IF(D68="T",1,0)</f>
        <v>0</v>
      </c>
      <c r="F68" s="39">
        <f>E68*($U$2*C68+$U$3)-LN(1+EXP(($U$2*C68+$U$3)))</f>
        <v>-0.78236489407774767</v>
      </c>
      <c r="G68" s="21">
        <f>E68*($T$2*C68+$T$3*B68+$T$4)-LN(1+EXP(($T$2*C68+$T$3*B68+$T$4)))</f>
        <v>-0.70262737888208493</v>
      </c>
      <c r="H68" s="40">
        <f>1/(1+EXP(-$U$2*C68-$U$3))</f>
        <v>0.54267678949686349</v>
      </c>
      <c r="I68" s="21">
        <f>1/(1+EXP(-$T$2*C68-$T$3*B68-$T$4))</f>
        <v>0.50471770145512496</v>
      </c>
      <c r="J68" s="40">
        <f>$U$2*C68+$U$3</f>
        <v>0.17112352668000441</v>
      </c>
      <c r="K68" s="42">
        <f>$T$2*C68+$T$3*B68+$T$4</f>
        <v>1.8871365853076943E-2</v>
      </c>
      <c r="L68" s="24">
        <v>-1.7000000000000099</v>
      </c>
      <c r="M68" s="25">
        <f t="shared" si="3"/>
        <v>0.15446526508353342</v>
      </c>
      <c r="N68" s="3">
        <f>COUNT($E$3:E68)-O68</f>
        <v>43</v>
      </c>
      <c r="O68" s="3">
        <f>SUM($E$3:E68)</f>
        <v>23</v>
      </c>
      <c r="P68" s="3">
        <f t="shared" ref="P68:P129" si="4">($N$129-N68)/$N$129</f>
        <v>0.328125</v>
      </c>
      <c r="Q68" s="4">
        <f t="shared" ref="Q68:Q129" si="5">($O$129-O68)/O$129</f>
        <v>0.63492063492063489</v>
      </c>
    </row>
    <row r="69" spans="1:17" x14ac:dyDescent="0.25">
      <c r="A69" s="19">
        <v>2393.77</v>
      </c>
      <c r="B69" s="3">
        <v>46</v>
      </c>
      <c r="C69" s="3">
        <v>1305.79</v>
      </c>
      <c r="D69" s="3" t="s">
        <v>5</v>
      </c>
      <c r="E69" s="4">
        <f>IF(D69="T",1,0)</f>
        <v>1</v>
      </c>
      <c r="F69" s="39">
        <f>E69*($U$2*C69+$U$3)-LN(1+EXP(($U$2*C69+$U$3)))</f>
        <v>-0.61221669780201482</v>
      </c>
      <c r="G69" s="21">
        <f>E69*($T$2*C69+$T$3*B69+$T$4)-LN(1+EXP(($T$2*C69+$T$3*B69+$T$4)))</f>
        <v>-0.6676406685328593</v>
      </c>
      <c r="H69" s="40">
        <f>1/(1+EXP(-$U$2*C69-$U$3))</f>
        <v>0.54214775835639029</v>
      </c>
      <c r="I69" s="21">
        <f>1/(1+EXP(-$T$2*C69-$T$3*B69-$T$4))</f>
        <v>0.51291729325565338</v>
      </c>
      <c r="J69" s="40">
        <f>$U$2*C69+$U$3</f>
        <v>0.16899206561650426</v>
      </c>
      <c r="K69" s="42">
        <f>$T$2*C69+$T$3*B69+$T$4</f>
        <v>5.1680672742174499E-2</v>
      </c>
      <c r="L69" s="24">
        <v>-1.6500000000000099</v>
      </c>
      <c r="M69" s="25">
        <f t="shared" si="3"/>
        <v>0.16110894957658389</v>
      </c>
      <c r="N69" s="3">
        <f>COUNT($E$3:E69)-O69</f>
        <v>43</v>
      </c>
      <c r="O69" s="3">
        <f>SUM($E$3:E69)</f>
        <v>24</v>
      </c>
      <c r="P69" s="3">
        <f t="shared" si="4"/>
        <v>0.328125</v>
      </c>
      <c r="Q69" s="4">
        <f t="shared" si="5"/>
        <v>0.61904761904761907</v>
      </c>
    </row>
    <row r="70" spans="1:17" x14ac:dyDescent="0.25">
      <c r="A70" s="19">
        <v>2083.86</v>
      </c>
      <c r="B70" s="3">
        <v>40</v>
      </c>
      <c r="C70" s="3">
        <v>1165</v>
      </c>
      <c r="D70" s="3" t="s">
        <v>4</v>
      </c>
      <c r="E70" s="4">
        <f>IF(D70="T",1,0)</f>
        <v>0</v>
      </c>
      <c r="F70" s="39">
        <f>E70*($U$2*C70+$U$3)-LN(1+EXP(($U$2*C70+$U$3)))</f>
        <v>-0.72206290862486133</v>
      </c>
      <c r="G70" s="21">
        <f>E70*($T$2*C70+$T$3*B70+$T$4)-LN(1+EXP(($T$2*C70+$T$3*B70+$T$4)))</f>
        <v>-0.71972731325949901</v>
      </c>
      <c r="H70" s="40">
        <f>1/(1+EXP(-$U$2*C70-$U$3))</f>
        <v>0.51425083446934117</v>
      </c>
      <c r="I70" s="21">
        <f>1/(1+EXP(-$T$2*C70-$T$3*B70-$T$4))</f>
        <v>0.51311499505529778</v>
      </c>
      <c r="J70" s="40">
        <f>$U$2*C70+$U$3</f>
        <v>5.7018780866435526E-2</v>
      </c>
      <c r="K70" s="42">
        <f>$T$2*C70+$T$3*B70+$T$4</f>
        <v>5.2472016228771873E-2</v>
      </c>
      <c r="L70" s="24">
        <v>-1.6000000000000101</v>
      </c>
      <c r="M70" s="25">
        <f t="shared" si="3"/>
        <v>0.1679816148660741</v>
      </c>
      <c r="N70" s="3">
        <f>COUNT($E$3:E70)-O70</f>
        <v>44</v>
      </c>
      <c r="O70" s="3">
        <f>SUM($E$3:E70)</f>
        <v>24</v>
      </c>
      <c r="P70" s="3">
        <f t="shared" si="4"/>
        <v>0.3125</v>
      </c>
      <c r="Q70" s="4">
        <f t="shared" si="5"/>
        <v>0.61904761904761907</v>
      </c>
    </row>
    <row r="71" spans="1:17" x14ac:dyDescent="0.25">
      <c r="A71" s="19">
        <v>2189</v>
      </c>
      <c r="B71" s="3">
        <v>40</v>
      </c>
      <c r="C71" s="3">
        <v>1168.58</v>
      </c>
      <c r="D71" s="3" t="s">
        <v>5</v>
      </c>
      <c r="E71" s="4">
        <f>IF(D71="T",1,0)</f>
        <v>1</v>
      </c>
      <c r="F71" s="39">
        <f>E71*($U$2*C71+$U$3)-LN(1+EXP(($U$2*C71+$U$3)))</f>
        <v>-0.66366209084009764</v>
      </c>
      <c r="G71" s="21">
        <f>E71*($T$2*C71+$T$3*B71+$T$4)-LN(1+EXP(($T$2*C71+$T$3*B71+$T$4)))</f>
        <v>-0.66597416476157734</v>
      </c>
      <c r="H71" s="40">
        <f>1/(1+EXP(-$U$2*C71-$U$3))</f>
        <v>0.51496203945042729</v>
      </c>
      <c r="I71" s="21">
        <f>1/(1+EXP(-$T$2*C71-$T$3*B71-$T$4))</f>
        <v>0.51377278450092123</v>
      </c>
      <c r="J71" s="40">
        <f>$U$2*C71+$U$3</f>
        <v>5.9866031093051331E-2</v>
      </c>
      <c r="K71" s="42">
        <f>$T$2*C71+$T$3*B71+$T$4</f>
        <v>5.5105077971196598E-2</v>
      </c>
      <c r="L71" s="24">
        <v>-1.55000000000001</v>
      </c>
      <c r="M71" s="25">
        <f t="shared" si="3"/>
        <v>0.17508626816403836</v>
      </c>
      <c r="N71" s="3">
        <f>COUNT($E$3:E71)-O71</f>
        <v>44</v>
      </c>
      <c r="O71" s="3">
        <f>SUM($E$3:E71)</f>
        <v>25</v>
      </c>
      <c r="P71" s="3">
        <f t="shared" si="4"/>
        <v>0.3125</v>
      </c>
      <c r="Q71" s="4">
        <f t="shared" si="5"/>
        <v>0.60317460317460314</v>
      </c>
    </row>
    <row r="72" spans="1:17" x14ac:dyDescent="0.25">
      <c r="A72" s="19">
        <v>2339.8000000000002</v>
      </c>
      <c r="B72" s="3">
        <v>46</v>
      </c>
      <c r="C72" s="3">
        <v>1321.33</v>
      </c>
      <c r="D72" s="3" t="s">
        <v>5</v>
      </c>
      <c r="E72" s="4">
        <f>IF(D72="T",1,0)</f>
        <v>1</v>
      </c>
      <c r="F72" s="39">
        <f>E72*($U$2*C72+$U$3)-LN(1+EXP(($U$2*C72+$U$3)))</f>
        <v>-0.60657691948662196</v>
      </c>
      <c r="G72" s="21">
        <f>E72*($T$2*C72+$T$3*B72+$T$4)-LN(1+EXP(($T$2*C72+$T$3*B72+$T$4)))</f>
        <v>-0.66208985040328028</v>
      </c>
      <c r="H72" s="40">
        <f>1/(1+EXP(-$U$2*C72-$U$3))</f>
        <v>0.54521398983328118</v>
      </c>
      <c r="I72" s="21">
        <f>1/(1+EXP(-$T$2*C72-$T$3*B72-$T$4))</f>
        <v>0.51577232040360332</v>
      </c>
      <c r="J72" s="40">
        <f>$U$2*C72+$U$3</f>
        <v>0.18135135849963557</v>
      </c>
      <c r="K72" s="42">
        <f>$T$2*C72+$T$3*B72+$T$4</f>
        <v>6.311022008219716E-2</v>
      </c>
      <c r="L72" s="24">
        <v>-1.50000000000001</v>
      </c>
      <c r="M72" s="25">
        <f t="shared" si="3"/>
        <v>0.18242552380635485</v>
      </c>
      <c r="N72" s="3">
        <f>COUNT($E$3:E72)-O72</f>
        <v>44</v>
      </c>
      <c r="O72" s="3">
        <f>SUM($E$3:E72)</f>
        <v>26</v>
      </c>
      <c r="P72" s="3">
        <f t="shared" si="4"/>
        <v>0.3125</v>
      </c>
      <c r="Q72" s="4">
        <f t="shared" si="5"/>
        <v>0.58730158730158732</v>
      </c>
    </row>
    <row r="73" spans="1:17" x14ac:dyDescent="0.25">
      <c r="A73" s="19">
        <v>2517.88</v>
      </c>
      <c r="B73" s="3">
        <v>28</v>
      </c>
      <c r="C73" s="3">
        <v>907.46</v>
      </c>
      <c r="D73" s="3" t="s">
        <v>4</v>
      </c>
      <c r="E73" s="4">
        <f>IF(D73="T",1,0)</f>
        <v>0</v>
      </c>
      <c r="F73" s="39">
        <f>E73*($U$2*C73+$U$3)-LN(1+EXP(($U$2*C73+$U$3)))</f>
        <v>-0.62197147622635651</v>
      </c>
      <c r="G73" s="21">
        <f>E73*($T$2*C73+$T$3*B73+$T$4)-LN(1+EXP(($T$2*C73+$T$3*B73+$T$4)))</f>
        <v>-0.72965826492484054</v>
      </c>
      <c r="H73" s="40">
        <f>1/(1+EXP(-$U$2*C73-$U$3))</f>
        <v>0.46311506234251043</v>
      </c>
      <c r="I73" s="21">
        <f>1/(1+EXP(-$T$2*C73-$T$3*B73-$T$4))</f>
        <v>0.51792629656228806</v>
      </c>
      <c r="J73" s="40">
        <f>$U$2*C73+$U$3</f>
        <v>-0.14780826476558884</v>
      </c>
      <c r="K73" s="42">
        <f>$T$2*C73+$T$3*B73+$T$4</f>
        <v>7.1735933449980888E-2</v>
      </c>
      <c r="L73" s="24">
        <v>-1.4500000000000099</v>
      </c>
      <c r="M73" s="25">
        <f t="shared" si="3"/>
        <v>0.19000156601531146</v>
      </c>
      <c r="N73" s="3">
        <f>COUNT($E$3:E73)-O73</f>
        <v>45</v>
      </c>
      <c r="O73" s="3">
        <f>SUM($E$3:E73)</f>
        <v>26</v>
      </c>
      <c r="P73" s="3">
        <f t="shared" si="4"/>
        <v>0.296875</v>
      </c>
      <c r="Q73" s="4">
        <f t="shared" si="5"/>
        <v>0.58730158730158732</v>
      </c>
    </row>
    <row r="74" spans="1:17" x14ac:dyDescent="0.25">
      <c r="A74" s="19">
        <v>2904.48</v>
      </c>
      <c r="B74" s="3">
        <v>52</v>
      </c>
      <c r="C74" s="3">
        <v>1482.07</v>
      </c>
      <c r="D74" s="3" t="s">
        <v>5</v>
      </c>
      <c r="E74" s="4">
        <f>IF(D74="T",1,0)</f>
        <v>1</v>
      </c>
      <c r="F74" s="39">
        <f>E74*($U$2*C74+$U$3)-LN(1+EXP(($U$2*C74+$U$3)))</f>
        <v>-0.55045413786428221</v>
      </c>
      <c r="G74" s="21">
        <f>E74*($T$2*C74+$T$3*B74+$T$4)-LN(1+EXP(($T$2*C74+$T$3*B74+$T$4)))</f>
        <v>-0.65539199548928562</v>
      </c>
      <c r="H74" s="40">
        <f>1/(1+EXP(-$U$2*C74-$U$3))</f>
        <v>0.57668785511220766</v>
      </c>
      <c r="I74" s="21">
        <f>1/(1+EXP(-$T$2*C74-$T$3*B74-$T$4))</f>
        <v>0.51923848354520874</v>
      </c>
      <c r="J74" s="40">
        <f>$U$2*C74+$U$3</f>
        <v>0.30919130303210274</v>
      </c>
      <c r="K74" s="42">
        <f>$T$2*C74+$T$3*B74+$T$4</f>
        <v>7.6991944126709871E-2</v>
      </c>
      <c r="L74" s="24">
        <v>-1.4000000000000099</v>
      </c>
      <c r="M74" s="25">
        <f t="shared" si="3"/>
        <v>0.1978161114414167</v>
      </c>
      <c r="N74" s="3">
        <f>COUNT($E$3:E74)-O74</f>
        <v>45</v>
      </c>
      <c r="O74" s="3">
        <f>SUM($E$3:E74)</f>
        <v>27</v>
      </c>
      <c r="P74" s="3">
        <f t="shared" si="4"/>
        <v>0.296875</v>
      </c>
      <c r="Q74" s="4">
        <f t="shared" si="5"/>
        <v>0.5714285714285714</v>
      </c>
    </row>
    <row r="75" spans="1:17" x14ac:dyDescent="0.25">
      <c r="A75" s="19">
        <v>2075.5500000000002</v>
      </c>
      <c r="B75" s="3">
        <v>34</v>
      </c>
      <c r="C75" s="3">
        <v>1069.3900000000001</v>
      </c>
      <c r="D75" s="3" t="s">
        <v>5</v>
      </c>
      <c r="E75" s="4">
        <f>IF(D75="T",1,0)</f>
        <v>1</v>
      </c>
      <c r="F75" s="39">
        <f>E75*($U$2*C75+$U$3)-LN(1+EXP(($U$2*C75+$U$3)))</f>
        <v>-0.70270335285307295</v>
      </c>
      <c r="G75" s="21">
        <f>E75*($T$2*C75+$T$3*B75+$T$4)-LN(1+EXP(($T$2*C75+$T$3*B75+$T$4)))</f>
        <v>-0.65083557023621041</v>
      </c>
      <c r="H75" s="40">
        <f>1/(1+EXP(-$U$2*C75-$U$3))</f>
        <v>0.49524467141125394</v>
      </c>
      <c r="I75" s="21">
        <f>1/(1+EXP(-$T$2*C75-$T$3*B75-$T$4))</f>
        <v>0.52160975303760659</v>
      </c>
      <c r="J75" s="40">
        <f>$U$2*C75+$U$3</f>
        <v>-1.9021887895224188E-2</v>
      </c>
      <c r="K75" s="42">
        <f>$T$2*C75+$T$3*B75+$T$4</f>
        <v>8.6492893101612595E-2</v>
      </c>
      <c r="L75" s="24">
        <v>-1.3500000000000101</v>
      </c>
      <c r="M75" s="25">
        <f t="shared" si="3"/>
        <v>0.2058703718009457</v>
      </c>
      <c r="N75" s="3">
        <f>COUNT($E$3:E75)-O75</f>
        <v>45</v>
      </c>
      <c r="O75" s="3">
        <f>SUM($E$3:E75)</f>
        <v>28</v>
      </c>
      <c r="P75" s="3">
        <f t="shared" si="4"/>
        <v>0.296875</v>
      </c>
      <c r="Q75" s="4">
        <f t="shared" si="5"/>
        <v>0.55555555555555558</v>
      </c>
    </row>
    <row r="76" spans="1:17" x14ac:dyDescent="0.25">
      <c r="A76" s="19">
        <v>1791.4</v>
      </c>
      <c r="B76" s="3">
        <v>21</v>
      </c>
      <c r="C76" s="3">
        <v>803.12</v>
      </c>
      <c r="D76" s="3" t="s">
        <v>5</v>
      </c>
      <c r="E76" s="4">
        <f>IF(D76="T",1,0)</f>
        <v>1</v>
      </c>
      <c r="F76" s="39">
        <f>E76*($U$2*C76+$U$3)-LN(1+EXP(($U$2*C76+$U$3)))</f>
        <v>-0.815186623665624</v>
      </c>
      <c r="G76" s="21">
        <f>E76*($T$2*C76+$T$3*B76+$T$4)-LN(1+EXP(($T$2*C76+$T$3*B76+$T$4)))</f>
        <v>-0.63648625106248313</v>
      </c>
      <c r="H76" s="40">
        <f>1/(1+EXP(-$U$2*C76-$U$3))</f>
        <v>0.4425567280952582</v>
      </c>
      <c r="I76" s="21">
        <f>1/(1+EXP(-$T$2*C76-$T$3*B76-$T$4))</f>
        <v>0.52914845614358708</v>
      </c>
      <c r="J76" s="40">
        <f>$U$2*C76+$U$3</f>
        <v>-0.23079208840947096</v>
      </c>
      <c r="K76" s="42">
        <f>$T$2*C76+$T$3*B76+$T$4</f>
        <v>0.11672617709795166</v>
      </c>
      <c r="L76" s="24">
        <v>-1.30000000000001</v>
      </c>
      <c r="M76" s="25">
        <f t="shared" si="3"/>
        <v>0.2141650169574397</v>
      </c>
      <c r="N76" s="3">
        <f>COUNT($E$3:E76)-O76</f>
        <v>45</v>
      </c>
      <c r="O76" s="3">
        <f>SUM($E$3:E76)</f>
        <v>29</v>
      </c>
      <c r="P76" s="3">
        <f t="shared" si="4"/>
        <v>0.296875</v>
      </c>
      <c r="Q76" s="4">
        <f t="shared" si="5"/>
        <v>0.53968253968253965</v>
      </c>
    </row>
    <row r="77" spans="1:17" x14ac:dyDescent="0.25">
      <c r="A77" s="19">
        <v>2065.17</v>
      </c>
      <c r="B77" s="3">
        <v>36</v>
      </c>
      <c r="C77" s="3">
        <v>1169.33</v>
      </c>
      <c r="D77" s="3" t="s">
        <v>5</v>
      </c>
      <c r="E77" s="4">
        <f>IF(D77="T",1,0)</f>
        <v>1</v>
      </c>
      <c r="F77" s="39">
        <f>E77*($U$2*C77+$U$3)-LN(1+EXP(($U$2*C77+$U$3)))</f>
        <v>-0.66337281451197427</v>
      </c>
      <c r="G77" s="21">
        <f>E77*($T$2*C77+$T$3*B77+$T$4)-LN(1+EXP(($T$2*C77+$T$3*B77+$T$4)))</f>
        <v>-0.63249705650202703</v>
      </c>
      <c r="H77" s="40">
        <f>1/(1+EXP(-$U$2*C77-$U$3))</f>
        <v>0.51511102732661629</v>
      </c>
      <c r="I77" s="21">
        <f>1/(1+EXP(-$T$2*C77-$T$3*B77-$T$4))</f>
        <v>0.5312635482385426</v>
      </c>
      <c r="J77" s="40">
        <f>$U$2*C77+$U$3</f>
        <v>6.0462522062314394E-2</v>
      </c>
      <c r="K77" s="42">
        <f>$T$2*C77+$T$3*B77+$T$4</f>
        <v>0.12521754852207748</v>
      </c>
      <c r="L77" s="24">
        <v>-1.25000000000001</v>
      </c>
      <c r="M77" s="25">
        <f t="shared" si="3"/>
        <v>0.22270013882530712</v>
      </c>
      <c r="N77" s="3">
        <f>COUNT($E$3:E77)-O77</f>
        <v>45</v>
      </c>
      <c r="O77" s="3">
        <f>SUM($E$3:E77)</f>
        <v>30</v>
      </c>
      <c r="P77" s="3">
        <f t="shared" si="4"/>
        <v>0.296875</v>
      </c>
      <c r="Q77" s="4">
        <f t="shared" si="5"/>
        <v>0.52380952380952384</v>
      </c>
    </row>
    <row r="78" spans="1:17" x14ac:dyDescent="0.25">
      <c r="A78" s="19">
        <v>1710.14</v>
      </c>
      <c r="B78" s="3">
        <v>46</v>
      </c>
      <c r="C78" s="3">
        <v>1414.02</v>
      </c>
      <c r="D78" s="3" t="s">
        <v>5</v>
      </c>
      <c r="E78" s="4">
        <f>IF(D78="T",1,0)</f>
        <v>1</v>
      </c>
      <c r="F78" s="39">
        <f>E78*($U$2*C78+$U$3)-LN(1+EXP(($U$2*C78+$U$3)))</f>
        <v>-0.57372295323317102</v>
      </c>
      <c r="G78" s="21">
        <f>E78*($T$2*C78+$T$3*B78+$T$4)-LN(1+EXP(($T$2*C78+$T$3*B78+$T$4)))</f>
        <v>-0.62965854617156125</v>
      </c>
      <c r="H78" s="40">
        <f>1/(1+EXP(-$U$2*C78-$U$3))</f>
        <v>0.56342392827890841</v>
      </c>
      <c r="I78" s="21">
        <f>1/(1+EXP(-$T$2*C78-$T$3*B78-$T$4))</f>
        <v>0.5327736875675102</v>
      </c>
      <c r="J78" s="40">
        <f>$U$2*C78+$U$3</f>
        <v>0.25506968908763095</v>
      </c>
      <c r="K78" s="42">
        <f>$T$2*C78+$T$3*B78+$T$4</f>
        <v>0.13128298346358061</v>
      </c>
      <c r="L78" s="24">
        <v>-1.2000000000000099</v>
      </c>
      <c r="M78" s="25">
        <f t="shared" si="3"/>
        <v>0.23147521650098057</v>
      </c>
      <c r="N78" s="3">
        <f>COUNT($E$3:E78)-O78</f>
        <v>45</v>
      </c>
      <c r="O78" s="3">
        <f>SUM($E$3:E78)</f>
        <v>31</v>
      </c>
      <c r="P78" s="3">
        <f t="shared" si="4"/>
        <v>0.296875</v>
      </c>
      <c r="Q78" s="4">
        <f t="shared" si="5"/>
        <v>0.50793650793650791</v>
      </c>
    </row>
    <row r="79" spans="1:17" x14ac:dyDescent="0.25">
      <c r="A79" s="19">
        <v>2412.9</v>
      </c>
      <c r="B79" s="3">
        <v>46</v>
      </c>
      <c r="C79" s="3">
        <v>1415.08</v>
      </c>
      <c r="D79" s="3" t="s">
        <v>5</v>
      </c>
      <c r="E79" s="4">
        <f>IF(D79="T",1,0)</f>
        <v>1</v>
      </c>
      <c r="F79" s="39">
        <f>E79*($U$2*C79+$U$3)-LN(1+EXP(($U$2*C79+$U$3)))</f>
        <v>-0.57335498929995921</v>
      </c>
      <c r="G79" s="21">
        <f>E79*($T$2*C79+$T$3*B79+$T$4)-LN(1+EXP(($T$2*C79+$T$3*B79+$T$4)))</f>
        <v>-0.6292943620792909</v>
      </c>
      <c r="H79" s="40">
        <f>1/(1+EXP(-$U$2*C79-$U$3))</f>
        <v>0.5636312861113858</v>
      </c>
      <c r="I79" s="21">
        <f>1/(1+EXP(-$T$2*C79-$T$3*B79-$T$4))</f>
        <v>0.53296775060449308</v>
      </c>
      <c r="J79" s="40">
        <f>$U$2*C79+$U$3</f>
        <v>0.25591272965752276</v>
      </c>
      <c r="K79" s="42">
        <f>$T$2*C79+$T$3*B79+$T$4</f>
        <v>0.13206260509681247</v>
      </c>
      <c r="L79" s="24">
        <v>-1.1500000000000099</v>
      </c>
      <c r="M79" s="25">
        <f t="shared" si="3"/>
        <v>0.24048908305088712</v>
      </c>
      <c r="N79" s="3">
        <f>COUNT($E$3:E79)-O79</f>
        <v>45</v>
      </c>
      <c r="O79" s="3">
        <f>SUM($E$3:E79)</f>
        <v>32</v>
      </c>
      <c r="P79" s="3">
        <f t="shared" si="4"/>
        <v>0.296875</v>
      </c>
      <c r="Q79" s="4">
        <f t="shared" si="5"/>
        <v>0.49206349206349204</v>
      </c>
    </row>
    <row r="80" spans="1:17" x14ac:dyDescent="0.25">
      <c r="A80" s="19">
        <v>3359.82</v>
      </c>
      <c r="B80" s="3">
        <v>45</v>
      </c>
      <c r="C80" s="3">
        <v>1397.03</v>
      </c>
      <c r="D80" s="3" t="s">
        <v>4</v>
      </c>
      <c r="E80" s="4">
        <f>IF(D80="T",1,0)</f>
        <v>0</v>
      </c>
      <c r="F80" s="39">
        <f>E80*($U$2*C80+$U$3)-LN(1+EXP(($U$2*C80+$U$3)))</f>
        <v>-0.82120184047150291</v>
      </c>
      <c r="G80" s="21">
        <f>E80*($T$2*C80+$T$3*B80+$T$4)-LN(1+EXP(($T$2*C80+$T$3*B80+$T$4)))</f>
        <v>-0.76355201263351113</v>
      </c>
      <c r="H80" s="40">
        <f>1/(1+EXP(-$U$2*C80-$U$3))</f>
        <v>0.56009735612444811</v>
      </c>
      <c r="I80" s="21">
        <f>1/(1+EXP(-$T$2*C80-$T$3*B80-$T$4))</f>
        <v>0.53399178331165231</v>
      </c>
      <c r="J80" s="40">
        <f>$U$2*C80+$U$3</f>
        <v>0.24155718033059093</v>
      </c>
      <c r="K80" s="42">
        <f>$T$2*C80+$T$3*B80+$T$4</f>
        <v>0.13617718543635607</v>
      </c>
      <c r="L80" s="24">
        <v>-1.1000000000000101</v>
      </c>
      <c r="M80" s="25">
        <f t="shared" si="3"/>
        <v>0.24973989440488048</v>
      </c>
      <c r="N80" s="3">
        <f>COUNT($E$3:E80)-O80</f>
        <v>46</v>
      </c>
      <c r="O80" s="3">
        <f>SUM($E$3:E80)</f>
        <v>32</v>
      </c>
      <c r="P80" s="3">
        <f t="shared" si="4"/>
        <v>0.28125</v>
      </c>
      <c r="Q80" s="4">
        <f t="shared" si="5"/>
        <v>0.49206349206349204</v>
      </c>
    </row>
    <row r="81" spans="1:17" x14ac:dyDescent="0.25">
      <c r="A81" s="19">
        <v>2522.9</v>
      </c>
      <c r="B81" s="3">
        <v>22</v>
      </c>
      <c r="C81" s="3">
        <v>860.52</v>
      </c>
      <c r="D81" s="3" t="s">
        <v>4</v>
      </c>
      <c r="E81" s="4">
        <f>IF(D81="T",1,0)</f>
        <v>0</v>
      </c>
      <c r="F81" s="39">
        <f>E81*($U$2*C81+$U$3)-LN(1+EXP(($U$2*C81+$U$3)))</f>
        <v>-0.60485538439555953</v>
      </c>
      <c r="G81" s="21">
        <f>E81*($T$2*C81+$T$3*B81+$T$4)-LN(1+EXP(($T$2*C81+$T$3*B81+$T$4)))</f>
        <v>-0.76642636176494328</v>
      </c>
      <c r="H81" s="40">
        <f>1/(1+EXP(-$U$2*C81-$U$3))</f>
        <v>0.45384659676652628</v>
      </c>
      <c r="I81" s="21">
        <f>1/(1+EXP(-$T$2*C81-$T$3*B81-$T$4))</f>
        <v>0.53532933041496533</v>
      </c>
      <c r="J81" s="40">
        <f>$U$2*C81+$U$3</f>
        <v>-0.18514064622853521</v>
      </c>
      <c r="K81" s="42">
        <f>$T$2*C81+$T$3*B81+$T$4</f>
        <v>0.14155321116187577</v>
      </c>
      <c r="L81" s="24">
        <v>-1.05000000000001</v>
      </c>
      <c r="M81" s="25">
        <f t="shared" si="3"/>
        <v>0.25922510081784411</v>
      </c>
      <c r="N81" s="3">
        <f>COUNT($E$3:E81)-O81</f>
        <v>47</v>
      </c>
      <c r="O81" s="3">
        <f>SUM($E$3:E81)</f>
        <v>32</v>
      </c>
      <c r="P81" s="3">
        <f t="shared" si="4"/>
        <v>0.265625</v>
      </c>
      <c r="Q81" s="4">
        <f t="shared" si="5"/>
        <v>0.49206349206349204</v>
      </c>
    </row>
    <row r="82" spans="1:17" x14ac:dyDescent="0.25">
      <c r="A82" s="19">
        <v>2175.61</v>
      </c>
      <c r="B82" s="3">
        <v>33</v>
      </c>
      <c r="C82" s="3">
        <v>1122.24</v>
      </c>
      <c r="D82" s="3" t="s">
        <v>4</v>
      </c>
      <c r="E82" s="4">
        <f>IF(D82="T",1,0)</f>
        <v>0</v>
      </c>
      <c r="F82" s="39">
        <f>E82*($U$2*C82+$U$3)-LN(1+EXP(($U$2*C82+$U$3)))</f>
        <v>-0.70471878766102536</v>
      </c>
      <c r="G82" s="21">
        <f>E82*($T$2*C82+$T$3*B82+$T$4)-LN(1+EXP(($T$2*C82+$T$3*B82+$T$4)))</f>
        <v>-0.76706928563684895</v>
      </c>
      <c r="H82" s="40">
        <f>1/(1+EXP(-$U$2*C82-$U$3))</f>
        <v>0.50575245677700609</v>
      </c>
      <c r="I82" s="21">
        <f>1/(1+EXP(-$T$2*C82-$T$3*B82-$T$4))</f>
        <v>0.53562798226552655</v>
      </c>
      <c r="J82" s="40">
        <f>$U$2*C82+$U$3</f>
        <v>2.301084240551543E-2</v>
      </c>
      <c r="K82" s="42">
        <f>$T$2*C82+$T$3*B82+$T$4</f>
        <v>0.14275386381487601</v>
      </c>
      <c r="L82" s="24">
        <v>-1.00000000000001</v>
      </c>
      <c r="M82" s="25">
        <f t="shared" si="3"/>
        <v>0.26894142136999316</v>
      </c>
      <c r="N82" s="3">
        <f>COUNT($E$3:E82)-O82</f>
        <v>48</v>
      </c>
      <c r="O82" s="3">
        <f>SUM($E$3:E82)</f>
        <v>32</v>
      </c>
      <c r="P82" s="3">
        <f t="shared" si="4"/>
        <v>0.25</v>
      </c>
      <c r="Q82" s="4">
        <f t="shared" si="5"/>
        <v>0.49206349206349204</v>
      </c>
    </row>
    <row r="83" spans="1:17" x14ac:dyDescent="0.25">
      <c r="A83" s="19">
        <v>2575.73</v>
      </c>
      <c r="B83" s="3">
        <v>39</v>
      </c>
      <c r="C83" s="3">
        <v>1274.9100000000001</v>
      </c>
      <c r="D83" s="3" t="s">
        <v>4</v>
      </c>
      <c r="E83" s="4">
        <f>IF(D83="T",1,0)</f>
        <v>0</v>
      </c>
      <c r="F83" s="39">
        <f>E83*($U$2*C83+$U$3)-LN(1+EXP(($U$2*C83+$U$3)))</f>
        <v>-0.76796878421893433</v>
      </c>
      <c r="G83" s="21">
        <f>E83*($T$2*C83+$T$3*B83+$T$4)-LN(1+EXP(($T$2*C83+$T$3*B83+$T$4)))</f>
        <v>-0.77133339912883159</v>
      </c>
      <c r="H83" s="40">
        <f>1/(1+EXP(-$U$2*C83-$U$3))</f>
        <v>0.53604549643218757</v>
      </c>
      <c r="I83" s="21">
        <f>1/(1+EXP(-$T$2*C83-$T$3*B83-$T$4))</f>
        <v>0.53760390148578885</v>
      </c>
      <c r="J83" s="40">
        <f>$U$2*C83+$U$3</f>
        <v>0.14443254410871176</v>
      </c>
      <c r="K83" s="42">
        <f>$T$2*C83+$T$3*B83+$T$4</f>
        <v>0.15070016655733079</v>
      </c>
      <c r="L83" s="24">
        <v>-0.95000000000000995</v>
      </c>
      <c r="M83" s="25">
        <f t="shared" si="3"/>
        <v>0.27888482197713493</v>
      </c>
      <c r="N83" s="3">
        <f>COUNT($E$3:E83)-O83</f>
        <v>49</v>
      </c>
      <c r="O83" s="3">
        <f>SUM($E$3:E83)</f>
        <v>32</v>
      </c>
      <c r="P83" s="3">
        <f t="shared" si="4"/>
        <v>0.234375</v>
      </c>
      <c r="Q83" s="4">
        <f t="shared" si="5"/>
        <v>0.49206349206349204</v>
      </c>
    </row>
    <row r="84" spans="1:17" x14ac:dyDescent="0.25">
      <c r="A84" s="19">
        <v>2285.13</v>
      </c>
      <c r="B84" s="3">
        <v>43</v>
      </c>
      <c r="C84" s="3">
        <v>1373.8</v>
      </c>
      <c r="D84" s="3" t="s">
        <v>5</v>
      </c>
      <c r="E84" s="4">
        <f>IF(D84="T",1,0)</f>
        <v>1</v>
      </c>
      <c r="F84" s="39">
        <f>E84*($U$2*C84+$U$3)-LN(1+EXP(($U$2*C84+$U$3)))</f>
        <v>-0.58781408075184005</v>
      </c>
      <c r="G84" s="21">
        <f>E84*($T$2*C84+$T$3*B84+$T$4)-LN(1+EXP(($T$2*C84+$T$3*B84+$T$4)))</f>
        <v>-0.61916777972322878</v>
      </c>
      <c r="H84" s="40">
        <f>1/(1+EXP(-$U$2*C84-$U$3))</f>
        <v>0.55554032473671666</v>
      </c>
      <c r="I84" s="21">
        <f>1/(1+EXP(-$T$2*C84-$T$3*B84-$T$4))</f>
        <v>0.53839231220273265</v>
      </c>
      <c r="J84" s="40">
        <f>$U$2*C84+$U$3</f>
        <v>0.22308186670928198</v>
      </c>
      <c r="K84" s="42">
        <f>$T$2*C84+$T$3*B84+$T$4</f>
        <v>0.15387212953025001</v>
      </c>
      <c r="L84" s="24">
        <v>-0.90000000000001001</v>
      </c>
      <c r="M84" s="25">
        <f t="shared" si="3"/>
        <v>0.289050497374994</v>
      </c>
      <c r="N84" s="3">
        <f>COUNT($E$3:E84)-O84</f>
        <v>49</v>
      </c>
      <c r="O84" s="3">
        <f>SUM($E$3:E84)</f>
        <v>33</v>
      </c>
      <c r="P84" s="3">
        <f t="shared" si="4"/>
        <v>0.234375</v>
      </c>
      <c r="Q84" s="4">
        <f t="shared" si="5"/>
        <v>0.47619047619047616</v>
      </c>
    </row>
    <row r="85" spans="1:17" x14ac:dyDescent="0.25">
      <c r="A85" s="19">
        <v>2005.44</v>
      </c>
      <c r="B85" s="3">
        <v>41</v>
      </c>
      <c r="C85" s="3">
        <v>1333.03</v>
      </c>
      <c r="D85" s="3" t="s">
        <v>5</v>
      </c>
      <c r="E85" s="4">
        <f>IF(D85="T",1,0)</f>
        <v>1</v>
      </c>
      <c r="F85" s="39">
        <f>E85*($U$2*C85+$U$3)-LN(1+EXP(($U$2*C85+$U$3)))</f>
        <v>-0.60235574974381734</v>
      </c>
      <c r="G85" s="21">
        <f>E85*($T$2*C85+$T$3*B85+$T$4)-LN(1+EXP(($T$2*C85+$T$3*B85+$T$4)))</f>
        <v>-0.61695749804132083</v>
      </c>
      <c r="H85" s="40">
        <f>1/(1+EXP(-$U$2*C85-$U$3))</f>
        <v>0.54752029485848386</v>
      </c>
      <c r="I85" s="21">
        <f>1/(1+EXP(-$T$2*C85-$T$3*B85-$T$4))</f>
        <v>0.53958362695366158</v>
      </c>
      <c r="J85" s="40">
        <f>$U$2*C85+$U$3</f>
        <v>0.19065661762013986</v>
      </c>
      <c r="K85" s="42">
        <f>$T$2*C85+$T$3*B85+$T$4</f>
        <v>0.15866654207047606</v>
      </c>
      <c r="L85" s="24">
        <v>-0.85000000000000997</v>
      </c>
      <c r="M85" s="25">
        <f t="shared" si="3"/>
        <v>0.29943285752602494</v>
      </c>
      <c r="N85" s="3">
        <f>COUNT($E$3:E85)-O85</f>
        <v>49</v>
      </c>
      <c r="O85" s="3">
        <f>SUM($E$3:E85)</f>
        <v>34</v>
      </c>
      <c r="P85" s="3">
        <f t="shared" si="4"/>
        <v>0.234375</v>
      </c>
      <c r="Q85" s="4">
        <f t="shared" si="5"/>
        <v>0.46031746031746029</v>
      </c>
    </row>
    <row r="86" spans="1:17" x14ac:dyDescent="0.25">
      <c r="A86" s="19">
        <v>2765.06</v>
      </c>
      <c r="B86" s="3">
        <v>37</v>
      </c>
      <c r="C86" s="3">
        <v>1249.3499999999999</v>
      </c>
      <c r="D86" s="3" t="s">
        <v>4</v>
      </c>
      <c r="E86" s="4">
        <f>IF(D86="T",1,0)</f>
        <v>0</v>
      </c>
      <c r="F86" s="39">
        <f>E86*($U$2*C86+$U$3)-LN(1+EXP(($U$2*C86+$U$3)))</f>
        <v>-0.75712324170596801</v>
      </c>
      <c r="G86" s="21">
        <f>E86*($T$2*C86+$T$3*B86+$T$4)-LN(1+EXP(($T$2*C86+$T$3*B86+$T$4)))</f>
        <v>-0.77995671153666479</v>
      </c>
      <c r="H86" s="40">
        <f>1/(1+EXP(-$U$2*C86-$U$3))</f>
        <v>0.530986272717892</v>
      </c>
      <c r="I86" s="21">
        <f>1/(1+EXP(-$T$2*C86-$T$3*B86-$T$4))</f>
        <v>0.54157414457345576</v>
      </c>
      <c r="J86" s="40">
        <f>$U$2*C86+$U$3</f>
        <v>0.12410413187622515</v>
      </c>
      <c r="K86" s="42">
        <f>$T$2*C86+$T$3*B86+$T$4</f>
        <v>0.16668141404232786</v>
      </c>
      <c r="L86" s="24">
        <v>-0.80000000000001004</v>
      </c>
      <c r="M86" s="25">
        <f t="shared" si="3"/>
        <v>0.31002551887238539</v>
      </c>
      <c r="N86" s="3">
        <f>COUNT($E$3:E86)-O86</f>
        <v>50</v>
      </c>
      <c r="O86" s="3">
        <f>SUM($E$3:E86)</f>
        <v>34</v>
      </c>
      <c r="P86" s="3">
        <f t="shared" si="4"/>
        <v>0.21875</v>
      </c>
      <c r="Q86" s="4">
        <f t="shared" si="5"/>
        <v>0.46031746031746029</v>
      </c>
    </row>
    <row r="87" spans="1:17" x14ac:dyDescent="0.25">
      <c r="A87" s="19">
        <v>1139.76</v>
      </c>
      <c r="B87" s="3">
        <v>43</v>
      </c>
      <c r="C87" s="3">
        <v>1446.94</v>
      </c>
      <c r="D87" s="3" t="s">
        <v>5</v>
      </c>
      <c r="E87" s="4">
        <f>IF(D87="T",1,0)</f>
        <v>1</v>
      </c>
      <c r="F87" s="39">
        <f>E87*($U$2*C87+$U$3)-LN(1+EXP(($U$2*C87+$U$3)))</f>
        <v>-0.5623767412241748</v>
      </c>
      <c r="G87" s="21">
        <f>E87*($T$2*C87+$T$3*B87+$T$4)-LN(1+EXP(($T$2*C87+$T$3*B87+$T$4)))</f>
        <v>-0.59469515794542815</v>
      </c>
      <c r="H87" s="40">
        <f>1/(1+EXP(-$U$2*C87-$U$3))</f>
        <v>0.56985305979284051</v>
      </c>
      <c r="I87" s="21">
        <f>1/(1+EXP(-$T$2*C87-$T$3*B87-$T$4))</f>
        <v>0.55173073096422831</v>
      </c>
      <c r="J87" s="40">
        <f>$U$2*C87+$U$3</f>
        <v>0.28125166603181939</v>
      </c>
      <c r="K87" s="42">
        <f>$T$2*C87+$T$3*B87+$T$4</f>
        <v>0.20766602222325239</v>
      </c>
      <c r="L87" s="24">
        <v>-0.75000000000001998</v>
      </c>
      <c r="M87" s="25">
        <f t="shared" si="3"/>
        <v>0.3208213008246027</v>
      </c>
      <c r="N87" s="3">
        <f>COUNT($E$3:E87)-O87</f>
        <v>50</v>
      </c>
      <c r="O87" s="3">
        <f>SUM($E$3:E87)</f>
        <v>35</v>
      </c>
      <c r="P87" s="3">
        <f t="shared" si="4"/>
        <v>0.21875</v>
      </c>
      <c r="Q87" s="4">
        <f t="shared" si="5"/>
        <v>0.44444444444444442</v>
      </c>
    </row>
    <row r="88" spans="1:17" x14ac:dyDescent="0.25">
      <c r="A88" s="19">
        <v>2675.05</v>
      </c>
      <c r="B88" s="3">
        <v>23</v>
      </c>
      <c r="C88" s="3">
        <v>981.55</v>
      </c>
      <c r="D88" s="3" t="s">
        <v>4</v>
      </c>
      <c r="E88" s="4">
        <f>IF(D88="T",1,0)</f>
        <v>0</v>
      </c>
      <c r="F88" s="39">
        <f>E88*($U$2*C88+$U$3)-LN(1+EXP(($U$2*C88+$U$3)))</f>
        <v>-0.6496929220232166</v>
      </c>
      <c r="G88" s="21">
        <f>E88*($T$2*C88+$T$3*B88+$T$4)-LN(1+EXP(($T$2*C88+$T$3*B88+$T$4)))</f>
        <v>-0.80540695342841762</v>
      </c>
      <c r="H88" s="40">
        <f>1/(1+EXP(-$U$2*C88-$U$3))</f>
        <v>0.4777938898619033</v>
      </c>
      <c r="I88" s="21">
        <f>1/(1+EXP(-$T$2*C88-$T$3*B88-$T$4))</f>
        <v>0.5530939803888224</v>
      </c>
      <c r="J88" s="40">
        <f>$U$2*C88+$U$3</f>
        <v>-8.8882910215318245E-2</v>
      </c>
      <c r="K88" s="42">
        <f>$T$2*C88+$T$3*B88+$T$4</f>
        <v>0.2131796079829196</v>
      </c>
      <c r="L88" s="24">
        <v>-0.70000000000002005</v>
      </c>
      <c r="M88" s="25">
        <f t="shared" si="3"/>
        <v>0.33181222783182945</v>
      </c>
      <c r="N88" s="3">
        <f>COUNT($E$3:E88)-O88</f>
        <v>51</v>
      </c>
      <c r="O88" s="3">
        <f>SUM($E$3:E88)</f>
        <v>35</v>
      </c>
      <c r="P88" s="3">
        <f t="shared" si="4"/>
        <v>0.203125</v>
      </c>
      <c r="Q88" s="4">
        <f t="shared" si="5"/>
        <v>0.44444444444444442</v>
      </c>
    </row>
    <row r="89" spans="1:17" x14ac:dyDescent="0.25">
      <c r="A89" s="19">
        <v>2183.3200000000002</v>
      </c>
      <c r="B89" s="3">
        <v>34</v>
      </c>
      <c r="C89" s="3">
        <v>1243.93</v>
      </c>
      <c r="D89" s="3" t="s">
        <v>5</v>
      </c>
      <c r="E89" s="4">
        <f>IF(D89="T",1,0)</f>
        <v>1</v>
      </c>
      <c r="F89" s="39">
        <f>E89*($U$2*C89+$U$3)-LN(1+EXP(($U$2*C89+$U$3)))</f>
        <v>-0.63504317380922559</v>
      </c>
      <c r="G89" s="21">
        <f>E89*($T$2*C89+$T$3*B89+$T$4)-LN(1+EXP(($T$2*C89+$T$3*B89+$T$4)))</f>
        <v>-0.59147417861563456</v>
      </c>
      <c r="H89" s="40">
        <f>1/(1+EXP(-$U$2*C89-$U$3))</f>
        <v>0.52991260947778096</v>
      </c>
      <c r="I89" s="21">
        <f>1/(1+EXP(-$T$2*C89-$T$3*B89-$T$4))</f>
        <v>0.5535107093421614</v>
      </c>
      <c r="J89" s="40">
        <f>$U$2*C89+$U$3</f>
        <v>0.11979349047168397</v>
      </c>
      <c r="K89" s="42">
        <f>$T$2*C89+$T$3*B89+$T$4</f>
        <v>0.21486568542642273</v>
      </c>
      <c r="L89" s="24">
        <v>-0.65000000000002001</v>
      </c>
      <c r="M89" s="25">
        <f t="shared" si="3"/>
        <v>0.34298953732649673</v>
      </c>
      <c r="N89" s="3">
        <f>COUNT($E$3:E89)-O89</f>
        <v>51</v>
      </c>
      <c r="O89" s="3">
        <f>SUM($E$3:E89)</f>
        <v>36</v>
      </c>
      <c r="P89" s="3">
        <f t="shared" si="4"/>
        <v>0.203125</v>
      </c>
      <c r="Q89" s="4">
        <f t="shared" si="5"/>
        <v>0.42857142857142855</v>
      </c>
    </row>
    <row r="90" spans="1:17" x14ac:dyDescent="0.25">
      <c r="A90" s="19">
        <v>2382.87</v>
      </c>
      <c r="B90" s="3">
        <v>38</v>
      </c>
      <c r="C90" s="3">
        <v>1348.21</v>
      </c>
      <c r="D90" s="3" t="s">
        <v>5</v>
      </c>
      <c r="E90" s="4">
        <f>IF(D90="T",1,0)</f>
        <v>1</v>
      </c>
      <c r="F90" s="39">
        <f>E90*($U$2*C90+$U$3)-LN(1+EXP(($U$2*C90+$U$3)))</f>
        <v>-0.59691102058488177</v>
      </c>
      <c r="G90" s="21">
        <f>E90*($T$2*C90+$T$3*B90+$T$4)-LN(1+EXP(($T$2*C90+$T$3*B90+$T$4)))</f>
        <v>-0.5882942037859934</v>
      </c>
      <c r="H90" s="40">
        <f>1/(1+EXP(-$U$2*C90-$U$3))</f>
        <v>0.55050952496250494</v>
      </c>
      <c r="I90" s="21">
        <f>1/(1+EXP(-$T$2*C90-$T$3*B90-$T$4))</f>
        <v>0.555273661051221</v>
      </c>
      <c r="J90" s="40">
        <f>$U$2*C90+$U$3</f>
        <v>0.20272959483802522</v>
      </c>
      <c r="K90" s="42">
        <f>$T$2*C90+$T$3*B90+$T$4</f>
        <v>0.22200195085511568</v>
      </c>
      <c r="L90" s="24">
        <v>-0.60000000000001996</v>
      </c>
      <c r="M90" s="25">
        <f t="shared" si="3"/>
        <v>0.35434369377419994</v>
      </c>
      <c r="N90" s="3">
        <f>COUNT($E$3:E90)-O90</f>
        <v>51</v>
      </c>
      <c r="O90" s="3">
        <f>SUM($E$3:E90)</f>
        <v>37</v>
      </c>
      <c r="P90" s="3">
        <f t="shared" si="4"/>
        <v>0.203125</v>
      </c>
      <c r="Q90" s="4">
        <f t="shared" si="5"/>
        <v>0.41269841269841268</v>
      </c>
    </row>
    <row r="91" spans="1:17" x14ac:dyDescent="0.25">
      <c r="A91" s="19">
        <v>1939.33</v>
      </c>
      <c r="B91" s="3">
        <v>22</v>
      </c>
      <c r="C91" s="3">
        <v>981.09</v>
      </c>
      <c r="D91" s="3" t="s">
        <v>4</v>
      </c>
      <c r="E91" s="4">
        <f>IF(D91="T",1,0)</f>
        <v>0</v>
      </c>
      <c r="F91" s="39">
        <f>E91*($U$2*C91+$U$3)-LN(1+EXP(($U$2*C91+$U$3)))</f>
        <v>-0.6495181388798793</v>
      </c>
      <c r="G91" s="21">
        <f>E91*($T$2*C91+$T$3*B91+$T$4)-LN(1+EXP(($T$2*C91+$T$3*B91+$T$4)))</f>
        <v>-0.81487416311772043</v>
      </c>
      <c r="H91" s="40">
        <f>1/(1+EXP(-$U$2*C91-$U$3))</f>
        <v>0.47770260905956308</v>
      </c>
      <c r="I91" s="21">
        <f>1/(1+EXP(-$T$2*C91-$T$3*B91-$T$4))</f>
        <v>0.55730496878099312</v>
      </c>
      <c r="J91" s="40">
        <f>$U$2*C91+$U$3</f>
        <v>-8.9248758009799589E-2</v>
      </c>
      <c r="K91" s="42">
        <f>$T$2*C91+$T$3*B91+$T$4</f>
        <v>0.23023149448147226</v>
      </c>
      <c r="L91" s="24">
        <v>-0.55000000000002003</v>
      </c>
      <c r="M91" s="25">
        <f t="shared" si="3"/>
        <v>0.3658644089891947</v>
      </c>
      <c r="N91" s="3">
        <f>COUNT($E$3:E91)-O91</f>
        <v>52</v>
      </c>
      <c r="O91" s="3">
        <f>SUM($E$3:E91)</f>
        <v>37</v>
      </c>
      <c r="P91" s="3">
        <f t="shared" si="4"/>
        <v>0.1875</v>
      </c>
      <c r="Q91" s="4">
        <f t="shared" si="5"/>
        <v>0.41269841269841268</v>
      </c>
    </row>
    <row r="92" spans="1:17" x14ac:dyDescent="0.25">
      <c r="A92" s="19">
        <v>3113.02</v>
      </c>
      <c r="B92" s="3">
        <v>36</v>
      </c>
      <c r="C92" s="3">
        <v>1312.45</v>
      </c>
      <c r="D92" s="3" t="s">
        <v>4</v>
      </c>
      <c r="E92" s="4">
        <f>IF(D92="T",1,0)</f>
        <v>0</v>
      </c>
      <c r="F92" s="39">
        <f>E92*($U$2*C92+$U$3)-LN(1+EXP(($U$2*C92+$U$3)))</f>
        <v>-0.78408391486777462</v>
      </c>
      <c r="G92" s="21">
        <f>E92*($T$2*C92+$T$3*B92+$T$4)-LN(1+EXP(($T$2*C92+$T$3*B92+$T$4)))</f>
        <v>-0.81501332114756986</v>
      </c>
      <c r="H92" s="40">
        <f>1/(1+EXP(-$U$2*C92-$U$3))</f>
        <v>0.54346226228802652</v>
      </c>
      <c r="I92" s="21">
        <f>1/(1+EXP(-$T$2*C92-$T$3*B92-$T$4))</f>
        <v>0.55736656906317517</v>
      </c>
      <c r="J92" s="40">
        <f>$U$2*C92+$U$3</f>
        <v>0.17428890542356057</v>
      </c>
      <c r="K92" s="42">
        <f>$T$2*C92+$T$3*B92+$T$4</f>
        <v>0.2304811788505228</v>
      </c>
      <c r="L92" s="24">
        <v>-0.50000000000001998</v>
      </c>
      <c r="M92" s="25">
        <f t="shared" si="3"/>
        <v>0.37754066879814074</v>
      </c>
      <c r="N92" s="3">
        <f>COUNT($E$3:E92)-O92</f>
        <v>53</v>
      </c>
      <c r="O92" s="3">
        <f>SUM($E$3:E92)</f>
        <v>37</v>
      </c>
      <c r="P92" s="3">
        <f t="shared" si="4"/>
        <v>0.171875</v>
      </c>
      <c r="Q92" s="4">
        <f t="shared" si="5"/>
        <v>0.41269841269841268</v>
      </c>
    </row>
    <row r="93" spans="1:17" x14ac:dyDescent="0.25">
      <c r="A93" s="19">
        <v>2585.31</v>
      </c>
      <c r="B93" s="3">
        <v>26</v>
      </c>
      <c r="C93" s="3">
        <v>1083.48</v>
      </c>
      <c r="D93" s="3" t="s">
        <v>5</v>
      </c>
      <c r="E93" s="4">
        <f>IF(D93="T",1,0)</f>
        <v>1</v>
      </c>
      <c r="F93" s="39">
        <f>E93*($U$2*C93+$U$3)-LN(1+EXP(($U$2*C93+$U$3)))</f>
        <v>-0.69706272184598639</v>
      </c>
      <c r="G93" s="21">
        <f>E93*($T$2*C93+$T$3*B93+$T$4)-LN(1+EXP(($T$2*C93+$T$3*B93+$T$4)))</f>
        <v>-0.58210293315169181</v>
      </c>
      <c r="H93" s="40">
        <f>1/(1+EXP(-$U$2*C93-$U$3))</f>
        <v>0.49804605722518164</v>
      </c>
      <c r="I93" s="21">
        <f>1/(1+EXP(-$T$2*C93-$T$3*B93-$T$4))</f>
        <v>0.55872217488846743</v>
      </c>
      <c r="J93" s="40">
        <f>$U$2*C93+$U$3</f>
        <v>-7.815810886001473E-3</v>
      </c>
      <c r="K93" s="42">
        <f>$T$2*C93+$T$3*B93+$T$4</f>
        <v>0.23597767982827048</v>
      </c>
      <c r="L93" s="24">
        <v>-0.45000000000002</v>
      </c>
      <c r="M93" s="25">
        <f t="shared" si="3"/>
        <v>0.38936076605077324</v>
      </c>
      <c r="N93" s="3">
        <f>COUNT($E$3:E93)-O93</f>
        <v>53</v>
      </c>
      <c r="O93" s="3">
        <f>SUM($E$3:E93)</f>
        <v>38</v>
      </c>
      <c r="P93" s="3">
        <f t="shared" si="4"/>
        <v>0.171875</v>
      </c>
      <c r="Q93" s="4">
        <f t="shared" si="5"/>
        <v>0.3968253968253968</v>
      </c>
    </row>
    <row r="94" spans="1:17" x14ac:dyDescent="0.25">
      <c r="A94" s="19">
        <v>2618.96</v>
      </c>
      <c r="B94" s="3">
        <v>41</v>
      </c>
      <c r="C94" s="3">
        <v>1474.51</v>
      </c>
      <c r="D94" s="3" t="s">
        <v>4</v>
      </c>
      <c r="E94" s="4">
        <f>IF(D94="T",1,0)</f>
        <v>0</v>
      </c>
      <c r="F94" s="39">
        <f>E94*($U$2*C94+$U$3)-LN(1+EXP(($U$2*C94+$U$3)))</f>
        <v>-0.85618244480105354</v>
      </c>
      <c r="G94" s="21">
        <f>E94*($T$2*C94+$T$3*B94+$T$4)-LN(1+EXP(($T$2*C94+$T$3*B94+$T$4)))</f>
        <v>-0.83311244802370776</v>
      </c>
      <c r="H94" s="40">
        <f>1/(1+EXP(-$U$2*C94-$U$3))</f>
        <v>0.57521938562283303</v>
      </c>
      <c r="I94" s="21">
        <f>1/(1+EXP(-$T$2*C94-$T$3*B94-$T$4))</f>
        <v>0.56530578453019942</v>
      </c>
      <c r="J94" s="40">
        <f>$U$2*C94+$U$3</f>
        <v>0.30317867406193089</v>
      </c>
      <c r="K94" s="42">
        <f>$T$2*C94+$T$3*B94+$T$4</f>
        <v>0.26272396534373232</v>
      </c>
      <c r="L94" s="24">
        <v>-0.40000000000002001</v>
      </c>
      <c r="M94" s="25">
        <f t="shared" si="3"/>
        <v>0.40131233988754322</v>
      </c>
      <c r="N94" s="3">
        <f>COUNT($E$3:E94)-O94</f>
        <v>54</v>
      </c>
      <c r="O94" s="3">
        <f>SUM($E$3:E94)</f>
        <v>38</v>
      </c>
      <c r="P94" s="3">
        <f t="shared" si="4"/>
        <v>0.15625</v>
      </c>
      <c r="Q94" s="4">
        <f t="shared" si="5"/>
        <v>0.3968253968253968</v>
      </c>
    </row>
    <row r="95" spans="1:17" x14ac:dyDescent="0.25">
      <c r="A95" s="19">
        <v>2281.11</v>
      </c>
      <c r="B95" s="3">
        <v>36</v>
      </c>
      <c r="C95" s="3">
        <v>1359.92</v>
      </c>
      <c r="D95" s="3" t="s">
        <v>5</v>
      </c>
      <c r="E95" s="4">
        <f>IF(D95="T",1,0)</f>
        <v>1</v>
      </c>
      <c r="F95" s="39">
        <f>E95*($U$2*C95+$U$3)-LN(1+EXP(($U$2*C95+$U$3)))</f>
        <v>-0.59273554829566988</v>
      </c>
      <c r="G95" s="21">
        <f>E95*($T$2*C95+$T$3*B95+$T$4)-LN(1+EXP(($T$2*C95+$T$3*B95+$T$4)))</f>
        <v>-0.56922828055741403</v>
      </c>
      <c r="H95" s="40">
        <f>1/(1+EXP(-$U$2*C95-$U$3))</f>
        <v>0.55281296786330736</v>
      </c>
      <c r="I95" s="21">
        <f>1/(1+EXP(-$T$2*C95-$T$3*B95-$T$4))</f>
        <v>0.56596203411877744</v>
      </c>
      <c r="J95" s="40">
        <f>$U$2*C95+$U$3</f>
        <v>0.21204280717145307</v>
      </c>
      <c r="K95" s="42">
        <f>$T$2*C95+$T$3*B95+$T$4</f>
        <v>0.26539498916138982</v>
      </c>
      <c r="L95" s="24">
        <v>-0.35000000000002002</v>
      </c>
      <c r="M95" s="25">
        <f t="shared" si="3"/>
        <v>0.4133824210826651</v>
      </c>
      <c r="N95" s="3">
        <f>COUNT($E$3:E95)-O95</f>
        <v>54</v>
      </c>
      <c r="O95" s="3">
        <f>SUM($E$3:E95)</f>
        <v>39</v>
      </c>
      <c r="P95" s="3">
        <f t="shared" si="4"/>
        <v>0.15625</v>
      </c>
      <c r="Q95" s="4">
        <f t="shared" si="5"/>
        <v>0.38095238095238093</v>
      </c>
    </row>
    <row r="96" spans="1:17" x14ac:dyDescent="0.25">
      <c r="A96" s="19">
        <v>2679.69</v>
      </c>
      <c r="B96" s="3">
        <v>46</v>
      </c>
      <c r="C96" s="3">
        <v>1614.2</v>
      </c>
      <c r="D96" s="3" t="s">
        <v>5</v>
      </c>
      <c r="E96" s="4">
        <f>IF(D96="T",1,0)</f>
        <v>1</v>
      </c>
      <c r="F96" s="39">
        <f>E96*($U$2*C96+$U$3)-LN(1+EXP(($U$2*C96+$U$3)))</f>
        <v>-0.50731013750802856</v>
      </c>
      <c r="G96" s="21">
        <f>E96*($T$2*C96+$T$3*B96+$T$4)-LN(1+EXP(($T$2*C96+$T$3*B96+$T$4)))</f>
        <v>-0.56355534757840886</v>
      </c>
      <c r="H96" s="40">
        <f>1/(1+EXP(-$U$2*C96-$U$3))</f>
        <v>0.60211300369635157</v>
      </c>
      <c r="I96" s="21">
        <f>1/(1+EXP(-$T$2*C96-$T$3*B96-$T$4))</f>
        <v>0.56918182299526832</v>
      </c>
      <c r="J96" s="40">
        <f>$U$2*C96+$U$3</f>
        <v>0.41427710539041374</v>
      </c>
      <c r="K96" s="42">
        <f>$T$2*C96+$T$3*B96+$T$4</f>
        <v>0.2785137934073213</v>
      </c>
      <c r="L96" s="24">
        <v>-0.30000000000001997</v>
      </c>
      <c r="M96" s="25">
        <f t="shared" si="3"/>
        <v>0.42555748318833608</v>
      </c>
      <c r="N96" s="3">
        <f>COUNT($E$3:E96)-O96</f>
        <v>54</v>
      </c>
      <c r="O96" s="3">
        <f>SUM($E$3:E96)</f>
        <v>40</v>
      </c>
      <c r="P96" s="3">
        <f t="shared" si="4"/>
        <v>0.15625</v>
      </c>
      <c r="Q96" s="4">
        <f t="shared" si="5"/>
        <v>0.36507936507936506</v>
      </c>
    </row>
    <row r="97" spans="1:17" x14ac:dyDescent="0.25">
      <c r="A97" s="19">
        <v>2324.6</v>
      </c>
      <c r="B97" s="3">
        <v>30</v>
      </c>
      <c r="C97" s="3">
        <v>1247.71</v>
      </c>
      <c r="D97" s="3" t="s">
        <v>5</v>
      </c>
      <c r="E97" s="4">
        <f>IF(D97="T",1,0)</f>
        <v>1</v>
      </c>
      <c r="F97" s="39">
        <f>E97*($U$2*C97+$U$3)-LN(1+EXP(($U$2*C97+$U$3)))</f>
        <v>-0.63363106890737741</v>
      </c>
      <c r="G97" s="21">
        <f>E97*($T$2*C97+$T$3*B97+$T$4)-LN(1+EXP(($T$2*C97+$T$3*B97+$T$4)))</f>
        <v>-0.55981954791762989</v>
      </c>
      <c r="H97" s="40">
        <f>1/(1+EXP(-$U$2*C97-$U$3))</f>
        <v>0.53066143025348811</v>
      </c>
      <c r="I97" s="21">
        <f>1/(1+EXP(-$T$2*C97-$T$3*B97-$T$4))</f>
        <v>0.57131214901454175</v>
      </c>
      <c r="J97" s="40">
        <f>$U$2*C97+$U$3</f>
        <v>0.12279980495677001</v>
      </c>
      <c r="K97" s="42">
        <f>$T$2*C97+$T$3*B97+$T$4</f>
        <v>0.28720669706097601</v>
      </c>
      <c r="L97" s="24">
        <v>-0.25000000000001998</v>
      </c>
      <c r="M97" s="25">
        <f t="shared" si="3"/>
        <v>0.43782349911419699</v>
      </c>
      <c r="N97" s="3">
        <f>COUNT($E$3:E97)-O97</f>
        <v>54</v>
      </c>
      <c r="O97" s="3">
        <f>SUM($E$3:E97)</f>
        <v>41</v>
      </c>
      <c r="P97" s="3">
        <f t="shared" si="4"/>
        <v>0.15625</v>
      </c>
      <c r="Q97" s="4">
        <f t="shared" si="5"/>
        <v>0.34920634920634919</v>
      </c>
    </row>
    <row r="98" spans="1:17" x14ac:dyDescent="0.25">
      <c r="A98" s="19">
        <v>1726.08</v>
      </c>
      <c r="B98" s="3">
        <v>27</v>
      </c>
      <c r="C98" s="3">
        <v>1186.6500000000001</v>
      </c>
      <c r="D98" s="3" t="s">
        <v>5</v>
      </c>
      <c r="E98" s="4">
        <f>IF(D98="T",1,0)</f>
        <v>1</v>
      </c>
      <c r="F98" s="39">
        <f>E98*($U$2*C98+$U$3)-LN(1+EXP(($U$2*C98+$U$3)))</f>
        <v>-0.65671717955711784</v>
      </c>
      <c r="G98" s="21">
        <f>E98*($T$2*C98+$T$3*B98+$T$4)-LN(1+EXP(($T$2*C98+$T$3*B98+$T$4)))</f>
        <v>-0.55671308997226776</v>
      </c>
      <c r="H98" s="40">
        <f>1/(1+EXP(-$U$2*C98-$U$3))</f>
        <v>0.51855085269876022</v>
      </c>
      <c r="I98" s="21">
        <f>1/(1+EXP(-$T$2*C98-$T$3*B98-$T$4))</f>
        <v>0.57308966564002062</v>
      </c>
      <c r="J98" s="40">
        <f>$U$2*C98+$U$3</f>
        <v>7.4237486845830314E-2</v>
      </c>
      <c r="K98" s="42">
        <f>$T$2*C98+$T$3*B98+$T$4</f>
        <v>0.29446818762146332</v>
      </c>
      <c r="L98" s="24">
        <v>-0.20000000000002</v>
      </c>
      <c r="M98" s="25">
        <f t="shared" si="3"/>
        <v>0.45016600268751711</v>
      </c>
      <c r="N98" s="3">
        <f>COUNT($E$3:E98)-O98</f>
        <v>54</v>
      </c>
      <c r="O98" s="3">
        <f>SUM($E$3:E98)</f>
        <v>42</v>
      </c>
      <c r="P98" s="3">
        <f t="shared" si="4"/>
        <v>0.15625</v>
      </c>
      <c r="Q98" s="4">
        <f t="shared" si="5"/>
        <v>0.33333333333333331</v>
      </c>
    </row>
    <row r="99" spans="1:17" x14ac:dyDescent="0.25">
      <c r="A99" s="19">
        <v>2586.6799999999998</v>
      </c>
      <c r="B99" s="3">
        <v>54</v>
      </c>
      <c r="C99" s="3">
        <v>1829.39</v>
      </c>
      <c r="D99" s="3" t="s">
        <v>5</v>
      </c>
      <c r="E99" s="4">
        <f>IF(D99="T",1,0)</f>
        <v>1</v>
      </c>
      <c r="F99" s="39">
        <f>E99*($U$2*C99+$U$3)-LN(1+EXP(($U$2*C99+$U$3)))</f>
        <v>-0.44267781223639213</v>
      </c>
      <c r="G99" s="21">
        <f>E99*($T$2*C99+$T$3*B99+$T$4)-LN(1+EXP(($T$2*C99+$T$3*B99+$T$4)))</f>
        <v>-0.55535059466036585</v>
      </c>
      <c r="H99" s="40">
        <f>1/(1+EXP(-$U$2*C99-$U$3))</f>
        <v>0.64231411950337769</v>
      </c>
      <c r="I99" s="21">
        <f>1/(1+EXP(-$T$2*C99-$T$3*B99-$T$4))</f>
        <v>0.57387102980438343</v>
      </c>
      <c r="J99" s="40">
        <f>$U$2*C99+$U$3</f>
        <v>0.58542229429138182</v>
      </c>
      <c r="K99" s="42">
        <f>$T$2*C99+$T$3*B99+$T$4</f>
        <v>0.29766263693294048</v>
      </c>
      <c r="L99" s="24">
        <v>-0.15000000000002001</v>
      </c>
      <c r="M99" s="25">
        <f t="shared" si="3"/>
        <v>0.4625701546562454</v>
      </c>
      <c r="N99" s="3">
        <f>COUNT($E$3:E99)-O99</f>
        <v>54</v>
      </c>
      <c r="O99" s="3">
        <f>SUM($E$3:E99)</f>
        <v>43</v>
      </c>
      <c r="P99" s="3">
        <f t="shared" si="4"/>
        <v>0.15625</v>
      </c>
      <c r="Q99" s="4">
        <f t="shared" si="5"/>
        <v>0.31746031746031744</v>
      </c>
    </row>
    <row r="100" spans="1:17" x14ac:dyDescent="0.25">
      <c r="A100" s="19">
        <v>1881.84</v>
      </c>
      <c r="B100" s="3">
        <v>26</v>
      </c>
      <c r="C100" s="3">
        <v>1194.8900000000001</v>
      </c>
      <c r="D100" s="3" t="s">
        <v>5</v>
      </c>
      <c r="E100" s="4">
        <f>IF(D100="T",1,0)</f>
        <v>1</v>
      </c>
      <c r="F100" s="39">
        <f>E100*($U$2*C100+$U$3)-LN(1+EXP(($U$2*C100+$U$3)))</f>
        <v>-0.65356738849617446</v>
      </c>
      <c r="G100" s="21">
        <f>E100*($T$2*C100+$T$3*B100+$T$4)-LN(1+EXP(($T$2*C100+$T$3*B100+$T$4)))</f>
        <v>-0.54676895204705633</v>
      </c>
      <c r="H100" s="40">
        <f>1/(1+EXP(-$U$2*C100-$U$3))</f>
        <v>0.52018675456126018</v>
      </c>
      <c r="I100" s="21">
        <f>1/(1+EXP(-$T$2*C100-$T$3*B100-$T$4))</f>
        <v>0.57881697771347829</v>
      </c>
      <c r="J100" s="40">
        <f>$U$2*C100+$U$3</f>
        <v>8.0790934294800887E-2</v>
      </c>
      <c r="K100" s="42">
        <f>$T$2*C100+$T$3*B100+$T$4</f>
        <v>0.31791885544937215</v>
      </c>
      <c r="L100" s="24">
        <v>-0.10000000000002</v>
      </c>
      <c r="M100" s="25">
        <f t="shared" si="3"/>
        <v>0.47502081252105499</v>
      </c>
      <c r="N100" s="3">
        <f>COUNT($E$3:E100)-O100</f>
        <v>54</v>
      </c>
      <c r="O100" s="3">
        <f>SUM($E$3:E100)</f>
        <v>44</v>
      </c>
      <c r="P100" s="3">
        <f t="shared" si="4"/>
        <v>0.15625</v>
      </c>
      <c r="Q100" s="4">
        <f t="shared" si="5"/>
        <v>0.30158730158730157</v>
      </c>
    </row>
    <row r="101" spans="1:17" x14ac:dyDescent="0.25">
      <c r="A101" s="19">
        <v>2098.2800000000002</v>
      </c>
      <c r="B101" s="3">
        <v>44</v>
      </c>
      <c r="C101" s="3">
        <v>1626.91</v>
      </c>
      <c r="D101" s="3" t="s">
        <v>5</v>
      </c>
      <c r="E101" s="4">
        <f>IF(D101="T",1,0)</f>
        <v>1</v>
      </c>
      <c r="F101" s="39">
        <f>E101*($U$2*C101+$U$3)-LN(1+EXP(($U$2*C101+$U$3)))</f>
        <v>-0.50330031503316008</v>
      </c>
      <c r="G101" s="21">
        <f>E101*($T$2*C101+$T$3*B101+$T$4)-LN(1+EXP(($T$2*C101+$T$3*B101+$T$4)))</f>
        <v>-0.54478222627998696</v>
      </c>
      <c r="H101" s="40">
        <f>1/(1+EXP(-$U$2*C101-$U$3))</f>
        <v>0.60453221701747895</v>
      </c>
      <c r="I101" s="21">
        <f>1/(1+EXP(-$T$2*C101-$T$3*B101-$T$4))</f>
        <v>0.57996807139263373</v>
      </c>
      <c r="J101" s="40">
        <f>$U$2*C101+$U$3</f>
        <v>0.42438563901619242</v>
      </c>
      <c r="K101" s="42">
        <f>$T$2*C101+$T$3*B101+$T$4</f>
        <v>0.32264232382041791</v>
      </c>
      <c r="L101" s="24">
        <v>-5.0000000000020299E-2</v>
      </c>
      <c r="M101" s="25">
        <f t="shared" si="3"/>
        <v>0.48750260351578451</v>
      </c>
      <c r="N101" s="3">
        <f>COUNT($E$3:E101)-O101</f>
        <v>54</v>
      </c>
      <c r="O101" s="3">
        <f>SUM($E$3:E101)</f>
        <v>45</v>
      </c>
      <c r="P101" s="3">
        <f t="shared" si="4"/>
        <v>0.15625</v>
      </c>
      <c r="Q101" s="4">
        <f t="shared" si="5"/>
        <v>0.2857142857142857</v>
      </c>
    </row>
    <row r="102" spans="1:17" x14ac:dyDescent="0.25">
      <c r="A102" s="19">
        <v>1865.75</v>
      </c>
      <c r="B102" s="3">
        <v>26</v>
      </c>
      <c r="C102" s="3">
        <v>1211.93</v>
      </c>
      <c r="D102" s="3" t="s">
        <v>5</v>
      </c>
      <c r="E102" s="4">
        <f>IF(D102="T",1,0)</f>
        <v>1</v>
      </c>
      <c r="F102" s="39">
        <f>E102*($U$2*C102+$U$3)-LN(1+EXP(($U$2*C102+$U$3)))</f>
        <v>-0.64708774377316214</v>
      </c>
      <c r="G102" s="21">
        <f>E102*($T$2*C102+$T$3*B102+$T$4)-LN(1+EXP(($T$2*C102+$T$3*B102+$T$4)))</f>
        <v>-0.54150948881671701</v>
      </c>
      <c r="H102" s="40">
        <f>1/(1+EXP(-$U$2*C102-$U$3))</f>
        <v>0.52356832377250018</v>
      </c>
      <c r="I102" s="21">
        <f>1/(1+EXP(-$T$2*C102-$T$3*B102-$T$4))</f>
        <v>0.58186926398254524</v>
      </c>
      <c r="J102" s="40">
        <f>$U$2*C102+$U$3</f>
        <v>9.4343209116458437E-2</v>
      </c>
      <c r="K102" s="42">
        <f>$T$2*C102+$T$3*B102+$T$4</f>
        <v>0.33045164094962864</v>
      </c>
      <c r="L102" s="24">
        <v>-2.0428103653102899E-14</v>
      </c>
      <c r="M102" s="25">
        <f t="shared" si="3"/>
        <v>0.49999999999999489</v>
      </c>
      <c r="N102" s="3">
        <f>COUNT($E$3:E102)-O102</f>
        <v>54</v>
      </c>
      <c r="O102" s="3">
        <f>SUM($E$3:E102)</f>
        <v>46</v>
      </c>
      <c r="P102" s="3">
        <f t="shared" si="4"/>
        <v>0.15625</v>
      </c>
      <c r="Q102" s="4">
        <f t="shared" si="5"/>
        <v>0.26984126984126983</v>
      </c>
    </row>
    <row r="103" spans="1:17" x14ac:dyDescent="0.25">
      <c r="A103" s="19">
        <v>1947.45</v>
      </c>
      <c r="B103" s="3">
        <v>25</v>
      </c>
      <c r="C103" s="3">
        <v>1191.56</v>
      </c>
      <c r="D103" s="3" t="s">
        <v>5</v>
      </c>
      <c r="E103" s="4">
        <f>IF(D103="T",1,0)</f>
        <v>1</v>
      </c>
      <c r="F103" s="39">
        <f>E103*($U$2*C103+$U$3)-LN(1+EXP(($U$2*C103+$U$3)))</f>
        <v>-0.65483901081316676</v>
      </c>
      <c r="G103" s="21">
        <f>E103*($T$2*C103+$T$3*B103+$T$4)-LN(1+EXP(($T$2*C103+$T$3*B103+$T$4)))</f>
        <v>-0.54050323563937896</v>
      </c>
      <c r="H103" s="40">
        <f>1/(1+EXP(-$U$2*C103-$U$3))</f>
        <v>0.51952569387399683</v>
      </c>
      <c r="I103" s="21">
        <f>1/(1+EXP(-$T$2*C103-$T$3*B103-$T$4))</f>
        <v>0.58245506646159662</v>
      </c>
      <c r="J103" s="40">
        <f>$U$2*C103+$U$3</f>
        <v>7.8142514391272622E-2</v>
      </c>
      <c r="K103" s="42">
        <f>$T$2*C103+$T$3*B103+$T$4</f>
        <v>0.332859879601344</v>
      </c>
      <c r="L103" s="24">
        <v>4.9999999999980303E-2</v>
      </c>
      <c r="M103" s="25">
        <f t="shared" si="3"/>
        <v>0.51249739648420534</v>
      </c>
      <c r="N103" s="3">
        <f>COUNT($E$3:E103)-O103</f>
        <v>54</v>
      </c>
      <c r="O103" s="3">
        <f>SUM($E$3:E103)</f>
        <v>47</v>
      </c>
      <c r="P103" s="3">
        <f t="shared" si="4"/>
        <v>0.15625</v>
      </c>
      <c r="Q103" s="4">
        <f t="shared" si="5"/>
        <v>0.25396825396825395</v>
      </c>
    </row>
    <row r="104" spans="1:17" x14ac:dyDescent="0.25">
      <c r="A104" s="19">
        <v>3251.37</v>
      </c>
      <c r="B104" s="3">
        <v>60</v>
      </c>
      <c r="C104" s="3">
        <v>2024.76</v>
      </c>
      <c r="D104" s="3" t="s">
        <v>5</v>
      </c>
      <c r="E104" s="4">
        <f>IF(D104="T",1,0)</f>
        <v>1</v>
      </c>
      <c r="F104" s="39">
        <f>E104*($U$2*C104+$U$3)-LN(1+EXP(($U$2*C104+$U$3)))</f>
        <v>-0.38983043273172946</v>
      </c>
      <c r="G104" s="21">
        <f>E104*($T$2*C104+$T$3*B104+$T$4)-LN(1+EXP(($T$2*C104+$T$3*B104+$T$4)))</f>
        <v>-0.53877061312076513</v>
      </c>
      <c r="H104" s="40">
        <f>1/(1+EXP(-$U$2*C104-$U$3))</f>
        <v>0.67717169091711538</v>
      </c>
      <c r="I104" s="21">
        <f>1/(1+EXP(-$T$2*C104-$T$3*B104-$T$4))</f>
        <v>0.58346511599042883</v>
      </c>
      <c r="J104" s="40">
        <f>$U$2*C104+$U$3</f>
        <v>0.74080421517795703</v>
      </c>
      <c r="K104" s="42">
        <f>$T$2*C104+$T$3*B104+$T$4</f>
        <v>0.33701445263671859</v>
      </c>
      <c r="L104" s="24">
        <v>9.9999999999980105E-2</v>
      </c>
      <c r="M104" s="25">
        <f t="shared" si="3"/>
        <v>0.52497918747893502</v>
      </c>
      <c r="N104" s="3">
        <f>COUNT($E$3:E104)-O104</f>
        <v>54</v>
      </c>
      <c r="O104" s="3">
        <f>SUM($E$3:E104)</f>
        <v>48</v>
      </c>
      <c r="P104" s="3">
        <f t="shared" si="4"/>
        <v>0.15625</v>
      </c>
      <c r="Q104" s="4">
        <f t="shared" si="5"/>
        <v>0.23809523809523808</v>
      </c>
    </row>
    <row r="105" spans="1:17" x14ac:dyDescent="0.25">
      <c r="A105" s="19">
        <v>2452.0300000000002</v>
      </c>
      <c r="B105" s="3">
        <v>23</v>
      </c>
      <c r="C105" s="3">
        <v>1154.8499999999999</v>
      </c>
      <c r="D105" s="3" t="s">
        <v>4</v>
      </c>
      <c r="E105" s="4">
        <f>IF(D105="T",1,0)</f>
        <v>0</v>
      </c>
      <c r="F105" s="39">
        <f>E105*($U$2*C105+$U$3)-LN(1+EXP(($U$2*C105+$U$3)))</f>
        <v>-0.71791975271102226</v>
      </c>
      <c r="G105" s="21">
        <f>E105*($T$2*C105+$T$3*B105+$T$4)-LN(1+EXP(($T$2*C105+$T$3*B105+$T$4)))</f>
        <v>-0.8779022710867086</v>
      </c>
      <c r="H105" s="40">
        <f>1/(1+EXP(-$U$2*C105-$U$3))</f>
        <v>0.51223412505562194</v>
      </c>
      <c r="I105" s="21">
        <f>1/(1+EXP(-$T$2*C105-$T$3*B105-$T$4))</f>
        <v>0.5843460729541945</v>
      </c>
      <c r="J105" s="40">
        <f>$U$2*C105+$U$3</f>
        <v>4.89462697490749E-2</v>
      </c>
      <c r="K105" s="42">
        <f>$T$2*C105+$T$3*B105+$T$4</f>
        <v>0.3406403900952697</v>
      </c>
      <c r="L105" s="24">
        <v>0.14999999999998001</v>
      </c>
      <c r="M105" s="25">
        <f t="shared" si="3"/>
        <v>0.53742984534374449</v>
      </c>
      <c r="N105" s="3">
        <f>COUNT($E$3:E105)-O105</f>
        <v>55</v>
      </c>
      <c r="O105" s="3">
        <f>SUM($E$3:E105)</f>
        <v>48</v>
      </c>
      <c r="P105" s="3">
        <f t="shared" si="4"/>
        <v>0.140625</v>
      </c>
      <c r="Q105" s="4">
        <f t="shared" si="5"/>
        <v>0.23809523809523808</v>
      </c>
    </row>
    <row r="106" spans="1:17" x14ac:dyDescent="0.25">
      <c r="A106" s="19">
        <v>2179.02</v>
      </c>
      <c r="B106" s="3">
        <v>41</v>
      </c>
      <c r="C106" s="3">
        <v>1614.2</v>
      </c>
      <c r="D106" s="3" t="s">
        <v>5</v>
      </c>
      <c r="E106" s="4">
        <f>IF(D106="T",1,0)</f>
        <v>1</v>
      </c>
      <c r="F106" s="39">
        <f>E106*($U$2*C106+$U$3)-LN(1+EXP(($U$2*C106+$U$3)))</f>
        <v>-0.50731013750802856</v>
      </c>
      <c r="G106" s="21">
        <f>E106*($T$2*C106+$T$3*B106+$T$4)-LN(1+EXP(($T$2*C106+$T$3*B106+$T$4)))</f>
        <v>-0.52701822698374057</v>
      </c>
      <c r="H106" s="40">
        <f>1/(1+EXP(-$U$2*C106-$U$3))</f>
        <v>0.60211300369635157</v>
      </c>
      <c r="I106" s="21">
        <f>1/(1+EXP(-$T$2*C106-$T$3*B106-$T$4))</f>
        <v>0.59036267533151299</v>
      </c>
      <c r="J106" s="40">
        <f>$U$2*C106+$U$3</f>
        <v>0.41427710539041374</v>
      </c>
      <c r="K106" s="42">
        <f>$T$2*C106+$T$3*B106+$T$4</f>
        <v>0.36546485774577619</v>
      </c>
      <c r="L106" s="24">
        <v>0.19999999999998</v>
      </c>
      <c r="M106" s="25">
        <f t="shared" si="3"/>
        <v>0.54983399731247296</v>
      </c>
      <c r="N106" s="3">
        <f>COUNT($E$3:E106)-O106</f>
        <v>55</v>
      </c>
      <c r="O106" s="3">
        <f>SUM($E$3:E106)</f>
        <v>49</v>
      </c>
      <c r="P106" s="3">
        <f t="shared" si="4"/>
        <v>0.140625</v>
      </c>
      <c r="Q106" s="4">
        <f t="shared" si="5"/>
        <v>0.22222222222222221</v>
      </c>
    </row>
    <row r="107" spans="1:17" x14ac:dyDescent="0.25">
      <c r="A107" s="19">
        <v>1968.18</v>
      </c>
      <c r="B107" s="3">
        <v>23</v>
      </c>
      <c r="C107" s="3">
        <v>1234.3499999999999</v>
      </c>
      <c r="D107" s="3" t="s">
        <v>5</v>
      </c>
      <c r="E107" s="4">
        <f>IF(D107="T",1,0)</f>
        <v>1</v>
      </c>
      <c r="F107" s="39">
        <f>E107*($U$2*C107+$U$3)-LN(1+EXP(($U$2*C107+$U$3)))</f>
        <v>-0.63863208489816936</v>
      </c>
      <c r="G107" s="21">
        <f>E107*($T$2*C107+$T$3*B107+$T$4)-LN(1+EXP(($T$2*C107+$T$3*B107+$T$4)))</f>
        <v>-0.51337170743711869</v>
      </c>
      <c r="H107" s="40">
        <f>1/(1+EXP(-$U$2*C107-$U$3))</f>
        <v>0.52801420887061112</v>
      </c>
      <c r="I107" s="21">
        <f>1/(1+EXP(-$T$2*C107-$T$3*B107-$T$4))</f>
        <v>0.59847429291048204</v>
      </c>
      <c r="J107" s="40">
        <f>$U$2*C107+$U$3</f>
        <v>0.11217431249096321</v>
      </c>
      <c r="K107" s="42">
        <f>$T$2*C107+$T$3*B107+$T$4</f>
        <v>0.39911201258766338</v>
      </c>
      <c r="L107" s="24">
        <v>0.24999999999997999</v>
      </c>
      <c r="M107" s="25">
        <f t="shared" si="3"/>
        <v>0.56217650088579318</v>
      </c>
      <c r="N107" s="3">
        <f>COUNT($E$3:E107)-O107</f>
        <v>55</v>
      </c>
      <c r="O107" s="3">
        <f>SUM($E$3:E107)</f>
        <v>50</v>
      </c>
      <c r="P107" s="3">
        <f t="shared" si="4"/>
        <v>0.140625</v>
      </c>
      <c r="Q107" s="4">
        <f t="shared" si="5"/>
        <v>0.20634920634920634</v>
      </c>
    </row>
    <row r="108" spans="1:17" x14ac:dyDescent="0.25">
      <c r="A108" s="19">
        <v>2150.71</v>
      </c>
      <c r="B108" s="3">
        <v>28</v>
      </c>
      <c r="C108" s="3">
        <v>1366.23</v>
      </c>
      <c r="D108" s="3" t="s">
        <v>5</v>
      </c>
      <c r="E108" s="4">
        <f>IF(D108="T",1,0)</f>
        <v>1</v>
      </c>
      <c r="F108" s="39">
        <f>E108*($U$2*C108+$U$3)-LN(1+EXP(($U$2*C108+$U$3)))</f>
        <v>-0.59049446276444295</v>
      </c>
      <c r="G108" s="21">
        <f>E108*($T$2*C108+$T$3*B108+$T$4)-LN(1+EXP(($T$2*C108+$T$3*B108+$T$4)))</f>
        <v>-0.50935024386835348</v>
      </c>
      <c r="H108" s="40">
        <f>1/(1+EXP(-$U$2*C108-$U$3))</f>
        <v>0.55405325828641172</v>
      </c>
      <c r="I108" s="21">
        <f>1/(1+EXP(-$T$2*C108-$T$3*B108-$T$4))</f>
        <v>0.6008858812836062</v>
      </c>
      <c r="J108" s="40">
        <f>$U$2*C108+$U$3</f>
        <v>0.21706128452618656</v>
      </c>
      <c r="K108" s="42">
        <f>$T$2*C108+$T$3*B108+$T$4</f>
        <v>0.40915764729696802</v>
      </c>
      <c r="L108" s="24">
        <v>0.29999999999998</v>
      </c>
      <c r="M108" s="25">
        <f t="shared" si="3"/>
        <v>0.57444251681165415</v>
      </c>
      <c r="N108" s="3">
        <f>COUNT($E$3:E108)-O108</f>
        <v>55</v>
      </c>
      <c r="O108" s="3">
        <f>SUM($E$3:E108)</f>
        <v>51</v>
      </c>
      <c r="P108" s="3">
        <f t="shared" si="4"/>
        <v>0.140625</v>
      </c>
      <c r="Q108" s="4">
        <f t="shared" si="5"/>
        <v>0.19047619047619047</v>
      </c>
    </row>
    <row r="109" spans="1:17" x14ac:dyDescent="0.25">
      <c r="A109" s="19">
        <v>2862.21</v>
      </c>
      <c r="B109" s="3">
        <v>55</v>
      </c>
      <c r="C109" s="3">
        <v>2014.51</v>
      </c>
      <c r="D109" s="3" t="s">
        <v>5</v>
      </c>
      <c r="E109" s="4">
        <f>IF(D109="T",1,0)</f>
        <v>1</v>
      </c>
      <c r="F109" s="39">
        <f>E109*($U$2*C109+$U$3)-LN(1+EXP(($U$2*C109+$U$3)))</f>
        <v>-0.39246941400889246</v>
      </c>
      <c r="G109" s="21">
        <f>E109*($T$2*C109+$T$3*B109+$T$4)-LN(1+EXP(($T$2*C109+$T$3*B109+$T$4)))</f>
        <v>-0.50645538609664464</v>
      </c>
      <c r="H109" s="40">
        <f>1/(1+EXP(-$U$2*C109-$U$3))</f>
        <v>0.67538700341755531</v>
      </c>
      <c r="I109" s="21">
        <f>1/(1+EXP(-$T$2*C109-$T$3*B109-$T$4))</f>
        <v>0.60262788065062789</v>
      </c>
      <c r="J109" s="40">
        <f>$U$2*C109+$U$3</f>
        <v>0.73265217193136123</v>
      </c>
      <c r="K109" s="42">
        <f>$T$2*C109+$T$3*B109+$T$4</f>
        <v>0.41642672288024241</v>
      </c>
      <c r="L109" s="24">
        <v>0.34999999999997999</v>
      </c>
      <c r="M109" s="25">
        <f t="shared" si="3"/>
        <v>0.58661757891732524</v>
      </c>
      <c r="N109" s="3">
        <f>COUNT($E$3:E109)-O109</f>
        <v>55</v>
      </c>
      <c r="O109" s="3">
        <f>SUM($E$3:E109)</f>
        <v>52</v>
      </c>
      <c r="P109" s="3">
        <f t="shared" si="4"/>
        <v>0.140625</v>
      </c>
      <c r="Q109" s="4">
        <f t="shared" si="5"/>
        <v>0.17460317460317459</v>
      </c>
    </row>
    <row r="110" spans="1:17" x14ac:dyDescent="0.25">
      <c r="A110" s="19">
        <v>2469.0500000000002</v>
      </c>
      <c r="B110" s="3">
        <v>34</v>
      </c>
      <c r="C110" s="3">
        <v>1538.35</v>
      </c>
      <c r="D110" s="3" t="s">
        <v>5</v>
      </c>
      <c r="E110" s="4">
        <f>IF(D110="T",1,0)</f>
        <v>1</v>
      </c>
      <c r="F110" s="39">
        <f>E110*($U$2*C110+$U$3)-LN(1+EXP(($U$2*C110+$U$3)))</f>
        <v>-0.53175036739197812</v>
      </c>
      <c r="G110" s="21">
        <f>E110*($T$2*C110+$T$3*B110+$T$4)-LN(1+EXP(($T$2*C110+$T$3*B110+$T$4)))</f>
        <v>-0.50052858866758876</v>
      </c>
      <c r="H110" s="40">
        <f>1/(1+EXP(-$U$2*C110-$U$3))</f>
        <v>0.58757559588664854</v>
      </c>
      <c r="I110" s="21">
        <f>1/(1+EXP(-$T$2*C110-$T$3*B110-$T$4))</f>
        <v>0.6062101391985828</v>
      </c>
      <c r="J110" s="40">
        <f>$U$2*C110+$U$3</f>
        <v>0.35395198536560568</v>
      </c>
      <c r="K110" s="42">
        <f>$T$2*C110+$T$3*B110+$T$4</f>
        <v>0.43140927151712172</v>
      </c>
      <c r="L110" s="24">
        <v>0.39999999999997998</v>
      </c>
      <c r="M110" s="25">
        <f t="shared" si="3"/>
        <v>0.59868766011244712</v>
      </c>
      <c r="N110" s="3">
        <f>COUNT($E$3:E110)-O110</f>
        <v>55</v>
      </c>
      <c r="O110" s="3">
        <f>SUM($E$3:E110)</f>
        <v>53</v>
      </c>
      <c r="P110" s="3">
        <f t="shared" si="4"/>
        <v>0.140625</v>
      </c>
      <c r="Q110" s="4">
        <f t="shared" si="5"/>
        <v>0.15873015873015872</v>
      </c>
    </row>
    <row r="111" spans="1:17" x14ac:dyDescent="0.25">
      <c r="A111" s="19">
        <v>2497.25</v>
      </c>
      <c r="B111" s="3">
        <v>37</v>
      </c>
      <c r="C111" s="3">
        <v>1610.19</v>
      </c>
      <c r="D111" s="3" t="s">
        <v>4</v>
      </c>
      <c r="E111" s="4">
        <f>IF(D111="T",1,0)</f>
        <v>0</v>
      </c>
      <c r="F111" s="39">
        <f>E111*($U$2*C111+$U$3)-LN(1+EXP(($U$2*C111+$U$3)))</f>
        <v>-0.91966817963770553</v>
      </c>
      <c r="G111" s="21">
        <f>E111*($T$2*C111+$T$3*B111+$T$4)-LN(1+EXP(($T$2*C111+$T$3*B111+$T$4)))</f>
        <v>-0.93234232478584611</v>
      </c>
      <c r="H111" s="40">
        <f>1/(1+EXP(-$U$2*C111-$U$3))</f>
        <v>0.60134870024104481</v>
      </c>
      <c r="I111" s="21">
        <f>1/(1+EXP(-$T$2*C111-$T$3*B111-$T$4))</f>
        <v>0.60636938105154581</v>
      </c>
      <c r="J111" s="40">
        <f>$U$2*C111+$U$3</f>
        <v>0.41108786700808708</v>
      </c>
      <c r="K111" s="42">
        <f>$T$2*C111+$T$3*B111+$T$4</f>
        <v>0.43207638586818153</v>
      </c>
      <c r="L111" s="24">
        <v>0.44999999999998003</v>
      </c>
      <c r="M111" s="25">
        <f t="shared" si="3"/>
        <v>0.61063923394921726</v>
      </c>
      <c r="N111" s="3">
        <f>COUNT($E$3:E111)-O111</f>
        <v>56</v>
      </c>
      <c r="O111" s="3">
        <f>SUM($E$3:E111)</f>
        <v>53</v>
      </c>
      <c r="P111" s="3">
        <f t="shared" si="4"/>
        <v>0.125</v>
      </c>
      <c r="Q111" s="4">
        <f t="shared" si="5"/>
        <v>0.15873015873015872</v>
      </c>
    </row>
    <row r="112" spans="1:17" x14ac:dyDescent="0.25">
      <c r="A112" s="19">
        <v>2351.91</v>
      </c>
      <c r="B112" s="3">
        <v>22</v>
      </c>
      <c r="C112" s="3">
        <v>1265.6500000000001</v>
      </c>
      <c r="D112" s="3" t="s">
        <v>5</v>
      </c>
      <c r="E112" s="4">
        <f>IF(D112="T",1,0)</f>
        <v>1</v>
      </c>
      <c r="F112" s="39">
        <f>E112*($U$2*C112+$U$3)-LN(1+EXP(($U$2*C112+$U$3)))</f>
        <v>-0.62695986006959625</v>
      </c>
      <c r="G112" s="21">
        <f>E112*($T$2*C112+$T$3*B112+$T$4)-LN(1+EXP(($T$2*C112+$T$3*B112+$T$4)))</f>
        <v>-0.49734128756947737</v>
      </c>
      <c r="H112" s="40">
        <f>1/(1+EXP(-$U$2*C112-$U$3))</f>
        <v>0.53421341833055636</v>
      </c>
      <c r="I112" s="21">
        <f>1/(1+EXP(-$T$2*C112-$T$3*B112-$T$4))</f>
        <v>0.6081453959255444</v>
      </c>
      <c r="J112" s="40">
        <f>$U$2*C112+$U$3</f>
        <v>0.13706786894154344</v>
      </c>
      <c r="K112" s="42">
        <f>$T$2*C112+$T$3*B112+$T$4</f>
        <v>0.43952312839890084</v>
      </c>
      <c r="L112" s="24">
        <v>0.49999999999998002</v>
      </c>
      <c r="M112" s="25">
        <f t="shared" si="3"/>
        <v>0.62245933120184982</v>
      </c>
      <c r="N112" s="3">
        <f>COUNT($E$3:E112)-O112</f>
        <v>56</v>
      </c>
      <c r="O112" s="3">
        <f>SUM($E$3:E112)</f>
        <v>54</v>
      </c>
      <c r="P112" s="3">
        <f t="shared" si="4"/>
        <v>0.125</v>
      </c>
      <c r="Q112" s="4">
        <f t="shared" si="5"/>
        <v>0.14285714285714285</v>
      </c>
    </row>
    <row r="113" spans="1:17" x14ac:dyDescent="0.25">
      <c r="A113" s="19">
        <v>1621.56</v>
      </c>
      <c r="B113" s="3">
        <v>32</v>
      </c>
      <c r="C113" s="3">
        <v>1520.06</v>
      </c>
      <c r="D113" s="3" t="s">
        <v>5</v>
      </c>
      <c r="E113" s="4">
        <f>IF(D113="T",1,0)</f>
        <v>1</v>
      </c>
      <c r="F113" s="39">
        <f>E113*($U$2*C113+$U$3)-LN(1+EXP(($U$2*C113+$U$3)))</f>
        <v>-0.5377753286050494</v>
      </c>
      <c r="G113" s="21">
        <f>E113*($T$2*C113+$T$3*B113+$T$4)-LN(1+EXP(($T$2*C113+$T$3*B113+$T$4)))</f>
        <v>-0.49218394347078309</v>
      </c>
      <c r="H113" s="40">
        <f>1/(1+EXP(-$U$2*C113-$U$3))</f>
        <v>0.58404611886945768</v>
      </c>
      <c r="I113" s="21">
        <f>1/(1+EXP(-$T$2*C113-$T$3*B113-$T$4))</f>
        <v>0.61128991270201904</v>
      </c>
      <c r="J113" s="40">
        <f>$U$2*C113+$U$3</f>
        <v>0.33940555892850965</v>
      </c>
      <c r="K113" s="42">
        <f>$T$2*C113+$T$3*B113+$T$4</f>
        <v>0.4527375466187189</v>
      </c>
      <c r="L113" s="24">
        <v>0.54999999999997995</v>
      </c>
      <c r="M113" s="25">
        <f t="shared" si="3"/>
        <v>0.63413559101079608</v>
      </c>
      <c r="N113" s="3">
        <f>COUNT($E$3:E113)-O113</f>
        <v>56</v>
      </c>
      <c r="O113" s="3">
        <f>SUM($E$3:E113)</f>
        <v>55</v>
      </c>
      <c r="P113" s="3">
        <f t="shared" si="4"/>
        <v>0.125</v>
      </c>
      <c r="Q113" s="4">
        <f t="shared" si="5"/>
        <v>0.12698412698412698</v>
      </c>
    </row>
    <row r="114" spans="1:17" x14ac:dyDescent="0.25">
      <c r="A114" s="19">
        <v>2821.67</v>
      </c>
      <c r="B114" s="3">
        <v>39</v>
      </c>
      <c r="C114" s="3">
        <v>1710.11</v>
      </c>
      <c r="D114" s="3" t="s">
        <v>5</v>
      </c>
      <c r="E114" s="4">
        <f>IF(D114="T",1,0)</f>
        <v>1</v>
      </c>
      <c r="F114" s="39">
        <f>E114*($U$2*C114+$U$3)-LN(1+EXP(($U$2*C114+$U$3)))</f>
        <v>-0.47765282547616128</v>
      </c>
      <c r="G114" s="21">
        <f>E114*($T$2*C114+$T$3*B114+$T$4)-LN(1+EXP(($T$2*C114+$T$3*B114+$T$4)))</f>
        <v>-0.48520684896907584</v>
      </c>
      <c r="H114" s="40">
        <f>1/(1+EXP(-$U$2*C114-$U$3))</f>
        <v>0.62023749026300934</v>
      </c>
      <c r="I114" s="21">
        <f>1/(1+EXP(-$T$2*C114-$T$3*B114-$T$4))</f>
        <v>0.61556985360472616</v>
      </c>
      <c r="J114" s="40">
        <f>$U$2*C114+$U$3</f>
        <v>0.49055637053977863</v>
      </c>
      <c r="K114" s="42">
        <f>$T$2*C114+$T$3*B114+$T$4</f>
        <v>0.47078633144651005</v>
      </c>
      <c r="L114" s="24">
        <v>0.59999999999997999</v>
      </c>
      <c r="M114" s="25">
        <f t="shared" si="3"/>
        <v>0.64565630622579084</v>
      </c>
      <c r="N114" s="3">
        <f>COUNT($E$3:E114)-O114</f>
        <v>56</v>
      </c>
      <c r="O114" s="3">
        <f>SUM($E$3:E114)</f>
        <v>56</v>
      </c>
      <c r="P114" s="3">
        <f t="shared" si="4"/>
        <v>0.125</v>
      </c>
      <c r="Q114" s="4">
        <f t="shared" si="5"/>
        <v>0.1111111111111111</v>
      </c>
    </row>
    <row r="115" spans="1:17" x14ac:dyDescent="0.25">
      <c r="A115" s="19">
        <v>1619.92</v>
      </c>
      <c r="B115" s="3">
        <v>21</v>
      </c>
      <c r="C115" s="3">
        <v>1309.1600000000001</v>
      </c>
      <c r="D115" s="3" t="s">
        <v>5</v>
      </c>
      <c r="E115" s="4">
        <f>IF(D115="T",1,0)</f>
        <v>1</v>
      </c>
      <c r="F115" s="39">
        <f>E115*($U$2*C115+$U$3)-LN(1+EXP(($U$2*C115+$U$3)))</f>
        <v>-0.61099043873482017</v>
      </c>
      <c r="G115" s="21">
        <f>E115*($T$2*C115+$T$3*B115+$T$4)-LN(1+EXP(($T$2*C115+$T$3*B115+$T$4)))</f>
        <v>-0.47827662478346089</v>
      </c>
      <c r="H115" s="40">
        <f>1/(1+EXP(-$U$2*C115-$U$3))</f>
        <v>0.54281297974435505</v>
      </c>
      <c r="I115" s="21">
        <f>1/(1+EXP(-$T$2*C115-$T$3*B115-$T$4))</f>
        <v>0.61985070719626889</v>
      </c>
      <c r="J115" s="40">
        <f>$U$2*C115+$U$3</f>
        <v>0.17167229837172648</v>
      </c>
      <c r="K115" s="42">
        <f>$T$2*C115+$T$3*B115+$T$4</f>
        <v>0.48891460283444144</v>
      </c>
      <c r="L115" s="24">
        <v>0.64999999999998004</v>
      </c>
      <c r="M115" s="25">
        <f t="shared" si="3"/>
        <v>0.65701046267349428</v>
      </c>
      <c r="N115" s="3">
        <f>COUNT($E$3:E115)-O115</f>
        <v>56</v>
      </c>
      <c r="O115" s="3">
        <f>SUM($E$3:E115)</f>
        <v>57</v>
      </c>
      <c r="P115" s="3">
        <f t="shared" si="4"/>
        <v>0.125</v>
      </c>
      <c r="Q115" s="4">
        <f t="shared" si="5"/>
        <v>9.5238095238095233E-2</v>
      </c>
    </row>
    <row r="116" spans="1:17" x14ac:dyDescent="0.25">
      <c r="A116" s="19">
        <v>3324.86</v>
      </c>
      <c r="B116" s="3">
        <v>37</v>
      </c>
      <c r="C116" s="3">
        <v>1729.92</v>
      </c>
      <c r="D116" s="3" t="s">
        <v>4</v>
      </c>
      <c r="E116" s="4">
        <f>IF(D116="T",1,0)</f>
        <v>0</v>
      </c>
      <c r="F116" s="39">
        <f>E116*($U$2*C116+$U$3)-LN(1+EXP(($U$2*C116+$U$3)))</f>
        <v>-0.97801043016312528</v>
      </c>
      <c r="G116" s="21">
        <f>E116*($T$2*C116+$T$3*B116+$T$4)-LN(1+EXP(($T$2*C116+$T$3*B116+$T$4)))</f>
        <v>-0.98665892517498133</v>
      </c>
      <c r="H116" s="40">
        <f>1/(1+EXP(-$U$2*C116-$U$3))</f>
        <v>0.6239414502005094</v>
      </c>
      <c r="I116" s="21">
        <f>1/(1+EXP(-$T$2*C116-$T$3*B116-$T$4))</f>
        <v>0.62717976722377422</v>
      </c>
      <c r="J116" s="40">
        <f>$U$2*C116+$U$3</f>
        <v>0.50631168534124793</v>
      </c>
      <c r="K116" s="42">
        <f>$T$2*C116+$T$3*B116+$T$4</f>
        <v>0.52013685581804703</v>
      </c>
      <c r="L116" s="24">
        <v>0.69999999999997997</v>
      </c>
      <c r="M116" s="25">
        <f t="shared" si="3"/>
        <v>0.66818777216816172</v>
      </c>
      <c r="N116" s="3">
        <f>COUNT($E$3:E116)-O116</f>
        <v>57</v>
      </c>
      <c r="O116" s="3">
        <f>SUM($E$3:E116)</f>
        <v>57</v>
      </c>
      <c r="P116" s="3">
        <f t="shared" si="4"/>
        <v>0.109375</v>
      </c>
      <c r="Q116" s="4">
        <f t="shared" si="5"/>
        <v>9.5238095238095233E-2</v>
      </c>
    </row>
    <row r="117" spans="1:17" x14ac:dyDescent="0.25">
      <c r="A117" s="19">
        <v>3191.57</v>
      </c>
      <c r="B117" s="3">
        <v>32</v>
      </c>
      <c r="C117" s="3">
        <v>1616.2</v>
      </c>
      <c r="D117" s="3" t="s">
        <v>4</v>
      </c>
      <c r="E117" s="4">
        <f>IF(D117="T",1,0)</f>
        <v>0</v>
      </c>
      <c r="F117" s="39">
        <f>E117*($U$2*C117+$U$3)-LN(1+EXP(($U$2*C117+$U$3)))</f>
        <v>-0.9225452925270694</v>
      </c>
      <c r="G117" s="21">
        <f>E117*($T$2*C117+$T$3*B117+$T$4)-LN(1+EXP(($T$2*C117+$T$3*B117+$T$4)))</f>
        <v>-0.9887367371343041</v>
      </c>
      <c r="H117" s="40">
        <f>1/(1+EXP(-$U$2*C117-$U$3))</f>
        <v>0.60249401664159752</v>
      </c>
      <c r="I117" s="21">
        <f>1/(1+EXP(-$T$2*C117-$T$3*B117-$T$4))</f>
        <v>0.62795361333035615</v>
      </c>
      <c r="J117" s="40">
        <f>$U$2*C117+$U$3</f>
        <v>0.41586774797511539</v>
      </c>
      <c r="K117" s="42">
        <f>$T$2*C117+$T$3*B117+$T$4</f>
        <v>0.52344775776864028</v>
      </c>
      <c r="L117" s="24">
        <v>0.74999999999998002</v>
      </c>
      <c r="M117" s="25">
        <f t="shared" si="3"/>
        <v>0.67917869917538864</v>
      </c>
      <c r="N117" s="3">
        <f>COUNT($E$3:E117)-O117</f>
        <v>58</v>
      </c>
      <c r="O117" s="3">
        <f>SUM($E$3:E117)</f>
        <v>57</v>
      </c>
      <c r="P117" s="3">
        <f t="shared" si="4"/>
        <v>9.375E-2</v>
      </c>
      <c r="Q117" s="4">
        <f t="shared" si="5"/>
        <v>9.5238095238095233E-2</v>
      </c>
    </row>
    <row r="118" spans="1:17" x14ac:dyDescent="0.25">
      <c r="A118" s="19">
        <v>2943.01</v>
      </c>
      <c r="B118" s="3">
        <v>25</v>
      </c>
      <c r="C118" s="3">
        <v>1466.37</v>
      </c>
      <c r="D118" s="3" t="s">
        <v>4</v>
      </c>
      <c r="E118" s="4">
        <f>IF(D118="T",1,0)</f>
        <v>0</v>
      </c>
      <c r="F118" s="39">
        <f>E118*($U$2*C118+$U$3)-LN(1+EXP(($U$2*C118+$U$3)))</f>
        <v>-0.85246364524272311</v>
      </c>
      <c r="G118" s="21">
        <f>E118*($T$2*C118+$T$3*B118+$T$4)-LN(1+EXP(($T$2*C118+$T$3*B118+$T$4)))</f>
        <v>-0.99599426390248946</v>
      </c>
      <c r="H118" s="40">
        <f>1/(1+EXP(-$U$2*C118-$U$3))</f>
        <v>0.57363677077188879</v>
      </c>
      <c r="I118" s="21">
        <f>1/(1+EXP(-$T$2*C118-$T$3*B118-$T$4))</f>
        <v>0.63064397544427142</v>
      </c>
      <c r="J118" s="40">
        <f>$U$2*C118+$U$3</f>
        <v>0.29670475874219515</v>
      </c>
      <c r="K118" s="42">
        <f>$T$2*C118+$T$3*B118+$T$4</f>
        <v>0.53498046547725242</v>
      </c>
      <c r="L118" s="24">
        <v>0.79999999999997995</v>
      </c>
      <c r="M118" s="25">
        <f t="shared" si="3"/>
        <v>0.68997448112760817</v>
      </c>
      <c r="N118" s="3">
        <f>COUNT($E$3:E118)-O118</f>
        <v>59</v>
      </c>
      <c r="O118" s="3">
        <f>SUM($E$3:E118)</f>
        <v>57</v>
      </c>
      <c r="P118" s="3">
        <f t="shared" si="4"/>
        <v>7.8125E-2</v>
      </c>
      <c r="Q118" s="4">
        <f t="shared" si="5"/>
        <v>9.5238095238095233E-2</v>
      </c>
    </row>
    <row r="119" spans="1:17" x14ac:dyDescent="0.25">
      <c r="A119" s="19">
        <v>2108.46</v>
      </c>
      <c r="B119" s="3">
        <v>22</v>
      </c>
      <c r="C119" s="3">
        <v>1430.59</v>
      </c>
      <c r="D119" s="3" t="s">
        <v>5</v>
      </c>
      <c r="E119" s="4">
        <f>IF(D119="T",1,0)</f>
        <v>1</v>
      </c>
      <c r="F119" s="39">
        <f>E119*($U$2*C119+$U$3)-LN(1+EXP(($U$2*C119+$U$3)))</f>
        <v>-0.56799089457022622</v>
      </c>
      <c r="G119" s="21">
        <f>E119*($T$2*C119+$T$3*B119+$T$4)-LN(1+EXP(($T$2*C119+$T$3*B119+$T$4)))</f>
        <v>-0.45154187447305605</v>
      </c>
      <c r="H119" s="40">
        <f>1/(1+EXP(-$U$2*C119-$U$3))</f>
        <v>0.5666627810668925</v>
      </c>
      <c r="I119" s="21">
        <f>1/(1+EXP(-$T$2*C119-$T$3*B119-$T$4))</f>
        <v>0.63664576660330219</v>
      </c>
      <c r="J119" s="40">
        <f>$U$2*C119+$U$3</f>
        <v>0.2682481629018838</v>
      </c>
      <c r="K119" s="42">
        <f>$T$2*C119+$T$3*B119+$T$4</f>
        <v>0.56083519649821423</v>
      </c>
      <c r="L119" s="24">
        <v>0.84999999999997999</v>
      </c>
      <c r="M119" s="25">
        <f t="shared" si="3"/>
        <v>0.70056714247396878</v>
      </c>
      <c r="N119" s="3">
        <f>COUNT($E$3:E119)-O119</f>
        <v>59</v>
      </c>
      <c r="O119" s="3">
        <f>SUM($E$3:E119)</f>
        <v>58</v>
      </c>
      <c r="P119" s="3">
        <f t="shared" si="4"/>
        <v>7.8125E-2</v>
      </c>
      <c r="Q119" s="4">
        <f t="shared" si="5"/>
        <v>7.9365079365079361E-2</v>
      </c>
    </row>
    <row r="120" spans="1:17" x14ac:dyDescent="0.25">
      <c r="A120" s="19">
        <v>3003.61</v>
      </c>
      <c r="B120" s="3">
        <v>26</v>
      </c>
      <c r="C120" s="3">
        <v>1527.22</v>
      </c>
      <c r="D120" s="3" t="s">
        <v>4</v>
      </c>
      <c r="E120" s="4">
        <f>IF(D120="T",1,0)</f>
        <v>0</v>
      </c>
      <c r="F120" s="39">
        <f>E120*($U$2*C120+$U$3)-LN(1+EXP(($U$2*C120+$U$3)))</f>
        <v>-0.88051067604816258</v>
      </c>
      <c r="G120" s="21">
        <f>E120*($T$2*C120+$T$3*B120+$T$4)-LN(1+EXP(($T$2*C120+$T$3*B120+$T$4)))</f>
        <v>-1.0133385110361353</v>
      </c>
      <c r="H120" s="40">
        <f>1/(1+EXP(-$U$2*C120-$U$3))</f>
        <v>0.58542885394018385</v>
      </c>
      <c r="I120" s="21">
        <f>1/(1+EXP(-$T$2*C120-$T$3*B120-$T$4))</f>
        <v>0.63699494203850426</v>
      </c>
      <c r="J120" s="40">
        <f>$U$2*C120+$U$3</f>
        <v>0.34510005938174126</v>
      </c>
      <c r="K120" s="42">
        <f>$T$2*C120+$T$3*B120+$T$4</f>
        <v>0.56234494730971452</v>
      </c>
      <c r="L120" s="24">
        <v>0.89999999999998004</v>
      </c>
      <c r="M120" s="25">
        <f t="shared" si="3"/>
        <v>0.7109495026249999</v>
      </c>
      <c r="N120" s="3">
        <f>COUNT($E$3:E120)-O120</f>
        <v>60</v>
      </c>
      <c r="O120" s="3">
        <f>SUM($E$3:E120)</f>
        <v>58</v>
      </c>
      <c r="P120" s="3">
        <f t="shared" si="4"/>
        <v>6.25E-2</v>
      </c>
      <c r="Q120" s="4">
        <f t="shared" si="5"/>
        <v>7.9365079365079361E-2</v>
      </c>
    </row>
    <row r="121" spans="1:17" x14ac:dyDescent="0.25">
      <c r="A121" s="19">
        <v>3069.06</v>
      </c>
      <c r="B121" s="3">
        <v>21</v>
      </c>
      <c r="C121" s="3">
        <v>1532.68</v>
      </c>
      <c r="D121" s="3" t="s">
        <v>4</v>
      </c>
      <c r="E121" s="4">
        <f>IF(D121="T",1,0)</f>
        <v>0</v>
      </c>
      <c r="F121" s="39">
        <f>E121*($U$2*C121+$U$3)-LN(1+EXP(($U$2*C121+$U$3)))</f>
        <v>-0.88305516180302945</v>
      </c>
      <c r="G121" s="21">
        <f>E121*($T$2*C121+$T$3*B121+$T$4)-LN(1+EXP(($T$2*C121+$T$3*B121+$T$4)))</f>
        <v>-1.0722324573804192</v>
      </c>
      <c r="H121" s="40">
        <f>1/(1+EXP(-$U$2*C121-$U$3))</f>
        <v>0.58648238340194314</v>
      </c>
      <c r="I121" s="21">
        <f>1/(1+EXP(-$T$2*C121-$T$3*B121-$T$4))</f>
        <v>0.65775638035902773</v>
      </c>
      <c r="J121" s="40">
        <f>$U$2*C121+$U$3</f>
        <v>0.34944251363797663</v>
      </c>
      <c r="K121" s="42">
        <f>$T$2*C121+$T$3*B121+$T$4</f>
        <v>0.65331179855142063</v>
      </c>
      <c r="L121" s="24">
        <v>0.94999999999997997</v>
      </c>
      <c r="M121" s="25">
        <f t="shared" si="3"/>
        <v>0.72111517802285907</v>
      </c>
      <c r="N121" s="3">
        <f>COUNT($E$3:E121)-O121</f>
        <v>61</v>
      </c>
      <c r="O121" s="3">
        <f>SUM($E$3:E121)</f>
        <v>58</v>
      </c>
      <c r="P121" s="3">
        <f t="shared" si="4"/>
        <v>4.6875E-2</v>
      </c>
      <c r="Q121" s="4">
        <f t="shared" si="5"/>
        <v>7.9365079365079361E-2</v>
      </c>
    </row>
    <row r="122" spans="1:17" x14ac:dyDescent="0.25">
      <c r="A122" s="19">
        <v>3026.08</v>
      </c>
      <c r="B122" s="3">
        <v>22</v>
      </c>
      <c r="C122" s="3">
        <v>1587.3</v>
      </c>
      <c r="D122" s="3" t="s">
        <v>4</v>
      </c>
      <c r="E122" s="4">
        <f>IF(D122="T",1,0)</f>
        <v>0</v>
      </c>
      <c r="F122" s="39">
        <f>E122*($U$2*C122+$U$3)-LN(1+EXP(($U$2*C122+$U$3)))</f>
        <v>-0.908760457655719</v>
      </c>
      <c r="G122" s="21">
        <f>E122*($T$2*C122+$T$3*B122+$T$4)-LN(1+EXP(($T$2*C122+$T$3*B122+$T$4)))</f>
        <v>-1.0872759840008817</v>
      </c>
      <c r="H122" s="40">
        <f>1/(1+EXP(-$U$2*C122-$U$3))</f>
        <v>0.59697652078603125</v>
      </c>
      <c r="I122" s="21">
        <f>1/(1+EXP(-$T$2*C122-$T$3*B122-$T$4))</f>
        <v>0.66286639864438612</v>
      </c>
      <c r="J122" s="40">
        <f>$U$2*C122+$U$3</f>
        <v>0.39288296262617717</v>
      </c>
      <c r="K122" s="42">
        <f>$T$2*C122+$T$3*B122+$T$4</f>
        <v>0.6760941645583779</v>
      </c>
      <c r="L122" s="24">
        <v>0.99999999999998002</v>
      </c>
      <c r="M122" s="25">
        <f t="shared" si="3"/>
        <v>0.73105857863000101</v>
      </c>
      <c r="N122" s="3">
        <f>COUNT($E$3:E122)-O122</f>
        <v>62</v>
      </c>
      <c r="O122" s="3">
        <f>SUM($E$3:E122)</f>
        <v>58</v>
      </c>
      <c r="P122" s="3">
        <f t="shared" si="4"/>
        <v>3.125E-2</v>
      </c>
      <c r="Q122" s="4">
        <f t="shared" si="5"/>
        <v>7.9365079365079361E-2</v>
      </c>
    </row>
    <row r="123" spans="1:17" x14ac:dyDescent="0.25">
      <c r="A123" s="19">
        <v>4072.09</v>
      </c>
      <c r="B123" s="3">
        <v>28</v>
      </c>
      <c r="C123" s="3">
        <v>1732.84</v>
      </c>
      <c r="D123" s="3" t="s">
        <v>4</v>
      </c>
      <c r="E123" s="4">
        <f>IF(D123="T",1,0)</f>
        <v>0</v>
      </c>
      <c r="F123" s="39">
        <f>E123*($U$2*C123+$U$3)-LN(1+EXP(($U$2*C123+$U$3)))</f>
        <v>-0.97946006582215639</v>
      </c>
      <c r="G123" s="21">
        <f>E123*($T$2*C123+$T$3*B123+$T$4)-LN(1+EXP(($T$2*C123+$T$3*B123+$T$4)))</f>
        <v>-1.0890680264428989</v>
      </c>
      <c r="H123" s="40">
        <f>1/(1+EXP(-$U$2*C123-$U$3))</f>
        <v>0.62448620314214009</v>
      </c>
      <c r="I123" s="21">
        <f>1/(1+EXP(-$T$2*C123-$T$3*B123-$T$4))</f>
        <v>0.66347001535172767</v>
      </c>
      <c r="J123" s="40">
        <f>$U$2*C123+$U$3</f>
        <v>0.50863402351491227</v>
      </c>
      <c r="K123" s="42">
        <f>$T$2*C123+$T$3*B123+$T$4</f>
        <v>0.67879640857918777</v>
      </c>
      <c r="L123" s="24">
        <v>1.0499999999999801</v>
      </c>
      <c r="M123" s="25">
        <f t="shared" si="3"/>
        <v>0.74077489918215011</v>
      </c>
      <c r="N123" s="3">
        <f>COUNT($E$3:E123)-O123</f>
        <v>63</v>
      </c>
      <c r="O123" s="3">
        <f>SUM($E$3:E123)</f>
        <v>58</v>
      </c>
      <c r="P123" s="3">
        <f t="shared" si="4"/>
        <v>1.5625E-2</v>
      </c>
      <c r="Q123" s="4">
        <f t="shared" si="5"/>
        <v>7.9365079365079361E-2</v>
      </c>
    </row>
    <row r="124" spans="1:17" x14ac:dyDescent="0.25">
      <c r="A124" s="19">
        <v>2643.86</v>
      </c>
      <c r="B124" s="3">
        <v>51</v>
      </c>
      <c r="C124" s="3">
        <v>2308.48</v>
      </c>
      <c r="D124" s="3" t="s">
        <v>5</v>
      </c>
      <c r="E124" s="4">
        <f>IF(D124="T",1,0)</f>
        <v>1</v>
      </c>
      <c r="F124" s="39">
        <f>E124*($U$2*C124+$U$3)-LN(1+EXP(($U$2*C124+$U$3)))</f>
        <v>-0.32239513159822009</v>
      </c>
      <c r="G124" s="21">
        <f>E124*($T$2*C124+$T$3*B124+$T$4)-LN(1+EXP(($T$2*C124+$T$3*B124+$T$4)))</f>
        <v>-0.40245653577871299</v>
      </c>
      <c r="H124" s="40">
        <f>1/(1+EXP(-$U$2*C124-$U$3))</f>
        <v>0.72441189574147458</v>
      </c>
      <c r="I124" s="21">
        <f>1/(1+EXP(-$T$2*C124-$T$3*B124-$T$4))</f>
        <v>0.66867540175018914</v>
      </c>
      <c r="J124" s="40">
        <f>$U$2*C124+$U$3</f>
        <v>0.96645277224372528</v>
      </c>
      <c r="K124" s="42">
        <f>$T$2*C124+$T$3*B124+$T$4</f>
        <v>0.70220018899363523</v>
      </c>
      <c r="L124" s="24">
        <v>1.0999999999999801</v>
      </c>
      <c r="M124" s="25">
        <f t="shared" si="3"/>
        <v>0.75026010559511391</v>
      </c>
      <c r="N124" s="3">
        <f>COUNT($E$3:E124)-O124</f>
        <v>63</v>
      </c>
      <c r="O124" s="3">
        <f>SUM($E$3:E124)</f>
        <v>59</v>
      </c>
      <c r="P124" s="3">
        <f t="shared" si="4"/>
        <v>1.5625E-2</v>
      </c>
      <c r="Q124" s="4">
        <f t="shared" si="5"/>
        <v>6.3492063492063489E-2</v>
      </c>
    </row>
    <row r="125" spans="1:17" x14ac:dyDescent="0.25">
      <c r="A125" s="19">
        <v>2054.13</v>
      </c>
      <c r="B125" s="3">
        <v>24</v>
      </c>
      <c r="C125" s="3">
        <v>1726.28</v>
      </c>
      <c r="D125" s="3" t="s">
        <v>5</v>
      </c>
      <c r="E125" s="4">
        <f>IF(D125="T",1,0)</f>
        <v>1</v>
      </c>
      <c r="F125" s="39">
        <f>E125*($U$2*C125+$U$3)-LN(1+EXP(($U$2*C125+$U$3)))</f>
        <v>-0.47278840632516128</v>
      </c>
      <c r="G125" s="21">
        <f>E125*($T$2*C125+$T$3*B125+$T$4)-LN(1+EXP(($T$2*C125+$T$3*B125+$T$4)))</f>
        <v>-0.38895050047705726</v>
      </c>
      <c r="H125" s="40">
        <f>1/(1+EXP(-$U$2*C125-$U$3))</f>
        <v>0.62326193550965825</v>
      </c>
      <c r="I125" s="21">
        <f>1/(1+EXP(-$T$2*C125-$T$3*B125-$T$4))</f>
        <v>0.67776781836732558</v>
      </c>
      <c r="J125" s="40">
        <f>$U$2*C125+$U$3</f>
        <v>0.50341671583709102</v>
      </c>
      <c r="K125" s="42">
        <f>$T$2*C125+$T$3*B125+$T$4</f>
        <v>0.74353243182919582</v>
      </c>
      <c r="L125" s="24">
        <v>1.1499999999999799</v>
      </c>
      <c r="M125" s="25">
        <f t="shared" si="3"/>
        <v>0.75951091694910744</v>
      </c>
      <c r="N125" s="3">
        <f>COUNT($E$3:E125)-O125</f>
        <v>63</v>
      </c>
      <c r="O125" s="3">
        <f>SUM($E$3:E125)</f>
        <v>60</v>
      </c>
      <c r="P125" s="3">
        <f t="shared" si="4"/>
        <v>1.5625E-2</v>
      </c>
      <c r="Q125" s="4">
        <f t="shared" si="5"/>
        <v>4.7619047619047616E-2</v>
      </c>
    </row>
    <row r="126" spans="1:17" x14ac:dyDescent="0.25">
      <c r="A126" s="19">
        <v>2883.8</v>
      </c>
      <c r="B126" s="3">
        <v>23</v>
      </c>
      <c r="C126" s="3">
        <v>1731.57</v>
      </c>
      <c r="D126" s="3" t="s">
        <v>5</v>
      </c>
      <c r="E126" s="4">
        <f>IF(D126="T",1,0)</f>
        <v>1</v>
      </c>
      <c r="F126" s="39">
        <f>E126*($U$2*C126+$U$3)-LN(1+EXP(($U$2*C126+$U$3)))</f>
        <v>-0.4712054526694941</v>
      </c>
      <c r="G126" s="21">
        <f>E126*($T$2*C126+$T$3*B126+$T$4)-LN(1+EXP(($T$2*C126+$T$3*B126+$T$4)))</f>
        <v>-0.3821424171659551</v>
      </c>
      <c r="H126" s="40">
        <f>1/(1+EXP(-$U$2*C126-$U$3))</f>
        <v>0.62424931154799024</v>
      </c>
      <c r="I126" s="21">
        <f>1/(1+EXP(-$T$2*C126-$T$3*B126-$T$4))</f>
        <v>0.6823978611152095</v>
      </c>
      <c r="J126" s="40">
        <f>$U$2*C126+$U$3</f>
        <v>0.50762396547362676</v>
      </c>
      <c r="K126" s="42">
        <f>$T$2*C126+$T$3*B126+$T$4</f>
        <v>0.76481339794197822</v>
      </c>
      <c r="L126" s="24">
        <v>1.19999999999998</v>
      </c>
      <c r="M126" s="25">
        <f t="shared" si="3"/>
        <v>0.7685247834990141</v>
      </c>
      <c r="N126" s="3">
        <f>COUNT($E$3:E126)-O126</f>
        <v>63</v>
      </c>
      <c r="O126" s="3">
        <f>SUM($E$3:E126)</f>
        <v>61</v>
      </c>
      <c r="P126" s="3">
        <f t="shared" si="4"/>
        <v>1.5625E-2</v>
      </c>
      <c r="Q126" s="4">
        <f t="shared" si="5"/>
        <v>3.1746031746031744E-2</v>
      </c>
    </row>
    <row r="127" spans="1:17" x14ac:dyDescent="0.25">
      <c r="A127" s="19">
        <v>2466.62</v>
      </c>
      <c r="B127" s="3">
        <v>33</v>
      </c>
      <c r="C127" s="3">
        <v>2004.51</v>
      </c>
      <c r="D127" s="3" t="s">
        <v>5</v>
      </c>
      <c r="E127" s="4">
        <f>IF(D127="T",1,0)</f>
        <v>1</v>
      </c>
      <c r="F127" s="39">
        <f>E127*($U$2*C127+$U$3)-LN(1+EXP(($U$2*C127+$U$3)))</f>
        <v>-0.39505807056501752</v>
      </c>
      <c r="G127" s="21">
        <f>E127*($T$2*C127+$T$3*B127+$T$4)-LN(1+EXP(($T$2*C127+$T$3*B127+$T$4)))</f>
        <v>-0.37369482198190607</v>
      </c>
      <c r="H127" s="40">
        <f>1/(1+EXP(-$U$2*C127-$U$3))</f>
        <v>0.67364091940421411</v>
      </c>
      <c r="I127" s="21">
        <f>1/(1+EXP(-$T$2*C127-$T$3*B127-$T$4))</f>
        <v>0.6881868992995761</v>
      </c>
      <c r="J127" s="40">
        <f>$U$2*C127+$U$3</f>
        <v>0.72469895900785342</v>
      </c>
      <c r="K127" s="42">
        <f>$T$2*C127+$T$3*B127+$T$4</f>
        <v>0.79165648490121865</v>
      </c>
      <c r="L127" s="24">
        <v>1.24999999999998</v>
      </c>
      <c r="M127" s="25">
        <f t="shared" si="3"/>
        <v>0.77729986117468763</v>
      </c>
      <c r="N127" s="3">
        <f>COUNT($E$3:E127)-O127</f>
        <v>63</v>
      </c>
      <c r="O127" s="3">
        <f>SUM($E$3:E127)</f>
        <v>62</v>
      </c>
      <c r="P127" s="3">
        <f t="shared" si="4"/>
        <v>1.5625E-2</v>
      </c>
      <c r="Q127" s="4">
        <f t="shared" si="5"/>
        <v>1.5873015873015872E-2</v>
      </c>
    </row>
    <row r="128" spans="1:17" x14ac:dyDescent="0.25">
      <c r="A128" s="19">
        <v>2007.24</v>
      </c>
      <c r="B128" s="3">
        <v>21</v>
      </c>
      <c r="C128" s="3">
        <v>1746.16</v>
      </c>
      <c r="D128" s="3" t="s">
        <v>5</v>
      </c>
      <c r="E128" s="4">
        <f>IF(D128="T",1,0)</f>
        <v>1</v>
      </c>
      <c r="F128" s="39">
        <f>E128*($U$2*C128+$U$3)-LN(1+EXP(($U$2*C128+$U$3)))</f>
        <v>-0.46686111651669149</v>
      </c>
      <c r="G128" s="21">
        <f>E128*($T$2*C128+$T$3*B128+$T$4)-LN(1+EXP(($T$2*C128+$T$3*B128+$T$4)))</f>
        <v>-0.36791114617055942</v>
      </c>
      <c r="H128" s="40">
        <f>1/(1+EXP(-$U$2*C128-$U$3))</f>
        <v>0.6269671597490567</v>
      </c>
      <c r="I128" s="21">
        <f>1/(1+EXP(-$T$2*C128-$T$3*B128-$T$4))</f>
        <v>0.69217868168295948</v>
      </c>
      <c r="J128" s="40">
        <f>$U$2*C128+$U$3</f>
        <v>0.51922770312902489</v>
      </c>
      <c r="K128" s="42">
        <f>$T$2*C128+$T$3*B128+$T$4</f>
        <v>0.81032465351590155</v>
      </c>
      <c r="L128" s="24">
        <v>1.2999999999999801</v>
      </c>
      <c r="M128" s="25">
        <f t="shared" si="3"/>
        <v>0.78583498304255528</v>
      </c>
      <c r="N128" s="3">
        <f>COUNT($E$3:E128)-O128</f>
        <v>63</v>
      </c>
      <c r="O128" s="3">
        <f>SUM($E$3:E128)</f>
        <v>63</v>
      </c>
      <c r="P128" s="3">
        <f t="shared" si="4"/>
        <v>1.5625E-2</v>
      </c>
      <c r="Q128" s="4">
        <f t="shared" si="5"/>
        <v>0</v>
      </c>
    </row>
    <row r="129" spans="1:17" x14ac:dyDescent="0.25">
      <c r="A129" s="31">
        <v>3696.84</v>
      </c>
      <c r="B129" s="5">
        <v>49</v>
      </c>
      <c r="C129" s="5">
        <v>2624.39</v>
      </c>
      <c r="D129" s="5" t="s">
        <v>4</v>
      </c>
      <c r="E129" s="6">
        <f>IF(D129="T",1,0)</f>
        <v>0</v>
      </c>
      <c r="F129" s="43">
        <f>E129*($U$2*C129+$U$3)-LN(1+EXP(($U$2*C129+$U$3)))</f>
        <v>-1.4769152341679259</v>
      </c>
      <c r="G129" s="44">
        <f>E129*($T$2*C129+$T$3*B129+$T$4)-LN(1+EXP(($T$2*C129+$T$3*B129+$T$4)))</f>
        <v>-1.2909329743431273</v>
      </c>
      <c r="H129" s="45">
        <f>1/(1+EXP(-$U$2*C129-$U$3))</f>
        <v>0.77165901846332308</v>
      </c>
      <c r="I129" s="44">
        <f>1/(1+EXP(-$T$2*C129-$T$3*B129-$T$4))</f>
        <v>0.72498591772202703</v>
      </c>
      <c r="J129" s="45">
        <f>$U$2*C129+$U$3</f>
        <v>1.2177027217102656</v>
      </c>
      <c r="K129" s="46">
        <f>$T$2*C129+$T$3*B129+$T$4</f>
        <v>0.96932992619533309</v>
      </c>
      <c r="L129" s="24">
        <v>1.3499999999999801</v>
      </c>
      <c r="M129" s="25">
        <f t="shared" si="3"/>
        <v>0.79412962819904953</v>
      </c>
      <c r="N129" s="5">
        <f>COUNT($E$3:E129)-O129</f>
        <v>64</v>
      </c>
      <c r="O129" s="5">
        <f>SUM($E$3:E129)</f>
        <v>63</v>
      </c>
      <c r="P129" s="5">
        <f t="shared" si="4"/>
        <v>0</v>
      </c>
      <c r="Q129" s="6">
        <f t="shared" si="5"/>
        <v>0</v>
      </c>
    </row>
    <row r="130" spans="1:17" x14ac:dyDescent="0.25">
      <c r="L130" s="24">
        <v>1.3999999999999799</v>
      </c>
      <c r="M130" s="25">
        <f t="shared" si="3"/>
        <v>0.80218388855857858</v>
      </c>
    </row>
    <row r="131" spans="1:17" x14ac:dyDescent="0.25">
      <c r="L131" s="24">
        <v>1.44999999999998</v>
      </c>
      <c r="M131" s="25">
        <f t="shared" ref="M131:M194" si="6">1/(1+EXP(-L131))</f>
        <v>0.80999843398468396</v>
      </c>
    </row>
    <row r="132" spans="1:17" x14ac:dyDescent="0.25">
      <c r="L132" s="24">
        <v>1.49999999999998</v>
      </c>
      <c r="M132" s="25">
        <f t="shared" si="6"/>
        <v>0.81757447619364065</v>
      </c>
    </row>
    <row r="133" spans="1:17" x14ac:dyDescent="0.25">
      <c r="L133" s="24">
        <v>1.5499999999999801</v>
      </c>
      <c r="M133" s="25">
        <f t="shared" si="6"/>
        <v>0.82491373183595729</v>
      </c>
    </row>
    <row r="134" spans="1:17" x14ac:dyDescent="0.25">
      <c r="L134" s="24">
        <v>1.5999999999999801</v>
      </c>
      <c r="M134" s="25">
        <f t="shared" si="6"/>
        <v>0.83201838513392168</v>
      </c>
    </row>
    <row r="135" spans="1:17" x14ac:dyDescent="0.25">
      <c r="L135" s="24">
        <v>1.6499999999999799</v>
      </c>
      <c r="M135" s="25">
        <f t="shared" si="6"/>
        <v>0.83889105042341217</v>
      </c>
    </row>
    <row r="136" spans="1:17" x14ac:dyDescent="0.25">
      <c r="L136" s="24">
        <v>1.69999999999998</v>
      </c>
      <c r="M136" s="25">
        <f t="shared" si="6"/>
        <v>0.84553473491646269</v>
      </c>
    </row>
    <row r="137" spans="1:17" x14ac:dyDescent="0.25">
      <c r="L137" s="24">
        <v>1.74999999999998</v>
      </c>
      <c r="M137" s="25">
        <f t="shared" si="6"/>
        <v>0.85195280196830803</v>
      </c>
    </row>
    <row r="138" spans="1:17" x14ac:dyDescent="0.25">
      <c r="L138" s="24">
        <v>1.7999999999999801</v>
      </c>
      <c r="M138" s="25">
        <f t="shared" si="6"/>
        <v>0.85814893509950985</v>
      </c>
    </row>
    <row r="139" spans="1:17" x14ac:dyDescent="0.25">
      <c r="L139" s="24">
        <v>1.8499999999999801</v>
      </c>
      <c r="M139" s="25">
        <f t="shared" si="6"/>
        <v>0.86412710299090345</v>
      </c>
    </row>
    <row r="140" spans="1:17" x14ac:dyDescent="0.25">
      <c r="L140" s="24">
        <v>1.8999999999999799</v>
      </c>
      <c r="M140" s="25">
        <f t="shared" si="6"/>
        <v>0.8698915256369999</v>
      </c>
    </row>
    <row r="141" spans="1:17" x14ac:dyDescent="0.25">
      <c r="L141" s="24">
        <v>1.94999999999998</v>
      </c>
      <c r="M141" s="25">
        <f t="shared" si="6"/>
        <v>0.87544664181258136</v>
      </c>
    </row>
    <row r="142" spans="1:17" x14ac:dyDescent="0.25">
      <c r="L142" s="24">
        <v>1.99999999999998</v>
      </c>
      <c r="M142" s="25">
        <f t="shared" si="6"/>
        <v>0.88079707797788032</v>
      </c>
    </row>
    <row r="143" spans="1:17" x14ac:dyDescent="0.25">
      <c r="L143" s="24">
        <v>2.0499999999999701</v>
      </c>
      <c r="M143" s="25">
        <f t="shared" si="6"/>
        <v>0.88594761872020611</v>
      </c>
    </row>
    <row r="144" spans="1:17" x14ac:dyDescent="0.25">
      <c r="L144" s="24">
        <v>2.0999999999999699</v>
      </c>
      <c r="M144" s="25">
        <f t="shared" si="6"/>
        <v>0.89090317880438408</v>
      </c>
    </row>
    <row r="145" spans="12:13" x14ac:dyDescent="0.25">
      <c r="L145" s="24">
        <v>2.1499999999999702</v>
      </c>
      <c r="M145" s="25">
        <f t="shared" si="6"/>
        <v>0.89566877688099589</v>
      </c>
    </row>
    <row r="146" spans="12:13" x14ac:dyDescent="0.25">
      <c r="L146" s="24">
        <v>2.19999999999997</v>
      </c>
      <c r="M146" s="25">
        <f t="shared" si="6"/>
        <v>0.90024951088031213</v>
      </c>
    </row>
    <row r="147" spans="12:13" x14ac:dyDescent="0.25">
      <c r="L147" s="24">
        <v>2.2499999999999698</v>
      </c>
      <c r="M147" s="25">
        <f t="shared" si="6"/>
        <v>0.90465053510088789</v>
      </c>
    </row>
    <row r="148" spans="12:13" x14ac:dyDescent="0.25">
      <c r="L148" s="24">
        <v>2.2999999999999701</v>
      </c>
      <c r="M148" s="25">
        <f t="shared" si="6"/>
        <v>0.90887703898514138</v>
      </c>
    </row>
    <row r="149" spans="12:13" x14ac:dyDescent="0.25">
      <c r="L149" s="24">
        <v>2.3499999999999699</v>
      </c>
      <c r="M149" s="25">
        <f t="shared" si="6"/>
        <v>0.91293422755972631</v>
      </c>
    </row>
    <row r="150" spans="12:13" x14ac:dyDescent="0.25">
      <c r="L150" s="24">
        <v>2.3999999999999702</v>
      </c>
      <c r="M150" s="25">
        <f t="shared" si="6"/>
        <v>0.91682730350607544</v>
      </c>
    </row>
    <row r="151" spans="12:13" x14ac:dyDescent="0.25">
      <c r="L151" s="24">
        <v>2.44999999999997</v>
      </c>
      <c r="M151" s="25">
        <f t="shared" si="6"/>
        <v>0.92056145081601948</v>
      </c>
    </row>
    <row r="152" spans="12:13" x14ac:dyDescent="0.25">
      <c r="L152" s="24">
        <v>2.4999999999999698</v>
      </c>
      <c r="M152" s="25">
        <f t="shared" si="6"/>
        <v>0.92414181997875444</v>
      </c>
    </row>
    <row r="153" spans="12:13" x14ac:dyDescent="0.25">
      <c r="L153" s="24">
        <v>2.5499999999999701</v>
      </c>
      <c r="M153" s="25">
        <f t="shared" si="6"/>
        <v>0.92757351463848037</v>
      </c>
    </row>
    <row r="154" spans="12:13" x14ac:dyDescent="0.25">
      <c r="L154" s="24">
        <v>2.5999999999999699</v>
      </c>
      <c r="M154" s="25">
        <f t="shared" si="6"/>
        <v>0.93086157965665117</v>
      </c>
    </row>
    <row r="155" spans="12:13" x14ac:dyDescent="0.25">
      <c r="L155" s="24">
        <v>2.6499999999999702</v>
      </c>
      <c r="M155" s="25">
        <f t="shared" si="6"/>
        <v>0.93401099050877934</v>
      </c>
    </row>
    <row r="156" spans="12:13" x14ac:dyDescent="0.25">
      <c r="L156" s="24">
        <v>2.69999999999997</v>
      </c>
      <c r="M156" s="25">
        <f t="shared" si="6"/>
        <v>0.93702664394300184</v>
      </c>
    </row>
    <row r="157" spans="12:13" x14ac:dyDescent="0.25">
      <c r="L157" s="24">
        <v>2.7499999999999698</v>
      </c>
      <c r="M157" s="25">
        <f t="shared" si="6"/>
        <v>0.93991334982599062</v>
      </c>
    </row>
    <row r="158" spans="12:13" x14ac:dyDescent="0.25">
      <c r="L158" s="24">
        <v>2.7999999999999701</v>
      </c>
      <c r="M158" s="25">
        <f t="shared" si="6"/>
        <v>0.94267582410112971</v>
      </c>
    </row>
    <row r="159" spans="12:13" x14ac:dyDescent="0.25">
      <c r="L159" s="24">
        <v>2.8499999999999699</v>
      </c>
      <c r="M159" s="25">
        <f t="shared" si="6"/>
        <v>0.94531868278405762</v>
      </c>
    </row>
    <row r="160" spans="12:13" x14ac:dyDescent="0.25">
      <c r="L160" s="24">
        <v>2.8999999999999702</v>
      </c>
      <c r="M160" s="25">
        <f t="shared" si="6"/>
        <v>0.94784643692158077</v>
      </c>
    </row>
    <row r="161" spans="12:13" x14ac:dyDescent="0.25">
      <c r="L161" s="24">
        <v>2.94999999999997</v>
      </c>
      <c r="M161" s="25">
        <f t="shared" si="6"/>
        <v>0.95026348844144182</v>
      </c>
    </row>
    <row r="162" spans="12:13" x14ac:dyDescent="0.25">
      <c r="L162" s="24">
        <v>2.9999999999999698</v>
      </c>
      <c r="M162" s="25">
        <f t="shared" si="6"/>
        <v>0.95257412682243192</v>
      </c>
    </row>
    <row r="163" spans="12:13" x14ac:dyDescent="0.25">
      <c r="L163" s="24">
        <v>3.0499999999999701</v>
      </c>
      <c r="M163" s="25">
        <f t="shared" si="6"/>
        <v>0.95478252651671125</v>
      </c>
    </row>
    <row r="164" spans="12:13" x14ac:dyDescent="0.25">
      <c r="L164" s="24">
        <v>3.0999999999999699</v>
      </c>
      <c r="M164" s="25">
        <f t="shared" si="6"/>
        <v>0.95689274505891264</v>
      </c>
    </row>
    <row r="165" spans="12:13" x14ac:dyDescent="0.25">
      <c r="L165" s="24">
        <v>3.1499999999999702</v>
      </c>
      <c r="M165" s="25">
        <f t="shared" si="6"/>
        <v>0.95890872179953379</v>
      </c>
    </row>
    <row r="166" spans="12:13" x14ac:dyDescent="0.25">
      <c r="L166" s="24">
        <v>3.19999999999997</v>
      </c>
      <c r="M166" s="25">
        <f t="shared" si="6"/>
        <v>0.96083427720323444</v>
      </c>
    </row>
    <row r="167" spans="12:13" x14ac:dyDescent="0.25">
      <c r="L167" s="24">
        <v>3.2499999999999698</v>
      </c>
      <c r="M167" s="25">
        <f t="shared" si="6"/>
        <v>0.96267311265586941</v>
      </c>
    </row>
    <row r="168" spans="12:13" x14ac:dyDescent="0.25">
      <c r="L168" s="24">
        <v>3.2999999999999701</v>
      </c>
      <c r="M168" s="25">
        <f t="shared" si="6"/>
        <v>0.96442881072736286</v>
      </c>
    </row>
    <row r="169" spans="12:13" x14ac:dyDescent="0.25">
      <c r="L169" s="24">
        <v>3.3499999999999699</v>
      </c>
      <c r="M169" s="25">
        <f t="shared" si="6"/>
        <v>0.96610483584082085</v>
      </c>
    </row>
    <row r="170" spans="12:13" x14ac:dyDescent="0.25">
      <c r="L170" s="24">
        <v>3.3999999999999702</v>
      </c>
      <c r="M170" s="25">
        <f t="shared" si="6"/>
        <v>0.96770453530154854</v>
      </c>
    </row>
    <row r="171" spans="12:13" x14ac:dyDescent="0.25">
      <c r="L171" s="24">
        <v>3.44999999999997</v>
      </c>
      <c r="M171" s="25">
        <f t="shared" si="6"/>
        <v>0.96923114064285121</v>
      </c>
    </row>
    <row r="172" spans="12:13" x14ac:dyDescent="0.25">
      <c r="L172" s="24">
        <v>3.4999999999999698</v>
      </c>
      <c r="M172" s="25">
        <f t="shared" si="6"/>
        <v>0.97068776924864275</v>
      </c>
    </row>
    <row r="173" spans="12:13" x14ac:dyDescent="0.25">
      <c r="L173" s="24">
        <v>3.5499999999999701</v>
      </c>
      <c r="M173" s="25">
        <f t="shared" si="6"/>
        <v>0.97207742621592619</v>
      </c>
    </row>
    <row r="174" spans="12:13" x14ac:dyDescent="0.25">
      <c r="L174" s="24">
        <v>3.5999999999999699</v>
      </c>
      <c r="M174" s="25">
        <f t="shared" si="6"/>
        <v>0.97340300642313349</v>
      </c>
    </row>
    <row r="175" spans="12:13" x14ac:dyDescent="0.25">
      <c r="L175" s="24">
        <v>3.6499999999999702</v>
      </c>
      <c r="M175" s="25">
        <f t="shared" si="6"/>
        <v>0.97466729677312747</v>
      </c>
    </row>
    <row r="176" spans="12:13" x14ac:dyDescent="0.25">
      <c r="L176" s="24">
        <v>3.69999999999997</v>
      </c>
      <c r="M176" s="25">
        <f t="shared" si="6"/>
        <v>0.97587297858233013</v>
      </c>
    </row>
    <row r="177" spans="12:13" x14ac:dyDescent="0.25">
      <c r="L177" s="24">
        <v>3.7499999999999698</v>
      </c>
      <c r="M177" s="25">
        <f t="shared" si="6"/>
        <v>0.9770226300899737</v>
      </c>
    </row>
    <row r="178" spans="12:13" x14ac:dyDescent="0.25">
      <c r="L178" s="24">
        <v>3.7999999999999701</v>
      </c>
      <c r="M178" s="25">
        <f t="shared" si="6"/>
        <v>0.97811872906386887</v>
      </c>
    </row>
    <row r="179" spans="12:13" x14ac:dyDescent="0.25">
      <c r="L179" s="24">
        <v>3.8499999999999699</v>
      </c>
      <c r="M179" s="25">
        <f t="shared" si="6"/>
        <v>0.9791636554813189</v>
      </c>
    </row>
    <row r="180" spans="12:13" x14ac:dyDescent="0.25">
      <c r="L180" s="24">
        <v>3.8999999999999702</v>
      </c>
      <c r="M180" s="25">
        <f t="shared" si="6"/>
        <v>0.98015969426592187</v>
      </c>
    </row>
    <row r="181" spans="12:13" x14ac:dyDescent="0.25">
      <c r="L181" s="24">
        <v>3.94999999999997</v>
      </c>
      <c r="M181" s="25">
        <f t="shared" si="6"/>
        <v>0.98110903806296046</v>
      </c>
    </row>
    <row r="182" spans="12:13" x14ac:dyDescent="0.25">
      <c r="L182" s="24">
        <v>3.9999999999999698</v>
      </c>
      <c r="M182" s="25">
        <f t="shared" si="6"/>
        <v>0.98201379003790801</v>
      </c>
    </row>
    <row r="183" spans="12:13" x14ac:dyDescent="0.25">
      <c r="L183" s="24">
        <v>4.0499999999999696</v>
      </c>
      <c r="M183" s="25">
        <f t="shared" si="6"/>
        <v>0.98287596668427168</v>
      </c>
    </row>
    <row r="184" spans="12:13" x14ac:dyDescent="0.25">
      <c r="L184" s="24">
        <v>4.0999999999999703</v>
      </c>
      <c r="M184" s="25">
        <f t="shared" si="6"/>
        <v>0.98369750062855865</v>
      </c>
    </row>
    <row r="185" spans="12:13" x14ac:dyDescent="0.25">
      <c r="L185" s="24">
        <v>4.1499999999999702</v>
      </c>
      <c r="M185" s="25">
        <f t="shared" si="6"/>
        <v>0.98448024342159068</v>
      </c>
    </row>
    <row r="186" spans="12:13" x14ac:dyDescent="0.25">
      <c r="L186" s="24">
        <v>4.19999999999997</v>
      </c>
      <c r="M186" s="25">
        <f t="shared" si="6"/>
        <v>0.98522596830672649</v>
      </c>
    </row>
    <row r="187" spans="12:13" x14ac:dyDescent="0.25">
      <c r="L187" s="24">
        <v>4.2499999999999698</v>
      </c>
      <c r="M187" s="25">
        <f t="shared" si="6"/>
        <v>0.98593637295675407</v>
      </c>
    </row>
    <row r="188" spans="12:13" x14ac:dyDescent="0.25">
      <c r="L188" s="24">
        <v>4.2999999999999696</v>
      </c>
      <c r="M188" s="25">
        <f t="shared" si="6"/>
        <v>0.98661308217233468</v>
      </c>
    </row>
    <row r="189" spans="12:13" x14ac:dyDescent="0.25">
      <c r="L189" s="24">
        <v>4.3499999999999703</v>
      </c>
      <c r="M189" s="25">
        <f t="shared" si="6"/>
        <v>0.98725765053588799</v>
      </c>
    </row>
    <row r="190" spans="12:13" x14ac:dyDescent="0.25">
      <c r="L190" s="24">
        <v>4.3999999999999702</v>
      </c>
      <c r="M190" s="25">
        <f t="shared" si="6"/>
        <v>0.98787156501572526</v>
      </c>
    </row>
    <row r="191" spans="12:13" x14ac:dyDescent="0.25">
      <c r="L191" s="24">
        <v>4.44999999999997</v>
      </c>
      <c r="M191" s="25">
        <f t="shared" si="6"/>
        <v>0.9884562475160773</v>
      </c>
    </row>
    <row r="192" spans="12:13" x14ac:dyDescent="0.25">
      <c r="L192" s="24">
        <v>4.4999999999999698</v>
      </c>
      <c r="M192" s="25">
        <f t="shared" si="6"/>
        <v>0.98901305736940648</v>
      </c>
    </row>
    <row r="193" spans="12:13" x14ac:dyDescent="0.25">
      <c r="L193" s="24">
        <v>4.5499999999999696</v>
      </c>
      <c r="M193" s="25">
        <f t="shared" si="6"/>
        <v>0.98954329376808159</v>
      </c>
    </row>
    <row r="194" spans="12:13" x14ac:dyDescent="0.25">
      <c r="L194" s="24">
        <v>4.5999999999999703</v>
      </c>
      <c r="M194" s="25">
        <f t="shared" si="6"/>
        <v>0.9900481981330953</v>
      </c>
    </row>
    <row r="195" spans="12:13" x14ac:dyDescent="0.25">
      <c r="L195" s="24">
        <v>4.6499999999999702</v>
      </c>
      <c r="M195" s="25">
        <f t="shared" ref="M195:M202" si="7">1/(1+EXP(-L195))</f>
        <v>0.99052895641805361</v>
      </c>
    </row>
    <row r="196" spans="12:13" x14ac:dyDescent="0.25">
      <c r="L196" s="24">
        <v>4.69999999999997</v>
      </c>
      <c r="M196" s="25">
        <f t="shared" si="7"/>
        <v>0.99098670134715194</v>
      </c>
    </row>
    <row r="197" spans="12:13" x14ac:dyDescent="0.25">
      <c r="L197" s="24">
        <v>4.74999999999996</v>
      </c>
      <c r="M197" s="25">
        <f t="shared" si="7"/>
        <v>0.99142251458628761</v>
      </c>
    </row>
    <row r="198" spans="12:13" x14ac:dyDescent="0.25">
      <c r="L198" s="24">
        <v>4.7999999999999696</v>
      </c>
      <c r="M198" s="25">
        <f t="shared" si="7"/>
        <v>0.9918374288468399</v>
      </c>
    </row>
    <row r="199" spans="12:13" x14ac:dyDescent="0.25">
      <c r="L199" s="24">
        <v>4.8499999999999703</v>
      </c>
      <c r="M199" s="25">
        <f t="shared" si="7"/>
        <v>0.99223242992198468</v>
      </c>
    </row>
    <row r="200" spans="12:13" x14ac:dyDescent="0.25">
      <c r="L200" s="24">
        <v>4.8999999999999604</v>
      </c>
      <c r="M200" s="25">
        <f t="shared" si="7"/>
        <v>0.99260845865571767</v>
      </c>
    </row>
    <row r="201" spans="12:13" x14ac:dyDescent="0.25">
      <c r="L201" s="24">
        <v>4.9499999999999602</v>
      </c>
      <c r="M201" s="25">
        <f t="shared" si="7"/>
        <v>0.99296641284500464</v>
      </c>
    </row>
    <row r="202" spans="12:13" x14ac:dyDescent="0.25">
      <c r="L202" s="26">
        <v>4.99999999999996</v>
      </c>
      <c r="M202" s="27">
        <f t="shared" si="7"/>
        <v>0.99330714907571482</v>
      </c>
    </row>
    <row r="203" spans="12:13" x14ac:dyDescent="0.25">
      <c r="L203" s="2"/>
      <c r="M203" s="2"/>
    </row>
    <row r="204" spans="12:13" x14ac:dyDescent="0.25">
      <c r="L204" s="2"/>
      <c r="M204" s="2"/>
    </row>
    <row r="205" spans="12:13" x14ac:dyDescent="0.25">
      <c r="L205" s="2"/>
      <c r="M205" s="2"/>
    </row>
    <row r="206" spans="12:13" x14ac:dyDescent="0.25">
      <c r="L206" s="2"/>
      <c r="M206" s="2"/>
    </row>
    <row r="207" spans="12:13" x14ac:dyDescent="0.25">
      <c r="L207" s="2"/>
      <c r="M207" s="2"/>
    </row>
    <row r="208" spans="12:13" x14ac:dyDescent="0.25">
      <c r="L208" s="2"/>
      <c r="M208" s="2"/>
    </row>
    <row r="209" spans="12:13" x14ac:dyDescent="0.25">
      <c r="L209" s="2"/>
      <c r="M209" s="2"/>
    </row>
    <row r="210" spans="12:13" x14ac:dyDescent="0.25">
      <c r="L210" s="2"/>
      <c r="M210" s="2"/>
    </row>
    <row r="211" spans="12:13" x14ac:dyDescent="0.25">
      <c r="L211" s="2"/>
      <c r="M211" s="2"/>
    </row>
    <row r="212" spans="12:13" x14ac:dyDescent="0.25">
      <c r="L212" s="2"/>
      <c r="M212" s="2"/>
    </row>
    <row r="213" spans="12:13" x14ac:dyDescent="0.25">
      <c r="L213" s="2"/>
      <c r="M213" s="2"/>
    </row>
    <row r="214" spans="12:13" x14ac:dyDescent="0.25">
      <c r="L214" s="2"/>
      <c r="M214" s="2"/>
    </row>
    <row r="215" spans="12:13" x14ac:dyDescent="0.25">
      <c r="L215" s="2"/>
      <c r="M215" s="2"/>
    </row>
    <row r="216" spans="12:13" x14ac:dyDescent="0.25">
      <c r="L216" s="2"/>
      <c r="M216" s="2"/>
    </row>
    <row r="217" spans="12:13" x14ac:dyDescent="0.25">
      <c r="L217" s="2"/>
      <c r="M217" s="2"/>
    </row>
    <row r="218" spans="12:13" x14ac:dyDescent="0.25">
      <c r="L218" s="2"/>
      <c r="M218" s="2"/>
    </row>
    <row r="219" spans="12:13" x14ac:dyDescent="0.25">
      <c r="L219" s="2"/>
      <c r="M219" s="2"/>
    </row>
    <row r="220" spans="12:13" x14ac:dyDescent="0.25">
      <c r="L220" s="2"/>
      <c r="M220" s="2"/>
    </row>
    <row r="221" spans="12:13" x14ac:dyDescent="0.25">
      <c r="L221" s="2"/>
      <c r="M221" s="2"/>
    </row>
    <row r="222" spans="12:13" x14ac:dyDescent="0.25">
      <c r="L222" s="2"/>
      <c r="M222" s="2"/>
    </row>
    <row r="223" spans="12:13" x14ac:dyDescent="0.25">
      <c r="L223" s="2"/>
      <c r="M223" s="2"/>
    </row>
    <row r="224" spans="12:13" x14ac:dyDescent="0.25">
      <c r="L224" s="2"/>
      <c r="M224" s="2"/>
    </row>
    <row r="225" spans="12:13" x14ac:dyDescent="0.25">
      <c r="L225" s="2"/>
      <c r="M225" s="2"/>
    </row>
    <row r="226" spans="12:13" x14ac:dyDescent="0.25">
      <c r="L226" s="2"/>
      <c r="M226" s="2"/>
    </row>
    <row r="227" spans="12:13" x14ac:dyDescent="0.25">
      <c r="L227" s="2"/>
      <c r="M227" s="2"/>
    </row>
    <row r="228" spans="12:13" x14ac:dyDescent="0.25">
      <c r="L228" s="2"/>
      <c r="M228" s="2"/>
    </row>
    <row r="229" spans="12:13" x14ac:dyDescent="0.25">
      <c r="L229" s="2"/>
      <c r="M229" s="2"/>
    </row>
    <row r="230" spans="12:13" x14ac:dyDescent="0.25">
      <c r="L230" s="2"/>
      <c r="M230" s="2"/>
    </row>
    <row r="231" spans="12:13" x14ac:dyDescent="0.25">
      <c r="L231" s="2"/>
      <c r="M231" s="2"/>
    </row>
    <row r="232" spans="12:13" x14ac:dyDescent="0.25">
      <c r="L232" s="2"/>
      <c r="M232" s="2"/>
    </row>
    <row r="233" spans="12:13" x14ac:dyDescent="0.25">
      <c r="L233" s="2"/>
      <c r="M233" s="2"/>
    </row>
    <row r="234" spans="12:13" x14ac:dyDescent="0.25">
      <c r="L234" s="2"/>
      <c r="M234" s="2"/>
    </row>
    <row r="235" spans="12:13" x14ac:dyDescent="0.25">
      <c r="L235" s="2"/>
      <c r="M235" s="2"/>
    </row>
    <row r="236" spans="12:13" x14ac:dyDescent="0.25">
      <c r="L236" s="2"/>
      <c r="M236" s="2"/>
    </row>
    <row r="237" spans="12:13" x14ac:dyDescent="0.25">
      <c r="L237" s="2"/>
      <c r="M237" s="2"/>
    </row>
    <row r="238" spans="12:13" x14ac:dyDescent="0.25">
      <c r="L238" s="2"/>
      <c r="M238" s="2"/>
    </row>
    <row r="239" spans="12:13" x14ac:dyDescent="0.25">
      <c r="L239" s="2"/>
      <c r="M239" s="2"/>
    </row>
    <row r="240" spans="12:13" x14ac:dyDescent="0.25">
      <c r="L240" s="2"/>
      <c r="M240" s="2"/>
    </row>
    <row r="241" spans="12:13" x14ac:dyDescent="0.25">
      <c r="L241" s="2"/>
      <c r="M241" s="2"/>
    </row>
    <row r="242" spans="12:13" x14ac:dyDescent="0.25">
      <c r="L242" s="2"/>
      <c r="M242" s="2"/>
    </row>
    <row r="243" spans="12:13" x14ac:dyDescent="0.25">
      <c r="L243" s="2"/>
      <c r="M243" s="2"/>
    </row>
    <row r="244" spans="12:13" x14ac:dyDescent="0.25">
      <c r="L244" s="2"/>
      <c r="M244" s="2"/>
    </row>
    <row r="245" spans="12:13" x14ac:dyDescent="0.25">
      <c r="L245" s="2"/>
      <c r="M245" s="2"/>
    </row>
    <row r="246" spans="12:13" x14ac:dyDescent="0.25">
      <c r="L246" s="2"/>
      <c r="M246" s="2"/>
    </row>
    <row r="247" spans="12:13" x14ac:dyDescent="0.25">
      <c r="L247" s="2"/>
      <c r="M247" s="2"/>
    </row>
    <row r="248" spans="12:13" x14ac:dyDescent="0.25">
      <c r="L248" s="2"/>
      <c r="M248" s="2"/>
    </row>
    <row r="249" spans="12:13" x14ac:dyDescent="0.25">
      <c r="L249" s="2"/>
      <c r="M249" s="2"/>
    </row>
    <row r="250" spans="12:13" x14ac:dyDescent="0.25">
      <c r="L250" s="2"/>
      <c r="M250" s="2"/>
    </row>
    <row r="251" spans="12:13" x14ac:dyDescent="0.25">
      <c r="L251" s="2"/>
      <c r="M251" s="2"/>
    </row>
    <row r="252" spans="12:13" x14ac:dyDescent="0.25">
      <c r="L252" s="2"/>
      <c r="M252" s="2"/>
    </row>
    <row r="253" spans="12:13" x14ac:dyDescent="0.25">
      <c r="L253" s="2"/>
      <c r="M253" s="2"/>
    </row>
    <row r="254" spans="12:13" x14ac:dyDescent="0.25">
      <c r="L254" s="2"/>
      <c r="M254" s="2"/>
    </row>
    <row r="255" spans="12:13" x14ac:dyDescent="0.25">
      <c r="L255" s="2"/>
      <c r="M255" s="2"/>
    </row>
    <row r="256" spans="12:13" x14ac:dyDescent="0.25">
      <c r="L256" s="2"/>
      <c r="M256" s="2"/>
    </row>
    <row r="257" spans="12:13" x14ac:dyDescent="0.25">
      <c r="L257" s="2"/>
      <c r="M257" s="2"/>
    </row>
    <row r="258" spans="12:13" x14ac:dyDescent="0.25">
      <c r="L258" s="2"/>
      <c r="M258" s="2"/>
    </row>
    <row r="259" spans="12:13" x14ac:dyDescent="0.25">
      <c r="L259" s="2"/>
      <c r="M259" s="2"/>
    </row>
    <row r="260" spans="12:13" x14ac:dyDescent="0.25">
      <c r="L260" s="2"/>
      <c r="M260" s="2"/>
    </row>
    <row r="261" spans="12:13" x14ac:dyDescent="0.25">
      <c r="L261" s="2"/>
      <c r="M261" s="2"/>
    </row>
    <row r="262" spans="12:13" x14ac:dyDescent="0.25">
      <c r="L262" s="2"/>
      <c r="M262" s="2"/>
    </row>
    <row r="263" spans="12:13" x14ac:dyDescent="0.25">
      <c r="L263" s="2"/>
      <c r="M263" s="2"/>
    </row>
    <row r="264" spans="12:13" x14ac:dyDescent="0.25">
      <c r="L264" s="2"/>
      <c r="M264" s="2"/>
    </row>
    <row r="265" spans="12:13" x14ac:dyDescent="0.25">
      <c r="L265" s="2"/>
      <c r="M265" s="2"/>
    </row>
    <row r="266" spans="12:13" x14ac:dyDescent="0.25">
      <c r="L266" s="2"/>
      <c r="M266" s="2"/>
    </row>
    <row r="267" spans="12:13" x14ac:dyDescent="0.25">
      <c r="L267" s="2"/>
      <c r="M267" s="2"/>
    </row>
    <row r="268" spans="12:13" x14ac:dyDescent="0.25">
      <c r="L268" s="2"/>
      <c r="M268" s="2"/>
    </row>
    <row r="269" spans="12:13" x14ac:dyDescent="0.25">
      <c r="L269" s="2"/>
      <c r="M269" s="2"/>
    </row>
    <row r="270" spans="12:13" x14ac:dyDescent="0.25">
      <c r="L270" s="2"/>
      <c r="M270" s="2"/>
    </row>
    <row r="271" spans="12:13" x14ac:dyDescent="0.25">
      <c r="L271" s="2"/>
      <c r="M271" s="2"/>
    </row>
    <row r="272" spans="12:13" x14ac:dyDescent="0.25">
      <c r="L272" s="2"/>
      <c r="M272" s="2"/>
    </row>
    <row r="273" spans="12:13" x14ac:dyDescent="0.25">
      <c r="L273" s="2"/>
      <c r="M273" s="2"/>
    </row>
    <row r="274" spans="12:13" x14ac:dyDescent="0.25">
      <c r="L274" s="2"/>
      <c r="M274" s="2"/>
    </row>
    <row r="275" spans="12:13" x14ac:dyDescent="0.25">
      <c r="L275" s="2"/>
      <c r="M275" s="2"/>
    </row>
    <row r="276" spans="12:13" x14ac:dyDescent="0.25">
      <c r="L276" s="2"/>
      <c r="M276" s="2"/>
    </row>
    <row r="277" spans="12:13" x14ac:dyDescent="0.25">
      <c r="L277" s="2"/>
      <c r="M277" s="2"/>
    </row>
    <row r="278" spans="12:13" x14ac:dyDescent="0.25">
      <c r="L278" s="2"/>
      <c r="M278" s="2"/>
    </row>
    <row r="279" spans="12:13" x14ac:dyDescent="0.25">
      <c r="L279" s="2"/>
      <c r="M279" s="2"/>
    </row>
    <row r="280" spans="12:13" x14ac:dyDescent="0.25">
      <c r="L280" s="2"/>
      <c r="M280" s="2"/>
    </row>
    <row r="281" spans="12:13" x14ac:dyDescent="0.25">
      <c r="L281" s="2"/>
      <c r="M281" s="2"/>
    </row>
    <row r="282" spans="12:13" x14ac:dyDescent="0.25">
      <c r="L282" s="2"/>
      <c r="M282" s="2"/>
    </row>
    <row r="283" spans="12:13" x14ac:dyDescent="0.25">
      <c r="L283" s="2"/>
      <c r="M283" s="2"/>
    </row>
    <row r="284" spans="12:13" x14ac:dyDescent="0.25">
      <c r="L284" s="2"/>
      <c r="M284" s="2"/>
    </row>
    <row r="285" spans="12:13" x14ac:dyDescent="0.25">
      <c r="L285" s="2"/>
      <c r="M285" s="2"/>
    </row>
    <row r="286" spans="12:13" x14ac:dyDescent="0.25">
      <c r="L286" s="2"/>
      <c r="M286" s="2"/>
    </row>
    <row r="287" spans="12:13" x14ac:dyDescent="0.25">
      <c r="L287" s="2"/>
      <c r="M287" s="2"/>
    </row>
    <row r="288" spans="12:13" x14ac:dyDescent="0.25">
      <c r="L288" s="2"/>
      <c r="M288" s="2"/>
    </row>
    <row r="289" spans="12:13" x14ac:dyDescent="0.25">
      <c r="L289" s="2"/>
      <c r="M289" s="2"/>
    </row>
    <row r="290" spans="12:13" x14ac:dyDescent="0.25">
      <c r="L290" s="2"/>
      <c r="M290" s="2"/>
    </row>
    <row r="291" spans="12:13" x14ac:dyDescent="0.25">
      <c r="L291" s="2"/>
      <c r="M291" s="2"/>
    </row>
    <row r="292" spans="12:13" x14ac:dyDescent="0.25">
      <c r="L292" s="2"/>
      <c r="M292" s="2"/>
    </row>
    <row r="293" spans="12:13" x14ac:dyDescent="0.25">
      <c r="L293" s="2"/>
      <c r="M293" s="2"/>
    </row>
    <row r="294" spans="12:13" x14ac:dyDescent="0.25">
      <c r="L294" s="2"/>
      <c r="M294" s="2"/>
    </row>
    <row r="295" spans="12:13" x14ac:dyDescent="0.25">
      <c r="L295" s="2"/>
      <c r="M295" s="2"/>
    </row>
    <row r="296" spans="12:13" x14ac:dyDescent="0.25">
      <c r="L296" s="2"/>
      <c r="M296" s="2"/>
    </row>
    <row r="297" spans="12:13" x14ac:dyDescent="0.25">
      <c r="L297" s="2"/>
      <c r="M297" s="2"/>
    </row>
    <row r="298" spans="12:13" x14ac:dyDescent="0.25">
      <c r="L298" s="2"/>
      <c r="M298" s="2"/>
    </row>
    <row r="299" spans="12:13" x14ac:dyDescent="0.25">
      <c r="L299" s="2"/>
      <c r="M299" s="2"/>
    </row>
    <row r="300" spans="12:13" x14ac:dyDescent="0.25">
      <c r="L300" s="2"/>
      <c r="M300" s="2"/>
    </row>
    <row r="301" spans="12:13" x14ac:dyDescent="0.25">
      <c r="L301" s="2"/>
      <c r="M301" s="2"/>
    </row>
    <row r="302" spans="12:13" x14ac:dyDescent="0.25">
      <c r="L302" s="2"/>
      <c r="M302" s="2"/>
    </row>
  </sheetData>
  <sortState xmlns:xlrd2="http://schemas.microsoft.com/office/spreadsheetml/2017/richdata2" ref="A3:K129">
    <sortCondition ref="K3:K129"/>
  </sortState>
  <mergeCells count="1">
    <mergeCell ref="L1:M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BL8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2020-05-09T13:48:19Z</dcterms:created>
  <dcterms:modified xsi:type="dcterms:W3CDTF">2020-06-28T16:36:54Z</dcterms:modified>
</cp:coreProperties>
</file>